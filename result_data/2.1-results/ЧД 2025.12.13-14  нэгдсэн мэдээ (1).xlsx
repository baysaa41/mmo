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yasuren/Documents/2025-2026/Математик /ММО/ММО-62 /2-ийн Даваа/"/>
    </mc:Choice>
  </mc:AlternateContent>
  <xr:revisionPtr revIDLastSave="0" documentId="13_ncr:1_{E24A86EB-8F71-0B49-85E5-0ED28A6C9F9D}" xr6:coauthVersionLast="47" xr6:coauthVersionMax="47" xr10:uidLastSave="{00000000-0000-0000-0000-000000000000}"/>
  <bookViews>
    <workbookView xWindow="160" yWindow="920" windowWidth="29080" windowHeight="16560" activeTab="5" xr2:uid="{E9504C59-FD99-46A9-B47E-8C13B07EDD71}"/>
  </bookViews>
  <sheets>
    <sheet name="C (5-6)" sheetId="1" r:id="rId1"/>
    <sheet name="D (7-8) " sheetId="6" r:id="rId2"/>
    <sheet name="E (9-10)" sheetId="3" r:id="rId3"/>
    <sheet name=" (F11-12) " sheetId="5" r:id="rId4"/>
    <sheet name="S (БАГШ) " sheetId="7" r:id="rId5"/>
    <sheet name="T (БАГШ)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3" l="1"/>
  <c r="P68" i="3"/>
  <c r="P69" i="3"/>
  <c r="P62" i="3"/>
  <c r="P63" i="3"/>
  <c r="P64" i="3"/>
  <c r="P65" i="3"/>
  <c r="P66" i="3"/>
  <c r="P67" i="3"/>
  <c r="P61" i="3"/>
  <c r="P56" i="3"/>
  <c r="P57" i="3"/>
  <c r="P58" i="3"/>
  <c r="P59" i="3"/>
  <c r="P60" i="3"/>
  <c r="P49" i="3"/>
  <c r="P50" i="3"/>
  <c r="P51" i="3"/>
  <c r="P52" i="3"/>
  <c r="P53" i="3"/>
  <c r="P54" i="3"/>
  <c r="P55" i="3"/>
  <c r="P41" i="3"/>
  <c r="P42" i="3"/>
  <c r="P43" i="3"/>
  <c r="P44" i="3"/>
  <c r="P45" i="3"/>
  <c r="P46" i="3"/>
  <c r="P47" i="3"/>
  <c r="P48" i="3"/>
  <c r="P36" i="3"/>
  <c r="P37" i="3"/>
  <c r="P38" i="3"/>
  <c r="P39" i="3"/>
  <c r="P40" i="3"/>
  <c r="P33" i="3"/>
  <c r="P23" i="3"/>
  <c r="P11" i="3"/>
  <c r="P34" i="3"/>
  <c r="P35" i="3"/>
  <c r="P22" i="3"/>
  <c r="P28" i="3"/>
  <c r="P29" i="3"/>
  <c r="P30" i="3"/>
  <c r="P31" i="3"/>
  <c r="P32" i="3"/>
  <c r="P25" i="3"/>
  <c r="P26" i="3"/>
  <c r="P27" i="3"/>
  <c r="P19" i="3"/>
  <c r="P24" i="3"/>
  <c r="P21" i="3"/>
  <c r="P10" i="3"/>
  <c r="P20" i="3"/>
  <c r="P13" i="3"/>
  <c r="P9" i="3"/>
  <c r="P12" i="3"/>
  <c r="P18" i="3"/>
  <c r="P8" i="3"/>
  <c r="P14" i="3"/>
  <c r="P15" i="3"/>
  <c r="P16" i="3"/>
  <c r="P17" i="3"/>
  <c r="P6" i="3"/>
  <c r="P7" i="3"/>
  <c r="P5" i="3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4" i="6"/>
  <c r="M16" i="6"/>
  <c r="M17" i="6"/>
  <c r="M18" i="6"/>
  <c r="M19" i="6"/>
  <c r="M20" i="6"/>
  <c r="M21" i="6"/>
  <c r="M22" i="6"/>
  <c r="M8" i="6"/>
  <c r="M9" i="6"/>
  <c r="M10" i="6"/>
  <c r="M11" i="6"/>
  <c r="M12" i="6"/>
  <c r="M13" i="6"/>
  <c r="M15" i="6"/>
  <c r="M5" i="6"/>
  <c r="M6" i="6"/>
  <c r="M7" i="6"/>
  <c r="M4" i="6"/>
  <c r="P4" i="2"/>
  <c r="M5" i="7"/>
  <c r="M10" i="7"/>
  <c r="M14" i="7"/>
  <c r="M12" i="7"/>
  <c r="M6" i="7"/>
  <c r="M7" i="7"/>
  <c r="M11" i="7"/>
  <c r="M3" i="7"/>
  <c r="M9" i="7"/>
  <c r="M4" i="7"/>
  <c r="M13" i="7"/>
  <c r="M8" i="7"/>
  <c r="P28" i="5"/>
  <c r="P12" i="5"/>
  <c r="P13" i="5"/>
  <c r="P6" i="5"/>
  <c r="P5" i="5"/>
  <c r="P17" i="5"/>
  <c r="P35" i="5"/>
  <c r="P50" i="5"/>
  <c r="P51" i="5"/>
  <c r="P36" i="5"/>
  <c r="P52" i="5"/>
  <c r="P53" i="5"/>
  <c r="P29" i="5"/>
  <c r="P54" i="5"/>
  <c r="P55" i="5"/>
  <c r="P56" i="5"/>
  <c r="P57" i="5"/>
  <c r="P30" i="5"/>
  <c r="P7" i="5"/>
  <c r="P20" i="5"/>
  <c r="P46" i="5"/>
  <c r="P58" i="5"/>
  <c r="P38" i="5"/>
  <c r="P59" i="5"/>
  <c r="P60" i="5"/>
  <c r="P61" i="5"/>
  <c r="P62" i="5"/>
  <c r="P31" i="5"/>
  <c r="P23" i="5"/>
  <c r="P19" i="5"/>
  <c r="P63" i="5"/>
  <c r="P18" i="5"/>
  <c r="P9" i="5"/>
  <c r="P14" i="5"/>
  <c r="P68" i="5"/>
  <c r="P8" i="5"/>
  <c r="P48" i="5"/>
  <c r="P42" i="5"/>
  <c r="P69" i="5"/>
  <c r="P70" i="5"/>
  <c r="P16" i="5"/>
  <c r="P34" i="5"/>
  <c r="P71" i="5"/>
  <c r="P43" i="5"/>
  <c r="P4" i="5"/>
  <c r="P22" i="5"/>
  <c r="P3" i="5"/>
  <c r="P44" i="5"/>
  <c r="P45" i="5"/>
  <c r="P21" i="5"/>
  <c r="P49" i="5"/>
  <c r="P33" i="5"/>
  <c r="P32" i="5"/>
  <c r="P25" i="5"/>
  <c r="P39" i="5"/>
  <c r="P64" i="5"/>
  <c r="P65" i="5"/>
  <c r="P47" i="5"/>
  <c r="P40" i="5"/>
  <c r="P41" i="5"/>
  <c r="P10" i="5"/>
  <c r="P66" i="5"/>
  <c r="P26" i="5"/>
  <c r="P11" i="5"/>
  <c r="P27" i="5"/>
  <c r="P24" i="5"/>
  <c r="P67" i="5"/>
  <c r="P15" i="5"/>
  <c r="P37" i="5"/>
  <c r="P11" i="2"/>
  <c r="P7" i="2"/>
  <c r="P6" i="2"/>
  <c r="P13" i="2"/>
  <c r="P3" i="2"/>
  <c r="P12" i="2"/>
  <c r="P5" i="2"/>
  <c r="P10" i="2"/>
  <c r="P9" i="2"/>
  <c r="P8" i="2"/>
  <c r="N27" i="1"/>
  <c r="N39" i="1"/>
  <c r="N19" i="1"/>
  <c r="N40" i="1"/>
  <c r="N41" i="1"/>
  <c r="N14" i="1"/>
  <c r="N42" i="1"/>
  <c r="N7" i="1"/>
  <c r="N28" i="1"/>
  <c r="N43" i="1"/>
  <c r="N29" i="1"/>
  <c r="N44" i="1"/>
  <c r="N45" i="1"/>
  <c r="N46" i="1"/>
  <c r="N17" i="1"/>
  <c r="N47" i="1"/>
  <c r="N48" i="1"/>
  <c r="N49" i="1"/>
  <c r="N50" i="1"/>
  <c r="N30" i="1"/>
  <c r="N51" i="1"/>
  <c r="N31" i="1"/>
  <c r="N52" i="1"/>
  <c r="N32" i="1"/>
  <c r="N5" i="1"/>
  <c r="N23" i="1"/>
  <c r="N53" i="1"/>
  <c r="N20" i="1"/>
  <c r="N54" i="1"/>
  <c r="N55" i="1"/>
  <c r="N56" i="1"/>
  <c r="N57" i="1"/>
  <c r="N58" i="1"/>
  <c r="N59" i="1"/>
  <c r="N60" i="1"/>
  <c r="N61" i="1"/>
  <c r="N62" i="1"/>
  <c r="N63" i="1"/>
  <c r="N21" i="1"/>
  <c r="N4" i="1"/>
  <c r="N8" i="1"/>
  <c r="N24" i="1"/>
  <c r="N11" i="1"/>
  <c r="N64" i="1"/>
  <c r="N65" i="1"/>
  <c r="N66" i="1"/>
  <c r="N67" i="1"/>
  <c r="N25" i="1"/>
  <c r="N68" i="1"/>
  <c r="N69" i="1"/>
  <c r="N70" i="1"/>
  <c r="N71" i="1"/>
  <c r="N72" i="1"/>
  <c r="N22" i="1"/>
  <c r="N73" i="1"/>
  <c r="N18" i="1"/>
  <c r="N33" i="1"/>
  <c r="N15" i="1"/>
  <c r="N6" i="1"/>
  <c r="N74" i="1"/>
  <c r="N75" i="1"/>
  <c r="N34" i="1"/>
  <c r="N76" i="1"/>
  <c r="N35" i="1"/>
  <c r="N16" i="1"/>
  <c r="N77" i="1"/>
  <c r="N9" i="1"/>
  <c r="N78" i="1"/>
  <c r="N79" i="1"/>
  <c r="N80" i="1"/>
  <c r="N36" i="1"/>
  <c r="N81" i="1"/>
  <c r="N82" i="1"/>
  <c r="N12" i="1"/>
  <c r="N13" i="1"/>
  <c r="N83" i="1"/>
  <c r="N84" i="1"/>
  <c r="N37" i="1"/>
  <c r="N10" i="1"/>
  <c r="N85" i="1"/>
  <c r="N26" i="1"/>
  <c r="N38" i="1"/>
</calcChain>
</file>

<file path=xl/sharedStrings.xml><?xml version="1.0" encoding="utf-8"?>
<sst xmlns="http://schemas.openxmlformats.org/spreadsheetml/2006/main" count="2020" uniqueCount="884">
  <si>
    <t>№</t>
  </si>
  <si>
    <t>Ангилал</t>
  </si>
  <si>
    <t>Тоот</t>
  </si>
  <si>
    <t>ID</t>
  </si>
  <si>
    <t>Овог</t>
  </si>
  <si>
    <t>Нэр</t>
  </si>
  <si>
    <t>Сургууль</t>
  </si>
  <si>
    <t>шифр</t>
  </si>
  <si>
    <t>Б1</t>
  </si>
  <si>
    <t>Б2</t>
  </si>
  <si>
    <t>Б3</t>
  </si>
  <si>
    <t>Б4</t>
  </si>
  <si>
    <t>Нийт</t>
  </si>
  <si>
    <t xml:space="preserve">Байр </t>
  </si>
  <si>
    <t>Анги</t>
  </si>
  <si>
    <t>C</t>
  </si>
  <si>
    <t xml:space="preserve">Шагдарсүрэн </t>
  </si>
  <si>
    <t>Эрхэс</t>
  </si>
  <si>
    <t>209-C-12</t>
  </si>
  <si>
    <t>Алт</t>
  </si>
  <si>
    <t>5-р анги</t>
  </si>
  <si>
    <t>Гантулга</t>
  </si>
  <si>
    <t>Дөлгөөн</t>
  </si>
  <si>
    <t>209-C-02</t>
  </si>
  <si>
    <t>Мөнгө</t>
  </si>
  <si>
    <t xml:space="preserve">6-р анги </t>
  </si>
  <si>
    <t>Сүхболд</t>
  </si>
  <si>
    <t>Идэрбаясгалан</t>
  </si>
  <si>
    <t>207-C-02</t>
  </si>
  <si>
    <t xml:space="preserve">Баярцогт </t>
  </si>
  <si>
    <t>Цогбадрах</t>
  </si>
  <si>
    <t>204-C-02</t>
  </si>
  <si>
    <t>Цэнд-Аюуш</t>
  </si>
  <si>
    <t>Өлзийбаяр</t>
  </si>
  <si>
    <t>209-C-16</t>
  </si>
  <si>
    <t>Хүрэл</t>
  </si>
  <si>
    <t xml:space="preserve">5-р анги </t>
  </si>
  <si>
    <t>Зоригтсайхан</t>
  </si>
  <si>
    <t>Ялалт</t>
  </si>
  <si>
    <t>205-C-02</t>
  </si>
  <si>
    <t>Эрдэнэбат</t>
  </si>
  <si>
    <t>Төгөлдөр-Эрдэнэ</t>
  </si>
  <si>
    <t>205-C-13</t>
  </si>
  <si>
    <t>Мөнхтулга</t>
  </si>
  <si>
    <t>Оюун-Эрдэм</t>
  </si>
  <si>
    <t>209-C-20</t>
  </si>
  <si>
    <t>Цогтбаяр</t>
  </si>
  <si>
    <t>Өсөхбаяр</t>
  </si>
  <si>
    <t>амжилт кибер</t>
  </si>
  <si>
    <t>205-C-08</t>
  </si>
  <si>
    <t>Батмөнх</t>
  </si>
  <si>
    <t>Гуасондор</t>
  </si>
  <si>
    <t>205-C-03</t>
  </si>
  <si>
    <t>Батбилэг</t>
  </si>
  <si>
    <t>Гэрэлт-Оюу</t>
  </si>
  <si>
    <t>204-C-08</t>
  </si>
  <si>
    <t>Үнэнбат</t>
  </si>
  <si>
    <t>Түвшинтулга</t>
  </si>
  <si>
    <t>207-C-06</t>
  </si>
  <si>
    <t>Билгүүн</t>
  </si>
  <si>
    <t>Баттулга</t>
  </si>
  <si>
    <t>Олонлог Эгзэ</t>
  </si>
  <si>
    <t>205-C-01</t>
  </si>
  <si>
    <t>Чагнайдорж</t>
  </si>
  <si>
    <t>Чимэддорж</t>
  </si>
  <si>
    <t>204-C-01</t>
  </si>
  <si>
    <t>Ангараг</t>
  </si>
  <si>
    <t>Орчлон</t>
  </si>
  <si>
    <t>207-C-10</t>
  </si>
  <si>
    <t>Бат-Амгалан</t>
  </si>
  <si>
    <t>Мөнгөнсүлд</t>
  </si>
  <si>
    <t>204-C-15</t>
  </si>
  <si>
    <t xml:space="preserve">Болор </t>
  </si>
  <si>
    <t>Ариунзаяа</t>
  </si>
  <si>
    <t>209-C-09</t>
  </si>
  <si>
    <t>Баасанжаргал</t>
  </si>
  <si>
    <t>Содбилэг</t>
  </si>
  <si>
    <t>209-C-13</t>
  </si>
  <si>
    <t>Галбадрах</t>
  </si>
  <si>
    <t>Хангал</t>
  </si>
  <si>
    <t>207-C-04</t>
  </si>
  <si>
    <t>Пүрэв</t>
  </si>
  <si>
    <t>Үлэмж</t>
  </si>
  <si>
    <t>209-C-01</t>
  </si>
  <si>
    <t>Борбанди</t>
  </si>
  <si>
    <t>Цог</t>
  </si>
  <si>
    <t>209-C-06</t>
  </si>
  <si>
    <t>Батбаяр</t>
  </si>
  <si>
    <t>Оюусэцэн</t>
  </si>
  <si>
    <t>207-C-14</t>
  </si>
  <si>
    <t>Пүрэвсүрэн</t>
  </si>
  <si>
    <t xml:space="preserve">Номингэрэл </t>
  </si>
  <si>
    <t>205-C-07</t>
  </si>
  <si>
    <t>Ганбат</t>
  </si>
  <si>
    <t>Алтаншагай</t>
  </si>
  <si>
    <t>204-C-09</t>
  </si>
  <si>
    <t>Алтанхуяг</t>
  </si>
  <si>
    <t>Цагаанбаатар</t>
  </si>
  <si>
    <t>204-C-12</t>
  </si>
  <si>
    <t>Энхтайван</t>
  </si>
  <si>
    <t>Энгүүн</t>
  </si>
  <si>
    <t>204-C-06</t>
  </si>
  <si>
    <t>Балдандорж</t>
  </si>
  <si>
    <t>Норовзаяа</t>
  </si>
  <si>
    <t>209-C-15</t>
  </si>
  <si>
    <t>Мөнхтөр</t>
  </si>
  <si>
    <t>Хүслэн</t>
  </si>
  <si>
    <t>209-C-03</t>
  </si>
  <si>
    <t>Даваадаорж</t>
  </si>
  <si>
    <t>Эмүжин</t>
  </si>
  <si>
    <t>209-C-10</t>
  </si>
  <si>
    <t>Ундармаа</t>
  </si>
  <si>
    <t>Төгөлдөр</t>
  </si>
  <si>
    <t>207-C-12</t>
  </si>
  <si>
    <t>Бямбадорж</t>
  </si>
  <si>
    <t>Тэнгис</t>
  </si>
  <si>
    <t>207-C-13</t>
  </si>
  <si>
    <t>Амгаланбаатар</t>
  </si>
  <si>
    <t>Цэцэнзол</t>
  </si>
  <si>
    <t>205-C-05</t>
  </si>
  <si>
    <t>Өрнөнбадрах</t>
  </si>
  <si>
    <t>Чингүүн</t>
  </si>
  <si>
    <t>Тусгал</t>
  </si>
  <si>
    <t>205-C-06</t>
  </si>
  <si>
    <t xml:space="preserve">Энхдөлгөөн </t>
  </si>
  <si>
    <t>205-C-09</t>
  </si>
  <si>
    <t>Өнөрбаяр</t>
  </si>
  <si>
    <t>Амин-Эрдэнэ</t>
  </si>
  <si>
    <t>204-C-10</t>
  </si>
  <si>
    <t>Ганзориг</t>
  </si>
  <si>
    <t>Мөнхтүшиг</t>
  </si>
  <si>
    <t>204-C-04</t>
  </si>
  <si>
    <t>Ганболд</t>
  </si>
  <si>
    <t>Номинжин</t>
  </si>
  <si>
    <t>Тодбаяр</t>
  </si>
  <si>
    <t>Чинсанаа</t>
  </si>
  <si>
    <t>204-C-11</t>
  </si>
  <si>
    <t>Амарсанаа</t>
  </si>
  <si>
    <t>Амирлан</t>
  </si>
  <si>
    <t>204-C-03</t>
  </si>
  <si>
    <t>Азжаргал</t>
  </si>
  <si>
    <t>Түвшинбаяр</t>
  </si>
  <si>
    <t>204-C-05</t>
  </si>
  <si>
    <t>Сайханбилэг</t>
  </si>
  <si>
    <t>Дэлгэржаргал</t>
  </si>
  <si>
    <t>204-C-13</t>
  </si>
  <si>
    <t>Бат-Эрдэнэ</t>
  </si>
  <si>
    <t>Анандбазар</t>
  </si>
  <si>
    <t>204-C-07</t>
  </si>
  <si>
    <t>Бөхбат</t>
  </si>
  <si>
    <t>204-C-14</t>
  </si>
  <si>
    <t>Ивээлтсүлд</t>
  </si>
  <si>
    <t>тэгш ухаан</t>
  </si>
  <si>
    <t>Баярсайхан</t>
  </si>
  <si>
    <t>Ганчимэг</t>
  </si>
  <si>
    <t>Мөнхбаатар</t>
  </si>
  <si>
    <t xml:space="preserve">Хулан </t>
  </si>
  <si>
    <t>Доржпүрэв</t>
  </si>
  <si>
    <t>Отгонцэцэг</t>
  </si>
  <si>
    <t>209-C-08</t>
  </si>
  <si>
    <t>Мэндсайхан</t>
  </si>
  <si>
    <t>Ирэхнаран</t>
  </si>
  <si>
    <t>Дашдаваа</t>
  </si>
  <si>
    <t>Дангаадамиан</t>
  </si>
  <si>
    <t>209-C-18</t>
  </si>
  <si>
    <t>Э</t>
  </si>
  <si>
    <t>Саруулнаран</t>
  </si>
  <si>
    <t>209-C-19</t>
  </si>
  <si>
    <t>Зоригтбаатар</t>
  </si>
  <si>
    <t>Төгс-Эрдэнэ</t>
  </si>
  <si>
    <t>209-C-04</t>
  </si>
  <si>
    <t>Эрболд</t>
  </si>
  <si>
    <t>Сондор</t>
  </si>
  <si>
    <t>Баттогтох</t>
  </si>
  <si>
    <t>Булган</t>
  </si>
  <si>
    <t>Алтансувд</t>
  </si>
  <si>
    <t>Гансүх</t>
  </si>
  <si>
    <t>Доржцэрэн</t>
  </si>
  <si>
    <t>209-C-14</t>
  </si>
  <si>
    <t>Дашбат</t>
  </si>
  <si>
    <t>Тэнүүн</t>
  </si>
  <si>
    <t>209-C-05</t>
  </si>
  <si>
    <t>Нарантунгалаг</t>
  </si>
  <si>
    <t>Мишээл</t>
  </si>
  <si>
    <t>209-C-07</t>
  </si>
  <si>
    <t>Батдэлгэр</t>
  </si>
  <si>
    <t>Тэмүүжин</t>
  </si>
  <si>
    <t>209-C-11</t>
  </si>
  <si>
    <t>Хасбаяр</t>
  </si>
  <si>
    <t>Ундрахбаяр</t>
  </si>
  <si>
    <t>Ган-Эрдэнэ</t>
  </si>
  <si>
    <t>Гансоёмбо</t>
  </si>
  <si>
    <t>209-C-17</t>
  </si>
  <si>
    <t>Нямтайван</t>
  </si>
  <si>
    <t>Мөнх-Аялгуу</t>
  </si>
  <si>
    <t>207-C-15</t>
  </si>
  <si>
    <t>Нэгүн</t>
  </si>
  <si>
    <t>207-C-05</t>
  </si>
  <si>
    <t>Батзориг</t>
  </si>
  <si>
    <t>Гэгээн-Од</t>
  </si>
  <si>
    <t>207-C-09</t>
  </si>
  <si>
    <t>Мөнхдөл</t>
  </si>
  <si>
    <t>207-C-01</t>
  </si>
  <si>
    <t>Дэмчигдорж</t>
  </si>
  <si>
    <t>Есүгэн</t>
  </si>
  <si>
    <t>207-C-08</t>
  </si>
  <si>
    <t xml:space="preserve">Батчулуун	</t>
  </si>
  <si>
    <t>Бат</t>
  </si>
  <si>
    <t>207-C-03</t>
  </si>
  <si>
    <t>Дүгэржав</t>
  </si>
  <si>
    <t>Эрдэнэбилэг</t>
  </si>
  <si>
    <t>207-C-11</t>
  </si>
  <si>
    <t>Анхжаргал</t>
  </si>
  <si>
    <t>Гэгээнхүслэн</t>
  </si>
  <si>
    <t>207-C-17</t>
  </si>
  <si>
    <t>Азхур</t>
  </si>
  <si>
    <t>207-C-19</t>
  </si>
  <si>
    <t>Мөнх-Эрдэнэ</t>
  </si>
  <si>
    <t>Мөнх-Учрал</t>
  </si>
  <si>
    <t>207-C-16</t>
  </si>
  <si>
    <t>Сэргэлэн</t>
  </si>
  <si>
    <t>Цэгцтөр</t>
  </si>
  <si>
    <t>207-C-07</t>
  </si>
  <si>
    <t>Түмэндэмбэрэл</t>
  </si>
  <si>
    <t>207-C-18</t>
  </si>
  <si>
    <t>Бөхмөрөн</t>
  </si>
  <si>
    <t>Ууганболд</t>
  </si>
  <si>
    <t>Эрмүүн</t>
  </si>
  <si>
    <t>205-C-14</t>
  </si>
  <si>
    <t>Гарьдмагнай</t>
  </si>
  <si>
    <t>Хатанзул</t>
  </si>
  <si>
    <t>Төгсөө</t>
  </si>
  <si>
    <t>Болдгүн</t>
  </si>
  <si>
    <t>205-C-12</t>
  </si>
  <si>
    <t>Төрмөнх</t>
  </si>
  <si>
    <t>Маргад</t>
  </si>
  <si>
    <t>Төгсжаргал</t>
  </si>
  <si>
    <t>Эрхэмбилэг</t>
  </si>
  <si>
    <t>205-C-10</t>
  </si>
  <si>
    <t>Оргил</t>
  </si>
  <si>
    <t>Элбэгдалай</t>
  </si>
  <si>
    <t>Б</t>
  </si>
  <si>
    <t>205-C-04</t>
  </si>
  <si>
    <t>Амарзаяа</t>
  </si>
  <si>
    <t xml:space="preserve">Дүүлэн </t>
  </si>
  <si>
    <t>205-C-11</t>
  </si>
  <si>
    <t>D</t>
  </si>
  <si>
    <t>Энхбаяр</t>
  </si>
  <si>
    <t>Тэмүүлэн</t>
  </si>
  <si>
    <t>  204-D-02</t>
  </si>
  <si>
    <t>Алтангэрэл</t>
  </si>
  <si>
    <t>  204-D-12</t>
  </si>
  <si>
    <t>Энх-Амар</t>
  </si>
  <si>
    <t>Нарангарав</t>
  </si>
  <si>
    <t> 209-D-14</t>
  </si>
  <si>
    <t>Мандахбилэг</t>
  </si>
  <si>
    <t>Болорзул</t>
  </si>
  <si>
    <t> 209-D-16</t>
  </si>
  <si>
    <t>Анар</t>
  </si>
  <si>
    <t> 206-D-13</t>
  </si>
  <si>
    <t>Давхарбаяр</t>
  </si>
  <si>
    <t>Сүүнгэгээ</t>
  </si>
  <si>
    <t>   206-D-12</t>
  </si>
  <si>
    <t>Болорболд</t>
  </si>
  <si>
    <t>  207-D-16</t>
  </si>
  <si>
    <t>Гантөгс</t>
  </si>
  <si>
    <t> 209-D-15</t>
  </si>
  <si>
    <t>Бат-амгалан</t>
  </si>
  <si>
    <t>Ариунбуян</t>
  </si>
  <si>
    <t>  206-D-15</t>
  </si>
  <si>
    <t>Батчулуун</t>
  </si>
  <si>
    <t>Цэлмэг</t>
  </si>
  <si>
    <t>  205-D-08</t>
  </si>
  <si>
    <t>Батжаргал</t>
  </si>
  <si>
    <t>Оюун-Очир</t>
  </si>
  <si>
    <t>  207-D-06</t>
  </si>
  <si>
    <t>Баянчулуу</t>
  </si>
  <si>
    <t>Баянбаатар</t>
  </si>
  <si>
    <t>  204-D-04</t>
  </si>
  <si>
    <t> </t>
  </si>
  <si>
    <t>Гэгээ</t>
  </si>
  <si>
    <t>  207-D-17</t>
  </si>
  <si>
    <t>Өнө-Арвин</t>
  </si>
  <si>
    <t>  204-D-08</t>
  </si>
  <si>
    <t>Дөлбадрах</t>
  </si>
  <si>
    <t>Даваажаргал</t>
  </si>
  <si>
    <t>  204-D-01</t>
  </si>
  <si>
    <t>Баянмөнх</t>
  </si>
  <si>
    <t>Шинэбаяр</t>
  </si>
  <si>
    <t>  204-D-05</t>
  </si>
  <si>
    <t>Анхбаяр</t>
  </si>
  <si>
    <t>Намарзун</t>
  </si>
  <si>
    <t> 209-D-03</t>
  </si>
  <si>
    <t>Отгонбаатар</t>
  </si>
  <si>
    <t>Бямба-Очир</t>
  </si>
  <si>
    <t>  207-D-03</t>
  </si>
  <si>
    <t>Ежанжун</t>
  </si>
  <si>
    <t>Шинэтулга</t>
  </si>
  <si>
    <t>  205-D-05</t>
  </si>
  <si>
    <t>Амгалан</t>
  </si>
  <si>
    <t>Энхсувд</t>
  </si>
  <si>
    <t> 209-D-09</t>
  </si>
  <si>
    <t>Золбоо</t>
  </si>
  <si>
    <t> 205-D-07</t>
  </si>
  <si>
    <t>Цэдэнбалжир</t>
  </si>
  <si>
    <t>Баясгалан</t>
  </si>
  <si>
    <t>  205-D-17</t>
  </si>
  <si>
    <t xml:space="preserve"> </t>
  </si>
  <si>
    <t>Цогтмагнай</t>
  </si>
  <si>
    <t>Цэнгүүн</t>
  </si>
  <si>
    <t>  205-D-09</t>
  </si>
  <si>
    <t>Батзаяа</t>
  </si>
  <si>
    <t>  205-D-13</t>
  </si>
  <si>
    <t>Ичинхорлоо</t>
  </si>
  <si>
    <t>Эрдэм-Оюу</t>
  </si>
  <si>
    <t>  205-D-16</t>
  </si>
  <si>
    <t>  205-D-02</t>
  </si>
  <si>
    <t>Билэгт</t>
  </si>
  <si>
    <t>Ганжаргал</t>
  </si>
  <si>
    <t>  205-D-11</t>
  </si>
  <si>
    <t>Мөнхцацрал</t>
  </si>
  <si>
    <t>  205-D-15</t>
  </si>
  <si>
    <t>Одмандах</t>
  </si>
  <si>
    <t>  205-D-04</t>
  </si>
  <si>
    <t>Бат-Орших</t>
  </si>
  <si>
    <t>Сувдансондор</t>
  </si>
  <si>
    <t>  205-D-06</t>
  </si>
  <si>
    <t>Баярхангай</t>
  </si>
  <si>
    <t>Ариунзол</t>
  </si>
  <si>
    <t>  205-D-14</t>
  </si>
  <si>
    <t>Манлайбаяр</t>
  </si>
  <si>
    <t>  205-D-03</t>
  </si>
  <si>
    <t>Мөнхбаяр</t>
  </si>
  <si>
    <t>  205-D-01</t>
  </si>
  <si>
    <t>Ербиш</t>
  </si>
  <si>
    <t>  205-D-12</t>
  </si>
  <si>
    <t>Золмандах</t>
  </si>
  <si>
    <t>Цэнсүлд</t>
  </si>
  <si>
    <t> 205-D-10</t>
  </si>
  <si>
    <t>Анир</t>
  </si>
  <si>
    <t>Өнөболд</t>
  </si>
  <si>
    <t>  204-D-03</t>
  </si>
  <si>
    <t>Ганчөдөр</t>
  </si>
  <si>
    <t>Болор-Уянга</t>
  </si>
  <si>
    <t>  204-D-15</t>
  </si>
  <si>
    <t>  204-D-16</t>
  </si>
  <si>
    <t>Тулга</t>
  </si>
  <si>
    <t>  204-D-09</t>
  </si>
  <si>
    <t>Лхагвасүрэн</t>
  </si>
  <si>
    <t>Амарбилэг</t>
  </si>
  <si>
    <t>  204-D-10</t>
  </si>
  <si>
    <t>Ууганбаяр</t>
  </si>
  <si>
    <t>Уужим</t>
  </si>
  <si>
    <t>  204-D-11</t>
  </si>
  <si>
    <t>Сэр-Од</t>
  </si>
  <si>
    <t>Тамир</t>
  </si>
  <si>
    <t>  204-D-17</t>
  </si>
  <si>
    <t>  204-D-07</t>
  </si>
  <si>
    <t>Отгонтөгс</t>
  </si>
  <si>
    <t>  204-D-13</t>
  </si>
  <si>
    <t>Батаа</t>
  </si>
  <si>
    <t>Очир</t>
  </si>
  <si>
    <t>Батхуяг</t>
  </si>
  <si>
    <t>  204-D-06</t>
  </si>
  <si>
    <t>Энхтөр</t>
  </si>
  <si>
    <t>  204-D-14</t>
  </si>
  <si>
    <t>Чулуунбат</t>
  </si>
  <si>
    <t>Аялгуусайхан</t>
  </si>
  <si>
    <t>   206-D-14</t>
  </si>
  <si>
    <t>Баатарсүх</t>
  </si>
  <si>
    <t>Алтанзул</t>
  </si>
  <si>
    <t>   206-D-11</t>
  </si>
  <si>
    <t>Отгонсүрэн</t>
  </si>
  <si>
    <t>Мөнх-Оргил</t>
  </si>
  <si>
    <t>   206-D-16</t>
  </si>
  <si>
    <t>Цогзолмаа</t>
  </si>
  <si>
    <t>Хулан</t>
  </si>
  <si>
    <t>Энхсайхан</t>
  </si>
  <si>
    <t>Мөнхсолонго</t>
  </si>
  <si>
    <t>   206-D-06</t>
  </si>
  <si>
    <t>Хашбаяр</t>
  </si>
  <si>
    <t>Хотул</t>
  </si>
  <si>
    <t>   206-D-04</t>
  </si>
  <si>
    <t>Бямбасүрэн</t>
  </si>
  <si>
    <t>Ирмүүн</t>
  </si>
  <si>
    <t>   206-D-03</t>
  </si>
  <si>
    <t>Мөнх-Очир</t>
  </si>
  <si>
    <t>Будсүрэн</t>
  </si>
  <si>
    <t>   206-D-08</t>
  </si>
  <si>
    <t>Матью</t>
  </si>
  <si>
    <t>Жасмин</t>
  </si>
  <si>
    <t>   206-D-01</t>
  </si>
  <si>
    <t>Энхсүх</t>
  </si>
  <si>
    <t>   206-D-05</t>
  </si>
  <si>
    <t>Тэмүүлэл</t>
  </si>
  <si>
    <t>   206-D-17</t>
  </si>
  <si>
    <t>Буяндэлгэр</t>
  </si>
  <si>
    <t>Буян-Эрдэнэ</t>
  </si>
  <si>
    <t>   206-D-10</t>
  </si>
  <si>
    <t>ганзориг</t>
  </si>
  <si>
    <t>ивээл</t>
  </si>
  <si>
    <t>   206-D-02</t>
  </si>
  <si>
    <t>ихбаяр</t>
  </si>
  <si>
    <t>цэцэнгоо</t>
  </si>
  <si>
    <t>   206-D-09</t>
  </si>
  <si>
    <t>агваанжамц</t>
  </si>
  <si>
    <t>галарүва</t>
  </si>
  <si>
    <t>   206-D-07</t>
  </si>
  <si>
    <t>Юмчихэй</t>
  </si>
  <si>
    <t>Өүлэн</t>
  </si>
  <si>
    <t> 209-D-11</t>
  </si>
  <si>
    <t>Энхболд</t>
  </si>
  <si>
    <t> 209-D-08</t>
  </si>
  <si>
    <t>Галхүү</t>
  </si>
  <si>
    <t> 209-D-04</t>
  </si>
  <si>
    <t> 209-D-12</t>
  </si>
  <si>
    <t>Сэргэлэнбат</t>
  </si>
  <si>
    <t>Дэлгэрсайхан</t>
  </si>
  <si>
    <t> 209-D-20</t>
  </si>
  <si>
    <t>Даваадорж</t>
  </si>
  <si>
    <t>Хишигт</t>
  </si>
  <si>
    <t> 209-D-10</t>
  </si>
  <si>
    <t>Үүрийнцолмон</t>
  </si>
  <si>
    <t>Амин</t>
  </si>
  <si>
    <t> 209-D-19</t>
  </si>
  <si>
    <t>Эрдэнэхүү</t>
  </si>
  <si>
    <t> 209-D-05</t>
  </si>
  <si>
    <t>Чинзориг</t>
  </si>
  <si>
    <t>Өнөболор</t>
  </si>
  <si>
    <t> 209-D-01</t>
  </si>
  <si>
    <t>Ананд</t>
  </si>
  <si>
    <t>Даваахүү</t>
  </si>
  <si>
    <t>Энхрийлэн</t>
  </si>
  <si>
    <t> 209-D-02</t>
  </si>
  <si>
    <t>Бумчин</t>
  </si>
  <si>
    <t>Бэлгүдэй</t>
  </si>
  <si>
    <t> 209-D-21</t>
  </si>
  <si>
    <t>Дарханбаатар</t>
  </si>
  <si>
    <t>Билигт</t>
  </si>
  <si>
    <t> 209-D-13</t>
  </si>
  <si>
    <t> 209-D-06</t>
  </si>
  <si>
    <t>Мөнхдэлгэр</t>
  </si>
  <si>
    <t> 209-D-07</t>
  </si>
  <si>
    <t>Амармөнх</t>
  </si>
  <si>
    <t> 209-D-22</t>
  </si>
  <si>
    <t>Даваацэцэг</t>
  </si>
  <si>
    <t>Цогтжавхлан</t>
  </si>
  <si>
    <t> 209-D-18</t>
  </si>
  <si>
    <t>Бодончир</t>
  </si>
  <si>
    <t>Мэндбаяр</t>
  </si>
  <si>
    <t> 209-D-17</t>
  </si>
  <si>
    <t>Дэлгэрдорж</t>
  </si>
  <si>
    <t>Энэрэл</t>
  </si>
  <si>
    <t> 207-D-15</t>
  </si>
  <si>
    <t>Балжинням</t>
  </si>
  <si>
    <t>Бүрэнтөгс</t>
  </si>
  <si>
    <t>  207-D-07</t>
  </si>
  <si>
    <t>Лхагвадэмбэрэл</t>
  </si>
  <si>
    <t>Сүрэн</t>
  </si>
  <si>
    <t>  207-D-02</t>
  </si>
  <si>
    <t>Дэлгэрцэцэг</t>
  </si>
  <si>
    <t>  207-D-08</t>
  </si>
  <si>
    <t>Баяраа</t>
  </si>
  <si>
    <t>Нарансолонго</t>
  </si>
  <si>
    <t>  207-D-12</t>
  </si>
  <si>
    <t>Сэрчмаа</t>
  </si>
  <si>
    <t>  207-D-10</t>
  </si>
  <si>
    <t>Оюунбаатар</t>
  </si>
  <si>
    <t>  207-D-09</t>
  </si>
  <si>
    <t>Эвзаяа</t>
  </si>
  <si>
    <t>  207-D-05</t>
  </si>
  <si>
    <t>Ганхүү</t>
  </si>
  <si>
    <t>Онон</t>
  </si>
  <si>
    <t>Насандэлгэр</t>
  </si>
  <si>
    <t>  207-D-11</t>
  </si>
  <si>
    <t>Буянхишиг</t>
  </si>
  <si>
    <t>  207-D-14</t>
  </si>
  <si>
    <t>Гэгээн</t>
  </si>
  <si>
    <t>  207-D-13</t>
  </si>
  <si>
    <t>Энхбат</t>
  </si>
  <si>
    <t>Идэр</t>
  </si>
  <si>
    <t>  207-D-04</t>
  </si>
  <si>
    <t>Цэнгэл</t>
  </si>
  <si>
    <t>Нинжин</t>
  </si>
  <si>
    <t>  207-D-01</t>
  </si>
  <si>
    <t>Нямцэрэн</t>
  </si>
  <si>
    <t>Тэлмүүн</t>
  </si>
  <si>
    <t>Золбаяр</t>
  </si>
  <si>
    <t>Алтангоо</t>
  </si>
  <si>
    <t>  207-D-18</t>
  </si>
  <si>
    <t>Батхишиг</t>
  </si>
  <si>
    <t>Энхжаргал</t>
  </si>
  <si>
    <t>  207-D-19</t>
  </si>
  <si>
    <t>шифр- 1</t>
  </si>
  <si>
    <t>шифр-1212</t>
  </si>
  <si>
    <t>Б5</t>
  </si>
  <si>
    <t>Б6</t>
  </si>
  <si>
    <t>ОНОО</t>
  </si>
  <si>
    <t xml:space="preserve">БАЙР </t>
  </si>
  <si>
    <t>E</t>
  </si>
  <si>
    <t>Батмягмар</t>
  </si>
  <si>
    <t>307-E-15</t>
  </si>
  <si>
    <t>307-E-09</t>
  </si>
  <si>
    <t>Ганбаатар</t>
  </si>
  <si>
    <t>Хажидмаа</t>
  </si>
  <si>
    <t>306-E-03</t>
  </si>
  <si>
    <t>306-E-09</t>
  </si>
  <si>
    <t>Гандулам</t>
  </si>
  <si>
    <t>307-E-11</t>
  </si>
  <si>
    <t>307-E-03</t>
  </si>
  <si>
    <t>Сайнзаяа</t>
  </si>
  <si>
    <t>301-E-05</t>
  </si>
  <si>
    <t>Мөнхбат</t>
  </si>
  <si>
    <t>Сувд</t>
  </si>
  <si>
    <t>303-E-05</t>
  </si>
  <si>
    <t>303-E-04</t>
  </si>
  <si>
    <t>Хонгорзул</t>
  </si>
  <si>
    <t>306-E-08</t>
  </si>
  <si>
    <t>306-E-07</t>
  </si>
  <si>
    <t>Батбаатар</t>
  </si>
  <si>
    <t>402-E-09</t>
  </si>
  <si>
    <t>Бат-Идэр</t>
  </si>
  <si>
    <t>402-E-10</t>
  </si>
  <si>
    <t>402-E-11</t>
  </si>
  <si>
    <t>Дүгэрсүрэн</t>
  </si>
  <si>
    <t>Жавхлантөгс</t>
  </si>
  <si>
    <t>307-E-12</t>
  </si>
  <si>
    <t>307-E-01</t>
  </si>
  <si>
    <t>301-E-01</t>
  </si>
  <si>
    <t>301-E-04</t>
  </si>
  <si>
    <t>Баярбат</t>
  </si>
  <si>
    <t>Мөнх-Энэрэл</t>
  </si>
  <si>
    <t>301-E-06</t>
  </si>
  <si>
    <t>301-E-08</t>
  </si>
  <si>
    <t>Сүлд</t>
  </si>
  <si>
    <t>301-E-13</t>
  </si>
  <si>
    <t>301-E-03</t>
  </si>
  <si>
    <t>Төгс</t>
  </si>
  <si>
    <t>301-E-10</t>
  </si>
  <si>
    <t>Утгатөгөлдөр</t>
  </si>
  <si>
    <t>303-E-09</t>
  </si>
  <si>
    <t>303-E-01</t>
  </si>
  <si>
    <t>Нандин-Эрдэнэ</t>
  </si>
  <si>
    <t>307-E-07</t>
  </si>
  <si>
    <t>Цогтбаатар</t>
  </si>
  <si>
    <t>Мөнхнаран</t>
  </si>
  <si>
    <t>303-E-03</t>
  </si>
  <si>
    <t>303-E-07</t>
  </si>
  <si>
    <t>Мөнхсайхан</t>
  </si>
  <si>
    <t>Ням-Очир</t>
  </si>
  <si>
    <t>301-E-12</t>
  </si>
  <si>
    <t>Сүхбат</t>
  </si>
  <si>
    <t>Эрдэмсондор</t>
  </si>
  <si>
    <t>306-E-06</t>
  </si>
  <si>
    <t>402-E-05</t>
  </si>
  <si>
    <t>Гийхнар</t>
  </si>
  <si>
    <t>Содгэрэл</t>
  </si>
  <si>
    <t>Цэнд</t>
  </si>
  <si>
    <t>Бадам-Очир</t>
  </si>
  <si>
    <t>303-E-06</t>
  </si>
  <si>
    <t>Сайнцогт</t>
  </si>
  <si>
    <t>306-E-10</t>
  </si>
  <si>
    <t>306-E-05</t>
  </si>
  <si>
    <t>Биньяа</t>
  </si>
  <si>
    <t>306-E-11</t>
  </si>
  <si>
    <t>Сугар</t>
  </si>
  <si>
    <t>Жавхлансайхан</t>
  </si>
  <si>
    <t>307-E-13</t>
  </si>
  <si>
    <t>307-E-10</t>
  </si>
  <si>
    <t>Ганцоож</t>
  </si>
  <si>
    <t>307-E-04</t>
  </si>
  <si>
    <t>307-E-08</t>
  </si>
  <si>
    <t>Амарсайхан</t>
  </si>
  <si>
    <t>Анхтуяа</t>
  </si>
  <si>
    <t>307-E-02</t>
  </si>
  <si>
    <t>307-E-06</t>
  </si>
  <si>
    <t>О</t>
  </si>
  <si>
    <t>Эрдэм</t>
  </si>
  <si>
    <t>307-E-17</t>
  </si>
  <si>
    <t>Соджаргал</t>
  </si>
  <si>
    <t>307-E-05</t>
  </si>
  <si>
    <t>Баатархүү</t>
  </si>
  <si>
    <t>301-E-02</t>
  </si>
  <si>
    <t>301-E-09</t>
  </si>
  <si>
    <t>Хатанбаатар</t>
  </si>
  <si>
    <t>Мөнх</t>
  </si>
  <si>
    <t>303-E-02</t>
  </si>
  <si>
    <t>Мандуул</t>
  </si>
  <si>
    <t>306-E-02</t>
  </si>
  <si>
    <t>Угтах-Ирээдүй</t>
  </si>
  <si>
    <t>301-E-07</t>
  </si>
  <si>
    <t>Тэгшжаргал</t>
  </si>
  <si>
    <t>Батням</t>
  </si>
  <si>
    <t>306-E-01</t>
  </si>
  <si>
    <t>306-E-04</t>
  </si>
  <si>
    <t>Золзаяа</t>
  </si>
  <si>
    <t>306-E-13</t>
  </si>
  <si>
    <t>Мөнхдагуул</t>
  </si>
  <si>
    <t>Энэрэлбаяр</t>
  </si>
  <si>
    <t>Эрдэнэболд</t>
  </si>
  <si>
    <t>Анхням</t>
  </si>
  <si>
    <t>402-E-07</t>
  </si>
  <si>
    <t>Цэцэгмаа</t>
  </si>
  <si>
    <t>402-E-02</t>
  </si>
  <si>
    <t>Төмөрбаатар</t>
  </si>
  <si>
    <t>402-E-14</t>
  </si>
  <si>
    <t>Батцэнгэл</t>
  </si>
  <si>
    <t>402-E-12</t>
  </si>
  <si>
    <t>402-E-06</t>
  </si>
  <si>
    <t>Анхсувд</t>
  </si>
  <si>
    <t>303-E-08</t>
  </si>
  <si>
    <t>Анужин</t>
  </si>
  <si>
    <t>307-E-16</t>
  </si>
  <si>
    <t>Мятав</t>
  </si>
  <si>
    <t>Энхжин</t>
  </si>
  <si>
    <t> 303-E-05</t>
  </si>
  <si>
    <t>Долгор</t>
  </si>
  <si>
    <t>Эгшиглэн</t>
  </si>
  <si>
    <t>Энхтөгөлдөр</t>
  </si>
  <si>
    <t>Доржням</t>
  </si>
  <si>
    <t>Жаргалсайхан</t>
  </si>
  <si>
    <t>Батзоригт</t>
  </si>
  <si>
    <t>Түшиглэн</t>
  </si>
  <si>
    <t>402-E-13</t>
  </si>
  <si>
    <t>Баттөр</t>
  </si>
  <si>
    <t>402-E-08</t>
  </si>
  <si>
    <t>Ганболор</t>
  </si>
  <si>
    <t>Гуамарал</t>
  </si>
  <si>
    <t>Отгонжаргал</t>
  </si>
  <si>
    <t>402-E-04</t>
  </si>
  <si>
    <t>402-E-03</t>
  </si>
  <si>
    <t>Басбаяр</t>
  </si>
  <si>
    <t>Мянганбаяр</t>
  </si>
  <si>
    <t>Есөн-Эрдэнэ</t>
  </si>
  <si>
    <t>Боролдуу</t>
  </si>
  <si>
    <t>301-E-11</t>
  </si>
  <si>
    <t>Дарьбазар</t>
  </si>
  <si>
    <t>Цэлмүүн</t>
  </si>
  <si>
    <t>306-E-12</t>
  </si>
  <si>
    <t>Маргад-Эрдэнэ</t>
  </si>
  <si>
    <t>Ганхуяг</t>
  </si>
  <si>
    <t>Номин-Эрдэнэ</t>
  </si>
  <si>
    <t>Алтансүх</t>
  </si>
  <si>
    <t>Эрдэнэхишиг</t>
  </si>
  <si>
    <t>Эрдэнэ-Очир</t>
  </si>
  <si>
    <t>307-E-14</t>
  </si>
  <si>
    <t>Уламбаяр</t>
  </si>
  <si>
    <t>Очирбат</t>
  </si>
  <si>
    <t>Түмэнжаргал</t>
  </si>
  <si>
    <t>402-E-01</t>
  </si>
  <si>
    <t>Насанбуян</t>
  </si>
  <si>
    <t>Буяннэмэх</t>
  </si>
  <si>
    <t>шифр-1213</t>
  </si>
  <si>
    <t>шифр-1214</t>
  </si>
  <si>
    <t>F</t>
  </si>
  <si>
    <t>411-F-06</t>
  </si>
  <si>
    <t>411-F-02</t>
  </si>
  <si>
    <t>Хасар</t>
  </si>
  <si>
    <t>411-F-01</t>
  </si>
  <si>
    <t>Баярмагнай</t>
  </si>
  <si>
    <t>403-F-04</t>
  </si>
  <si>
    <t>403-F-08</t>
  </si>
  <si>
    <t>Нямдаваа</t>
  </si>
  <si>
    <t>403-F-01</t>
  </si>
  <si>
    <t>403-F-05</t>
  </si>
  <si>
    <t>Энх-Амгалан</t>
  </si>
  <si>
    <t>Эмүүжин</t>
  </si>
  <si>
    <t>405-F-06</t>
  </si>
  <si>
    <t>405-F-01</t>
  </si>
  <si>
    <t>Ургахнаран</t>
  </si>
  <si>
    <t>Цолмон</t>
  </si>
  <si>
    <t>411-F-03</t>
  </si>
  <si>
    <t>Цогт</t>
  </si>
  <si>
    <t>406-F-06</t>
  </si>
  <si>
    <t>406-F-01</t>
  </si>
  <si>
    <t>Авирмэд</t>
  </si>
  <si>
    <t>409-F-03</t>
  </si>
  <si>
    <t>Энхцаг</t>
  </si>
  <si>
    <t>409-F-08</t>
  </si>
  <si>
    <t>409-F-01</t>
  </si>
  <si>
    <t>Сүгмэд</t>
  </si>
  <si>
    <t>Номин</t>
  </si>
  <si>
    <t>403-F-07</t>
  </si>
  <si>
    <t>Төвнайманжин</t>
  </si>
  <si>
    <t>Содбаяр</t>
  </si>
  <si>
    <t>403-F-10</t>
  </si>
  <si>
    <t>403-F-02</t>
  </si>
  <si>
    <t>406-F-10</t>
  </si>
  <si>
    <t>406-F-07</t>
  </si>
  <si>
    <t xml:space="preserve">Эрхэмбилэг </t>
  </si>
  <si>
    <t>409-F-15</t>
  </si>
  <si>
    <t>409-F-04</t>
  </si>
  <si>
    <t>Сэр-од</t>
  </si>
  <si>
    <t>411-F-09</t>
  </si>
  <si>
    <t>411-F-10</t>
  </si>
  <si>
    <t>403-F-03</t>
  </si>
  <si>
    <t>Амгаландорж</t>
  </si>
  <si>
    <t>Амарбаясгалан</t>
  </si>
  <si>
    <t>406-F-09</t>
  </si>
  <si>
    <t>406-F-02</t>
  </si>
  <si>
    <t>Номинжүгдэр</t>
  </si>
  <si>
    <t>406-F-12</t>
  </si>
  <si>
    <t>406-F-05</t>
  </si>
  <si>
    <t>Ихбаяр</t>
  </si>
  <si>
    <t>406-F-03</t>
  </si>
  <si>
    <t>Намжилдорж</t>
  </si>
  <si>
    <t>411-F-04</t>
  </si>
  <si>
    <t>Соёмбо</t>
  </si>
  <si>
    <t>411-F-05</t>
  </si>
  <si>
    <t>411-F-07</t>
  </si>
  <si>
    <t>Ариунтунгалаг</t>
  </si>
  <si>
    <t>Жамъянмядаг</t>
  </si>
  <si>
    <t>Отгонхүү</t>
  </si>
  <si>
    <t>Энх-Энэрэл</t>
  </si>
  <si>
    <t>409-F-11</t>
  </si>
  <si>
    <t>Эрдэнэ</t>
  </si>
  <si>
    <t>409-F-10</t>
  </si>
  <si>
    <t>Магсаржав</t>
  </si>
  <si>
    <t>409-F-16</t>
  </si>
  <si>
    <t>409-F-05</t>
  </si>
  <si>
    <t>Оюунтөгс</t>
  </si>
  <si>
    <t>403-F-06</t>
  </si>
  <si>
    <t>Энх-Эрдэнэ</t>
  </si>
  <si>
    <t>405-F-02</t>
  </si>
  <si>
    <t xml:space="preserve">Жигжид </t>
  </si>
  <si>
    <t>Энхсолонго</t>
  </si>
  <si>
    <t>406-F-08</t>
  </si>
  <si>
    <t>Бодь-Үжин</t>
  </si>
  <si>
    <t>409-F-14</t>
  </si>
  <si>
    <t>Батболд</t>
  </si>
  <si>
    <t>409-F-06</t>
  </si>
  <si>
    <t>411-F-11</t>
  </si>
  <si>
    <t>Ганцэцэг</t>
  </si>
  <si>
    <t>403-F-09</t>
  </si>
  <si>
    <t>Нямтөгс</t>
  </si>
  <si>
    <t>Сайнжаргал</t>
  </si>
  <si>
    <t>Эрхбаялаг</t>
  </si>
  <si>
    <t>Эрхэсбилэг</t>
  </si>
  <si>
    <t>Сонгууль</t>
  </si>
  <si>
    <t>Мөнхчимэг</t>
  </si>
  <si>
    <t>409-F-02</t>
  </si>
  <si>
    <t>Наранбаатар</t>
  </si>
  <si>
    <t>Хүсэл-Эрдэнэ</t>
  </si>
  <si>
    <t>409-F-12</t>
  </si>
  <si>
    <t>409-F-09</t>
  </si>
  <si>
    <t>Нямтогтох</t>
  </si>
  <si>
    <t>Сайнсанаа</t>
  </si>
  <si>
    <t>Самбууёндон</t>
  </si>
  <si>
    <t>Тэргэл</t>
  </si>
  <si>
    <t>Өлзийбүрэн</t>
  </si>
  <si>
    <t>Энхцолмон</t>
  </si>
  <si>
    <t>411-F-13</t>
  </si>
  <si>
    <t>Хишигжаргалдиана</t>
  </si>
  <si>
    <t>411-F-15</t>
  </si>
  <si>
    <t>411-F-08</t>
  </si>
  <si>
    <t>Гансайхан</t>
  </si>
  <si>
    <t>Энхэлгэнэ</t>
  </si>
  <si>
    <t>411-F-16</t>
  </si>
  <si>
    <t>Мөнхсүлд</t>
  </si>
  <si>
    <t>406-F-04</t>
  </si>
  <si>
    <t>Нямбат</t>
  </si>
  <si>
    <t>Бат-Ирээдүй</t>
  </si>
  <si>
    <t>Жаргалмагнай</t>
  </si>
  <si>
    <t>411-F-14</t>
  </si>
  <si>
    <t>Алсбаяр</t>
  </si>
  <si>
    <t>Гэнэн</t>
  </si>
  <si>
    <t>403-F-13</t>
  </si>
  <si>
    <t>Алтжин</t>
  </si>
  <si>
    <t>403-F-12</t>
  </si>
  <si>
    <t>Анударь</t>
  </si>
  <si>
    <t>403-F-14</t>
  </si>
  <si>
    <t>Алтанзаяа</t>
  </si>
  <si>
    <t>403-F-11</t>
  </si>
  <si>
    <t>Чулуун-Эрдэнэ</t>
  </si>
  <si>
    <t>405-F-04</t>
  </si>
  <si>
    <t>Баяржаргал</t>
  </si>
  <si>
    <t>405-F-03</t>
  </si>
  <si>
    <t>Бат-Од</t>
  </si>
  <si>
    <t>Энххүсэл</t>
  </si>
  <si>
    <t>405-F-05</t>
  </si>
  <si>
    <t>Дөл-Эрдэнэ</t>
  </si>
  <si>
    <t>406-F-13</t>
  </si>
  <si>
    <t>Оюунбаяр</t>
  </si>
  <si>
    <t>Энэржин</t>
  </si>
  <si>
    <t>Чулуунбаатар</t>
  </si>
  <si>
    <t>Сарнай</t>
  </si>
  <si>
    <t>406-F-15</t>
  </si>
  <si>
    <t>Бямбахорол</t>
  </si>
  <si>
    <t>406-F-14</t>
  </si>
  <si>
    <t>Сэргэлэнбаатар</t>
  </si>
  <si>
    <t>Цовоо</t>
  </si>
  <si>
    <t>406-F-11</t>
  </si>
  <si>
    <t>Нандингэрэл</t>
  </si>
  <si>
    <t>409-F-07</t>
  </si>
  <si>
    <t>Насанбат</t>
  </si>
  <si>
    <t>Анука</t>
  </si>
  <si>
    <t>Туяа</t>
  </si>
  <si>
    <t>Өлзийнаран</t>
  </si>
  <si>
    <t>409-F-13</t>
  </si>
  <si>
    <t>Эрдэнэдорж</t>
  </si>
  <si>
    <t>Саяжаргал</t>
  </si>
  <si>
    <t>411-F-17</t>
  </si>
  <si>
    <t>Баяржавхлан</t>
  </si>
  <si>
    <t>Сүхбаатар</t>
  </si>
  <si>
    <t>411-F-12</t>
  </si>
  <si>
    <t>Б-1</t>
  </si>
  <si>
    <t>Б-2</t>
  </si>
  <si>
    <t>Б-3</t>
  </si>
  <si>
    <t>Б-4</t>
  </si>
  <si>
    <t>БАЙР</t>
  </si>
  <si>
    <t>S</t>
  </si>
  <si>
    <t>Х</t>
  </si>
  <si>
    <t>Улыхпанкаким</t>
  </si>
  <si>
    <t>Тэгш Ухаан</t>
  </si>
  <si>
    <t>410-S-01</t>
  </si>
  <si>
    <t>Ц</t>
  </si>
  <si>
    <t>Ариунцэцэг</t>
  </si>
  <si>
    <t>410-S-04</t>
  </si>
  <si>
    <t>Чимэгжаргал</t>
  </si>
  <si>
    <t>410-S-08</t>
  </si>
  <si>
    <t>410-S-09</t>
  </si>
  <si>
    <t>410-S-02</t>
  </si>
  <si>
    <t>410-S-10</t>
  </si>
  <si>
    <t>Буян-Орших</t>
  </si>
  <si>
    <t>Энхтуяа</t>
  </si>
  <si>
    <t>410-S-03</t>
  </si>
  <si>
    <t>Д</t>
  </si>
  <si>
    <t>410-S-12</t>
  </si>
  <si>
    <t>.</t>
  </si>
  <si>
    <t>С</t>
  </si>
  <si>
    <t>Батчимэг</t>
  </si>
  <si>
    <t>410-S-06</t>
  </si>
  <si>
    <t>Шинэсаран</t>
  </si>
  <si>
    <t>410-S-07</t>
  </si>
  <si>
    <t>Тониржав</t>
  </si>
  <si>
    <t>410-S-11</t>
  </si>
  <si>
    <t>Эрдэнээ</t>
  </si>
  <si>
    <t>410-S-05</t>
  </si>
  <si>
    <t>шифр-1314</t>
  </si>
  <si>
    <t>Б-5</t>
  </si>
  <si>
    <t>Б-6</t>
  </si>
  <si>
    <t>T</t>
  </si>
  <si>
    <t>Нямдорж</t>
  </si>
  <si>
    <t xml:space="preserve">Баянбат </t>
  </si>
  <si>
    <t>Тэгш ухаан</t>
  </si>
  <si>
    <t>408-T-11</t>
  </si>
  <si>
    <t>Гүндалай</t>
  </si>
  <si>
    <t>408-T-09</t>
  </si>
  <si>
    <t>408-T-01</t>
  </si>
  <si>
    <t>Балданшагдар</t>
  </si>
  <si>
    <t>Амжилт кибер</t>
  </si>
  <si>
    <t>408-T-06</t>
  </si>
  <si>
    <t>408-T-07</t>
  </si>
  <si>
    <t>Бадамсүрэн</t>
  </si>
  <si>
    <t>Идэрцогт</t>
  </si>
  <si>
    <t>408-T-12</t>
  </si>
  <si>
    <t>Түмэн-Эрдэнэ</t>
  </si>
  <si>
    <t>Адъяасүрэн</t>
  </si>
  <si>
    <t>408-T-08</t>
  </si>
  <si>
    <t>408-T-10</t>
  </si>
  <si>
    <t>Мижид</t>
  </si>
  <si>
    <t>408-T-02</t>
  </si>
  <si>
    <t>Пүрэвээ</t>
  </si>
  <si>
    <t xml:space="preserve">Нарантуяа </t>
  </si>
  <si>
    <t>408-T-04</t>
  </si>
  <si>
    <t>408-T-03</t>
  </si>
  <si>
    <t>Тогтох</t>
  </si>
  <si>
    <t>Отгонбаяр</t>
  </si>
  <si>
    <t>Дугармаа</t>
  </si>
  <si>
    <t>Оюунтуяа</t>
  </si>
  <si>
    <t>408-T-05</t>
  </si>
  <si>
    <t>Санжаанайдан</t>
  </si>
  <si>
    <t>Уранбилэг</t>
  </si>
  <si>
    <t xml:space="preserve">ЧИНГЭЛТЭЙ ДҮҮРЭГ, ММО-ЫН D (7-8) АНГИЛЛЫН ХОЁРЫН ДАВААНЫ I ШАТНЫ ШАЛГАРУУЛАЛТЫН ДҮН МЭДЭЭ </t>
  </si>
  <si>
    <t>Баасандорж</t>
  </si>
  <si>
    <t xml:space="preserve">ЧИНГЭЛТЭЙ ДҮҮРЭГ, ММО-ЫН E (9-10) АНГИЛЛЫН ХОЁРЫН ДАВААНЫ I ШАТНЫ ШАЛГАРУУЛАЛТЫН ДҮН МЭДЭЭ </t>
  </si>
  <si>
    <t xml:space="preserve">ЧИНГЭЛТЭЙ ДҮҮРЭГ, ММО-ЫН S (БАГА АНГИЙН БАГШ) АНГИЛЛЫН ХОЁРЫН ДАВААНЫ I ШАТНЫ ШАЛГАРУУЛАЛТЫН ДҮН МЭДЭЭ </t>
  </si>
  <si>
    <t xml:space="preserve">ЧИНГЭЛТЭЙ ДҮҮРЭГ, ММО-ЫН F (11-12) АНГИЛЛЫН ХОЁРЫН ДАВААНЫ I ШАТНЫ ШАЛГАРУУЛАЛТЫН  ДҮН МЭДЭЭ </t>
  </si>
  <si>
    <t xml:space="preserve">ЧИНГЭЛТЭЙ ДҮҮРЭГ, ММО-ЫН C (5-6) АНГИЛЛЫН ХОЁРЫН ДАВААНЫ I ШАТНЫ ШАЛГАРУУЛАЛТЫН ДҮН МЭДЭЭ </t>
  </si>
  <si>
    <t xml:space="preserve">ЧИНГЭЛТЭЙ ДҮҮРЭГ, ММО-ЫН T (ДУНД, АХЛАХ АНГИЙН БАГШ) АНГИЛЛЫН ХОЁРЫН ДАВААНЫ I ШАТНЫ                                ШАЛГАРУУЛАЛТЫН  ДҮН МЭДЭЭ </t>
  </si>
  <si>
    <t>Молом</t>
  </si>
  <si>
    <t>Даваа</t>
  </si>
  <si>
    <t>Бямбаа</t>
  </si>
  <si>
    <t>Нийслэлийн эрх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</si>
</sst>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4"/>
      <color rgb="FF212529"/>
      <name val="Arial"/>
      <family val="2"/>
    </font>
    <font>
      <sz val="14"/>
      <color theme="1"/>
      <name val="Arial"/>
      <family val="2"/>
    </font>
    <font>
      <sz val="11"/>
      <color rgb="FF434343"/>
      <name val="Arial"/>
      <family val="2"/>
    </font>
    <font>
      <sz val="14"/>
      <color rgb="FF434343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4"/>
      <color rgb="FF242424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434343"/>
      <name val="Arial"/>
      <family val="2"/>
    </font>
    <font>
      <sz val="12"/>
      <color rgb="FF242424"/>
      <name val="Arial"/>
      <family val="2"/>
    </font>
    <font>
      <sz val="12"/>
      <color rgb="FF212529"/>
      <name val="Arial"/>
      <family val="2"/>
    </font>
    <font>
      <sz val="11"/>
      <color rgb="FF212529"/>
      <name val="Arial"/>
      <family val="2"/>
    </font>
    <font>
      <sz val="11"/>
      <color rgb="FF242424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rgb="FF242424"/>
      <name val="Arial"/>
      <family val="2"/>
    </font>
    <font>
      <sz val="11"/>
      <color rgb="FF212529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4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6" fillId="2" borderId="1" xfId="0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2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left" vertical="center" readingOrder="1"/>
    </xf>
    <xf numFmtId="0" fontId="8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3" fillId="5" borderId="1" xfId="0" applyFont="1" applyFill="1" applyBorder="1"/>
    <xf numFmtId="0" fontId="20" fillId="2" borderId="12" xfId="0" applyFont="1" applyFill="1" applyBorder="1"/>
    <xf numFmtId="0" fontId="13" fillId="2" borderId="8" xfId="0" applyFont="1" applyFill="1" applyBorder="1" applyAlignment="1">
      <alignment horizontal="center" vertical="center"/>
    </xf>
    <xf numFmtId="0" fontId="20" fillId="2" borderId="8" xfId="0" applyFont="1" applyFill="1" applyBorder="1"/>
    <xf numFmtId="0" fontId="19" fillId="2" borderId="8" xfId="0" applyFont="1" applyFill="1" applyBorder="1" applyAlignment="1">
      <alignment readingOrder="1"/>
    </xf>
    <xf numFmtId="0" fontId="19" fillId="2" borderId="8" xfId="0" applyFont="1" applyFill="1" applyBorder="1" applyAlignment="1">
      <alignment wrapText="1" readingOrder="1"/>
    </xf>
    <xf numFmtId="0" fontId="20" fillId="2" borderId="11" xfId="0" applyFont="1" applyFill="1" applyBorder="1"/>
    <xf numFmtId="0" fontId="19" fillId="2" borderId="7" xfId="0" applyFont="1" applyFill="1" applyBorder="1" applyAlignment="1">
      <alignment readingOrder="1"/>
    </xf>
    <xf numFmtId="0" fontId="13" fillId="2" borderId="8" xfId="0" applyFont="1" applyFill="1" applyBorder="1" applyAlignment="1">
      <alignment readingOrder="1"/>
    </xf>
    <xf numFmtId="0" fontId="18" fillId="2" borderId="8" xfId="0" applyFont="1" applyFill="1" applyBorder="1" applyAlignment="1">
      <alignment horizontal="center" vertical="center" readingOrder="1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8" xfId="0" applyFont="1" applyFill="1" applyBorder="1"/>
    <xf numFmtId="0" fontId="13" fillId="2" borderId="11" xfId="0" applyFont="1" applyFill="1" applyBorder="1" applyAlignment="1">
      <alignment readingOrder="1"/>
    </xf>
    <xf numFmtId="0" fontId="13" fillId="2" borderId="8" xfId="0" applyFont="1" applyFill="1" applyBorder="1" applyAlignment="1">
      <alignment wrapText="1" readingOrder="1"/>
    </xf>
    <xf numFmtId="0" fontId="13" fillId="2" borderId="12" xfId="0" applyFont="1" applyFill="1" applyBorder="1" applyAlignment="1">
      <alignment readingOrder="1"/>
    </xf>
    <xf numFmtId="0" fontId="16" fillId="2" borderId="12" xfId="0" applyFont="1" applyFill="1" applyBorder="1" applyAlignment="1">
      <alignment readingOrder="1"/>
    </xf>
    <xf numFmtId="0" fontId="19" fillId="2" borderId="12" xfId="0" applyFont="1" applyFill="1" applyBorder="1" applyAlignment="1">
      <alignment readingOrder="1"/>
    </xf>
    <xf numFmtId="0" fontId="19" fillId="2" borderId="11" xfId="0" applyFont="1" applyFill="1" applyBorder="1" applyAlignment="1">
      <alignment readingOrder="1"/>
    </xf>
    <xf numFmtId="0" fontId="19" fillId="2" borderId="2" xfId="0" applyFont="1" applyFill="1" applyBorder="1" applyAlignment="1">
      <alignment readingOrder="1"/>
    </xf>
    <xf numFmtId="0" fontId="13" fillId="2" borderId="13" xfId="0" applyFont="1" applyFill="1" applyBorder="1" applyAlignment="1">
      <alignment readingOrder="1"/>
    </xf>
    <xf numFmtId="0" fontId="13" fillId="2" borderId="8" xfId="0" applyFont="1" applyFill="1" applyBorder="1" applyAlignment="1">
      <alignment horizontal="center" readingOrder="1"/>
    </xf>
    <xf numFmtId="0" fontId="13" fillId="2" borderId="11" xfId="0" applyFont="1" applyFill="1" applyBorder="1" applyAlignment="1">
      <alignment horizontal="center" readingOrder="1"/>
    </xf>
    <xf numFmtId="0" fontId="13" fillId="2" borderId="8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 wrapText="1" readingOrder="1"/>
    </xf>
    <xf numFmtId="0" fontId="13" fillId="2" borderId="9" xfId="0" applyFont="1" applyFill="1" applyBorder="1" applyAlignment="1">
      <alignment horizontal="center" readingOrder="1"/>
    </xf>
    <xf numFmtId="0" fontId="13" fillId="2" borderId="19" xfId="0" applyFont="1" applyFill="1" applyBorder="1" applyAlignment="1">
      <alignment horizontal="center" readingOrder="1"/>
    </xf>
    <xf numFmtId="0" fontId="13" fillId="2" borderId="12" xfId="0" applyFont="1" applyFill="1" applyBorder="1" applyAlignment="1">
      <alignment horizontal="center" readingOrder="1"/>
    </xf>
    <xf numFmtId="0" fontId="16" fillId="2" borderId="12" xfId="0" applyFont="1" applyFill="1" applyBorder="1" applyAlignment="1">
      <alignment horizontal="center" readingOrder="1"/>
    </xf>
    <xf numFmtId="0" fontId="20" fillId="2" borderId="12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 readingOrder="1"/>
    </xf>
    <xf numFmtId="0" fontId="20" fillId="2" borderId="11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 readingOrder="1"/>
    </xf>
    <xf numFmtId="0" fontId="19" fillId="2" borderId="12" xfId="0" applyFont="1" applyFill="1" applyBorder="1" applyAlignment="1">
      <alignment horizontal="center" readingOrder="1"/>
    </xf>
    <xf numFmtId="0" fontId="19" fillId="2" borderId="8" xfId="0" applyFont="1" applyFill="1" applyBorder="1" applyAlignment="1">
      <alignment horizontal="center" wrapText="1" readingOrder="1"/>
    </xf>
    <xf numFmtId="0" fontId="19" fillId="2" borderId="1" xfId="0" applyFont="1" applyFill="1" applyBorder="1" applyAlignment="1">
      <alignment horizontal="center" readingOrder="1"/>
    </xf>
    <xf numFmtId="0" fontId="13" fillId="2" borderId="1" xfId="0" applyFont="1" applyFill="1" applyBorder="1" applyAlignment="1">
      <alignment horizontal="center" readingOrder="1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11" fillId="4" borderId="1" xfId="0" applyFont="1" applyFill="1" applyBorder="1" applyAlignment="1">
      <alignment horizontal="center" vertical="center" readingOrder="1"/>
    </xf>
    <xf numFmtId="0" fontId="11" fillId="3" borderId="1" xfId="0" applyFont="1" applyFill="1" applyBorder="1" applyAlignment="1">
      <alignment horizontal="center" vertical="center" readingOrder="1"/>
    </xf>
    <xf numFmtId="0" fontId="11" fillId="3" borderId="24" xfId="0" applyFont="1" applyFill="1" applyBorder="1" applyAlignment="1">
      <alignment horizontal="center" vertical="center" readingOrder="1"/>
    </xf>
    <xf numFmtId="0" fontId="4" fillId="2" borderId="24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wrapText="1" readingOrder="1"/>
    </xf>
    <xf numFmtId="0" fontId="13" fillId="2" borderId="11" xfId="0" applyFont="1" applyFill="1" applyBorder="1" applyAlignment="1">
      <alignment wrapText="1" readingOrder="1"/>
    </xf>
    <xf numFmtId="0" fontId="19" fillId="2" borderId="19" xfId="0" applyFont="1" applyFill="1" applyBorder="1" applyAlignment="1">
      <alignment horizontal="center" readingOrder="1"/>
    </xf>
    <xf numFmtId="0" fontId="19" fillId="2" borderId="9" xfId="0" applyFont="1" applyFill="1" applyBorder="1" applyAlignment="1">
      <alignment horizontal="center" wrapText="1" readingOrder="1"/>
    </xf>
    <xf numFmtId="0" fontId="0" fillId="2" borderId="0" xfId="0" applyFill="1"/>
    <xf numFmtId="0" fontId="17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readingOrder="1"/>
    </xf>
    <xf numFmtId="0" fontId="19" fillId="2" borderId="6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9" fillId="2" borderId="0" xfId="0" applyFont="1" applyFill="1" applyAlignment="1">
      <alignment readingOrder="1"/>
    </xf>
    <xf numFmtId="0" fontId="13" fillId="2" borderId="2" xfId="0" applyFont="1" applyFill="1" applyBorder="1" applyAlignment="1">
      <alignment readingOrder="1"/>
    </xf>
    <xf numFmtId="0" fontId="19" fillId="2" borderId="9" xfId="0" applyFont="1" applyFill="1" applyBorder="1" applyAlignment="1">
      <alignment horizontal="center" readingOrder="1"/>
    </xf>
    <xf numFmtId="0" fontId="13" fillId="2" borderId="9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 readingOrder="1"/>
    </xf>
    <xf numFmtId="0" fontId="18" fillId="2" borderId="7" xfId="0" applyFont="1" applyFill="1" applyBorder="1" applyAlignment="1">
      <alignment readingOrder="1"/>
    </xf>
    <xf numFmtId="0" fontId="20" fillId="2" borderId="7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 readingOrder="1"/>
    </xf>
    <xf numFmtId="0" fontId="26" fillId="2" borderId="0" xfId="0" applyFont="1" applyFill="1"/>
    <xf numFmtId="0" fontId="15" fillId="2" borderId="8" xfId="0" applyFont="1" applyFill="1" applyBorder="1"/>
    <xf numFmtId="0" fontId="15" fillId="2" borderId="8" xfId="0" applyFont="1" applyFill="1" applyBorder="1" applyAlignment="1">
      <alignment horizontal="center" readingOrder="1"/>
    </xf>
    <xf numFmtId="0" fontId="18" fillId="2" borderId="8" xfId="0" applyFont="1" applyFill="1" applyBorder="1" applyAlignment="1">
      <alignment readingOrder="1"/>
    </xf>
    <xf numFmtId="0" fontId="15" fillId="2" borderId="8" xfId="0" applyFont="1" applyFill="1" applyBorder="1" applyAlignment="1">
      <alignment horizontal="center"/>
    </xf>
    <xf numFmtId="0" fontId="15" fillId="2" borderId="8" xfId="0" applyFont="1" applyFill="1" applyBorder="1" applyAlignment="1">
      <alignment wrapText="1" readingOrder="1"/>
    </xf>
    <xf numFmtId="0" fontId="15" fillId="2" borderId="8" xfId="0" applyFont="1" applyFill="1" applyBorder="1" applyAlignment="1">
      <alignment readingOrder="1"/>
    </xf>
    <xf numFmtId="0" fontId="15" fillId="2" borderId="2" xfId="0" applyFont="1" applyFill="1" applyBorder="1" applyAlignment="1">
      <alignment readingOrder="1"/>
    </xf>
    <xf numFmtId="0" fontId="13" fillId="2" borderId="14" xfId="0" applyFont="1" applyFill="1" applyBorder="1" applyAlignment="1">
      <alignment horizontal="center" readingOrder="1"/>
    </xf>
    <xf numFmtId="0" fontId="13" fillId="2" borderId="5" xfId="0" applyFont="1" applyFill="1" applyBorder="1" applyAlignment="1">
      <alignment horizontal="center" readingOrder="1"/>
    </xf>
    <xf numFmtId="0" fontId="19" fillId="2" borderId="14" xfId="0" applyFont="1" applyFill="1" applyBorder="1" applyAlignment="1">
      <alignment readingOrder="1"/>
    </xf>
    <xf numFmtId="0" fontId="18" fillId="2" borderId="18" xfId="0" applyFont="1" applyFill="1" applyBorder="1" applyAlignment="1">
      <alignment readingOrder="1"/>
    </xf>
    <xf numFmtId="0" fontId="15" fillId="2" borderId="6" xfId="0" applyFont="1" applyFill="1" applyBorder="1" applyAlignment="1">
      <alignment horizontal="center" vertical="center" readingOrder="1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 vertical="center" readingOrder="1"/>
    </xf>
    <xf numFmtId="0" fontId="19" fillId="2" borderId="7" xfId="0" applyFont="1" applyFill="1" applyBorder="1" applyAlignment="1">
      <alignment horizontal="center" readingOrder="1"/>
    </xf>
    <xf numFmtId="0" fontId="15" fillId="2" borderId="2" xfId="0" applyFont="1" applyFill="1" applyBorder="1" applyAlignment="1">
      <alignment wrapText="1" readingOrder="1"/>
    </xf>
    <xf numFmtId="0" fontId="19" fillId="2" borderId="7" xfId="0" applyFont="1" applyFill="1" applyBorder="1" applyAlignment="1">
      <alignment horizontal="center" wrapText="1" readingOrder="1"/>
    </xf>
    <xf numFmtId="0" fontId="20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readingOrder="1"/>
    </xf>
    <xf numFmtId="0" fontId="15" fillId="2" borderId="2" xfId="0" applyFont="1" applyFill="1" applyBorder="1"/>
    <xf numFmtId="0" fontId="17" fillId="2" borderId="7" xfId="0" applyFont="1" applyFill="1" applyBorder="1" applyAlignment="1">
      <alignment horizontal="center"/>
    </xf>
    <xf numFmtId="0" fontId="18" fillId="2" borderId="2" xfId="0" applyFont="1" applyFill="1" applyBorder="1" applyAlignment="1">
      <alignment readingOrder="1"/>
    </xf>
    <xf numFmtId="0" fontId="13" fillId="2" borderId="2" xfId="0" applyFont="1" applyFill="1" applyBorder="1" applyAlignment="1">
      <alignment horizontal="center" vertical="center"/>
    </xf>
    <xf numFmtId="0" fontId="15" fillId="2" borderId="7" xfId="0" applyFont="1" applyFill="1" applyBorder="1"/>
    <xf numFmtId="0" fontId="18" fillId="2" borderId="7" xfId="0" applyFont="1" applyFill="1" applyBorder="1" applyAlignment="1">
      <alignment horizontal="center" readingOrder="1"/>
    </xf>
    <xf numFmtId="0" fontId="18" fillId="2" borderId="8" xfId="0" applyFont="1" applyFill="1" applyBorder="1" applyAlignment="1">
      <alignment horizontal="center" readingOrder="1"/>
    </xf>
    <xf numFmtId="0" fontId="18" fillId="2" borderId="6" xfId="0" applyFont="1" applyFill="1" applyBorder="1" applyAlignment="1">
      <alignment horizontal="center" vertical="center" wrapText="1" readingOrder="1"/>
    </xf>
    <xf numFmtId="0" fontId="18" fillId="2" borderId="7" xfId="0" applyFont="1" applyFill="1" applyBorder="1" applyAlignment="1">
      <alignment horizontal="center" wrapText="1" readingOrder="1"/>
    </xf>
    <xf numFmtId="0" fontId="18" fillId="2" borderId="8" xfId="0" applyFont="1" applyFill="1" applyBorder="1" applyAlignment="1">
      <alignment horizontal="center" wrapText="1" readingOrder="1"/>
    </xf>
    <xf numFmtId="0" fontId="18" fillId="2" borderId="8" xfId="0" applyFont="1" applyFill="1" applyBorder="1" applyAlignment="1">
      <alignment wrapText="1" readingOrder="1"/>
    </xf>
    <xf numFmtId="0" fontId="17" fillId="2" borderId="8" xfId="0" applyFont="1" applyFill="1" applyBorder="1" applyAlignment="1">
      <alignment horizontal="center"/>
    </xf>
    <xf numFmtId="0" fontId="17" fillId="2" borderId="8" xfId="0" applyFont="1" applyFill="1" applyBorder="1"/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readingOrder="1"/>
    </xf>
    <xf numFmtId="0" fontId="18" fillId="2" borderId="8" xfId="0" applyFont="1" applyFill="1" applyBorder="1" applyAlignment="1">
      <alignment horizontal="center" vertical="center" wrapText="1" readingOrder="1"/>
    </xf>
    <xf numFmtId="0" fontId="15" fillId="2" borderId="11" xfId="0" applyFont="1" applyFill="1" applyBorder="1" applyAlignment="1">
      <alignment readingOrder="1"/>
    </xf>
    <xf numFmtId="0" fontId="15" fillId="2" borderId="10" xfId="0" applyFont="1" applyFill="1" applyBorder="1" applyAlignment="1">
      <alignment readingOrder="1"/>
    </xf>
    <xf numFmtId="0" fontId="18" fillId="2" borderId="5" xfId="0" applyFont="1" applyFill="1" applyBorder="1" applyAlignment="1">
      <alignment readingOrder="1"/>
    </xf>
    <xf numFmtId="0" fontId="15" fillId="2" borderId="0" xfId="0" applyFont="1" applyFill="1" applyAlignment="1">
      <alignment readingOrder="1"/>
    </xf>
    <xf numFmtId="0" fontId="18" fillId="2" borderId="5" xfId="0" applyFont="1" applyFill="1" applyBorder="1" applyAlignment="1">
      <alignment horizontal="center" readingOrder="1"/>
    </xf>
    <xf numFmtId="0" fontId="20" fillId="2" borderId="7" xfId="0" applyFont="1" applyFill="1" applyBorder="1"/>
    <xf numFmtId="0" fontId="13" fillId="2" borderId="1" xfId="0" applyFont="1" applyFill="1" applyBorder="1" applyAlignment="1">
      <alignment horizontal="center" wrapText="1" readingOrder="1"/>
    </xf>
    <xf numFmtId="0" fontId="15" fillId="2" borderId="12" xfId="0" applyFont="1" applyFill="1" applyBorder="1" applyAlignment="1">
      <alignment wrapText="1" readingOrder="1"/>
    </xf>
    <xf numFmtId="0" fontId="15" fillId="2" borderId="11" xfId="0" applyFont="1" applyFill="1" applyBorder="1"/>
    <xf numFmtId="0" fontId="15" fillId="2" borderId="3" xfId="0" applyFont="1" applyFill="1" applyBorder="1" applyAlignment="1">
      <alignment wrapText="1" readingOrder="1"/>
    </xf>
    <xf numFmtId="0" fontId="18" fillId="2" borderId="16" xfId="0" applyFont="1" applyFill="1" applyBorder="1" applyAlignment="1">
      <alignment readingOrder="1"/>
    </xf>
    <xf numFmtId="0" fontId="15" fillId="2" borderId="0" xfId="0" applyFont="1" applyFill="1"/>
    <xf numFmtId="0" fontId="13" fillId="2" borderId="14" xfId="0" applyFont="1" applyFill="1" applyBorder="1" applyAlignment="1">
      <alignment readingOrder="1"/>
    </xf>
    <xf numFmtId="0" fontId="19" fillId="11" borderId="12" xfId="0" applyFont="1" applyFill="1" applyBorder="1" applyAlignment="1">
      <alignment horizontal="center" readingOrder="1"/>
    </xf>
    <xf numFmtId="0" fontId="0" fillId="11" borderId="0" xfId="0" applyFill="1"/>
    <xf numFmtId="0" fontId="13" fillId="11" borderId="8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 readingOrder="1"/>
    </xf>
    <xf numFmtId="0" fontId="19" fillId="11" borderId="8" xfId="0" applyFont="1" applyFill="1" applyBorder="1" applyAlignment="1">
      <alignment readingOrder="1"/>
    </xf>
    <xf numFmtId="0" fontId="20" fillId="11" borderId="8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 readingOrder="1"/>
    </xf>
    <xf numFmtId="0" fontId="20" fillId="11" borderId="11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 readingOrder="1"/>
    </xf>
    <xf numFmtId="0" fontId="19" fillId="11" borderId="1" xfId="0" applyFont="1" applyFill="1" applyBorder="1" applyAlignment="1">
      <alignment readingOrder="1"/>
    </xf>
    <xf numFmtId="0" fontId="19" fillId="11" borderId="12" xfId="0" applyFont="1" applyFill="1" applyBorder="1" applyAlignment="1">
      <alignment readingOrder="1"/>
    </xf>
    <xf numFmtId="0" fontId="13" fillId="11" borderId="2" xfId="0" applyFont="1" applyFill="1" applyBorder="1" applyAlignment="1">
      <alignment horizontal="center" readingOrder="1"/>
    </xf>
    <xf numFmtId="0" fontId="19" fillId="11" borderId="9" xfId="0" applyFont="1" applyFill="1" applyBorder="1" applyAlignment="1">
      <alignment readingOrder="1"/>
    </xf>
    <xf numFmtId="0" fontId="13" fillId="11" borderId="0" xfId="0" applyFont="1" applyFill="1" applyAlignment="1">
      <alignment horizontal="center"/>
    </xf>
    <xf numFmtId="0" fontId="13" fillId="11" borderId="9" xfId="0" applyFont="1" applyFill="1" applyBorder="1"/>
    <xf numFmtId="0" fontId="13" fillId="11" borderId="8" xfId="0" applyFont="1" applyFill="1" applyBorder="1"/>
    <xf numFmtId="0" fontId="13" fillId="11" borderId="12" xfId="0" applyFont="1" applyFill="1" applyBorder="1" applyAlignment="1">
      <alignment horizontal="center" readingOrder="1"/>
    </xf>
    <xf numFmtId="0" fontId="19" fillId="11" borderId="8" xfId="0" applyFont="1" applyFill="1" applyBorder="1"/>
    <xf numFmtId="0" fontId="13" fillId="11" borderId="8" xfId="0" applyFont="1" applyFill="1" applyBorder="1" applyAlignment="1">
      <alignment horizontal="center" wrapText="1" readingOrder="1"/>
    </xf>
    <xf numFmtId="0" fontId="13" fillId="11" borderId="8" xfId="0" applyFont="1" applyFill="1" applyBorder="1" applyAlignment="1">
      <alignment wrapText="1" readingOrder="1"/>
    </xf>
    <xf numFmtId="0" fontId="26" fillId="2" borderId="0" xfId="0" applyFont="1" applyFill="1" applyAlignment="1">
      <alignment horizontal="center"/>
    </xf>
    <xf numFmtId="0" fontId="15" fillId="2" borderId="8" xfId="0" applyFont="1" applyFill="1" applyBorder="1" applyAlignment="1">
      <alignment horizontal="left" readingOrder="1"/>
    </xf>
    <xf numFmtId="0" fontId="15" fillId="2" borderId="2" xfId="0" applyFont="1" applyFill="1" applyBorder="1" applyAlignment="1">
      <alignment horizontal="left" readingOrder="1"/>
    </xf>
    <xf numFmtId="0" fontId="13" fillId="11" borderId="7" xfId="0" applyFont="1" applyFill="1" applyBorder="1" applyAlignment="1">
      <alignment horizontal="center" readingOrder="1"/>
    </xf>
    <xf numFmtId="0" fontId="18" fillId="11" borderId="7" xfId="0" applyFont="1" applyFill="1" applyBorder="1" applyAlignment="1">
      <alignment horizontal="left" readingOrder="1"/>
    </xf>
    <xf numFmtId="0" fontId="20" fillId="11" borderId="7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 readingOrder="1"/>
    </xf>
    <xf numFmtId="0" fontId="0" fillId="11" borderId="0" xfId="0" applyFill="1" applyAlignment="1">
      <alignment horizontal="center"/>
    </xf>
    <xf numFmtId="0" fontId="13" fillId="11" borderId="8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left" wrapText="1" readingOrder="1"/>
    </xf>
    <xf numFmtId="0" fontId="13" fillId="11" borderId="0" xfId="0" applyFont="1" applyFill="1" applyAlignment="1">
      <alignment horizontal="center" readingOrder="1"/>
    </xf>
    <xf numFmtId="0" fontId="18" fillId="11" borderId="9" xfId="0" applyFont="1" applyFill="1" applyBorder="1" applyAlignment="1">
      <alignment horizontal="left" readingOrder="1"/>
    </xf>
    <xf numFmtId="0" fontId="18" fillId="11" borderId="2" xfId="0" applyFont="1" applyFill="1" applyBorder="1" applyAlignment="1">
      <alignment horizontal="left" readingOrder="1"/>
    </xf>
    <xf numFmtId="0" fontId="13" fillId="11" borderId="14" xfId="0" applyFont="1" applyFill="1" applyBorder="1" applyAlignment="1">
      <alignment horizontal="center" readingOrder="1"/>
    </xf>
    <xf numFmtId="0" fontId="15" fillId="11" borderId="26" xfId="0" applyFont="1" applyFill="1" applyBorder="1" applyAlignment="1">
      <alignment horizontal="left" readingOrder="1"/>
    </xf>
    <xf numFmtId="0" fontId="15" fillId="11" borderId="11" xfId="0" applyFont="1" applyFill="1" applyBorder="1" applyAlignment="1">
      <alignment horizontal="center" readingOrder="1"/>
    </xf>
    <xf numFmtId="0" fontId="13" fillId="11" borderId="5" xfId="0" applyFont="1" applyFill="1" applyBorder="1" applyAlignment="1">
      <alignment horizontal="center" readingOrder="1"/>
    </xf>
    <xf numFmtId="0" fontId="15" fillId="11" borderId="5" xfId="0" applyFont="1" applyFill="1" applyBorder="1" applyAlignment="1">
      <alignment horizontal="left" readingOrder="1"/>
    </xf>
    <xf numFmtId="0" fontId="15" fillId="11" borderId="7" xfId="0" applyFont="1" applyFill="1" applyBorder="1" applyAlignment="1">
      <alignment horizontal="left" readingOrder="1"/>
    </xf>
    <xf numFmtId="0" fontId="15" fillId="11" borderId="18" xfId="0" applyFont="1" applyFill="1" applyBorder="1" applyAlignment="1">
      <alignment horizontal="left" readingOrder="1"/>
    </xf>
    <xf numFmtId="0" fontId="15" fillId="11" borderId="5" xfId="0" applyFont="1" applyFill="1" applyBorder="1" applyAlignment="1">
      <alignment horizontal="center" readingOrder="1"/>
    </xf>
    <xf numFmtId="0" fontId="19" fillId="11" borderId="7" xfId="0" applyFont="1" applyFill="1" applyBorder="1" applyAlignment="1">
      <alignment horizontal="center" readingOrder="1"/>
    </xf>
    <xf numFmtId="0" fontId="15" fillId="11" borderId="8" xfId="0" applyFont="1" applyFill="1" applyBorder="1" applyAlignment="1">
      <alignment horizontal="left" readingOrder="1"/>
    </xf>
    <xf numFmtId="0" fontId="15" fillId="11" borderId="2" xfId="0" applyFont="1" applyFill="1" applyBorder="1" applyAlignment="1">
      <alignment horizontal="left" readingOrder="1"/>
    </xf>
    <xf numFmtId="0" fontId="15" fillId="11" borderId="8" xfId="0" applyFont="1" applyFill="1" applyBorder="1" applyAlignment="1">
      <alignment horizontal="center" readingOrder="1"/>
    </xf>
    <xf numFmtId="0" fontId="19" fillId="11" borderId="8" xfId="0" applyFont="1" applyFill="1" applyBorder="1" applyAlignment="1">
      <alignment horizontal="center" vertical="center" readingOrder="1"/>
    </xf>
    <xf numFmtId="0" fontId="15" fillId="11" borderId="8" xfId="0" applyFont="1" applyFill="1" applyBorder="1" applyAlignment="1">
      <alignment wrapText="1" readingOrder="1"/>
    </xf>
    <xf numFmtId="0" fontId="15" fillId="11" borderId="2" xfId="0" applyFont="1" applyFill="1" applyBorder="1" applyAlignment="1">
      <alignment wrapText="1" readingOrder="1"/>
    </xf>
    <xf numFmtId="0" fontId="20" fillId="11" borderId="6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readingOrder="1"/>
    </xf>
    <xf numFmtId="0" fontId="15" fillId="11" borderId="2" xfId="0" applyFont="1" applyFill="1" applyBorder="1" applyAlignment="1">
      <alignment readingOrder="1"/>
    </xf>
    <xf numFmtId="0" fontId="17" fillId="11" borderId="6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 readingOrder="1"/>
    </xf>
    <xf numFmtId="0" fontId="19" fillId="2" borderId="5" xfId="0" applyFont="1" applyFill="1" applyBorder="1" applyAlignment="1">
      <alignment readingOrder="1"/>
    </xf>
    <xf numFmtId="0" fontId="13" fillId="2" borderId="7" xfId="0" applyFont="1" applyFill="1" applyBorder="1" applyAlignment="1">
      <alignment readingOrder="1"/>
    </xf>
    <xf numFmtId="0" fontId="20" fillId="11" borderId="9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 readingOrder="1"/>
    </xf>
    <xf numFmtId="0" fontId="13" fillId="11" borderId="14" xfId="0" applyFont="1" applyFill="1" applyBorder="1" applyAlignment="1">
      <alignment horizontal="center" vertical="center" readingOrder="1"/>
    </xf>
    <xf numFmtId="0" fontId="15" fillId="11" borderId="4" xfId="0" applyFont="1" applyFill="1" applyBorder="1" applyAlignment="1">
      <alignment horizontal="center" vertical="center" readingOrder="1"/>
    </xf>
    <xf numFmtId="0" fontId="19" fillId="11" borderId="6" xfId="0" applyFont="1" applyFill="1" applyBorder="1" applyAlignment="1">
      <alignment horizontal="center" vertical="center" readingOrder="1"/>
    </xf>
    <xf numFmtId="0" fontId="15" fillId="11" borderId="6" xfId="0" applyFont="1" applyFill="1" applyBorder="1" applyAlignment="1">
      <alignment horizontal="center" vertical="center" readingOrder="1"/>
    </xf>
    <xf numFmtId="0" fontId="2" fillId="11" borderId="0" xfId="0" applyFont="1" applyFill="1"/>
    <xf numFmtId="0" fontId="13" fillId="7" borderId="8" xfId="0" applyFont="1" applyFill="1" applyBorder="1" applyAlignment="1">
      <alignment horizontal="center" vertical="center"/>
    </xf>
    <xf numFmtId="0" fontId="0" fillId="7" borderId="0" xfId="0" applyFill="1"/>
    <xf numFmtId="0" fontId="13" fillId="6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0" fillId="6" borderId="0" xfId="0" applyFill="1"/>
    <xf numFmtId="0" fontId="13" fillId="9" borderId="8" xfId="0" applyFont="1" applyFill="1" applyBorder="1" applyAlignment="1">
      <alignment horizontal="center" vertical="center"/>
    </xf>
    <xf numFmtId="0" fontId="0" fillId="9" borderId="0" xfId="0" applyFill="1"/>
    <xf numFmtId="0" fontId="13" fillId="7" borderId="1" xfId="0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13" fillId="6" borderId="8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left"/>
    </xf>
    <xf numFmtId="0" fontId="19" fillId="6" borderId="8" xfId="0" applyFont="1" applyFill="1" applyBorder="1" applyAlignment="1">
      <alignment horizontal="center" vertical="center" readingOrder="1"/>
    </xf>
    <xf numFmtId="0" fontId="19" fillId="6" borderId="8" xfId="0" applyFont="1" applyFill="1" applyBorder="1" applyAlignment="1">
      <alignment horizontal="center" readingOrder="1"/>
    </xf>
    <xf numFmtId="0" fontId="15" fillId="6" borderId="7" xfId="0" applyFont="1" applyFill="1" applyBorder="1" applyAlignment="1">
      <alignment horizontal="center" readingOrder="1"/>
    </xf>
    <xf numFmtId="0" fontId="0" fillId="6" borderId="0" xfId="0" applyFill="1" applyAlignment="1">
      <alignment horizontal="center"/>
    </xf>
    <xf numFmtId="0" fontId="13" fillId="6" borderId="8" xfId="0" applyFont="1" applyFill="1" applyBorder="1" applyAlignment="1">
      <alignment horizontal="center" readingOrder="1"/>
    </xf>
    <xf numFmtId="0" fontId="18" fillId="6" borderId="8" xfId="0" applyFont="1" applyFill="1" applyBorder="1" applyAlignment="1">
      <alignment horizontal="left" readingOrder="1"/>
    </xf>
    <xf numFmtId="0" fontId="20" fillId="6" borderId="8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wrapText="1"/>
    </xf>
    <xf numFmtId="0" fontId="15" fillId="6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wrapText="1" readingOrder="1"/>
    </xf>
    <xf numFmtId="0" fontId="15" fillId="6" borderId="8" xfId="0" applyFont="1" applyFill="1" applyBorder="1" applyAlignment="1">
      <alignment horizontal="left" wrapText="1" readingOrder="1"/>
    </xf>
    <xf numFmtId="0" fontId="17" fillId="6" borderId="8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 readingOrder="1"/>
    </xf>
    <xf numFmtId="0" fontId="18" fillId="9" borderId="8" xfId="0" applyFont="1" applyFill="1" applyBorder="1" applyAlignment="1">
      <alignment horizontal="left" readingOrder="1"/>
    </xf>
    <xf numFmtId="0" fontId="20" fillId="9" borderId="8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center" readingOrder="1"/>
    </xf>
    <xf numFmtId="0" fontId="0" fillId="9" borderId="0" xfId="0" applyFill="1" applyAlignment="1">
      <alignment horizontal="center"/>
    </xf>
    <xf numFmtId="0" fontId="13" fillId="2" borderId="22" xfId="0" applyFont="1" applyFill="1" applyBorder="1" applyAlignment="1">
      <alignment horizontal="center" readingOrder="1"/>
    </xf>
    <xf numFmtId="0" fontId="19" fillId="2" borderId="23" xfId="0" applyFont="1" applyFill="1" applyBorder="1" applyAlignment="1">
      <alignment readingOrder="1"/>
    </xf>
    <xf numFmtId="0" fontId="19" fillId="2" borderId="11" xfId="0" applyFont="1" applyFill="1" applyBorder="1" applyAlignment="1">
      <alignment horizontal="center" wrapText="1" readingOrder="1"/>
    </xf>
    <xf numFmtId="0" fontId="19" fillId="2" borderId="11" xfId="0" applyFont="1" applyFill="1" applyBorder="1" applyAlignment="1">
      <alignment wrapText="1" readingOrder="1"/>
    </xf>
    <xf numFmtId="0" fontId="13" fillId="7" borderId="12" xfId="0" applyFont="1" applyFill="1" applyBorder="1" applyAlignment="1">
      <alignment horizontal="center"/>
    </xf>
    <xf numFmtId="0" fontId="13" fillId="7" borderId="12" xfId="0" applyFont="1" applyFill="1" applyBorder="1"/>
    <xf numFmtId="0" fontId="20" fillId="7" borderId="12" xfId="0" applyFont="1" applyFill="1" applyBorder="1" applyAlignment="1">
      <alignment horizontal="center"/>
    </xf>
    <xf numFmtId="0" fontId="19" fillId="7" borderId="12" xfId="0" applyFont="1" applyFill="1" applyBorder="1" applyAlignment="1">
      <alignment horizontal="center" readingOrder="1"/>
    </xf>
    <xf numFmtId="0" fontId="19" fillId="6" borderId="8" xfId="0" applyFont="1" applyFill="1" applyBorder="1" applyAlignment="1">
      <alignment readingOrder="1"/>
    </xf>
    <xf numFmtId="0" fontId="19" fillId="6" borderId="12" xfId="0" applyFont="1" applyFill="1" applyBorder="1" applyAlignment="1">
      <alignment horizontal="center" readingOrder="1"/>
    </xf>
    <xf numFmtId="0" fontId="11" fillId="12" borderId="1" xfId="0" applyFont="1" applyFill="1" applyBorder="1" applyAlignment="1">
      <alignment horizontal="center" vertical="center" readingOrder="1"/>
    </xf>
    <xf numFmtId="0" fontId="25" fillId="12" borderId="1" xfId="0" applyFont="1" applyFill="1" applyBorder="1" applyAlignment="1">
      <alignment horizontal="center" vertical="center" readingOrder="1"/>
    </xf>
    <xf numFmtId="0" fontId="11" fillId="12" borderId="24" xfId="0" applyFont="1" applyFill="1" applyBorder="1" applyAlignment="1">
      <alignment horizontal="center" vertical="center" readingOrder="1"/>
    </xf>
    <xf numFmtId="0" fontId="0" fillId="12" borderId="0" xfId="0" applyFill="1"/>
    <xf numFmtId="0" fontId="14" fillId="12" borderId="1" xfId="0" applyFont="1" applyFill="1" applyBorder="1" applyAlignment="1">
      <alignment horizontal="center" vertical="center" readingOrder="1"/>
    </xf>
    <xf numFmtId="0" fontId="13" fillId="7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readingOrder="1"/>
    </xf>
    <xf numFmtId="0" fontId="18" fillId="7" borderId="9" xfId="0" applyFont="1" applyFill="1" applyBorder="1" applyAlignment="1">
      <alignment horizontal="left" readingOrder="1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/>
    </xf>
    <xf numFmtId="0" fontId="15" fillId="7" borderId="9" xfId="0" applyFont="1" applyFill="1" applyBorder="1" applyAlignment="1">
      <alignment horizontal="center" readingOrder="1"/>
    </xf>
    <xf numFmtId="0" fontId="14" fillId="12" borderId="4" xfId="0" applyFont="1" applyFill="1" applyBorder="1" applyAlignment="1">
      <alignment horizontal="center" vertical="center" readingOrder="1"/>
    </xf>
    <xf numFmtId="0" fontId="14" fillId="12" borderId="5" xfId="0" applyFont="1" applyFill="1" applyBorder="1" applyAlignment="1">
      <alignment horizontal="center" vertical="center" readingOrder="1"/>
    </xf>
    <xf numFmtId="0" fontId="13" fillId="13" borderId="8" xfId="0" applyFont="1" applyFill="1" applyBorder="1" applyAlignment="1">
      <alignment horizontal="center"/>
    </xf>
    <xf numFmtId="0" fontId="13" fillId="13" borderId="8" xfId="0" applyFont="1" applyFill="1" applyBorder="1" applyAlignment="1">
      <alignment horizontal="center" readingOrder="1"/>
    </xf>
    <xf numFmtId="0" fontId="19" fillId="13" borderId="8" xfId="0" applyFont="1" applyFill="1" applyBorder="1" applyAlignment="1">
      <alignment readingOrder="1"/>
    </xf>
    <xf numFmtId="0" fontId="20" fillId="13" borderId="8" xfId="0" applyFont="1" applyFill="1" applyBorder="1" applyAlignment="1">
      <alignment horizontal="center"/>
    </xf>
    <xf numFmtId="0" fontId="19" fillId="13" borderId="12" xfId="0" applyFont="1" applyFill="1" applyBorder="1" applyAlignment="1">
      <alignment horizontal="center" readingOrder="1"/>
    </xf>
    <xf numFmtId="0" fontId="0" fillId="13" borderId="0" xfId="0" applyFill="1"/>
    <xf numFmtId="0" fontId="13" fillId="13" borderId="11" xfId="0" applyFont="1" applyFill="1" applyBorder="1" applyAlignment="1">
      <alignment horizontal="center" readingOrder="1"/>
    </xf>
    <xf numFmtId="0" fontId="19" fillId="13" borderId="11" xfId="0" applyFont="1" applyFill="1" applyBorder="1" applyAlignment="1">
      <alignment readingOrder="1"/>
    </xf>
    <xf numFmtId="0" fontId="19" fillId="13" borderId="11" xfId="0" applyFont="1" applyFill="1" applyBorder="1" applyAlignment="1">
      <alignment horizontal="center" readingOrder="1"/>
    </xf>
    <xf numFmtId="0" fontId="13" fillId="13" borderId="12" xfId="0" applyFont="1" applyFill="1" applyBorder="1" applyAlignment="1">
      <alignment horizontal="center"/>
    </xf>
    <xf numFmtId="0" fontId="13" fillId="13" borderId="12" xfId="0" applyFont="1" applyFill="1" applyBorder="1"/>
    <xf numFmtId="0" fontId="20" fillId="13" borderId="12" xfId="0" applyFont="1" applyFill="1" applyBorder="1" applyAlignment="1">
      <alignment horizontal="center"/>
    </xf>
    <xf numFmtId="0" fontId="20" fillId="13" borderId="11" xfId="0" applyFont="1" applyFill="1" applyBorder="1" applyAlignment="1">
      <alignment horizontal="center"/>
    </xf>
    <xf numFmtId="0" fontId="13" fillId="13" borderId="1" xfId="0" applyFont="1" applyFill="1" applyBorder="1"/>
    <xf numFmtId="0" fontId="13" fillId="13" borderId="1" xfId="0" applyFont="1" applyFill="1" applyBorder="1" applyAlignment="1">
      <alignment horizontal="center"/>
    </xf>
    <xf numFmtId="0" fontId="14" fillId="12" borderId="16" xfId="0" applyFont="1" applyFill="1" applyBorder="1" applyAlignment="1">
      <alignment horizontal="center" vertical="center" readingOrder="1"/>
    </xf>
    <xf numFmtId="0" fontId="13" fillId="7" borderId="1" xfId="0" applyFont="1" applyFill="1" applyBorder="1"/>
    <xf numFmtId="0" fontId="13" fillId="7" borderId="18" xfId="0" applyFont="1" applyFill="1" applyBorder="1" applyAlignment="1">
      <alignment horizontal="center"/>
    </xf>
    <xf numFmtId="0" fontId="13" fillId="14" borderId="1" xfId="0" applyFont="1" applyFill="1" applyBorder="1"/>
    <xf numFmtId="0" fontId="13" fillId="14" borderId="1" xfId="0" applyFont="1" applyFill="1" applyBorder="1" applyAlignment="1">
      <alignment horizontal="center"/>
    </xf>
    <xf numFmtId="0" fontId="13" fillId="14" borderId="18" xfId="0" applyFont="1" applyFill="1" applyBorder="1" applyAlignment="1">
      <alignment horizontal="center"/>
    </xf>
    <xf numFmtId="0" fontId="13" fillId="13" borderId="18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0" fontId="27" fillId="14" borderId="1" xfId="0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4" fillId="12" borderId="12" xfId="0" applyFont="1" applyFill="1" applyBorder="1" applyAlignment="1">
      <alignment horizontal="center" vertical="center" readingOrder="1"/>
    </xf>
    <xf numFmtId="0" fontId="14" fillId="12" borderId="3" xfId="0" applyFont="1" applyFill="1" applyBorder="1" applyAlignment="1">
      <alignment horizontal="center" vertical="center" readingOrder="1"/>
    </xf>
    <xf numFmtId="0" fontId="21" fillId="7" borderId="8" xfId="0" applyFont="1" applyFill="1" applyBorder="1" applyAlignment="1">
      <alignment horizontal="center" vertical="center" readingOrder="1"/>
    </xf>
    <xf numFmtId="0" fontId="20" fillId="7" borderId="20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 readingOrder="1"/>
    </xf>
    <xf numFmtId="0" fontId="20" fillId="13" borderId="3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readingOrder="1"/>
    </xf>
    <xf numFmtId="0" fontId="13" fillId="5" borderId="2" xfId="0" applyFont="1" applyFill="1" applyBorder="1" applyAlignment="1">
      <alignment horizontal="center" vertical="center" readingOrder="1"/>
    </xf>
    <xf numFmtId="0" fontId="13" fillId="7" borderId="8" xfId="0" applyFont="1" applyFill="1" applyBorder="1" applyAlignment="1">
      <alignment horizontal="left" vertical="center" readingOrder="1"/>
    </xf>
    <xf numFmtId="0" fontId="13" fillId="7" borderId="2" xfId="0" applyFont="1" applyFill="1" applyBorder="1" applyAlignment="1">
      <alignment horizontal="left" vertical="center"/>
    </xf>
    <xf numFmtId="0" fontId="13" fillId="14" borderId="8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readingOrder="1"/>
    </xf>
    <xf numFmtId="0" fontId="13" fillId="5" borderId="1" xfId="0" applyFont="1" applyFill="1" applyBorder="1" applyAlignment="1">
      <alignment horizontal="left" vertical="center" readingOrder="1"/>
    </xf>
    <xf numFmtId="0" fontId="28" fillId="7" borderId="1" xfId="0" applyFont="1" applyFill="1" applyBorder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8" fillId="0" borderId="25" xfId="0" applyFont="1" applyBorder="1"/>
    <xf numFmtId="0" fontId="29" fillId="5" borderId="4" xfId="0" applyFont="1" applyFill="1" applyBorder="1" applyAlignment="1">
      <alignment horizontal="center"/>
    </xf>
    <xf numFmtId="0" fontId="28" fillId="0" borderId="4" xfId="0" applyFont="1" applyBorder="1"/>
    <xf numFmtId="0" fontId="29" fillId="5" borderId="4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1" xfId="0" applyFont="1" applyBorder="1"/>
    <xf numFmtId="0" fontId="28" fillId="0" borderId="11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/>
    </xf>
    <xf numFmtId="0" fontId="29" fillId="5" borderId="4" xfId="0" applyFont="1" applyFill="1" applyBorder="1" applyAlignment="1">
      <alignment horizontal="left" vertical="center"/>
    </xf>
    <xf numFmtId="0" fontId="30" fillId="5" borderId="4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13" fillId="5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readingOrder="1"/>
    </xf>
    <xf numFmtId="0" fontId="24" fillId="7" borderId="12" xfId="0" applyFont="1" applyFill="1" applyBorder="1" applyAlignment="1">
      <alignment horizontal="center" vertical="center" readingOrder="1"/>
    </xf>
    <xf numFmtId="0" fontId="23" fillId="7" borderId="12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readingOrder="1"/>
    </xf>
    <xf numFmtId="0" fontId="24" fillId="6" borderId="8" xfId="0" applyFont="1" applyFill="1" applyBorder="1" applyAlignment="1">
      <alignment horizontal="center" vertical="center" readingOrder="1"/>
    </xf>
    <xf numFmtId="0" fontId="23" fillId="6" borderId="8" xfId="0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center" readingOrder="1"/>
    </xf>
    <xf numFmtId="0" fontId="7" fillId="9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 wrapText="1" readingOrder="1"/>
    </xf>
    <xf numFmtId="0" fontId="24" fillId="9" borderId="8" xfId="0" applyFont="1" applyFill="1" applyBorder="1" applyAlignment="1">
      <alignment horizontal="center" vertical="center" readingOrder="1"/>
    </xf>
    <xf numFmtId="0" fontId="24" fillId="9" borderId="12" xfId="0" applyFont="1" applyFill="1" applyBorder="1" applyAlignment="1">
      <alignment horizontal="center" vertical="center" readingOrder="1"/>
    </xf>
    <xf numFmtId="0" fontId="7" fillId="9" borderId="8" xfId="0" applyFont="1" applyFill="1" applyBorder="1" applyAlignment="1">
      <alignment horizontal="center" vertical="center" readingOrder="1"/>
    </xf>
    <xf numFmtId="0" fontId="23" fillId="9" borderId="8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readingOrder="1"/>
    </xf>
    <xf numFmtId="0" fontId="24" fillId="9" borderId="9" xfId="0" applyFont="1" applyFill="1" applyBorder="1" applyAlignment="1">
      <alignment horizontal="center" vertical="center" readingOrder="1"/>
    </xf>
    <xf numFmtId="0" fontId="7" fillId="11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 readingOrder="1"/>
    </xf>
    <xf numFmtId="0" fontId="24" fillId="11" borderId="8" xfId="0" applyFont="1" applyFill="1" applyBorder="1" applyAlignment="1">
      <alignment horizontal="center" vertical="center" readingOrder="1"/>
    </xf>
    <xf numFmtId="0" fontId="24" fillId="11" borderId="2" xfId="0" applyFont="1" applyFill="1" applyBorder="1" applyAlignment="1">
      <alignment horizontal="center" vertical="center" readingOrder="1"/>
    </xf>
    <xf numFmtId="0" fontId="23" fillId="11" borderId="9" xfId="0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4" fillId="11" borderId="12" xfId="0" applyFont="1" applyFill="1" applyBorder="1" applyAlignment="1">
      <alignment horizontal="center" vertical="center" readingOrder="1"/>
    </xf>
    <xf numFmtId="0" fontId="24" fillId="11" borderId="8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 wrapText="1" readingOrder="1"/>
    </xf>
    <xf numFmtId="0" fontId="7" fillId="11" borderId="2" xfId="0" applyFont="1" applyFill="1" applyBorder="1" applyAlignment="1">
      <alignment horizontal="center" vertical="center" wrapText="1" readingOrder="1"/>
    </xf>
    <xf numFmtId="0" fontId="24" fillId="11" borderId="9" xfId="0" applyFont="1" applyFill="1" applyBorder="1" applyAlignment="1">
      <alignment horizontal="center" vertical="center" wrapText="1" readingOrder="1"/>
    </xf>
    <xf numFmtId="0" fontId="24" fillId="11" borderId="8" xfId="0" applyFont="1" applyFill="1" applyBorder="1" applyAlignment="1">
      <alignment horizontal="center" vertical="center" wrapText="1" readingOrder="1"/>
    </xf>
    <xf numFmtId="0" fontId="7" fillId="11" borderId="11" xfId="0" applyFont="1" applyFill="1" applyBorder="1" applyAlignment="1">
      <alignment horizontal="center" vertical="center" wrapText="1" readingOrder="1"/>
    </xf>
    <xf numFmtId="0" fontId="7" fillId="11" borderId="15" xfId="0" applyFont="1" applyFill="1" applyBorder="1" applyAlignment="1">
      <alignment horizontal="center" vertical="center" wrapText="1" readingOrder="1"/>
    </xf>
    <xf numFmtId="0" fontId="24" fillId="11" borderId="11" xfId="0" applyFont="1" applyFill="1" applyBorder="1" applyAlignment="1">
      <alignment horizontal="center" vertical="center" readingOrder="1"/>
    </xf>
    <xf numFmtId="0" fontId="23" fillId="11" borderId="11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 readingOrder="1"/>
    </xf>
    <xf numFmtId="0" fontId="7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readingOrder="1"/>
    </xf>
    <xf numFmtId="0" fontId="24" fillId="2" borderId="8" xfId="0" applyFont="1" applyFill="1" applyBorder="1" applyAlignment="1">
      <alignment horizontal="center" vertical="center" readingOrder="1"/>
    </xf>
    <xf numFmtId="0" fontId="24" fillId="10" borderId="12" xfId="0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 readingOrder="1"/>
    </xf>
    <xf numFmtId="0" fontId="24" fillId="2" borderId="9" xfId="0" applyFont="1" applyFill="1" applyBorder="1" applyAlignment="1">
      <alignment horizontal="center" vertical="center" readingOrder="1"/>
    </xf>
    <xf numFmtId="0" fontId="7" fillId="2" borderId="8" xfId="0" applyFont="1" applyFill="1" applyBorder="1" applyAlignment="1">
      <alignment horizontal="center" vertical="center" readingOrder="1"/>
    </xf>
    <xf numFmtId="0" fontId="24" fillId="2" borderId="2" xfId="0" applyFont="1" applyFill="1" applyBorder="1" applyAlignment="1">
      <alignment horizontal="center" vertical="center" readingOrder="1"/>
    </xf>
    <xf numFmtId="0" fontId="7" fillId="2" borderId="9" xfId="0" applyFont="1" applyFill="1" applyBorder="1" applyAlignment="1">
      <alignment horizontal="center" vertical="center" readingOrder="1"/>
    </xf>
    <xf numFmtId="0" fontId="7" fillId="2" borderId="2" xfId="0" applyFont="1" applyFill="1" applyBorder="1" applyAlignment="1">
      <alignment horizontal="center" vertical="center" readingOrder="1"/>
    </xf>
    <xf numFmtId="0" fontId="24" fillId="2" borderId="7" xfId="0" applyFont="1" applyFill="1" applyBorder="1" applyAlignment="1">
      <alignment horizontal="center" vertical="center" readingOrder="1"/>
    </xf>
    <xf numFmtId="0" fontId="23" fillId="2" borderId="8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readingOrder="1"/>
    </xf>
    <xf numFmtId="0" fontId="24" fillId="2" borderId="15" xfId="0" applyFont="1" applyFill="1" applyBorder="1" applyAlignment="1">
      <alignment horizontal="center" vertical="center" readingOrder="1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readingOrder="1"/>
    </xf>
    <xf numFmtId="0" fontId="24" fillId="2" borderId="5" xfId="0" applyFont="1" applyFill="1" applyBorder="1" applyAlignment="1">
      <alignment horizontal="center" vertical="center" readingOrder="1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 readingOrder="1"/>
    </xf>
    <xf numFmtId="0" fontId="24" fillId="2" borderId="0" xfId="0" applyFont="1" applyFill="1" applyAlignment="1">
      <alignment horizontal="center" vertical="center" readingOrder="1"/>
    </xf>
    <xf numFmtId="0" fontId="7" fillId="2" borderId="12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readingOrder="1"/>
    </xf>
    <xf numFmtId="0" fontId="7" fillId="2" borderId="7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24" fillId="2" borderId="6" xfId="0" applyFont="1" applyFill="1" applyBorder="1" applyAlignment="1">
      <alignment horizontal="center" vertical="center" wrapText="1" readingOrder="1"/>
    </xf>
    <xf numFmtId="0" fontId="24" fillId="2" borderId="7" xfId="0" applyFont="1" applyFill="1" applyBorder="1" applyAlignment="1">
      <alignment horizontal="center" vertical="center" wrapText="1" readingOrder="1"/>
    </xf>
    <xf numFmtId="0" fontId="24" fillId="2" borderId="18" xfId="0" applyFont="1" applyFill="1" applyBorder="1" applyAlignment="1">
      <alignment horizontal="center" vertical="center" readingOrder="1"/>
    </xf>
    <xf numFmtId="0" fontId="7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readingOrder="1"/>
    </xf>
    <xf numFmtId="0" fontId="24" fillId="10" borderId="7" xfId="0" applyFont="1" applyFill="1" applyBorder="1" applyAlignment="1">
      <alignment horizontal="center" vertical="center" readingOrder="1"/>
    </xf>
    <xf numFmtId="0" fontId="24" fillId="10" borderId="18" xfId="0" applyFont="1" applyFill="1" applyBorder="1" applyAlignment="1">
      <alignment horizontal="center" vertical="center" readingOrder="1"/>
    </xf>
    <xf numFmtId="0" fontId="24" fillId="10" borderId="6" xfId="0" applyFont="1" applyFill="1" applyBorder="1" applyAlignment="1">
      <alignment horizontal="center" vertical="center" readingOrder="1"/>
    </xf>
    <xf numFmtId="0" fontId="7" fillId="10" borderId="11" xfId="0" applyFont="1" applyFill="1" applyBorder="1" applyAlignment="1">
      <alignment horizontal="center" vertical="center" readingOrder="1"/>
    </xf>
    <xf numFmtId="0" fontId="7" fillId="10" borderId="15" xfId="0" applyFont="1" applyFill="1" applyBorder="1" applyAlignment="1">
      <alignment horizontal="center" vertical="center" readingOrder="1"/>
    </xf>
    <xf numFmtId="0" fontId="7" fillId="10" borderId="0" xfId="0" applyFont="1" applyFill="1" applyAlignment="1">
      <alignment horizontal="center" vertical="center" readingOrder="1"/>
    </xf>
    <xf numFmtId="0" fontId="7" fillId="10" borderId="6" xfId="0" applyFont="1" applyFill="1" applyBorder="1" applyAlignment="1">
      <alignment horizontal="center" vertical="center" readingOrder="1"/>
    </xf>
    <xf numFmtId="0" fontId="7" fillId="10" borderId="7" xfId="0" applyFont="1" applyFill="1" applyBorder="1" applyAlignment="1">
      <alignment horizontal="center" vertical="center" readingOrder="1"/>
    </xf>
    <xf numFmtId="0" fontId="7" fillId="10" borderId="9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 readingOrder="1"/>
    </xf>
    <xf numFmtId="0" fontId="24" fillId="10" borderId="8" xfId="0" applyFont="1" applyFill="1" applyBorder="1" applyAlignment="1">
      <alignment horizontal="center" vertical="center" readingOrder="1"/>
    </xf>
    <xf numFmtId="0" fontId="23" fillId="10" borderId="8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 readingOrder="1"/>
    </xf>
    <xf numFmtId="0" fontId="23" fillId="10" borderId="9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 readingOrder="1"/>
    </xf>
    <xf numFmtId="0" fontId="24" fillId="10" borderId="9" xfId="0" applyFont="1" applyFill="1" applyBorder="1" applyAlignment="1">
      <alignment horizontal="center" vertical="center" readingOrder="1"/>
    </xf>
    <xf numFmtId="0" fontId="7" fillId="10" borderId="2" xfId="0" applyFont="1" applyFill="1" applyBorder="1" applyAlignment="1">
      <alignment horizontal="center" vertical="center" readingOrder="1"/>
    </xf>
    <xf numFmtId="0" fontId="7" fillId="10" borderId="19" xfId="0" applyFont="1" applyFill="1" applyBorder="1" applyAlignment="1">
      <alignment horizontal="center" vertical="center" readingOrder="1"/>
    </xf>
    <xf numFmtId="0" fontId="7" fillId="10" borderId="10" xfId="0" applyFont="1" applyFill="1" applyBorder="1" applyAlignment="1">
      <alignment horizontal="center" vertical="center" readingOrder="1"/>
    </xf>
    <xf numFmtId="0" fontId="7" fillId="10" borderId="1" xfId="0" applyFont="1" applyFill="1" applyBorder="1" applyAlignment="1">
      <alignment horizontal="center" vertical="center" readingOrder="1"/>
    </xf>
    <xf numFmtId="0" fontId="24" fillId="10" borderId="10" xfId="0" applyFont="1" applyFill="1" applyBorder="1" applyAlignment="1">
      <alignment horizontal="center" vertical="center" readingOrder="1"/>
    </xf>
    <xf numFmtId="0" fontId="23" fillId="10" borderId="11" xfId="0" applyFont="1" applyFill="1" applyBorder="1" applyAlignment="1">
      <alignment horizontal="center" vertical="center"/>
    </xf>
    <xf numFmtId="0" fontId="23" fillId="10" borderId="20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/>
    </xf>
    <xf numFmtId="0" fontId="23" fillId="10" borderId="21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 readingOrder="1"/>
    </xf>
    <xf numFmtId="0" fontId="23" fillId="10" borderId="16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 readingOrder="1"/>
    </xf>
    <xf numFmtId="0" fontId="10" fillId="6" borderId="8" xfId="0" applyFont="1" applyFill="1" applyBorder="1" applyAlignment="1">
      <alignment horizontal="left"/>
    </xf>
    <xf numFmtId="0" fontId="4" fillId="2" borderId="0" xfId="0" applyFont="1" applyFill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readingOrder="1"/>
    </xf>
    <xf numFmtId="0" fontId="4" fillId="7" borderId="1" xfId="0" applyFont="1" applyFill="1" applyBorder="1" applyAlignment="1">
      <alignment horizontal="left" vertical="center" readingOrder="1"/>
    </xf>
    <xf numFmtId="0" fontId="3" fillId="7" borderId="1" xfId="0" applyFont="1" applyFill="1" applyBorder="1" applyAlignment="1">
      <alignment horizontal="left" vertical="center" readingOrder="1"/>
    </xf>
    <xf numFmtId="0" fontId="3" fillId="7" borderId="1" xfId="0" applyFont="1" applyFill="1" applyBorder="1" applyAlignment="1">
      <alignment horizontal="center" vertical="center" readingOrder="1"/>
    </xf>
    <xf numFmtId="0" fontId="3" fillId="7" borderId="24" xfId="0" applyFont="1" applyFill="1" applyBorder="1" applyAlignment="1">
      <alignment horizontal="center" vertical="center" readingOrder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left" vertical="center" wrapText="1" readingOrder="1"/>
    </xf>
    <xf numFmtId="0" fontId="3" fillId="8" borderId="1" xfId="0" applyFont="1" applyFill="1" applyBorder="1" applyAlignment="1">
      <alignment horizontal="center" vertical="center" readingOrder="1"/>
    </xf>
    <xf numFmtId="0" fontId="3" fillId="8" borderId="24" xfId="0" applyFont="1" applyFill="1" applyBorder="1" applyAlignment="1">
      <alignment horizontal="center" vertical="center" readingOrder="1"/>
    </xf>
    <xf numFmtId="0" fontId="4" fillId="8" borderId="1" xfId="0" applyFont="1" applyFill="1" applyBorder="1" applyAlignment="1">
      <alignment horizontal="center" readingOrder="1"/>
    </xf>
    <xf numFmtId="0" fontId="3" fillId="8" borderId="1" xfId="0" applyFont="1" applyFill="1" applyBorder="1" applyAlignment="1">
      <alignment horizontal="left" readingOrder="1"/>
    </xf>
    <xf numFmtId="0" fontId="4" fillId="8" borderId="1" xfId="0" applyFont="1" applyFill="1" applyBorder="1" applyAlignment="1">
      <alignment horizontal="center" vertical="center" readingOrder="1"/>
    </xf>
    <xf numFmtId="0" fontId="3" fillId="8" borderId="1" xfId="0" applyFont="1" applyFill="1" applyBorder="1" applyAlignment="1">
      <alignment horizontal="left" vertical="center" readingOrder="1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readingOrder="1"/>
    </xf>
    <xf numFmtId="0" fontId="3" fillId="9" borderId="1" xfId="0" applyFont="1" applyFill="1" applyBorder="1" applyAlignment="1">
      <alignment horizontal="left" vertical="center" readingOrder="1"/>
    </xf>
    <xf numFmtId="0" fontId="3" fillId="9" borderId="1" xfId="0" applyFont="1" applyFill="1" applyBorder="1" applyAlignment="1">
      <alignment horizontal="center" vertical="center" readingOrder="1"/>
    </xf>
    <xf numFmtId="0" fontId="3" fillId="9" borderId="24" xfId="0" applyFont="1" applyFill="1" applyBorder="1" applyAlignment="1">
      <alignment horizontal="center" vertical="center" readingOrder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readingOrder="1"/>
    </xf>
    <xf numFmtId="0" fontId="3" fillId="9" borderId="1" xfId="0" applyFont="1" applyFill="1" applyBorder="1" applyAlignment="1">
      <alignment horizontal="left" readingOrder="1"/>
    </xf>
    <xf numFmtId="0" fontId="4" fillId="2" borderId="1" xfId="0" applyFont="1" applyFill="1" applyBorder="1" applyAlignment="1">
      <alignment horizontal="center" readingOrder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3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4" fillId="7" borderId="9" xfId="0" applyFont="1" applyFill="1" applyBorder="1"/>
    <xf numFmtId="0" fontId="11" fillId="3" borderId="4" xfId="0" applyFont="1" applyFill="1" applyBorder="1" applyAlignment="1">
      <alignment horizontal="center" vertical="center" readingOrder="1"/>
    </xf>
    <xf numFmtId="0" fontId="24" fillId="2" borderId="16" xfId="0" applyFont="1" applyFill="1" applyBorder="1" applyAlignment="1">
      <alignment horizontal="center" vertical="center" readingOrder="1"/>
    </xf>
    <xf numFmtId="0" fontId="24" fillId="2" borderId="3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readingOrder="1"/>
    </xf>
    <xf numFmtId="0" fontId="7" fillId="2" borderId="4" xfId="0" applyFont="1" applyFill="1" applyBorder="1" applyAlignment="1">
      <alignment horizontal="center" vertical="center" readingOrder="1"/>
    </xf>
    <xf numFmtId="0" fontId="24" fillId="2" borderId="4" xfId="0" applyFont="1" applyFill="1" applyBorder="1" applyAlignment="1">
      <alignment horizontal="center" vertical="center" readingOrder="1"/>
    </xf>
    <xf numFmtId="0" fontId="23" fillId="7" borderId="9" xfId="0" applyFont="1" applyFill="1" applyBorder="1" applyAlignment="1">
      <alignment horizontal="center"/>
    </xf>
    <xf numFmtId="0" fontId="24" fillId="6" borderId="8" xfId="0" applyFont="1" applyFill="1" applyBorder="1" applyAlignment="1">
      <alignment horizontal="center" readingOrder="1"/>
    </xf>
    <xf numFmtId="0" fontId="23" fillId="9" borderId="8" xfId="0" applyFont="1" applyFill="1" applyBorder="1" applyAlignment="1">
      <alignment horizontal="center"/>
    </xf>
    <xf numFmtId="0" fontId="23" fillId="7" borderId="12" xfId="0" applyFont="1" applyFill="1" applyBorder="1" applyAlignment="1">
      <alignment horizontal="center"/>
    </xf>
    <xf numFmtId="0" fontId="23" fillId="6" borderId="8" xfId="0" applyFont="1" applyFill="1" applyBorder="1" applyAlignment="1">
      <alignment horizontal="center"/>
    </xf>
    <xf numFmtId="0" fontId="23" fillId="13" borderId="8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 vertical="center"/>
    </xf>
    <xf numFmtId="0" fontId="35" fillId="12" borderId="12" xfId="0" applyFont="1" applyFill="1" applyBorder="1" applyAlignment="1">
      <alignment horizontal="center" vertical="center" readingOrder="1"/>
    </xf>
    <xf numFmtId="0" fontId="32" fillId="12" borderId="1" xfId="0" applyFont="1" applyFill="1" applyBorder="1" applyAlignment="1">
      <alignment horizontal="center" vertical="center"/>
    </xf>
    <xf numFmtId="0" fontId="34" fillId="12" borderId="12" xfId="0" applyFont="1" applyFill="1" applyBorder="1" applyAlignment="1">
      <alignment vertical="center" readingOrder="1"/>
    </xf>
    <xf numFmtId="0" fontId="13" fillId="13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24" fillId="14" borderId="11" xfId="0" applyFont="1" applyFill="1" applyBorder="1" applyAlignment="1">
      <alignment horizontal="left" vertical="center" readingOrder="1"/>
    </xf>
    <xf numFmtId="0" fontId="24" fillId="14" borderId="0" xfId="0" applyFont="1" applyFill="1" applyAlignment="1">
      <alignment horizontal="left" vertical="center" readingOrder="1"/>
    </xf>
    <xf numFmtId="0" fontId="24" fillId="14" borderId="21" xfId="0" applyFont="1" applyFill="1" applyBorder="1" applyAlignment="1">
      <alignment horizontal="center" vertical="center" readingOrder="1"/>
    </xf>
    <xf numFmtId="0" fontId="13" fillId="6" borderId="7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readingOrder="1"/>
    </xf>
    <xf numFmtId="0" fontId="18" fillId="6" borderId="7" xfId="0" applyFont="1" applyFill="1" applyBorder="1" applyAlignment="1">
      <alignment horizontal="left" readingOrder="1"/>
    </xf>
    <xf numFmtId="0" fontId="20" fillId="6" borderId="7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8" fillId="13" borderId="1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/>
    </xf>
    <xf numFmtId="0" fontId="28" fillId="6" borderId="12" xfId="0" applyFont="1" applyFill="1" applyBorder="1" applyAlignment="1">
      <alignment horizontal="center"/>
    </xf>
    <xf numFmtId="0" fontId="29" fillId="6" borderId="12" xfId="0" applyFont="1" applyFill="1" applyBorder="1" applyAlignment="1">
      <alignment horizontal="center"/>
    </xf>
    <xf numFmtId="0" fontId="29" fillId="16" borderId="12" xfId="0" applyFont="1" applyFill="1" applyBorder="1" applyAlignment="1">
      <alignment horizontal="center"/>
    </xf>
    <xf numFmtId="0" fontId="28" fillId="13" borderId="12" xfId="0" applyFont="1" applyFill="1" applyBorder="1" applyAlignment="1">
      <alignment horizontal="center"/>
    </xf>
    <xf numFmtId="0" fontId="14" fillId="12" borderId="14" xfId="0" applyFont="1" applyFill="1" applyBorder="1" applyAlignment="1">
      <alignment vertical="center" readingOrder="1"/>
    </xf>
    <xf numFmtId="0" fontId="14" fillId="12" borderId="27" xfId="0" applyFont="1" applyFill="1" applyBorder="1" applyAlignment="1">
      <alignment vertical="center" readingOrder="1"/>
    </xf>
    <xf numFmtId="0" fontId="14" fillId="12" borderId="25" xfId="0" applyFont="1" applyFill="1" applyBorder="1" applyAlignment="1">
      <alignment horizontal="center" vertical="center" readingOrder="1"/>
    </xf>
    <xf numFmtId="0" fontId="28" fillId="7" borderId="4" xfId="0" applyFont="1" applyFill="1" applyBorder="1" applyAlignment="1">
      <alignment horizontal="center" vertical="center"/>
    </xf>
    <xf numFmtId="0" fontId="28" fillId="7" borderId="4" xfId="0" applyFont="1" applyFill="1" applyBorder="1"/>
    <xf numFmtId="0" fontId="28" fillId="7" borderId="4" xfId="0" applyFont="1" applyFill="1" applyBorder="1" applyAlignment="1">
      <alignment horizontal="center"/>
    </xf>
    <xf numFmtId="0" fontId="29" fillId="6" borderId="4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4" xfId="0" applyFont="1" applyFill="1" applyBorder="1"/>
    <xf numFmtId="0" fontId="28" fillId="6" borderId="4" xfId="0" applyFont="1" applyFill="1" applyBorder="1" applyAlignment="1">
      <alignment horizontal="center"/>
    </xf>
    <xf numFmtId="0" fontId="29" fillId="6" borderId="4" xfId="0" applyFont="1" applyFill="1" applyBorder="1" applyAlignment="1">
      <alignment horizontal="left" vertical="center"/>
    </xf>
    <xf numFmtId="0" fontId="30" fillId="6" borderId="4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/>
    </xf>
    <xf numFmtId="0" fontId="29" fillId="6" borderId="4" xfId="0" applyFont="1" applyFill="1" applyBorder="1" applyAlignment="1">
      <alignment horizontal="center" vertical="center" readingOrder="1"/>
    </xf>
    <xf numFmtId="0" fontId="29" fillId="6" borderId="4" xfId="0" applyFont="1" applyFill="1" applyBorder="1" applyAlignment="1">
      <alignment horizontal="left" vertical="center" readingOrder="1"/>
    </xf>
    <xf numFmtId="0" fontId="29" fillId="16" borderId="4" xfId="0" applyFont="1" applyFill="1" applyBorder="1" applyAlignment="1">
      <alignment horizontal="center" vertical="center"/>
    </xf>
    <xf numFmtId="0" fontId="29" fillId="16" borderId="4" xfId="0" applyFont="1" applyFill="1" applyBorder="1" applyAlignment="1">
      <alignment horizontal="center" vertical="center" wrapText="1" readingOrder="1"/>
    </xf>
    <xf numFmtId="0" fontId="29" fillId="16" borderId="4" xfId="0" applyFont="1" applyFill="1" applyBorder="1" applyAlignment="1">
      <alignment horizontal="left" vertical="center" wrapText="1" readingOrder="1"/>
    </xf>
    <xf numFmtId="0" fontId="31" fillId="16" borderId="4" xfId="0" applyFont="1" applyFill="1" applyBorder="1" applyAlignment="1">
      <alignment horizontal="center" vertical="center" wrapText="1" readingOrder="1"/>
    </xf>
    <xf numFmtId="0" fontId="29" fillId="16" borderId="4" xfId="0" applyFont="1" applyFill="1" applyBorder="1" applyAlignment="1">
      <alignment horizontal="center"/>
    </xf>
    <xf numFmtId="0" fontId="29" fillId="13" borderId="4" xfId="0" applyFont="1" applyFill="1" applyBorder="1" applyAlignment="1">
      <alignment horizontal="center" vertical="center"/>
    </xf>
    <xf numFmtId="0" fontId="29" fillId="13" borderId="4" xfId="0" applyFont="1" applyFill="1" applyBorder="1" applyAlignment="1">
      <alignment horizontal="left" vertical="center"/>
    </xf>
    <xf numFmtId="0" fontId="30" fillId="13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3" borderId="4" xfId="0" applyFont="1" applyFill="1" applyBorder="1"/>
    <xf numFmtId="0" fontId="28" fillId="13" borderId="4" xfId="0" applyFont="1" applyFill="1" applyBorder="1" applyAlignment="1">
      <alignment horizontal="center"/>
    </xf>
    <xf numFmtId="0" fontId="29" fillId="15" borderId="2" xfId="0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left" vertical="center"/>
    </xf>
    <xf numFmtId="0" fontId="30" fillId="11" borderId="4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/>
    </xf>
    <xf numFmtId="0" fontId="29" fillId="15" borderId="12" xfId="0" applyFont="1" applyFill="1" applyBorder="1" applyAlignment="1">
      <alignment horizontal="center"/>
    </xf>
    <xf numFmtId="0" fontId="29" fillId="15" borderId="1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/>
    </xf>
    <xf numFmtId="0" fontId="29" fillId="15" borderId="8" xfId="0" applyFont="1" applyFill="1" applyBorder="1" applyAlignment="1">
      <alignment horizontal="center" vertical="center"/>
    </xf>
    <xf numFmtId="0" fontId="29" fillId="15" borderId="9" xfId="0" applyFont="1" applyFill="1" applyBorder="1" applyAlignment="1">
      <alignment horizontal="center" vertical="center" wrapText="1" readingOrder="1"/>
    </xf>
    <xf numFmtId="0" fontId="29" fillId="15" borderId="8" xfId="0" applyFont="1" applyFill="1" applyBorder="1" applyAlignment="1">
      <alignment horizontal="left" vertical="center" wrapText="1" readingOrder="1"/>
    </xf>
    <xf numFmtId="0" fontId="31" fillId="15" borderId="8" xfId="0" applyFont="1" applyFill="1" applyBorder="1" applyAlignment="1">
      <alignment horizontal="center" vertical="center" readingOrder="1"/>
    </xf>
    <xf numFmtId="0" fontId="29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 vertical="center" readingOrder="1"/>
    </xf>
    <xf numFmtId="0" fontId="29" fillId="15" borderId="8" xfId="0" applyFont="1" applyFill="1" applyBorder="1" applyAlignment="1">
      <alignment horizontal="left" vertical="center" readingOrder="1"/>
    </xf>
    <xf numFmtId="0" fontId="29" fillId="15" borderId="8" xfId="0" applyFont="1" applyFill="1" applyBorder="1" applyAlignment="1">
      <alignment horizontal="center" vertical="center" readingOrder="1"/>
    </xf>
    <xf numFmtId="0" fontId="29" fillId="15" borderId="1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left" vertical="center" wrapText="1" readingOrder="1"/>
    </xf>
    <xf numFmtId="0" fontId="13" fillId="15" borderId="1" xfId="0" applyFont="1" applyFill="1" applyBorder="1" applyAlignment="1">
      <alignment horizontal="left" vertical="center" wrapText="1" readingOrder="1"/>
    </xf>
    <xf numFmtId="0" fontId="19" fillId="15" borderId="2" xfId="0" applyFont="1" applyFill="1" applyBorder="1" applyAlignment="1">
      <alignment horizontal="center" vertical="center" wrapText="1" readingOrder="1"/>
    </xf>
    <xf numFmtId="0" fontId="13" fillId="15" borderId="1" xfId="0" applyFont="1" applyFill="1" applyBorder="1"/>
    <xf numFmtId="0" fontId="13" fillId="15" borderId="1" xfId="0" applyFont="1" applyFill="1" applyBorder="1" applyAlignment="1">
      <alignment horizontal="center"/>
    </xf>
    <xf numFmtId="0" fontId="13" fillId="15" borderId="18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18" fillId="15" borderId="2" xfId="0" applyFont="1" applyFill="1" applyBorder="1" applyAlignment="1">
      <alignment horizontal="center" vertical="center" readingOrder="1"/>
    </xf>
    <xf numFmtId="0" fontId="20" fillId="11" borderId="2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 wrapText="1" readingOrder="1"/>
    </xf>
    <xf numFmtId="0" fontId="19" fillId="15" borderId="2" xfId="0" applyFont="1" applyFill="1" applyBorder="1" applyAlignment="1">
      <alignment horizontal="center" vertical="center" readingOrder="1"/>
    </xf>
    <xf numFmtId="0" fontId="2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13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left" vertical="center"/>
    </xf>
    <xf numFmtId="0" fontId="13" fillId="15" borderId="12" xfId="0" applyFont="1" applyFill="1" applyBorder="1" applyAlignment="1">
      <alignment horizontal="left" vertical="center" wrapText="1" readingOrder="1"/>
    </xf>
    <xf numFmtId="0" fontId="18" fillId="15" borderId="12" xfId="0" applyFont="1" applyFill="1" applyBorder="1" applyAlignment="1">
      <alignment horizontal="left" vertical="center" readingOrder="1"/>
    </xf>
    <xf numFmtId="0" fontId="13" fillId="11" borderId="12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center" vertical="center" wrapText="1" readingOrder="1"/>
    </xf>
    <xf numFmtId="0" fontId="13" fillId="15" borderId="4" xfId="0" applyFont="1" applyFill="1" applyBorder="1" applyAlignment="1">
      <alignment horizontal="left" vertical="center" wrapText="1" readingOrder="1"/>
    </xf>
    <xf numFmtId="0" fontId="15" fillId="15" borderId="4" xfId="0" applyFont="1" applyFill="1" applyBorder="1" applyAlignment="1">
      <alignment horizontal="center" vertical="center" readingOrder="1"/>
    </xf>
    <xf numFmtId="0" fontId="18" fillId="15" borderId="4" xfId="0" applyFont="1" applyFill="1" applyBorder="1" applyAlignment="1">
      <alignment horizontal="left" vertical="center" readingOrder="1"/>
    </xf>
    <xf numFmtId="0" fontId="13" fillId="11" borderId="4" xfId="0" applyFont="1" applyFill="1" applyBorder="1" applyAlignment="1">
      <alignment horizontal="left" vertical="center"/>
    </xf>
    <xf numFmtId="0" fontId="19" fillId="11" borderId="12" xfId="0" applyFont="1" applyFill="1" applyBorder="1" applyAlignment="1">
      <alignment horizontal="center" vertical="center" readingOrder="1"/>
    </xf>
    <xf numFmtId="0" fontId="28" fillId="11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34" fillId="6" borderId="6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0" fontId="34" fillId="13" borderId="6" xfId="0" applyFont="1" applyFill="1" applyBorder="1" applyAlignment="1">
      <alignment horizontal="center" vertical="center"/>
    </xf>
    <xf numFmtId="0" fontId="34" fillId="13" borderId="4" xfId="0" applyFont="1" applyFill="1" applyBorder="1" applyAlignment="1">
      <alignment horizontal="center" vertical="center"/>
    </xf>
    <xf numFmtId="0" fontId="34" fillId="11" borderId="4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34" fillId="10" borderId="6" xfId="0" applyFont="1" applyFill="1" applyBorder="1" applyAlignment="1">
      <alignment horizontal="center" vertical="center"/>
    </xf>
    <xf numFmtId="0" fontId="34" fillId="10" borderId="4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7" borderId="9" xfId="0" applyFont="1" applyFill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16" borderId="9" xfId="0" applyFont="1" applyFill="1" applyBorder="1" applyAlignment="1">
      <alignment horizontal="center" vertical="center"/>
    </xf>
    <xf numFmtId="0" fontId="38" fillId="15" borderId="9" xfId="0" applyFont="1" applyFill="1" applyBorder="1" applyAlignment="1">
      <alignment horizontal="center" vertical="center"/>
    </xf>
    <xf numFmtId="0" fontId="38" fillId="10" borderId="19" xfId="0" applyFont="1" applyFill="1" applyBorder="1" applyAlignment="1">
      <alignment horizontal="center" vertical="center"/>
    </xf>
    <xf numFmtId="0" fontId="38" fillId="10" borderId="4" xfId="0" applyFont="1" applyFill="1" applyBorder="1" applyAlignment="1">
      <alignment horizontal="center" vertical="center"/>
    </xf>
    <xf numFmtId="0" fontId="36" fillId="0" borderId="0" xfId="0" applyFont="1"/>
    <xf numFmtId="0" fontId="34" fillId="7" borderId="9" xfId="0" applyFont="1" applyFill="1" applyBorder="1" applyAlignment="1">
      <alignment horizontal="center" vertical="center"/>
    </xf>
    <xf numFmtId="0" fontId="34" fillId="14" borderId="9" xfId="0" applyFont="1" applyFill="1" applyBorder="1" applyAlignment="1">
      <alignment horizontal="center" vertical="center"/>
    </xf>
    <xf numFmtId="0" fontId="34" fillId="13" borderId="9" xfId="0" applyFont="1" applyFill="1" applyBorder="1" applyAlignment="1">
      <alignment horizontal="center" vertical="center"/>
    </xf>
    <xf numFmtId="0" fontId="34" fillId="15" borderId="9" xfId="0" applyFont="1" applyFill="1" applyBorder="1" applyAlignment="1">
      <alignment horizontal="center" vertical="center"/>
    </xf>
    <xf numFmtId="0" fontId="34" fillId="10" borderId="9" xfId="0" applyFont="1" applyFill="1" applyBorder="1" applyAlignment="1">
      <alignment horizontal="center" vertical="center"/>
    </xf>
    <xf numFmtId="0" fontId="34" fillId="7" borderId="9" xfId="0" applyFont="1" applyFill="1" applyBorder="1" applyAlignment="1">
      <alignment horizontal="center"/>
    </xf>
    <xf numFmtId="0" fontId="34" fillId="6" borderId="6" xfId="0" applyFont="1" applyFill="1" applyBorder="1" applyAlignment="1">
      <alignment horizontal="center"/>
    </xf>
    <xf numFmtId="0" fontId="34" fillId="6" borderId="1" xfId="0" applyFont="1" applyFill="1" applyBorder="1" applyAlignment="1">
      <alignment horizontal="center"/>
    </xf>
    <xf numFmtId="0" fontId="34" fillId="9" borderId="6" xfId="0" applyFont="1" applyFill="1" applyBorder="1" applyAlignment="1">
      <alignment horizontal="center"/>
    </xf>
    <xf numFmtId="0" fontId="34" fillId="9" borderId="1" xfId="0" applyFont="1" applyFill="1" applyBorder="1" applyAlignment="1">
      <alignment horizontal="center"/>
    </xf>
    <xf numFmtId="0" fontId="34" fillId="11" borderId="6" xfId="0" applyFont="1" applyFill="1" applyBorder="1" applyAlignment="1">
      <alignment horizontal="center"/>
    </xf>
    <xf numFmtId="0" fontId="34" fillId="11" borderId="1" xfId="0" applyFont="1" applyFill="1" applyBorder="1" applyAlignment="1">
      <alignment horizontal="center"/>
    </xf>
    <xf numFmtId="0" fontId="34" fillId="2" borderId="6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9" borderId="6" xfId="0" applyFont="1" applyFill="1" applyBorder="1" applyAlignment="1">
      <alignment horizontal="center" vertical="center"/>
    </xf>
    <xf numFmtId="0" fontId="34" fillId="9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9" borderId="28" xfId="0" applyFont="1" applyFill="1" applyBorder="1" applyAlignment="1">
      <alignment horizontal="center" vertical="center" readingOrder="1"/>
    </xf>
    <xf numFmtId="0" fontId="3" fillId="2" borderId="9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9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mo.mn/olympiads/achievements/219233/" TargetMode="External"/><Relationship Id="rId1" Type="http://schemas.openxmlformats.org/officeDocument/2006/relationships/hyperlink" Target="https://mmo.mn/olympiads/achievements/21236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6068-BCF3-4A2C-8B7C-70981F0D9826}">
  <dimension ref="B1:BP482"/>
  <sheetViews>
    <sheetView zoomScale="65" zoomScaleNormal="120" workbookViewId="0">
      <pane xSplit="3" ySplit="3" topLeftCell="D4" activePane="bottomRight" state="frozen"/>
      <selection pane="topRight"/>
      <selection pane="bottomLeft"/>
      <selection pane="bottomRight" activeCell="V22" sqref="V22"/>
    </sheetView>
  </sheetViews>
  <sheetFormatPr baseColWidth="10" defaultColWidth="9.1640625" defaultRowHeight="14" x14ac:dyDescent="0.15"/>
  <cols>
    <col min="1" max="1" width="0.6640625" style="1" customWidth="1"/>
    <col min="2" max="2" width="6.33203125" style="621" customWidth="1"/>
    <col min="3" max="3" width="10.83203125" style="10" hidden="1" customWidth="1"/>
    <col min="4" max="4" width="7.1640625" style="10" bestFit="1" customWidth="1"/>
    <col min="5" max="5" width="16.6640625" style="10" customWidth="1"/>
    <col min="6" max="6" width="21.6640625" style="10" customWidth="1"/>
    <col min="7" max="7" width="28.33203125" style="10" customWidth="1"/>
    <col min="8" max="8" width="17" style="10" customWidth="1"/>
    <col min="9" max="9" width="5.6640625" style="10" hidden="1" customWidth="1"/>
    <col min="10" max="15" width="12.5" style="10" customWidth="1"/>
    <col min="16" max="16" width="10.33203125" style="1" customWidth="1"/>
    <col min="17" max="16384" width="9.1640625" style="1"/>
  </cols>
  <sheetData>
    <row r="1" spans="2:68" ht="37.5" customHeight="1" x14ac:dyDescent="0.2">
      <c r="B1" s="628" t="s">
        <v>878</v>
      </c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427"/>
    </row>
    <row r="2" spans="2:68" ht="37.5" customHeight="1" x14ac:dyDescent="0.2"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427"/>
    </row>
    <row r="3" spans="2:68" s="2" customFormat="1" ht="47.25" customHeight="1" x14ac:dyDescent="0.15">
      <c r="B3" s="60" t="s">
        <v>0</v>
      </c>
      <c r="C3" s="61" t="s">
        <v>1</v>
      </c>
      <c r="D3" s="61" t="s">
        <v>2</v>
      </c>
      <c r="E3" s="61" t="s">
        <v>3</v>
      </c>
      <c r="F3" s="61" t="s">
        <v>4</v>
      </c>
      <c r="G3" s="61" t="s">
        <v>5</v>
      </c>
      <c r="H3" s="61" t="s">
        <v>6</v>
      </c>
      <c r="I3" s="61" t="s">
        <v>7</v>
      </c>
      <c r="J3" s="61" t="s">
        <v>8</v>
      </c>
      <c r="K3" s="61" t="s">
        <v>9</v>
      </c>
      <c r="L3" s="61" t="s">
        <v>10</v>
      </c>
      <c r="M3" s="61" t="s">
        <v>11</v>
      </c>
      <c r="N3" s="61" t="s">
        <v>12</v>
      </c>
      <c r="O3" s="62" t="s">
        <v>13</v>
      </c>
      <c r="P3" s="465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s="57" customFormat="1" ht="20.25" customHeight="1" x14ac:dyDescent="0.2">
      <c r="B4" s="616">
        <v>1</v>
      </c>
      <c r="C4" s="428" t="s">
        <v>15</v>
      </c>
      <c r="D4" s="428">
        <v>209</v>
      </c>
      <c r="E4" s="429">
        <v>219428</v>
      </c>
      <c r="F4" s="430" t="s">
        <v>16</v>
      </c>
      <c r="G4" s="431" t="s">
        <v>17</v>
      </c>
      <c r="H4" s="432">
        <v>5</v>
      </c>
      <c r="I4" s="432" t="s">
        <v>18</v>
      </c>
      <c r="J4" s="432">
        <v>0</v>
      </c>
      <c r="K4" s="432">
        <v>7</v>
      </c>
      <c r="L4" s="432">
        <v>7</v>
      </c>
      <c r="M4" s="432">
        <v>5</v>
      </c>
      <c r="N4" s="428">
        <f t="shared" ref="N4:N35" si="0">SUM(J4:M4)</f>
        <v>19</v>
      </c>
      <c r="O4" s="433" t="s">
        <v>19</v>
      </c>
      <c r="P4" s="464" t="s">
        <v>20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s="58" customFormat="1" ht="19" x14ac:dyDescent="0.2">
      <c r="B5" s="617">
        <v>2</v>
      </c>
      <c r="C5" s="435" t="s">
        <v>15</v>
      </c>
      <c r="D5" s="435">
        <v>209</v>
      </c>
      <c r="E5" s="436">
        <v>217429</v>
      </c>
      <c r="F5" s="437" t="s">
        <v>21</v>
      </c>
      <c r="G5" s="437" t="s">
        <v>22</v>
      </c>
      <c r="H5" s="438">
        <v>24</v>
      </c>
      <c r="I5" s="438" t="s">
        <v>23</v>
      </c>
      <c r="J5" s="438">
        <v>7</v>
      </c>
      <c r="K5" s="438">
        <v>0</v>
      </c>
      <c r="L5" s="438">
        <v>5</v>
      </c>
      <c r="M5" s="438">
        <v>0</v>
      </c>
      <c r="N5" s="435">
        <f t="shared" si="0"/>
        <v>12</v>
      </c>
      <c r="O5" s="439" t="s">
        <v>24</v>
      </c>
      <c r="P5" s="434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s="58" customFormat="1" ht="18" x14ac:dyDescent="0.2">
      <c r="B6" s="617">
        <v>3</v>
      </c>
      <c r="C6" s="435" t="s">
        <v>15</v>
      </c>
      <c r="D6" s="435">
        <v>207</v>
      </c>
      <c r="E6" s="440">
        <v>217342</v>
      </c>
      <c r="F6" s="441" t="s">
        <v>26</v>
      </c>
      <c r="G6" s="441" t="s">
        <v>27</v>
      </c>
      <c r="H6" s="438">
        <v>24</v>
      </c>
      <c r="I6" s="438" t="s">
        <v>28</v>
      </c>
      <c r="J6" s="438">
        <v>7</v>
      </c>
      <c r="K6" s="438">
        <v>1</v>
      </c>
      <c r="L6" s="438">
        <v>4</v>
      </c>
      <c r="M6" s="438">
        <v>0</v>
      </c>
      <c r="N6" s="435">
        <f t="shared" si="0"/>
        <v>12</v>
      </c>
      <c r="O6" s="439" t="s">
        <v>24</v>
      </c>
      <c r="P6" s="434" t="s">
        <v>25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s="58" customFormat="1" ht="18" x14ac:dyDescent="0.2">
      <c r="B7" s="617">
        <v>4</v>
      </c>
      <c r="C7" s="435" t="s">
        <v>15</v>
      </c>
      <c r="D7" s="435">
        <v>204</v>
      </c>
      <c r="E7" s="442">
        <v>218598</v>
      </c>
      <c r="F7" s="443" t="s">
        <v>29</v>
      </c>
      <c r="G7" s="443" t="s">
        <v>30</v>
      </c>
      <c r="H7" s="438">
        <v>24</v>
      </c>
      <c r="I7" s="438" t="s">
        <v>31</v>
      </c>
      <c r="J7" s="438">
        <v>7</v>
      </c>
      <c r="K7" s="438">
        <v>0</v>
      </c>
      <c r="L7" s="438">
        <v>4</v>
      </c>
      <c r="M7" s="438">
        <v>0</v>
      </c>
      <c r="N7" s="435">
        <f t="shared" si="0"/>
        <v>11</v>
      </c>
      <c r="O7" s="439" t="s">
        <v>24</v>
      </c>
      <c r="P7" s="434" t="s">
        <v>25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s="59" customFormat="1" ht="18" x14ac:dyDescent="0.2">
      <c r="B8" s="618">
        <v>5</v>
      </c>
      <c r="C8" s="445" t="s">
        <v>15</v>
      </c>
      <c r="D8" s="445">
        <v>209</v>
      </c>
      <c r="E8" s="446">
        <v>219418</v>
      </c>
      <c r="F8" s="447" t="s">
        <v>32</v>
      </c>
      <c r="G8" s="447" t="s">
        <v>33</v>
      </c>
      <c r="H8" s="448">
        <v>5</v>
      </c>
      <c r="I8" s="448" t="s">
        <v>34</v>
      </c>
      <c r="J8" s="448">
        <v>7</v>
      </c>
      <c r="K8" s="448">
        <v>0</v>
      </c>
      <c r="L8" s="448">
        <v>1</v>
      </c>
      <c r="M8" s="448">
        <v>0</v>
      </c>
      <c r="N8" s="445">
        <f t="shared" si="0"/>
        <v>8</v>
      </c>
      <c r="O8" s="449" t="s">
        <v>35</v>
      </c>
      <c r="P8" s="444" t="s">
        <v>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s="59" customFormat="1" ht="18" x14ac:dyDescent="0.2">
      <c r="B9" s="618">
        <v>6</v>
      </c>
      <c r="C9" s="445" t="s">
        <v>15</v>
      </c>
      <c r="D9" s="445">
        <v>205</v>
      </c>
      <c r="E9" s="446">
        <v>161672</v>
      </c>
      <c r="F9" s="447" t="s">
        <v>37</v>
      </c>
      <c r="G9" s="447" t="s">
        <v>38</v>
      </c>
      <c r="H9" s="448">
        <v>23</v>
      </c>
      <c r="I9" s="448" t="s">
        <v>39</v>
      </c>
      <c r="J9" s="448">
        <v>7</v>
      </c>
      <c r="K9" s="448">
        <v>1</v>
      </c>
      <c r="L9" s="448">
        <v>0</v>
      </c>
      <c r="M9" s="448">
        <v>0</v>
      </c>
      <c r="N9" s="445">
        <f t="shared" si="0"/>
        <v>8</v>
      </c>
      <c r="O9" s="449" t="s">
        <v>35</v>
      </c>
      <c r="P9" s="444" t="s">
        <v>25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s="59" customFormat="1" ht="18" x14ac:dyDescent="0.2">
      <c r="B10" s="618">
        <v>7</v>
      </c>
      <c r="C10" s="445" t="s">
        <v>15</v>
      </c>
      <c r="D10" s="445">
        <v>205</v>
      </c>
      <c r="E10" s="450">
        <v>226670</v>
      </c>
      <c r="F10" s="451" t="s">
        <v>40</v>
      </c>
      <c r="G10" s="451" t="s">
        <v>41</v>
      </c>
      <c r="H10" s="452">
        <v>5</v>
      </c>
      <c r="I10" s="445" t="s">
        <v>42</v>
      </c>
      <c r="J10" s="445">
        <v>7</v>
      </c>
      <c r="K10" s="445">
        <v>1</v>
      </c>
      <c r="L10" s="445">
        <v>0</v>
      </c>
      <c r="M10" s="445">
        <v>0</v>
      </c>
      <c r="N10" s="445">
        <f t="shared" si="0"/>
        <v>8</v>
      </c>
      <c r="O10" s="449" t="s">
        <v>35</v>
      </c>
      <c r="P10" s="444" t="s">
        <v>25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s="59" customFormat="1" ht="18" x14ac:dyDescent="0.2">
      <c r="B11" s="618">
        <v>8</v>
      </c>
      <c r="C11" s="445" t="s">
        <v>15</v>
      </c>
      <c r="D11" s="445">
        <v>209</v>
      </c>
      <c r="E11" s="453">
        <v>149353</v>
      </c>
      <c r="F11" s="454" t="s">
        <v>43</v>
      </c>
      <c r="G11" s="454" t="s">
        <v>44</v>
      </c>
      <c r="H11" s="445">
        <v>50</v>
      </c>
      <c r="I11" s="445" t="s">
        <v>45</v>
      </c>
      <c r="J11" s="445">
        <v>0</v>
      </c>
      <c r="K11" s="445">
        <v>0</v>
      </c>
      <c r="L11" s="445">
        <v>7</v>
      </c>
      <c r="M11" s="445">
        <v>0</v>
      </c>
      <c r="N11" s="445">
        <f t="shared" si="0"/>
        <v>7</v>
      </c>
      <c r="O11" s="449" t="s">
        <v>35</v>
      </c>
      <c r="P11" s="444" t="s">
        <v>25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s="59" customFormat="1" ht="18" x14ac:dyDescent="0.2">
      <c r="B12" s="618">
        <v>9</v>
      </c>
      <c r="C12" s="445" t="s">
        <v>15</v>
      </c>
      <c r="D12" s="445">
        <v>205</v>
      </c>
      <c r="E12" s="446">
        <v>189332</v>
      </c>
      <c r="F12" s="447" t="s">
        <v>46</v>
      </c>
      <c r="G12" s="447" t="s">
        <v>47</v>
      </c>
      <c r="H12" s="448" t="s">
        <v>48</v>
      </c>
      <c r="I12" s="448" t="s">
        <v>49</v>
      </c>
      <c r="J12" s="448">
        <v>7</v>
      </c>
      <c r="K12" s="448">
        <v>0</v>
      </c>
      <c r="L12" s="448">
        <v>0</v>
      </c>
      <c r="M12" s="448">
        <v>0</v>
      </c>
      <c r="N12" s="445">
        <f t="shared" si="0"/>
        <v>7</v>
      </c>
      <c r="O12" s="449" t="s">
        <v>35</v>
      </c>
      <c r="P12" s="444" t="s">
        <v>25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s="59" customFormat="1" ht="18" x14ac:dyDescent="0.2">
      <c r="B13" s="618">
        <v>10</v>
      </c>
      <c r="C13" s="445" t="s">
        <v>15</v>
      </c>
      <c r="D13" s="445">
        <v>205</v>
      </c>
      <c r="E13" s="446">
        <v>190395</v>
      </c>
      <c r="F13" s="447" t="s">
        <v>50</v>
      </c>
      <c r="G13" s="447" t="s">
        <v>51</v>
      </c>
      <c r="H13" s="448" t="s">
        <v>48</v>
      </c>
      <c r="I13" s="448" t="s">
        <v>52</v>
      </c>
      <c r="J13" s="448">
        <v>0</v>
      </c>
      <c r="K13" s="448">
        <v>1</v>
      </c>
      <c r="L13" s="448">
        <v>6</v>
      </c>
      <c r="M13" s="448">
        <v>0</v>
      </c>
      <c r="N13" s="445">
        <f t="shared" si="0"/>
        <v>7</v>
      </c>
      <c r="O13" s="622" t="s">
        <v>35</v>
      </c>
      <c r="P13" s="444" t="s">
        <v>25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s="199" customFormat="1" ht="18" x14ac:dyDescent="0.15">
      <c r="B14" s="619">
        <v>11</v>
      </c>
      <c r="C14" s="4" t="s">
        <v>15</v>
      </c>
      <c r="D14" s="4">
        <v>204</v>
      </c>
      <c r="E14" s="9">
        <v>217301</v>
      </c>
      <c r="F14" s="5" t="s">
        <v>53</v>
      </c>
      <c r="G14" s="5" t="s">
        <v>54</v>
      </c>
      <c r="H14" s="6">
        <v>24</v>
      </c>
      <c r="I14" s="6" t="s">
        <v>55</v>
      </c>
      <c r="J14" s="6">
        <v>2</v>
      </c>
      <c r="K14" s="6">
        <v>2</v>
      </c>
      <c r="L14" s="6">
        <v>2</v>
      </c>
      <c r="M14" s="6">
        <v>0</v>
      </c>
      <c r="N14" s="63">
        <f t="shared" si="0"/>
        <v>6</v>
      </c>
      <c r="O14" s="62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2:68" s="199" customFormat="1" ht="18" x14ac:dyDescent="0.2">
      <c r="B15" s="619">
        <v>12</v>
      </c>
      <c r="C15" s="4" t="s">
        <v>15</v>
      </c>
      <c r="D15" s="4">
        <v>207</v>
      </c>
      <c r="E15" s="455">
        <v>148428</v>
      </c>
      <c r="F15" s="14" t="s">
        <v>56</v>
      </c>
      <c r="G15" s="14" t="s">
        <v>57</v>
      </c>
      <c r="H15" s="6">
        <v>24</v>
      </c>
      <c r="I15" s="6" t="s">
        <v>58</v>
      </c>
      <c r="J15" s="6">
        <v>0</v>
      </c>
      <c r="K15" s="6">
        <v>0</v>
      </c>
      <c r="L15" s="6">
        <v>5</v>
      </c>
      <c r="M15" s="6">
        <v>1</v>
      </c>
      <c r="N15" s="63">
        <f t="shared" si="0"/>
        <v>6</v>
      </c>
      <c r="O15" s="62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2:68" s="199" customFormat="1" ht="18" x14ac:dyDescent="0.15">
      <c r="B16" s="619">
        <v>13</v>
      </c>
      <c r="C16" s="4" t="s">
        <v>15</v>
      </c>
      <c r="D16" s="4">
        <v>205</v>
      </c>
      <c r="E16" s="9">
        <v>194551</v>
      </c>
      <c r="F16" s="5" t="s">
        <v>59</v>
      </c>
      <c r="G16" s="5" t="s">
        <v>60</v>
      </c>
      <c r="H16" s="17" t="s">
        <v>61</v>
      </c>
      <c r="I16" s="17" t="s">
        <v>62</v>
      </c>
      <c r="J16" s="17">
        <v>0</v>
      </c>
      <c r="K16" s="17">
        <v>0</v>
      </c>
      <c r="L16" s="17">
        <v>6</v>
      </c>
      <c r="M16" s="17">
        <v>0</v>
      </c>
      <c r="N16" s="63">
        <f t="shared" si="0"/>
        <v>6</v>
      </c>
      <c r="O16" s="62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2:67" s="199" customFormat="1" ht="18" x14ac:dyDescent="0.15">
      <c r="B17" s="619">
        <v>14</v>
      </c>
      <c r="C17" s="4" t="s">
        <v>15</v>
      </c>
      <c r="D17" s="4">
        <v>204</v>
      </c>
      <c r="E17" s="456">
        <v>219423</v>
      </c>
      <c r="F17" s="457" t="s">
        <v>63</v>
      </c>
      <c r="G17" s="457" t="s">
        <v>64</v>
      </c>
      <c r="H17" s="6">
        <v>5</v>
      </c>
      <c r="I17" s="6" t="s">
        <v>65</v>
      </c>
      <c r="J17" s="6">
        <v>0</v>
      </c>
      <c r="K17" s="6">
        <v>1</v>
      </c>
      <c r="L17" s="6">
        <v>4</v>
      </c>
      <c r="M17" s="6">
        <v>0</v>
      </c>
      <c r="N17" s="63">
        <f t="shared" si="0"/>
        <v>5</v>
      </c>
      <c r="O17" s="62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2:67" s="199" customFormat="1" ht="18" x14ac:dyDescent="0.15">
      <c r="B18" s="619">
        <v>15</v>
      </c>
      <c r="C18" s="4" t="s">
        <v>15</v>
      </c>
      <c r="D18" s="4">
        <v>207</v>
      </c>
      <c r="E18" s="9">
        <v>194546</v>
      </c>
      <c r="F18" s="5" t="s">
        <v>66</v>
      </c>
      <c r="G18" s="5" t="s">
        <v>67</v>
      </c>
      <c r="H18" s="17" t="s">
        <v>61</v>
      </c>
      <c r="I18" s="17" t="s">
        <v>68</v>
      </c>
      <c r="J18" s="17">
        <v>0</v>
      </c>
      <c r="K18" s="17">
        <v>0</v>
      </c>
      <c r="L18" s="17">
        <v>5</v>
      </c>
      <c r="M18" s="17">
        <v>0</v>
      </c>
      <c r="N18" s="63">
        <f t="shared" si="0"/>
        <v>5</v>
      </c>
      <c r="O18" s="62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2:67" s="199" customFormat="1" ht="18" x14ac:dyDescent="0.15">
      <c r="B19" s="619">
        <v>16</v>
      </c>
      <c r="C19" s="4" t="s">
        <v>15</v>
      </c>
      <c r="D19" s="4">
        <v>204</v>
      </c>
      <c r="E19" s="9">
        <v>161679</v>
      </c>
      <c r="F19" s="5" t="s">
        <v>69</v>
      </c>
      <c r="G19" s="5" t="s">
        <v>70</v>
      </c>
      <c r="H19" s="6">
        <v>23</v>
      </c>
      <c r="I19" s="6" t="s">
        <v>71</v>
      </c>
      <c r="J19" s="6">
        <v>0</v>
      </c>
      <c r="K19" s="6">
        <v>0</v>
      </c>
      <c r="L19" s="6">
        <v>4</v>
      </c>
      <c r="M19" s="6">
        <v>0</v>
      </c>
      <c r="N19" s="63">
        <f t="shared" si="0"/>
        <v>4</v>
      </c>
      <c r="O19" s="62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2:67" s="199" customFormat="1" ht="19" x14ac:dyDescent="0.15">
      <c r="B20" s="619">
        <v>17</v>
      </c>
      <c r="C20" s="4" t="s">
        <v>15</v>
      </c>
      <c r="D20" s="4">
        <v>209</v>
      </c>
      <c r="E20" s="458">
        <v>204665</v>
      </c>
      <c r="F20" s="7" t="s">
        <v>72</v>
      </c>
      <c r="G20" s="7" t="s">
        <v>73</v>
      </c>
      <c r="H20" s="6">
        <v>37</v>
      </c>
      <c r="I20" s="6" t="s">
        <v>74</v>
      </c>
      <c r="J20" s="6">
        <v>0</v>
      </c>
      <c r="K20" s="6">
        <v>2</v>
      </c>
      <c r="L20" s="6">
        <v>2</v>
      </c>
      <c r="M20" s="6">
        <v>0</v>
      </c>
      <c r="N20" s="63">
        <f t="shared" si="0"/>
        <v>4</v>
      </c>
      <c r="O20" s="62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2:67" s="199" customFormat="1" ht="18" x14ac:dyDescent="0.15">
      <c r="B21" s="619">
        <v>18</v>
      </c>
      <c r="C21" s="4" t="s">
        <v>15</v>
      </c>
      <c r="D21" s="4">
        <v>209</v>
      </c>
      <c r="E21" s="9">
        <v>219391</v>
      </c>
      <c r="F21" s="5" t="s">
        <v>75</v>
      </c>
      <c r="G21" s="5" t="s">
        <v>76</v>
      </c>
      <c r="H21" s="6">
        <v>5</v>
      </c>
      <c r="I21" s="6" t="s">
        <v>77</v>
      </c>
      <c r="J21" s="6">
        <v>0</v>
      </c>
      <c r="K21" s="6">
        <v>0</v>
      </c>
      <c r="L21" s="6">
        <v>3</v>
      </c>
      <c r="M21" s="6">
        <v>1</v>
      </c>
      <c r="N21" s="63">
        <f t="shared" si="0"/>
        <v>4</v>
      </c>
      <c r="O21" s="62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2:67" s="199" customFormat="1" ht="18" x14ac:dyDescent="0.15">
      <c r="B22" s="619">
        <v>19</v>
      </c>
      <c r="C22" s="4" t="s">
        <v>15</v>
      </c>
      <c r="D22" s="4">
        <v>207</v>
      </c>
      <c r="E22" s="9">
        <v>193154</v>
      </c>
      <c r="F22" s="5" t="s">
        <v>78</v>
      </c>
      <c r="G22" s="5" t="s">
        <v>79</v>
      </c>
      <c r="H22" s="17" t="s">
        <v>61</v>
      </c>
      <c r="I22" s="17" t="s">
        <v>80</v>
      </c>
      <c r="J22" s="17">
        <v>0</v>
      </c>
      <c r="K22" s="17">
        <v>0</v>
      </c>
      <c r="L22" s="17">
        <v>4</v>
      </c>
      <c r="M22" s="17">
        <v>0</v>
      </c>
      <c r="N22" s="63">
        <f t="shared" si="0"/>
        <v>4</v>
      </c>
      <c r="O22" s="62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2:67" s="2" customFormat="1" ht="19" x14ac:dyDescent="0.15">
      <c r="B23" s="619">
        <v>20</v>
      </c>
      <c r="C23" s="4" t="s">
        <v>15</v>
      </c>
      <c r="D23" s="4">
        <v>209</v>
      </c>
      <c r="E23" s="458">
        <v>217353</v>
      </c>
      <c r="F23" s="7" t="s">
        <v>81</v>
      </c>
      <c r="G23" s="7" t="s">
        <v>82</v>
      </c>
      <c r="H23" s="6">
        <v>24</v>
      </c>
      <c r="I23" s="6" t="s">
        <v>83</v>
      </c>
      <c r="J23" s="6">
        <v>1</v>
      </c>
      <c r="K23" s="6">
        <v>1</v>
      </c>
      <c r="L23" s="6">
        <v>0</v>
      </c>
      <c r="M23" s="6">
        <v>0</v>
      </c>
      <c r="N23" s="63">
        <f t="shared" si="0"/>
        <v>2</v>
      </c>
      <c r="O23" s="62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2:67" ht="18" x14ac:dyDescent="0.15">
      <c r="B24" s="619">
        <v>21</v>
      </c>
      <c r="C24" s="4" t="s">
        <v>15</v>
      </c>
      <c r="D24" s="4">
        <v>209</v>
      </c>
      <c r="E24" s="9">
        <v>212350</v>
      </c>
      <c r="F24" s="5" t="s">
        <v>84</v>
      </c>
      <c r="G24" s="5" t="s">
        <v>85</v>
      </c>
      <c r="H24" s="6">
        <v>5</v>
      </c>
      <c r="I24" s="6" t="s">
        <v>86</v>
      </c>
      <c r="J24" s="6">
        <v>0</v>
      </c>
      <c r="K24" s="6">
        <v>2</v>
      </c>
      <c r="L24" s="6">
        <v>0</v>
      </c>
      <c r="M24" s="6">
        <v>0</v>
      </c>
      <c r="N24" s="63">
        <f t="shared" si="0"/>
        <v>2</v>
      </c>
      <c r="O24" s="624"/>
    </row>
    <row r="25" spans="2:67" ht="18" x14ac:dyDescent="0.15">
      <c r="B25" s="619">
        <v>22</v>
      </c>
      <c r="C25" s="4" t="s">
        <v>15</v>
      </c>
      <c r="D25" s="4">
        <v>207</v>
      </c>
      <c r="E25" s="4">
        <v>194552</v>
      </c>
      <c r="F25" s="13" t="s">
        <v>87</v>
      </c>
      <c r="G25" s="13" t="s">
        <v>88</v>
      </c>
      <c r="H25" s="17" t="s">
        <v>61</v>
      </c>
      <c r="I25" s="17" t="s">
        <v>89</v>
      </c>
      <c r="J25" s="17">
        <v>0</v>
      </c>
      <c r="K25" s="17">
        <v>0</v>
      </c>
      <c r="L25" s="17">
        <v>2</v>
      </c>
      <c r="M25" s="17">
        <v>0</v>
      </c>
      <c r="N25" s="63">
        <f t="shared" si="0"/>
        <v>2</v>
      </c>
      <c r="O25" s="625"/>
    </row>
    <row r="26" spans="2:67" ht="19" x14ac:dyDescent="0.2">
      <c r="B26" s="619">
        <v>23</v>
      </c>
      <c r="C26" s="4" t="s">
        <v>15</v>
      </c>
      <c r="D26" s="4">
        <v>205</v>
      </c>
      <c r="E26" s="459">
        <v>219233</v>
      </c>
      <c r="F26" s="460" t="s">
        <v>90</v>
      </c>
      <c r="G26" s="460" t="s">
        <v>91</v>
      </c>
      <c r="H26" s="461">
        <v>5</v>
      </c>
      <c r="I26" s="461" t="s">
        <v>92</v>
      </c>
      <c r="J26" s="461">
        <v>0</v>
      </c>
      <c r="K26" s="461">
        <v>0</v>
      </c>
      <c r="L26" s="461">
        <v>2</v>
      </c>
      <c r="M26" s="461">
        <v>0</v>
      </c>
      <c r="N26" s="63">
        <f t="shared" si="0"/>
        <v>2</v>
      </c>
      <c r="O26" s="626"/>
    </row>
    <row r="27" spans="2:67" ht="18" x14ac:dyDescent="0.15">
      <c r="B27" s="619">
        <v>24</v>
      </c>
      <c r="C27" s="4" t="s">
        <v>15</v>
      </c>
      <c r="D27" s="4">
        <v>204</v>
      </c>
      <c r="E27" s="9">
        <v>211895</v>
      </c>
      <c r="F27" s="5" t="s">
        <v>93</v>
      </c>
      <c r="G27" s="5" t="s">
        <v>94</v>
      </c>
      <c r="H27" s="4">
        <v>17</v>
      </c>
      <c r="I27" s="4" t="s">
        <v>95</v>
      </c>
      <c r="J27" s="4">
        <v>0</v>
      </c>
      <c r="K27" s="4">
        <v>1</v>
      </c>
      <c r="L27" s="4">
        <v>0</v>
      </c>
      <c r="M27" s="4">
        <v>0</v>
      </c>
      <c r="N27" s="63">
        <f t="shared" si="0"/>
        <v>1</v>
      </c>
      <c r="O27" s="627"/>
    </row>
    <row r="28" spans="2:67" ht="18" x14ac:dyDescent="0.15">
      <c r="B28" s="619">
        <v>25</v>
      </c>
      <c r="C28" s="4" t="s">
        <v>15</v>
      </c>
      <c r="D28" s="4">
        <v>204</v>
      </c>
      <c r="E28" s="9">
        <v>202502</v>
      </c>
      <c r="F28" s="5" t="s">
        <v>96</v>
      </c>
      <c r="G28" s="5" t="s">
        <v>97</v>
      </c>
      <c r="H28" s="6">
        <v>37</v>
      </c>
      <c r="I28" s="6" t="s">
        <v>98</v>
      </c>
      <c r="J28" s="6">
        <v>1</v>
      </c>
      <c r="K28" s="6">
        <v>0</v>
      </c>
      <c r="L28" s="6">
        <v>0</v>
      </c>
      <c r="M28" s="6">
        <v>0</v>
      </c>
      <c r="N28" s="63">
        <f t="shared" si="0"/>
        <v>1</v>
      </c>
      <c r="O28" s="624"/>
    </row>
    <row r="29" spans="2:67" ht="18" x14ac:dyDescent="0.15">
      <c r="B29" s="619">
        <v>26</v>
      </c>
      <c r="C29" s="4" t="s">
        <v>15</v>
      </c>
      <c r="D29" s="4">
        <v>204</v>
      </c>
      <c r="E29" s="9">
        <v>204687</v>
      </c>
      <c r="F29" s="5" t="s">
        <v>99</v>
      </c>
      <c r="G29" s="5" t="s">
        <v>100</v>
      </c>
      <c r="H29" s="6">
        <v>37</v>
      </c>
      <c r="I29" s="6" t="s">
        <v>101</v>
      </c>
      <c r="J29" s="6">
        <v>0</v>
      </c>
      <c r="K29" s="6">
        <v>1</v>
      </c>
      <c r="L29" s="6">
        <v>0</v>
      </c>
      <c r="M29" s="6">
        <v>0</v>
      </c>
      <c r="N29" s="63">
        <f t="shared" si="0"/>
        <v>1</v>
      </c>
      <c r="O29" s="624"/>
    </row>
    <row r="30" spans="2:67" ht="18" x14ac:dyDescent="0.15">
      <c r="B30" s="619">
        <v>27</v>
      </c>
      <c r="C30" s="4" t="s">
        <v>15</v>
      </c>
      <c r="D30" s="4">
        <v>209</v>
      </c>
      <c r="E30" s="462">
        <v>172757</v>
      </c>
      <c r="F30" s="3" t="s">
        <v>102</v>
      </c>
      <c r="G30" s="3" t="s">
        <v>103</v>
      </c>
      <c r="H30" s="4">
        <v>17</v>
      </c>
      <c r="I30" s="4" t="s">
        <v>104</v>
      </c>
      <c r="J30" s="4">
        <v>1</v>
      </c>
      <c r="K30" s="4">
        <v>0</v>
      </c>
      <c r="L30" s="4">
        <v>0</v>
      </c>
      <c r="M30" s="4">
        <v>0</v>
      </c>
      <c r="N30" s="63">
        <f t="shared" si="0"/>
        <v>1</v>
      </c>
      <c r="O30" s="627"/>
    </row>
    <row r="31" spans="2:67" ht="18" x14ac:dyDescent="0.15">
      <c r="B31" s="619">
        <v>28</v>
      </c>
      <c r="C31" s="4" t="s">
        <v>15</v>
      </c>
      <c r="D31" s="4">
        <v>209</v>
      </c>
      <c r="E31" s="9">
        <v>182993</v>
      </c>
      <c r="F31" s="5" t="s">
        <v>105</v>
      </c>
      <c r="G31" s="5" t="s">
        <v>106</v>
      </c>
      <c r="H31" s="6">
        <v>23</v>
      </c>
      <c r="I31" s="6" t="s">
        <v>107</v>
      </c>
      <c r="J31" s="6">
        <v>0</v>
      </c>
      <c r="K31" s="6">
        <v>1</v>
      </c>
      <c r="L31" s="6">
        <v>0</v>
      </c>
      <c r="M31" s="6">
        <v>0</v>
      </c>
      <c r="N31" s="63">
        <f t="shared" si="0"/>
        <v>1</v>
      </c>
      <c r="O31" s="624"/>
    </row>
    <row r="32" spans="2:67" ht="18" x14ac:dyDescent="0.15">
      <c r="B32" s="619">
        <v>29</v>
      </c>
      <c r="C32" s="4" t="s">
        <v>15</v>
      </c>
      <c r="D32" s="4">
        <v>209</v>
      </c>
      <c r="E32" s="9">
        <v>217325</v>
      </c>
      <c r="F32" s="5" t="s">
        <v>108</v>
      </c>
      <c r="G32" s="5" t="s">
        <v>109</v>
      </c>
      <c r="H32" s="6">
        <v>24</v>
      </c>
      <c r="I32" s="6" t="s">
        <v>110</v>
      </c>
      <c r="J32" s="6">
        <v>0</v>
      </c>
      <c r="K32" s="6">
        <v>1</v>
      </c>
      <c r="L32" s="6">
        <v>0</v>
      </c>
      <c r="M32" s="6">
        <v>0</v>
      </c>
      <c r="N32" s="63">
        <f t="shared" si="0"/>
        <v>1</v>
      </c>
      <c r="O32" s="624"/>
    </row>
    <row r="33" spans="2:16" ht="18" x14ac:dyDescent="0.2">
      <c r="B33" s="619">
        <v>30</v>
      </c>
      <c r="C33" s="4" t="s">
        <v>15</v>
      </c>
      <c r="D33" s="4">
        <v>207</v>
      </c>
      <c r="E33" s="455">
        <v>217346</v>
      </c>
      <c r="F33" s="14" t="s">
        <v>111</v>
      </c>
      <c r="G33" s="14" t="s">
        <v>112</v>
      </c>
      <c r="H33" s="6">
        <v>24</v>
      </c>
      <c r="I33" s="6" t="s">
        <v>113</v>
      </c>
      <c r="J33" s="6">
        <v>0</v>
      </c>
      <c r="K33" s="6">
        <v>1</v>
      </c>
      <c r="L33" s="6">
        <v>0</v>
      </c>
      <c r="M33" s="6">
        <v>0</v>
      </c>
      <c r="N33" s="4">
        <f t="shared" si="0"/>
        <v>1</v>
      </c>
      <c r="O33" s="623"/>
      <c r="P33" s="427"/>
    </row>
    <row r="34" spans="2:16" ht="18" x14ac:dyDescent="0.2">
      <c r="B34" s="619">
        <v>31</v>
      </c>
      <c r="C34" s="4" t="s">
        <v>15</v>
      </c>
      <c r="D34" s="4">
        <v>207</v>
      </c>
      <c r="E34" s="9">
        <v>207879</v>
      </c>
      <c r="F34" s="8" t="s">
        <v>114</v>
      </c>
      <c r="G34" s="8" t="s">
        <v>115</v>
      </c>
      <c r="H34" s="9">
        <v>72</v>
      </c>
      <c r="I34" s="9" t="s">
        <v>116</v>
      </c>
      <c r="J34" s="9">
        <v>0</v>
      </c>
      <c r="K34" s="9">
        <v>1</v>
      </c>
      <c r="L34" s="9">
        <v>0</v>
      </c>
      <c r="M34" s="9">
        <v>0</v>
      </c>
      <c r="N34" s="4">
        <f t="shared" si="0"/>
        <v>1</v>
      </c>
      <c r="O34" s="9"/>
      <c r="P34" s="427"/>
    </row>
    <row r="35" spans="2:16" ht="18" x14ac:dyDescent="0.2">
      <c r="B35" s="619">
        <v>32</v>
      </c>
      <c r="C35" s="4" t="s">
        <v>15</v>
      </c>
      <c r="D35" s="4">
        <v>205</v>
      </c>
      <c r="E35" s="9">
        <v>193437</v>
      </c>
      <c r="F35" s="5" t="s">
        <v>117</v>
      </c>
      <c r="G35" s="5" t="s">
        <v>118</v>
      </c>
      <c r="H35" s="17" t="s">
        <v>61</v>
      </c>
      <c r="I35" s="17" t="s">
        <v>119</v>
      </c>
      <c r="J35" s="17">
        <v>0</v>
      </c>
      <c r="K35" s="17">
        <v>1</v>
      </c>
      <c r="L35" s="17">
        <v>0</v>
      </c>
      <c r="M35" s="17">
        <v>0</v>
      </c>
      <c r="N35" s="4">
        <f t="shared" si="0"/>
        <v>1</v>
      </c>
      <c r="O35" s="17"/>
      <c r="P35" s="427"/>
    </row>
    <row r="36" spans="2:16" ht="18" x14ac:dyDescent="0.2">
      <c r="B36" s="619">
        <v>33</v>
      </c>
      <c r="C36" s="4" t="s">
        <v>15</v>
      </c>
      <c r="D36" s="4">
        <v>205</v>
      </c>
      <c r="E36" s="9">
        <v>194906</v>
      </c>
      <c r="F36" s="8" t="s">
        <v>120</v>
      </c>
      <c r="G36" s="8" t="s">
        <v>121</v>
      </c>
      <c r="H36" s="17" t="s">
        <v>122</v>
      </c>
      <c r="I36" s="17" t="s">
        <v>123</v>
      </c>
      <c r="J36" s="17">
        <v>0</v>
      </c>
      <c r="K36" s="17">
        <v>1</v>
      </c>
      <c r="L36" s="17">
        <v>0</v>
      </c>
      <c r="M36" s="17">
        <v>0</v>
      </c>
      <c r="N36" s="4">
        <f t="shared" ref="N36:N67" si="1">SUM(J36:M36)</f>
        <v>1</v>
      </c>
      <c r="O36" s="17"/>
      <c r="P36" s="427"/>
    </row>
    <row r="37" spans="2:16" ht="18" x14ac:dyDescent="0.2">
      <c r="B37" s="619">
        <v>34</v>
      </c>
      <c r="C37" s="4" t="s">
        <v>15</v>
      </c>
      <c r="D37" s="4">
        <v>205</v>
      </c>
      <c r="E37" s="456">
        <v>212414</v>
      </c>
      <c r="F37" s="457" t="s">
        <v>99</v>
      </c>
      <c r="G37" s="457" t="s">
        <v>124</v>
      </c>
      <c r="H37" s="4">
        <v>5</v>
      </c>
      <c r="I37" s="4" t="s">
        <v>125</v>
      </c>
      <c r="J37" s="4">
        <v>0</v>
      </c>
      <c r="K37" s="4">
        <v>1</v>
      </c>
      <c r="L37" s="4">
        <v>0</v>
      </c>
      <c r="M37" s="4">
        <v>0</v>
      </c>
      <c r="N37" s="4">
        <f t="shared" si="1"/>
        <v>1</v>
      </c>
      <c r="O37" s="4"/>
      <c r="P37" s="427"/>
    </row>
    <row r="38" spans="2:16" ht="18" x14ac:dyDescent="0.2">
      <c r="B38" s="619">
        <v>35</v>
      </c>
      <c r="C38" s="4" t="s">
        <v>15</v>
      </c>
      <c r="D38" s="4">
        <v>204</v>
      </c>
      <c r="E38" s="9">
        <v>193699</v>
      </c>
      <c r="F38" s="5" t="s">
        <v>126</v>
      </c>
      <c r="G38" s="5" t="s">
        <v>127</v>
      </c>
      <c r="H38" s="4">
        <v>17</v>
      </c>
      <c r="I38" s="4" t="s">
        <v>128</v>
      </c>
      <c r="J38" s="4">
        <v>0</v>
      </c>
      <c r="K38" s="4">
        <v>0</v>
      </c>
      <c r="L38" s="4">
        <v>0</v>
      </c>
      <c r="M38" s="4">
        <v>0</v>
      </c>
      <c r="N38" s="4">
        <f t="shared" si="1"/>
        <v>0</v>
      </c>
      <c r="O38" s="4"/>
      <c r="P38" s="427"/>
    </row>
    <row r="39" spans="2:16" ht="18" x14ac:dyDescent="0.2">
      <c r="B39" s="619">
        <v>36</v>
      </c>
      <c r="C39" s="4" t="s">
        <v>15</v>
      </c>
      <c r="D39" s="4">
        <v>204</v>
      </c>
      <c r="E39" s="462">
        <v>172765</v>
      </c>
      <c r="F39" s="3" t="s">
        <v>129</v>
      </c>
      <c r="G39" s="3" t="s">
        <v>130</v>
      </c>
      <c r="H39" s="4">
        <v>17</v>
      </c>
      <c r="I39" s="4" t="s">
        <v>131</v>
      </c>
      <c r="J39" s="4">
        <v>0</v>
      </c>
      <c r="K39" s="4">
        <v>0</v>
      </c>
      <c r="L39" s="4">
        <v>0</v>
      </c>
      <c r="M39" s="4">
        <v>0</v>
      </c>
      <c r="N39" s="4">
        <f t="shared" si="1"/>
        <v>0</v>
      </c>
      <c r="O39" s="4"/>
      <c r="P39" s="427"/>
    </row>
    <row r="40" spans="2:16" ht="18" x14ac:dyDescent="0.2">
      <c r="B40" s="619">
        <v>37</v>
      </c>
      <c r="C40" s="4" t="s">
        <v>15</v>
      </c>
      <c r="D40" s="4">
        <v>204</v>
      </c>
      <c r="E40" s="9">
        <v>182848</v>
      </c>
      <c r="F40" s="5" t="s">
        <v>132</v>
      </c>
      <c r="G40" s="5" t="s">
        <v>133</v>
      </c>
      <c r="H40" s="6">
        <v>23</v>
      </c>
      <c r="I40" s="6"/>
      <c r="J40" s="6"/>
      <c r="K40" s="6"/>
      <c r="L40" s="6"/>
      <c r="M40" s="6"/>
      <c r="N40" s="4">
        <f t="shared" si="1"/>
        <v>0</v>
      </c>
      <c r="O40" s="6"/>
      <c r="P40" s="427"/>
    </row>
    <row r="41" spans="2:16" ht="18" x14ac:dyDescent="0.2">
      <c r="B41" s="619">
        <v>38</v>
      </c>
      <c r="C41" s="4" t="s">
        <v>15</v>
      </c>
      <c r="D41" s="4">
        <v>204</v>
      </c>
      <c r="E41" s="9">
        <v>182909</v>
      </c>
      <c r="F41" s="5" t="s">
        <v>134</v>
      </c>
      <c r="G41" s="5" t="s">
        <v>135</v>
      </c>
      <c r="H41" s="6">
        <v>23</v>
      </c>
      <c r="I41" s="6" t="s">
        <v>136</v>
      </c>
      <c r="J41" s="6">
        <v>0</v>
      </c>
      <c r="K41" s="6">
        <v>0</v>
      </c>
      <c r="L41" s="6">
        <v>0</v>
      </c>
      <c r="M41" s="6">
        <v>0</v>
      </c>
      <c r="N41" s="4">
        <f t="shared" si="1"/>
        <v>0</v>
      </c>
      <c r="O41" s="6"/>
      <c r="P41" s="427"/>
    </row>
    <row r="42" spans="2:16" ht="18" x14ac:dyDescent="0.2">
      <c r="B42" s="619">
        <v>39</v>
      </c>
      <c r="C42" s="4" t="s">
        <v>15</v>
      </c>
      <c r="D42" s="4">
        <v>204</v>
      </c>
      <c r="E42" s="9">
        <v>219131</v>
      </c>
      <c r="F42" s="5" t="s">
        <v>137</v>
      </c>
      <c r="G42" s="5" t="s">
        <v>138</v>
      </c>
      <c r="H42" s="6">
        <v>24</v>
      </c>
      <c r="I42" s="6" t="s">
        <v>139</v>
      </c>
      <c r="J42" s="6">
        <v>0</v>
      </c>
      <c r="K42" s="6">
        <v>0</v>
      </c>
      <c r="L42" s="6">
        <v>0</v>
      </c>
      <c r="M42" s="6">
        <v>0</v>
      </c>
      <c r="N42" s="4">
        <f t="shared" si="1"/>
        <v>0</v>
      </c>
      <c r="O42" s="6"/>
      <c r="P42" s="427"/>
    </row>
    <row r="43" spans="2:16" ht="18" x14ac:dyDescent="0.2">
      <c r="B43" s="619">
        <v>40</v>
      </c>
      <c r="C43" s="4" t="s">
        <v>15</v>
      </c>
      <c r="D43" s="4">
        <v>204</v>
      </c>
      <c r="E43" s="9">
        <v>202508</v>
      </c>
      <c r="F43" s="5" t="s">
        <v>140</v>
      </c>
      <c r="G43" s="5" t="s">
        <v>141</v>
      </c>
      <c r="H43" s="6">
        <v>37</v>
      </c>
      <c r="I43" s="6" t="s">
        <v>142</v>
      </c>
      <c r="J43" s="6">
        <v>0</v>
      </c>
      <c r="K43" s="6">
        <v>0</v>
      </c>
      <c r="L43" s="6">
        <v>0</v>
      </c>
      <c r="M43" s="6">
        <v>0</v>
      </c>
      <c r="N43" s="4">
        <f t="shared" si="1"/>
        <v>0</v>
      </c>
      <c r="O43" s="6"/>
      <c r="P43" s="427"/>
    </row>
    <row r="44" spans="2:16" ht="20" customHeight="1" x14ac:dyDescent="0.2">
      <c r="B44" s="619">
        <v>41</v>
      </c>
      <c r="C44" s="4" t="s">
        <v>15</v>
      </c>
      <c r="D44" s="4">
        <v>204</v>
      </c>
      <c r="E44" s="463">
        <v>130807</v>
      </c>
      <c r="F44" s="15" t="s">
        <v>143</v>
      </c>
      <c r="G44" s="15" t="s">
        <v>144</v>
      </c>
      <c r="H44" s="16">
        <v>39</v>
      </c>
      <c r="I44" s="16" t="s">
        <v>145</v>
      </c>
      <c r="J44" s="16">
        <v>0</v>
      </c>
      <c r="K44" s="16">
        <v>0</v>
      </c>
      <c r="L44" s="16">
        <v>0</v>
      </c>
      <c r="M44" s="16">
        <v>0</v>
      </c>
      <c r="N44" s="4">
        <f t="shared" si="1"/>
        <v>0</v>
      </c>
      <c r="O44" s="16"/>
      <c r="P44" s="427"/>
    </row>
    <row r="45" spans="2:16" ht="20" customHeight="1" x14ac:dyDescent="0.2">
      <c r="B45" s="619">
        <v>42</v>
      </c>
      <c r="C45" s="4" t="s">
        <v>15</v>
      </c>
      <c r="D45" s="4">
        <v>204</v>
      </c>
      <c r="E45" s="463">
        <v>215879</v>
      </c>
      <c r="F45" s="15" t="s">
        <v>146</v>
      </c>
      <c r="G45" s="15" t="s">
        <v>147</v>
      </c>
      <c r="H45" s="16">
        <v>39</v>
      </c>
      <c r="I45" s="16" t="s">
        <v>148</v>
      </c>
      <c r="J45" s="16">
        <v>0</v>
      </c>
      <c r="K45" s="16">
        <v>0</v>
      </c>
      <c r="L45" s="16">
        <v>0</v>
      </c>
      <c r="M45" s="16">
        <v>0</v>
      </c>
      <c r="N45" s="4">
        <f t="shared" si="1"/>
        <v>0</v>
      </c>
      <c r="O45" s="16"/>
      <c r="P45" s="427"/>
    </row>
    <row r="46" spans="2:16" ht="20" customHeight="1" x14ac:dyDescent="0.2">
      <c r="B46" s="619">
        <v>43</v>
      </c>
      <c r="C46" s="4" t="s">
        <v>15</v>
      </c>
      <c r="D46" s="4">
        <v>204</v>
      </c>
      <c r="E46" s="463">
        <v>148411</v>
      </c>
      <c r="F46" s="15" t="s">
        <v>50</v>
      </c>
      <c r="G46" s="15" t="s">
        <v>149</v>
      </c>
      <c r="H46" s="16">
        <v>39</v>
      </c>
      <c r="I46" s="16" t="s">
        <v>150</v>
      </c>
      <c r="J46" s="16">
        <v>0</v>
      </c>
      <c r="K46" s="16">
        <v>0</v>
      </c>
      <c r="L46" s="16">
        <v>0</v>
      </c>
      <c r="M46" s="16">
        <v>0</v>
      </c>
      <c r="N46" s="4">
        <f t="shared" si="1"/>
        <v>0</v>
      </c>
      <c r="O46" s="16"/>
      <c r="P46" s="427"/>
    </row>
    <row r="47" spans="2:16" ht="20" customHeight="1" x14ac:dyDescent="0.2">
      <c r="B47" s="619">
        <v>44</v>
      </c>
      <c r="C47" s="4" t="s">
        <v>15</v>
      </c>
      <c r="D47" s="4">
        <v>204</v>
      </c>
      <c r="E47" s="463">
        <v>162956</v>
      </c>
      <c r="F47" s="15" t="s">
        <v>21</v>
      </c>
      <c r="G47" s="15" t="s">
        <v>151</v>
      </c>
      <c r="H47" s="17" t="s">
        <v>152</v>
      </c>
      <c r="I47" s="17"/>
      <c r="J47" s="17"/>
      <c r="K47" s="17"/>
      <c r="L47" s="17"/>
      <c r="M47" s="17"/>
      <c r="N47" s="4">
        <f t="shared" si="1"/>
        <v>0</v>
      </c>
      <c r="O47" s="17"/>
      <c r="P47" s="427"/>
    </row>
    <row r="48" spans="2:16" ht="19" x14ac:dyDescent="0.2">
      <c r="B48" s="619">
        <v>45</v>
      </c>
      <c r="C48" s="4" t="s">
        <v>15</v>
      </c>
      <c r="D48" s="4">
        <v>204</v>
      </c>
      <c r="E48" s="463">
        <v>189346</v>
      </c>
      <c r="F48" s="15" t="s">
        <v>153</v>
      </c>
      <c r="G48" s="15" t="s">
        <v>154</v>
      </c>
      <c r="H48" s="17" t="s">
        <v>152</v>
      </c>
      <c r="I48" s="17"/>
      <c r="J48" s="17"/>
      <c r="K48" s="17"/>
      <c r="L48" s="17"/>
      <c r="M48" s="17"/>
      <c r="N48" s="4">
        <f t="shared" si="1"/>
        <v>0</v>
      </c>
      <c r="O48" s="17"/>
      <c r="P48" s="427"/>
    </row>
    <row r="49" spans="2:68" s="2" customFormat="1" ht="19" x14ac:dyDescent="0.2">
      <c r="B49" s="619">
        <v>46</v>
      </c>
      <c r="C49" s="4" t="s">
        <v>15</v>
      </c>
      <c r="D49" s="4">
        <v>204</v>
      </c>
      <c r="E49" s="463">
        <v>189365</v>
      </c>
      <c r="F49" s="15" t="s">
        <v>155</v>
      </c>
      <c r="G49" s="15" t="s">
        <v>156</v>
      </c>
      <c r="H49" s="17" t="s">
        <v>152</v>
      </c>
      <c r="I49" s="17"/>
      <c r="J49" s="17"/>
      <c r="K49" s="17"/>
      <c r="L49" s="17"/>
      <c r="M49" s="17"/>
      <c r="N49" s="4">
        <f t="shared" si="1"/>
        <v>0</v>
      </c>
      <c r="O49" s="17"/>
      <c r="P49" s="42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2:68" s="2" customFormat="1" ht="18" x14ac:dyDescent="0.2">
      <c r="B50" s="619">
        <v>47</v>
      </c>
      <c r="C50" s="4" t="s">
        <v>15</v>
      </c>
      <c r="D50" s="4">
        <v>209</v>
      </c>
      <c r="E50" s="462">
        <v>197904</v>
      </c>
      <c r="F50" s="3" t="s">
        <v>157</v>
      </c>
      <c r="G50" s="3" t="s">
        <v>158</v>
      </c>
      <c r="H50" s="4">
        <v>17</v>
      </c>
      <c r="I50" s="4" t="s">
        <v>159</v>
      </c>
      <c r="J50" s="4">
        <v>0</v>
      </c>
      <c r="K50" s="4">
        <v>0</v>
      </c>
      <c r="L50" s="4">
        <v>0</v>
      </c>
      <c r="M50" s="4">
        <v>0</v>
      </c>
      <c r="N50" s="4">
        <f t="shared" si="1"/>
        <v>0</v>
      </c>
      <c r="O50" s="4"/>
      <c r="P50" s="427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2:68" s="2" customFormat="1" ht="18" x14ac:dyDescent="0.2">
      <c r="B51" s="619">
        <v>48</v>
      </c>
      <c r="C51" s="4" t="s">
        <v>15</v>
      </c>
      <c r="D51" s="4">
        <v>209</v>
      </c>
      <c r="E51" s="9">
        <v>160736</v>
      </c>
      <c r="F51" s="5" t="s">
        <v>160</v>
      </c>
      <c r="G51" s="5" t="s">
        <v>161</v>
      </c>
      <c r="H51" s="6">
        <v>23</v>
      </c>
      <c r="I51" s="6"/>
      <c r="J51" s="6"/>
      <c r="K51" s="6"/>
      <c r="L51" s="6"/>
      <c r="M51" s="6"/>
      <c r="N51" s="4">
        <f t="shared" si="1"/>
        <v>0</v>
      </c>
      <c r="O51" s="6"/>
      <c r="P51" s="42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2:68" s="2" customFormat="1" ht="18" x14ac:dyDescent="0.2">
      <c r="B52" s="619">
        <v>49</v>
      </c>
      <c r="C52" s="4" t="s">
        <v>15</v>
      </c>
      <c r="D52" s="4">
        <v>209</v>
      </c>
      <c r="E52" s="9">
        <v>182998</v>
      </c>
      <c r="F52" s="5" t="s">
        <v>162</v>
      </c>
      <c r="G52" s="5" t="s">
        <v>163</v>
      </c>
      <c r="H52" s="6">
        <v>23</v>
      </c>
      <c r="I52" s="6" t="s">
        <v>164</v>
      </c>
      <c r="J52" s="6">
        <v>0</v>
      </c>
      <c r="K52" s="6">
        <v>0</v>
      </c>
      <c r="L52" s="6">
        <v>0</v>
      </c>
      <c r="M52" s="6">
        <v>0</v>
      </c>
      <c r="N52" s="4">
        <f t="shared" si="1"/>
        <v>0</v>
      </c>
      <c r="O52" s="6"/>
      <c r="P52" s="427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2:68" s="2" customFormat="1" ht="19" x14ac:dyDescent="0.2">
      <c r="B53" s="619">
        <v>50</v>
      </c>
      <c r="C53" s="4" t="s">
        <v>15</v>
      </c>
      <c r="D53" s="4">
        <v>209</v>
      </c>
      <c r="E53" s="458">
        <v>217359</v>
      </c>
      <c r="F53" s="7" t="s">
        <v>165</v>
      </c>
      <c r="G53" s="7" t="s">
        <v>166</v>
      </c>
      <c r="H53" s="6">
        <v>24</v>
      </c>
      <c r="I53" s="6" t="s">
        <v>167</v>
      </c>
      <c r="J53" s="6">
        <v>0</v>
      </c>
      <c r="K53" s="6">
        <v>0</v>
      </c>
      <c r="L53" s="6">
        <v>0</v>
      </c>
      <c r="M53" s="6">
        <v>0</v>
      </c>
      <c r="N53" s="4">
        <f t="shared" si="1"/>
        <v>0</v>
      </c>
      <c r="O53" s="6"/>
      <c r="P53" s="42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2:68" s="2" customFormat="1" ht="19" x14ac:dyDescent="0.2">
      <c r="B54" s="619">
        <v>51</v>
      </c>
      <c r="C54" s="4" t="s">
        <v>15</v>
      </c>
      <c r="D54" s="4">
        <v>209</v>
      </c>
      <c r="E54" s="458">
        <v>204655</v>
      </c>
      <c r="F54" s="7" t="s">
        <v>168</v>
      </c>
      <c r="G54" s="7" t="s">
        <v>169</v>
      </c>
      <c r="H54" s="6">
        <v>37</v>
      </c>
      <c r="I54" s="6" t="s">
        <v>170</v>
      </c>
      <c r="J54" s="6">
        <v>0</v>
      </c>
      <c r="K54" s="6">
        <v>0</v>
      </c>
      <c r="L54" s="6">
        <v>0</v>
      </c>
      <c r="M54" s="6">
        <v>0</v>
      </c>
      <c r="N54" s="4">
        <f t="shared" si="1"/>
        <v>0</v>
      </c>
      <c r="O54" s="6"/>
      <c r="P54" s="42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2:68" s="2" customFormat="1" ht="18" x14ac:dyDescent="0.2">
      <c r="B55" s="619">
        <v>52</v>
      </c>
      <c r="C55" s="4" t="s">
        <v>15</v>
      </c>
      <c r="D55" s="4">
        <v>209</v>
      </c>
      <c r="E55" s="12">
        <v>193359</v>
      </c>
      <c r="F55" s="11" t="s">
        <v>171</v>
      </c>
      <c r="G55" s="11" t="s">
        <v>172</v>
      </c>
      <c r="H55" s="12">
        <v>49</v>
      </c>
      <c r="I55" s="12"/>
      <c r="J55" s="12"/>
      <c r="K55" s="12"/>
      <c r="L55" s="12"/>
      <c r="M55" s="12"/>
      <c r="N55" s="4">
        <f t="shared" si="1"/>
        <v>0</v>
      </c>
      <c r="O55" s="12"/>
      <c r="P55" s="42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2:68" s="2" customFormat="1" ht="18" x14ac:dyDescent="0.2">
      <c r="B56" s="619">
        <v>53</v>
      </c>
      <c r="C56" s="4" t="s">
        <v>15</v>
      </c>
      <c r="D56" s="4">
        <v>209</v>
      </c>
      <c r="E56" s="9">
        <v>193351</v>
      </c>
      <c r="F56" s="8" t="s">
        <v>173</v>
      </c>
      <c r="G56" s="8" t="s">
        <v>174</v>
      </c>
      <c r="H56" s="9">
        <v>49</v>
      </c>
      <c r="I56" s="9"/>
      <c r="J56" s="9"/>
      <c r="K56" s="9"/>
      <c r="L56" s="9"/>
      <c r="M56" s="9"/>
      <c r="N56" s="4">
        <f t="shared" si="1"/>
        <v>0</v>
      </c>
      <c r="O56" s="9"/>
      <c r="P56" s="42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2:68" s="2" customFormat="1" ht="18" x14ac:dyDescent="0.2">
      <c r="B57" s="619">
        <v>54</v>
      </c>
      <c r="C57" s="4" t="s">
        <v>15</v>
      </c>
      <c r="D57" s="4">
        <v>209</v>
      </c>
      <c r="E57" s="9">
        <v>193385</v>
      </c>
      <c r="F57" s="8" t="s">
        <v>129</v>
      </c>
      <c r="G57" s="8" t="s">
        <v>175</v>
      </c>
      <c r="H57" s="9">
        <v>49</v>
      </c>
      <c r="I57" s="9"/>
      <c r="J57" s="9"/>
      <c r="K57" s="9"/>
      <c r="L57" s="9"/>
      <c r="M57" s="9"/>
      <c r="N57" s="4">
        <f t="shared" si="1"/>
        <v>0</v>
      </c>
      <c r="O57" s="9"/>
      <c r="P57" s="42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2:68" s="2" customFormat="1" ht="18" x14ac:dyDescent="0.2">
      <c r="B58" s="619">
        <v>55</v>
      </c>
      <c r="C58" s="4" t="s">
        <v>15</v>
      </c>
      <c r="D58" s="4">
        <v>209</v>
      </c>
      <c r="E58" s="9">
        <v>147549</v>
      </c>
      <c r="F58" s="5" t="s">
        <v>176</v>
      </c>
      <c r="G58" s="5" t="s">
        <v>177</v>
      </c>
      <c r="H58" s="6">
        <v>50</v>
      </c>
      <c r="I58" s="6" t="s">
        <v>178</v>
      </c>
      <c r="J58" s="6">
        <v>0</v>
      </c>
      <c r="K58" s="6">
        <v>0</v>
      </c>
      <c r="L58" s="6">
        <v>0</v>
      </c>
      <c r="M58" s="6">
        <v>0</v>
      </c>
      <c r="N58" s="4">
        <f t="shared" si="1"/>
        <v>0</v>
      </c>
      <c r="O58" s="6"/>
      <c r="P58" s="42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2:68" s="2" customFormat="1" ht="18" x14ac:dyDescent="0.2">
      <c r="B59" s="619">
        <v>56</v>
      </c>
      <c r="C59" s="4" t="s">
        <v>15</v>
      </c>
      <c r="D59" s="4">
        <v>209</v>
      </c>
      <c r="E59" s="9">
        <v>144733</v>
      </c>
      <c r="F59" s="5" t="s">
        <v>179</v>
      </c>
      <c r="G59" s="5" t="s">
        <v>180</v>
      </c>
      <c r="H59" s="6">
        <v>50</v>
      </c>
      <c r="I59" s="6" t="s">
        <v>181</v>
      </c>
      <c r="J59" s="6">
        <v>0</v>
      </c>
      <c r="K59" s="6">
        <v>0</v>
      </c>
      <c r="L59" s="6">
        <v>0</v>
      </c>
      <c r="M59" s="6">
        <v>0</v>
      </c>
      <c r="N59" s="4">
        <f t="shared" si="1"/>
        <v>0</v>
      </c>
      <c r="O59" s="6"/>
      <c r="P59" s="427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2:68" s="2" customFormat="1" ht="18" x14ac:dyDescent="0.2">
      <c r="B60" s="619">
        <v>57</v>
      </c>
      <c r="C60" s="4" t="s">
        <v>15</v>
      </c>
      <c r="D60" s="4">
        <v>209</v>
      </c>
      <c r="E60" s="9">
        <v>148802</v>
      </c>
      <c r="F60" s="5" t="s">
        <v>182</v>
      </c>
      <c r="G60" s="5" t="s">
        <v>183</v>
      </c>
      <c r="H60" s="6">
        <v>50</v>
      </c>
      <c r="I60" s="6" t="s">
        <v>184</v>
      </c>
      <c r="J60" s="6">
        <v>0</v>
      </c>
      <c r="K60" s="6">
        <v>0</v>
      </c>
      <c r="L60" s="6">
        <v>0</v>
      </c>
      <c r="M60" s="6">
        <v>0</v>
      </c>
      <c r="N60" s="4">
        <f t="shared" si="1"/>
        <v>0</v>
      </c>
      <c r="O60" s="6"/>
      <c r="P60" s="42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2:68" s="2" customFormat="1" ht="18" x14ac:dyDescent="0.2">
      <c r="B61" s="619">
        <v>58</v>
      </c>
      <c r="C61" s="4" t="s">
        <v>15</v>
      </c>
      <c r="D61" s="4">
        <v>209</v>
      </c>
      <c r="E61" s="9">
        <v>208119</v>
      </c>
      <c r="F61" s="8" t="s">
        <v>185</v>
      </c>
      <c r="G61" s="8" t="s">
        <v>186</v>
      </c>
      <c r="H61" s="9">
        <v>57</v>
      </c>
      <c r="I61" s="9" t="s">
        <v>187</v>
      </c>
      <c r="J61" s="9">
        <v>0</v>
      </c>
      <c r="K61" s="9">
        <v>0</v>
      </c>
      <c r="L61" s="9">
        <v>0</v>
      </c>
      <c r="M61" s="9">
        <v>0</v>
      </c>
      <c r="N61" s="4">
        <f t="shared" si="1"/>
        <v>0</v>
      </c>
      <c r="O61" s="9"/>
      <c r="P61" s="42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2:68" s="2" customFormat="1" ht="18" x14ac:dyDescent="0.2">
      <c r="B62" s="619">
        <v>59</v>
      </c>
      <c r="C62" s="4" t="s">
        <v>15</v>
      </c>
      <c r="D62" s="4">
        <v>209</v>
      </c>
      <c r="E62" s="9">
        <v>208502</v>
      </c>
      <c r="F62" s="8" t="s">
        <v>188</v>
      </c>
      <c r="G62" s="8" t="s">
        <v>189</v>
      </c>
      <c r="H62" s="9">
        <v>57</v>
      </c>
      <c r="I62" s="9"/>
      <c r="J62" s="9"/>
      <c r="K62" s="9"/>
      <c r="L62" s="9"/>
      <c r="M62" s="9"/>
      <c r="N62" s="4">
        <f t="shared" si="1"/>
        <v>0</v>
      </c>
      <c r="O62" s="9"/>
      <c r="P62" s="42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2:68" s="2" customFormat="1" ht="18" x14ac:dyDescent="0.2">
      <c r="B63" s="619">
        <v>60</v>
      </c>
      <c r="C63" s="4" t="s">
        <v>15</v>
      </c>
      <c r="D63" s="4">
        <v>209</v>
      </c>
      <c r="E63" s="9">
        <v>208160</v>
      </c>
      <c r="F63" s="8" t="s">
        <v>190</v>
      </c>
      <c r="G63" s="8" t="s">
        <v>191</v>
      </c>
      <c r="H63" s="9">
        <v>57</v>
      </c>
      <c r="I63" s="9" t="s">
        <v>192</v>
      </c>
      <c r="J63" s="9">
        <v>0</v>
      </c>
      <c r="K63" s="9">
        <v>0</v>
      </c>
      <c r="L63" s="9">
        <v>0</v>
      </c>
      <c r="M63" s="9">
        <v>0</v>
      </c>
      <c r="N63" s="4">
        <f t="shared" si="1"/>
        <v>0</v>
      </c>
      <c r="O63" s="9"/>
      <c r="P63" s="42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2:68" s="2" customFormat="1" ht="18" x14ac:dyDescent="0.2">
      <c r="B64" s="619">
        <v>61</v>
      </c>
      <c r="C64" s="4" t="s">
        <v>15</v>
      </c>
      <c r="D64" s="4">
        <v>207</v>
      </c>
      <c r="E64" s="9">
        <v>193952</v>
      </c>
      <c r="F64" s="5" t="s">
        <v>193</v>
      </c>
      <c r="G64" s="5" t="s">
        <v>194</v>
      </c>
      <c r="H64" s="17" t="s">
        <v>61</v>
      </c>
      <c r="I64" s="17" t="s">
        <v>195</v>
      </c>
      <c r="J64" s="17">
        <v>0</v>
      </c>
      <c r="K64" s="17">
        <v>0</v>
      </c>
      <c r="L64" s="17">
        <v>0</v>
      </c>
      <c r="M64" s="17">
        <v>0</v>
      </c>
      <c r="N64" s="4">
        <f t="shared" si="1"/>
        <v>0</v>
      </c>
      <c r="O64" s="17"/>
      <c r="P64" s="427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2:68" s="2" customFormat="1" ht="18" x14ac:dyDescent="0.2">
      <c r="B65" s="619">
        <v>62</v>
      </c>
      <c r="C65" s="4" t="s">
        <v>15</v>
      </c>
      <c r="D65" s="4">
        <v>207</v>
      </c>
      <c r="E65" s="4">
        <v>194547</v>
      </c>
      <c r="F65" s="13" t="s">
        <v>146</v>
      </c>
      <c r="G65" s="13" t="s">
        <v>196</v>
      </c>
      <c r="H65" s="17" t="s">
        <v>61</v>
      </c>
      <c r="I65" s="17" t="s">
        <v>197</v>
      </c>
      <c r="J65" s="17">
        <v>0</v>
      </c>
      <c r="K65" s="17">
        <v>0</v>
      </c>
      <c r="L65" s="17">
        <v>0</v>
      </c>
      <c r="M65" s="17">
        <v>0</v>
      </c>
      <c r="N65" s="4">
        <f t="shared" si="1"/>
        <v>0</v>
      </c>
      <c r="O65" s="17"/>
      <c r="P65" s="42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2:68" s="2" customFormat="1" ht="18" x14ac:dyDescent="0.2">
      <c r="B66" s="619">
        <v>63</v>
      </c>
      <c r="C66" s="4" t="s">
        <v>15</v>
      </c>
      <c r="D66" s="4">
        <v>207</v>
      </c>
      <c r="E66" s="4">
        <v>193421</v>
      </c>
      <c r="F66" s="13" t="s">
        <v>198</v>
      </c>
      <c r="G66" s="13" t="s">
        <v>199</v>
      </c>
      <c r="H66" s="17" t="s">
        <v>61</v>
      </c>
      <c r="I66" s="17" t="s">
        <v>200</v>
      </c>
      <c r="J66" s="17">
        <v>0</v>
      </c>
      <c r="K66" s="17">
        <v>0</v>
      </c>
      <c r="L66" s="17">
        <v>0</v>
      </c>
      <c r="M66" s="17">
        <v>0</v>
      </c>
      <c r="N66" s="4">
        <f t="shared" si="1"/>
        <v>0</v>
      </c>
      <c r="O66" s="17"/>
      <c r="P66" s="427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2:68" s="2" customFormat="1" ht="18" x14ac:dyDescent="0.2">
      <c r="B67" s="619">
        <v>64</v>
      </c>
      <c r="C67" s="4" t="s">
        <v>15</v>
      </c>
      <c r="D67" s="4">
        <v>207</v>
      </c>
      <c r="E67" s="4">
        <v>194579</v>
      </c>
      <c r="F67" s="13" t="s">
        <v>176</v>
      </c>
      <c r="G67" s="13" t="s">
        <v>201</v>
      </c>
      <c r="H67" s="17" t="s">
        <v>61</v>
      </c>
      <c r="I67" s="17" t="s">
        <v>202</v>
      </c>
      <c r="J67" s="17">
        <v>0</v>
      </c>
      <c r="K67" s="17">
        <v>0</v>
      </c>
      <c r="L67" s="17">
        <v>0</v>
      </c>
      <c r="M67" s="17">
        <v>0</v>
      </c>
      <c r="N67" s="4">
        <f t="shared" si="1"/>
        <v>0</v>
      </c>
      <c r="O67" s="17"/>
      <c r="P67" s="42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2:68" s="2" customFormat="1" ht="18" x14ac:dyDescent="0.2">
      <c r="B68" s="619">
        <v>65</v>
      </c>
      <c r="C68" s="4" t="s">
        <v>15</v>
      </c>
      <c r="D68" s="4">
        <v>207</v>
      </c>
      <c r="E68" s="4">
        <v>193138</v>
      </c>
      <c r="F68" s="13" t="s">
        <v>203</v>
      </c>
      <c r="G68" s="13" t="s">
        <v>204</v>
      </c>
      <c r="H68" s="17" t="s">
        <v>61</v>
      </c>
      <c r="I68" s="17" t="s">
        <v>205</v>
      </c>
      <c r="J68" s="17">
        <v>0</v>
      </c>
      <c r="K68" s="17">
        <v>0</v>
      </c>
      <c r="L68" s="17">
        <v>0</v>
      </c>
      <c r="M68" s="17">
        <v>0</v>
      </c>
      <c r="N68" s="4">
        <f t="shared" ref="N68:N85" si="2">SUM(J68:M68)</f>
        <v>0</v>
      </c>
      <c r="O68" s="17"/>
      <c r="P68" s="42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2:68" ht="18" x14ac:dyDescent="0.2">
      <c r="B69" s="619">
        <v>66</v>
      </c>
      <c r="C69" s="4" t="s">
        <v>15</v>
      </c>
      <c r="D69" s="4">
        <v>207</v>
      </c>
      <c r="E69" s="4">
        <v>194560</v>
      </c>
      <c r="F69" s="13" t="s">
        <v>206</v>
      </c>
      <c r="G69" s="13" t="s">
        <v>207</v>
      </c>
      <c r="H69" s="17" t="s">
        <v>61</v>
      </c>
      <c r="I69" s="17" t="s">
        <v>208</v>
      </c>
      <c r="J69" s="17">
        <v>0</v>
      </c>
      <c r="K69" s="17">
        <v>0</v>
      </c>
      <c r="L69" s="17">
        <v>0</v>
      </c>
      <c r="M69" s="17">
        <v>0</v>
      </c>
      <c r="N69" s="4">
        <f t="shared" si="2"/>
        <v>0</v>
      </c>
      <c r="O69" s="17"/>
      <c r="P69" s="427"/>
    </row>
    <row r="70" spans="2:68" ht="18" x14ac:dyDescent="0.2">
      <c r="B70" s="619">
        <v>67</v>
      </c>
      <c r="C70" s="4" t="s">
        <v>15</v>
      </c>
      <c r="D70" s="4">
        <v>207</v>
      </c>
      <c r="E70" s="9">
        <v>147477</v>
      </c>
      <c r="F70" s="8" t="s">
        <v>209</v>
      </c>
      <c r="G70" s="8" t="s">
        <v>210</v>
      </c>
      <c r="H70" s="6">
        <v>50</v>
      </c>
      <c r="I70" s="6" t="s">
        <v>211</v>
      </c>
      <c r="J70" s="6">
        <v>0</v>
      </c>
      <c r="K70" s="6">
        <v>0</v>
      </c>
      <c r="L70" s="6">
        <v>0</v>
      </c>
      <c r="M70" s="6">
        <v>0</v>
      </c>
      <c r="N70" s="4">
        <f t="shared" si="2"/>
        <v>0</v>
      </c>
      <c r="O70" s="6"/>
      <c r="P70" s="427"/>
    </row>
    <row r="71" spans="2:68" ht="18" x14ac:dyDescent="0.2">
      <c r="B71" s="619">
        <v>68</v>
      </c>
      <c r="C71" s="4" t="s">
        <v>15</v>
      </c>
      <c r="D71" s="4">
        <v>207</v>
      </c>
      <c r="E71" s="9">
        <v>144697</v>
      </c>
      <c r="F71" s="8" t="s">
        <v>212</v>
      </c>
      <c r="G71" s="8" t="s">
        <v>213</v>
      </c>
      <c r="H71" s="6">
        <v>50</v>
      </c>
      <c r="I71" s="6" t="s">
        <v>214</v>
      </c>
      <c r="J71" s="6">
        <v>0</v>
      </c>
      <c r="K71" s="6">
        <v>0</v>
      </c>
      <c r="L71" s="6">
        <v>0</v>
      </c>
      <c r="M71" s="6">
        <v>0</v>
      </c>
      <c r="N71" s="4">
        <f t="shared" si="2"/>
        <v>0</v>
      </c>
      <c r="O71" s="6"/>
      <c r="P71" s="427"/>
    </row>
    <row r="72" spans="2:68" ht="18" x14ac:dyDescent="0.2">
      <c r="B72" s="619">
        <v>69</v>
      </c>
      <c r="C72" s="4" t="s">
        <v>15</v>
      </c>
      <c r="D72" s="4">
        <v>207</v>
      </c>
      <c r="E72" s="9">
        <v>149420</v>
      </c>
      <c r="F72" s="8" t="s">
        <v>185</v>
      </c>
      <c r="G72" s="8" t="s">
        <v>215</v>
      </c>
      <c r="H72" s="6">
        <v>50</v>
      </c>
      <c r="I72" s="6" t="s">
        <v>216</v>
      </c>
      <c r="J72" s="6">
        <v>0</v>
      </c>
      <c r="K72" s="6">
        <v>0</v>
      </c>
      <c r="L72" s="6">
        <v>0</v>
      </c>
      <c r="M72" s="6">
        <v>0</v>
      </c>
      <c r="N72" s="4">
        <f t="shared" si="2"/>
        <v>0</v>
      </c>
      <c r="O72" s="6"/>
      <c r="P72" s="427"/>
    </row>
    <row r="73" spans="2:68" ht="18" x14ac:dyDescent="0.2">
      <c r="B73" s="619">
        <v>70</v>
      </c>
      <c r="C73" s="4" t="s">
        <v>15</v>
      </c>
      <c r="D73" s="4">
        <v>207</v>
      </c>
      <c r="E73" s="9">
        <v>194561</v>
      </c>
      <c r="F73" s="5" t="s">
        <v>217</v>
      </c>
      <c r="G73" s="5" t="s">
        <v>218</v>
      </c>
      <c r="H73" s="17" t="s">
        <v>61</v>
      </c>
      <c r="I73" s="17" t="s">
        <v>219</v>
      </c>
      <c r="J73" s="17">
        <v>0</v>
      </c>
      <c r="K73" s="17">
        <v>0</v>
      </c>
      <c r="L73" s="17">
        <v>0</v>
      </c>
      <c r="M73" s="17">
        <v>0</v>
      </c>
      <c r="N73" s="4">
        <f t="shared" si="2"/>
        <v>0</v>
      </c>
      <c r="O73" s="17"/>
      <c r="P73" s="427"/>
    </row>
    <row r="74" spans="2:68" ht="18" x14ac:dyDescent="0.2">
      <c r="B74" s="619">
        <v>71</v>
      </c>
      <c r="C74" s="4" t="s">
        <v>15</v>
      </c>
      <c r="D74" s="4">
        <v>207</v>
      </c>
      <c r="E74" s="455">
        <v>217376</v>
      </c>
      <c r="F74" s="14" t="s">
        <v>220</v>
      </c>
      <c r="G74" s="14" t="s">
        <v>221</v>
      </c>
      <c r="H74" s="6">
        <v>24</v>
      </c>
      <c r="I74" s="6" t="s">
        <v>222</v>
      </c>
      <c r="J74" s="6">
        <v>0</v>
      </c>
      <c r="K74" s="6">
        <v>0</v>
      </c>
      <c r="L74" s="6">
        <v>0</v>
      </c>
      <c r="M74" s="6">
        <v>0</v>
      </c>
      <c r="N74" s="4">
        <f t="shared" si="2"/>
        <v>0</v>
      </c>
      <c r="O74" s="6"/>
      <c r="P74" s="427"/>
    </row>
    <row r="75" spans="2:68" ht="18" x14ac:dyDescent="0.2">
      <c r="B75" s="619">
        <v>72</v>
      </c>
      <c r="C75" s="4" t="s">
        <v>15</v>
      </c>
      <c r="D75" s="4">
        <v>207</v>
      </c>
      <c r="E75" s="9">
        <v>207882</v>
      </c>
      <c r="F75" s="8" t="s">
        <v>223</v>
      </c>
      <c r="G75" s="8" t="s">
        <v>215</v>
      </c>
      <c r="H75" s="9">
        <v>72</v>
      </c>
      <c r="I75" s="9" t="s">
        <v>224</v>
      </c>
      <c r="J75" s="9">
        <v>0</v>
      </c>
      <c r="K75" s="9">
        <v>0</v>
      </c>
      <c r="L75" s="9">
        <v>0</v>
      </c>
      <c r="M75" s="9">
        <v>0</v>
      </c>
      <c r="N75" s="4">
        <f t="shared" si="2"/>
        <v>0</v>
      </c>
      <c r="O75" s="9"/>
      <c r="P75" s="427"/>
    </row>
    <row r="76" spans="2:68" ht="18" x14ac:dyDescent="0.2">
      <c r="B76" s="619">
        <v>73</v>
      </c>
      <c r="C76" s="4" t="s">
        <v>15</v>
      </c>
      <c r="D76" s="4">
        <v>207</v>
      </c>
      <c r="E76" s="9">
        <v>207869</v>
      </c>
      <c r="F76" s="8" t="s">
        <v>56</v>
      </c>
      <c r="G76" s="8" t="s">
        <v>225</v>
      </c>
      <c r="H76" s="9">
        <v>72</v>
      </c>
      <c r="I76" s="9"/>
      <c r="J76" s="9"/>
      <c r="K76" s="9"/>
      <c r="L76" s="9"/>
      <c r="M76" s="9"/>
      <c r="N76" s="4">
        <f t="shared" si="2"/>
        <v>0</v>
      </c>
      <c r="O76" s="9"/>
      <c r="P76" s="427"/>
    </row>
    <row r="77" spans="2:68" ht="18" x14ac:dyDescent="0.2">
      <c r="B77" s="619">
        <v>74</v>
      </c>
      <c r="C77" s="4" t="s">
        <v>15</v>
      </c>
      <c r="D77" s="4">
        <v>205</v>
      </c>
      <c r="E77" s="9">
        <v>193414</v>
      </c>
      <c r="F77" s="5" t="s">
        <v>226</v>
      </c>
      <c r="G77" s="5" t="s">
        <v>227</v>
      </c>
      <c r="H77" s="17" t="s">
        <v>61</v>
      </c>
      <c r="I77" s="17" t="s">
        <v>228</v>
      </c>
      <c r="J77" s="17">
        <v>0</v>
      </c>
      <c r="K77" s="17">
        <v>0</v>
      </c>
      <c r="L77" s="17">
        <v>0</v>
      </c>
      <c r="M77" s="17">
        <v>0</v>
      </c>
      <c r="N77" s="4">
        <f t="shared" si="2"/>
        <v>0</v>
      </c>
      <c r="O77" s="17"/>
      <c r="P77" s="427"/>
    </row>
    <row r="78" spans="2:68" ht="18" x14ac:dyDescent="0.2">
      <c r="B78" s="619">
        <v>75</v>
      </c>
      <c r="C78" s="4" t="s">
        <v>15</v>
      </c>
      <c r="D78" s="4">
        <v>205</v>
      </c>
      <c r="E78" s="9">
        <v>182880</v>
      </c>
      <c r="F78" s="8" t="s">
        <v>59</v>
      </c>
      <c r="G78" s="8" t="s">
        <v>183</v>
      </c>
      <c r="H78" s="6">
        <v>23</v>
      </c>
      <c r="I78" s="6"/>
      <c r="J78" s="6"/>
      <c r="K78" s="6"/>
      <c r="L78" s="6"/>
      <c r="M78" s="6"/>
      <c r="N78" s="4">
        <f t="shared" si="2"/>
        <v>0</v>
      </c>
      <c r="O78" s="6"/>
      <c r="P78" s="427"/>
    </row>
    <row r="79" spans="2:68" ht="18" x14ac:dyDescent="0.2">
      <c r="B79" s="619">
        <v>76</v>
      </c>
      <c r="C79" s="4" t="s">
        <v>15</v>
      </c>
      <c r="D79" s="4">
        <v>205</v>
      </c>
      <c r="E79" s="9">
        <v>161668</v>
      </c>
      <c r="F79" s="8" t="s">
        <v>229</v>
      </c>
      <c r="G79" s="8" t="s">
        <v>230</v>
      </c>
      <c r="H79" s="6">
        <v>23</v>
      </c>
      <c r="I79" s="6"/>
      <c r="J79" s="6"/>
      <c r="K79" s="6"/>
      <c r="L79" s="6"/>
      <c r="M79" s="6"/>
      <c r="N79" s="4">
        <f t="shared" si="2"/>
        <v>0</v>
      </c>
      <c r="O79" s="6"/>
      <c r="P79" s="427"/>
    </row>
    <row r="80" spans="2:68" ht="18" x14ac:dyDescent="0.2">
      <c r="B80" s="619">
        <v>77</v>
      </c>
      <c r="C80" s="4" t="s">
        <v>15</v>
      </c>
      <c r="D80" s="4">
        <v>205</v>
      </c>
      <c r="E80" s="9">
        <v>161681</v>
      </c>
      <c r="F80" s="8" t="s">
        <v>231</v>
      </c>
      <c r="G80" s="8" t="s">
        <v>232</v>
      </c>
      <c r="H80" s="6">
        <v>23</v>
      </c>
      <c r="I80" s="6" t="s">
        <v>233</v>
      </c>
      <c r="J80" s="6">
        <v>0</v>
      </c>
      <c r="K80" s="6">
        <v>0</v>
      </c>
      <c r="L80" s="6">
        <v>0</v>
      </c>
      <c r="M80" s="6">
        <v>0</v>
      </c>
      <c r="N80" s="4">
        <f t="shared" si="2"/>
        <v>0</v>
      </c>
      <c r="O80" s="6"/>
      <c r="P80" s="427"/>
    </row>
    <row r="81" spans="2:16" ht="18" x14ac:dyDescent="0.2">
      <c r="B81" s="619">
        <v>78</v>
      </c>
      <c r="C81" s="4" t="s">
        <v>15</v>
      </c>
      <c r="D81" s="4">
        <v>205</v>
      </c>
      <c r="E81" s="9">
        <v>194900</v>
      </c>
      <c r="F81" s="8" t="s">
        <v>234</v>
      </c>
      <c r="G81" s="8" t="s">
        <v>235</v>
      </c>
      <c r="H81" s="17" t="s">
        <v>122</v>
      </c>
      <c r="I81" s="17"/>
      <c r="J81" s="17"/>
      <c r="K81" s="17"/>
      <c r="L81" s="17"/>
      <c r="M81" s="17"/>
      <c r="N81" s="4">
        <f t="shared" si="2"/>
        <v>0</v>
      </c>
      <c r="O81" s="17"/>
      <c r="P81" s="427"/>
    </row>
    <row r="82" spans="2:16" ht="18" x14ac:dyDescent="0.2">
      <c r="B82" s="619">
        <v>79</v>
      </c>
      <c r="C82" s="4" t="s">
        <v>15</v>
      </c>
      <c r="D82" s="4">
        <v>205</v>
      </c>
      <c r="E82" s="9">
        <v>194903</v>
      </c>
      <c r="F82" s="8" t="s">
        <v>236</v>
      </c>
      <c r="G82" s="8" t="s">
        <v>237</v>
      </c>
      <c r="H82" s="17" t="s">
        <v>122</v>
      </c>
      <c r="I82" s="17" t="s">
        <v>238</v>
      </c>
      <c r="J82" s="17">
        <v>0</v>
      </c>
      <c r="K82" s="17">
        <v>0</v>
      </c>
      <c r="L82" s="17">
        <v>0</v>
      </c>
      <c r="M82" s="17">
        <v>0</v>
      </c>
      <c r="N82" s="4">
        <f t="shared" si="2"/>
        <v>0</v>
      </c>
      <c r="O82" s="17"/>
      <c r="P82" s="427"/>
    </row>
    <row r="83" spans="2:16" ht="19.5" customHeight="1" x14ac:dyDescent="0.2">
      <c r="B83" s="619">
        <v>80</v>
      </c>
      <c r="C83" s="4" t="s">
        <v>15</v>
      </c>
      <c r="D83" s="4">
        <v>205</v>
      </c>
      <c r="E83" s="9">
        <v>227518</v>
      </c>
      <c r="F83" s="5" t="s">
        <v>239</v>
      </c>
      <c r="G83" s="5" t="s">
        <v>240</v>
      </c>
      <c r="H83" s="6" t="s">
        <v>48</v>
      </c>
      <c r="I83" s="6"/>
      <c r="J83" s="6"/>
      <c r="K83" s="6"/>
      <c r="L83" s="6"/>
      <c r="M83" s="6"/>
      <c r="N83" s="4">
        <f t="shared" si="2"/>
        <v>0</v>
      </c>
      <c r="O83" s="6"/>
      <c r="P83" s="427"/>
    </row>
    <row r="84" spans="2:16" ht="19.5" customHeight="1" x14ac:dyDescent="0.2">
      <c r="B84" s="619">
        <v>81</v>
      </c>
      <c r="C84" s="4" t="s">
        <v>15</v>
      </c>
      <c r="D84" s="4">
        <v>205</v>
      </c>
      <c r="E84" s="9">
        <v>227516</v>
      </c>
      <c r="F84" s="5" t="s">
        <v>241</v>
      </c>
      <c r="G84" s="5" t="s">
        <v>106</v>
      </c>
      <c r="H84" s="6" t="s">
        <v>48</v>
      </c>
      <c r="I84" s="6" t="s">
        <v>242</v>
      </c>
      <c r="J84" s="6">
        <v>0</v>
      </c>
      <c r="K84" s="6">
        <v>0</v>
      </c>
      <c r="L84" s="6">
        <v>0</v>
      </c>
      <c r="M84" s="6">
        <v>0</v>
      </c>
      <c r="N84" s="4">
        <f t="shared" si="2"/>
        <v>0</v>
      </c>
      <c r="O84" s="6"/>
      <c r="P84" s="427"/>
    </row>
    <row r="85" spans="2:16" ht="19.5" customHeight="1" x14ac:dyDescent="0.2">
      <c r="B85" s="619">
        <v>82</v>
      </c>
      <c r="C85" s="4" t="s">
        <v>15</v>
      </c>
      <c r="D85" s="4">
        <v>205</v>
      </c>
      <c r="E85" s="459">
        <v>212365</v>
      </c>
      <c r="F85" s="460" t="s">
        <v>243</v>
      </c>
      <c r="G85" s="460" t="s">
        <v>244</v>
      </c>
      <c r="H85" s="461">
        <v>5</v>
      </c>
      <c r="I85" s="461" t="s">
        <v>245</v>
      </c>
      <c r="J85" s="461">
        <v>0</v>
      </c>
      <c r="K85" s="461">
        <v>0</v>
      </c>
      <c r="L85" s="461">
        <v>0</v>
      </c>
      <c r="M85" s="461">
        <v>0</v>
      </c>
      <c r="N85" s="4">
        <f t="shared" si="2"/>
        <v>0</v>
      </c>
      <c r="O85" s="461"/>
      <c r="P85" s="427"/>
    </row>
    <row r="86" spans="2:16" x14ac:dyDescent="0.15">
      <c r="B86" s="620"/>
    </row>
    <row r="87" spans="2:16" x14ac:dyDescent="0.15">
      <c r="B87" s="620"/>
    </row>
    <row r="88" spans="2:16" x14ac:dyDescent="0.15">
      <c r="B88" s="620"/>
      <c r="F88" s="18"/>
    </row>
    <row r="89" spans="2:16" x14ac:dyDescent="0.15">
      <c r="B89" s="620"/>
    </row>
    <row r="90" spans="2:16" x14ac:dyDescent="0.15">
      <c r="B90" s="620"/>
    </row>
    <row r="91" spans="2:16" x14ac:dyDescent="0.15">
      <c r="B91" s="620"/>
    </row>
    <row r="92" spans="2:16" x14ac:dyDescent="0.15">
      <c r="B92" s="620"/>
    </row>
    <row r="93" spans="2:16" x14ac:dyDescent="0.15">
      <c r="B93" s="620"/>
    </row>
    <row r="94" spans="2:16" x14ac:dyDescent="0.15">
      <c r="B94" s="620"/>
    </row>
    <row r="95" spans="2:16" x14ac:dyDescent="0.15">
      <c r="B95" s="620"/>
    </row>
    <row r="96" spans="2:16" x14ac:dyDescent="0.15">
      <c r="B96" s="620"/>
    </row>
    <row r="97" spans="2:2" x14ac:dyDescent="0.15">
      <c r="B97" s="620"/>
    </row>
    <row r="98" spans="2:2" x14ac:dyDescent="0.15">
      <c r="B98" s="620"/>
    </row>
    <row r="99" spans="2:2" x14ac:dyDescent="0.15">
      <c r="B99" s="620"/>
    </row>
    <row r="100" spans="2:2" x14ac:dyDescent="0.15">
      <c r="B100" s="620"/>
    </row>
    <row r="101" spans="2:2" x14ac:dyDescent="0.15">
      <c r="B101" s="620"/>
    </row>
    <row r="102" spans="2:2" x14ac:dyDescent="0.15">
      <c r="B102" s="620"/>
    </row>
    <row r="103" spans="2:2" x14ac:dyDescent="0.15">
      <c r="B103" s="620"/>
    </row>
    <row r="104" spans="2:2" x14ac:dyDescent="0.15">
      <c r="B104" s="620"/>
    </row>
    <row r="105" spans="2:2" x14ac:dyDescent="0.15">
      <c r="B105" s="620"/>
    </row>
    <row r="106" spans="2:2" x14ac:dyDescent="0.15">
      <c r="B106" s="620"/>
    </row>
    <row r="107" spans="2:2" x14ac:dyDescent="0.15">
      <c r="B107" s="620"/>
    </row>
    <row r="108" spans="2:2" x14ac:dyDescent="0.15">
      <c r="B108" s="620"/>
    </row>
    <row r="109" spans="2:2" x14ac:dyDescent="0.15">
      <c r="B109" s="620"/>
    </row>
    <row r="110" spans="2:2" x14ac:dyDescent="0.15">
      <c r="B110" s="620"/>
    </row>
    <row r="111" spans="2:2" x14ac:dyDescent="0.15">
      <c r="B111" s="620"/>
    </row>
    <row r="112" spans="2:2" x14ac:dyDescent="0.15">
      <c r="B112" s="620"/>
    </row>
    <row r="113" spans="2:2" x14ac:dyDescent="0.15">
      <c r="B113" s="620"/>
    </row>
    <row r="114" spans="2:2" x14ac:dyDescent="0.15">
      <c r="B114" s="620"/>
    </row>
    <row r="115" spans="2:2" x14ac:dyDescent="0.15">
      <c r="B115" s="620"/>
    </row>
    <row r="116" spans="2:2" x14ac:dyDescent="0.15">
      <c r="B116" s="620"/>
    </row>
    <row r="117" spans="2:2" x14ac:dyDescent="0.15">
      <c r="B117" s="620"/>
    </row>
    <row r="118" spans="2:2" x14ac:dyDescent="0.15">
      <c r="B118" s="620"/>
    </row>
    <row r="119" spans="2:2" x14ac:dyDescent="0.15">
      <c r="B119" s="620"/>
    </row>
    <row r="120" spans="2:2" x14ac:dyDescent="0.15">
      <c r="B120" s="620"/>
    </row>
    <row r="121" spans="2:2" x14ac:dyDescent="0.15">
      <c r="B121" s="620"/>
    </row>
    <row r="122" spans="2:2" x14ac:dyDescent="0.15">
      <c r="B122" s="620"/>
    </row>
    <row r="123" spans="2:2" x14ac:dyDescent="0.15">
      <c r="B123" s="620"/>
    </row>
    <row r="124" spans="2:2" x14ac:dyDescent="0.15">
      <c r="B124" s="620"/>
    </row>
    <row r="125" spans="2:2" x14ac:dyDescent="0.15">
      <c r="B125" s="620"/>
    </row>
    <row r="126" spans="2:2" x14ac:dyDescent="0.15">
      <c r="B126" s="620"/>
    </row>
    <row r="127" spans="2:2" x14ac:dyDescent="0.15">
      <c r="B127" s="620"/>
    </row>
    <row r="128" spans="2:2" x14ac:dyDescent="0.15">
      <c r="B128" s="620"/>
    </row>
    <row r="129" spans="2:2" x14ac:dyDescent="0.15">
      <c r="B129" s="620"/>
    </row>
    <row r="130" spans="2:2" x14ac:dyDescent="0.15">
      <c r="B130" s="620"/>
    </row>
    <row r="131" spans="2:2" x14ac:dyDescent="0.15">
      <c r="B131" s="620"/>
    </row>
    <row r="132" spans="2:2" x14ac:dyDescent="0.15">
      <c r="B132" s="620"/>
    </row>
    <row r="133" spans="2:2" x14ac:dyDescent="0.15">
      <c r="B133" s="620"/>
    </row>
    <row r="134" spans="2:2" x14ac:dyDescent="0.15">
      <c r="B134" s="620"/>
    </row>
    <row r="135" spans="2:2" x14ac:dyDescent="0.15">
      <c r="B135" s="620"/>
    </row>
    <row r="136" spans="2:2" x14ac:dyDescent="0.15">
      <c r="B136" s="620"/>
    </row>
    <row r="137" spans="2:2" x14ac:dyDescent="0.15">
      <c r="B137" s="620"/>
    </row>
    <row r="138" spans="2:2" x14ac:dyDescent="0.15">
      <c r="B138" s="620"/>
    </row>
    <row r="139" spans="2:2" x14ac:dyDescent="0.15">
      <c r="B139" s="620"/>
    </row>
    <row r="140" spans="2:2" x14ac:dyDescent="0.15">
      <c r="B140" s="620"/>
    </row>
    <row r="141" spans="2:2" x14ac:dyDescent="0.15">
      <c r="B141" s="620"/>
    </row>
    <row r="142" spans="2:2" x14ac:dyDescent="0.15">
      <c r="B142" s="620"/>
    </row>
    <row r="143" spans="2:2" x14ac:dyDescent="0.15">
      <c r="B143" s="620"/>
    </row>
    <row r="144" spans="2:2" x14ac:dyDescent="0.15">
      <c r="B144" s="620"/>
    </row>
    <row r="145" spans="2:2" x14ac:dyDescent="0.15">
      <c r="B145" s="620"/>
    </row>
    <row r="146" spans="2:2" x14ac:dyDescent="0.15">
      <c r="B146" s="620"/>
    </row>
    <row r="147" spans="2:2" x14ac:dyDescent="0.15">
      <c r="B147" s="620"/>
    </row>
    <row r="148" spans="2:2" x14ac:dyDescent="0.15">
      <c r="B148" s="620"/>
    </row>
    <row r="149" spans="2:2" x14ac:dyDescent="0.15">
      <c r="B149" s="620"/>
    </row>
    <row r="150" spans="2:2" x14ac:dyDescent="0.15">
      <c r="B150" s="620"/>
    </row>
    <row r="151" spans="2:2" x14ac:dyDescent="0.15">
      <c r="B151" s="620"/>
    </row>
    <row r="152" spans="2:2" x14ac:dyDescent="0.15">
      <c r="B152" s="620"/>
    </row>
    <row r="153" spans="2:2" x14ac:dyDescent="0.15">
      <c r="B153" s="620"/>
    </row>
    <row r="154" spans="2:2" x14ac:dyDescent="0.15">
      <c r="B154" s="620"/>
    </row>
    <row r="155" spans="2:2" x14ac:dyDescent="0.15">
      <c r="B155" s="620"/>
    </row>
    <row r="156" spans="2:2" x14ac:dyDescent="0.15">
      <c r="B156" s="620"/>
    </row>
    <row r="157" spans="2:2" x14ac:dyDescent="0.15">
      <c r="B157" s="620"/>
    </row>
    <row r="158" spans="2:2" x14ac:dyDescent="0.15">
      <c r="B158" s="620"/>
    </row>
    <row r="159" spans="2:2" x14ac:dyDescent="0.15">
      <c r="B159" s="620"/>
    </row>
    <row r="160" spans="2:2" x14ac:dyDescent="0.15">
      <c r="B160" s="620"/>
    </row>
    <row r="161" spans="2:2" x14ac:dyDescent="0.15">
      <c r="B161" s="620"/>
    </row>
    <row r="162" spans="2:2" x14ac:dyDescent="0.15">
      <c r="B162" s="620"/>
    </row>
    <row r="163" spans="2:2" x14ac:dyDescent="0.15">
      <c r="B163" s="620"/>
    </row>
    <row r="164" spans="2:2" x14ac:dyDescent="0.15">
      <c r="B164" s="620"/>
    </row>
    <row r="165" spans="2:2" x14ac:dyDescent="0.15">
      <c r="B165" s="620"/>
    </row>
    <row r="166" spans="2:2" x14ac:dyDescent="0.15">
      <c r="B166" s="620"/>
    </row>
    <row r="167" spans="2:2" x14ac:dyDescent="0.15">
      <c r="B167" s="620"/>
    </row>
    <row r="168" spans="2:2" x14ac:dyDescent="0.15">
      <c r="B168" s="620"/>
    </row>
    <row r="169" spans="2:2" x14ac:dyDescent="0.15">
      <c r="B169" s="620"/>
    </row>
    <row r="170" spans="2:2" x14ac:dyDescent="0.15">
      <c r="B170" s="620"/>
    </row>
    <row r="171" spans="2:2" x14ac:dyDescent="0.15">
      <c r="B171" s="620"/>
    </row>
    <row r="172" spans="2:2" x14ac:dyDescent="0.15">
      <c r="B172" s="620"/>
    </row>
    <row r="173" spans="2:2" x14ac:dyDescent="0.15">
      <c r="B173" s="620"/>
    </row>
    <row r="174" spans="2:2" x14ac:dyDescent="0.15">
      <c r="B174" s="620"/>
    </row>
    <row r="175" spans="2:2" x14ac:dyDescent="0.15">
      <c r="B175" s="620"/>
    </row>
    <row r="176" spans="2:2" x14ac:dyDescent="0.15">
      <c r="B176" s="620"/>
    </row>
    <row r="177" spans="2:2" x14ac:dyDescent="0.15">
      <c r="B177" s="620"/>
    </row>
    <row r="178" spans="2:2" x14ac:dyDescent="0.15">
      <c r="B178" s="620"/>
    </row>
    <row r="179" spans="2:2" x14ac:dyDescent="0.15">
      <c r="B179" s="620"/>
    </row>
    <row r="180" spans="2:2" x14ac:dyDescent="0.15">
      <c r="B180" s="620"/>
    </row>
    <row r="181" spans="2:2" x14ac:dyDescent="0.15">
      <c r="B181" s="620"/>
    </row>
    <row r="182" spans="2:2" x14ac:dyDescent="0.15">
      <c r="B182" s="620"/>
    </row>
    <row r="183" spans="2:2" x14ac:dyDescent="0.15">
      <c r="B183" s="620"/>
    </row>
    <row r="184" spans="2:2" x14ac:dyDescent="0.15">
      <c r="B184" s="620"/>
    </row>
    <row r="185" spans="2:2" x14ac:dyDescent="0.15">
      <c r="B185" s="620"/>
    </row>
    <row r="186" spans="2:2" x14ac:dyDescent="0.15">
      <c r="B186" s="620"/>
    </row>
    <row r="187" spans="2:2" x14ac:dyDescent="0.15">
      <c r="B187" s="620"/>
    </row>
    <row r="188" spans="2:2" x14ac:dyDescent="0.15">
      <c r="B188" s="620"/>
    </row>
    <row r="189" spans="2:2" x14ac:dyDescent="0.15">
      <c r="B189" s="620"/>
    </row>
    <row r="190" spans="2:2" x14ac:dyDescent="0.15">
      <c r="B190" s="620"/>
    </row>
    <row r="191" spans="2:2" x14ac:dyDescent="0.15">
      <c r="B191" s="620"/>
    </row>
    <row r="192" spans="2:2" x14ac:dyDescent="0.15">
      <c r="B192" s="620"/>
    </row>
    <row r="193" spans="2:2" x14ac:dyDescent="0.15">
      <c r="B193" s="620"/>
    </row>
    <row r="194" spans="2:2" x14ac:dyDescent="0.15">
      <c r="B194" s="620"/>
    </row>
    <row r="195" spans="2:2" x14ac:dyDescent="0.15">
      <c r="B195" s="620"/>
    </row>
    <row r="196" spans="2:2" x14ac:dyDescent="0.15">
      <c r="B196" s="620"/>
    </row>
    <row r="197" spans="2:2" x14ac:dyDescent="0.15">
      <c r="B197" s="620"/>
    </row>
    <row r="198" spans="2:2" x14ac:dyDescent="0.15">
      <c r="B198" s="620"/>
    </row>
    <row r="199" spans="2:2" x14ac:dyDescent="0.15">
      <c r="B199" s="620"/>
    </row>
    <row r="200" spans="2:2" x14ac:dyDescent="0.15">
      <c r="B200" s="620"/>
    </row>
    <row r="201" spans="2:2" x14ac:dyDescent="0.15">
      <c r="B201" s="620"/>
    </row>
    <row r="202" spans="2:2" x14ac:dyDescent="0.15">
      <c r="B202" s="620"/>
    </row>
    <row r="203" spans="2:2" x14ac:dyDescent="0.15">
      <c r="B203" s="620"/>
    </row>
    <row r="204" spans="2:2" x14ac:dyDescent="0.15">
      <c r="B204" s="620"/>
    </row>
    <row r="205" spans="2:2" x14ac:dyDescent="0.15">
      <c r="B205" s="620"/>
    </row>
    <row r="206" spans="2:2" x14ac:dyDescent="0.15">
      <c r="B206" s="620"/>
    </row>
    <row r="207" spans="2:2" x14ac:dyDescent="0.15">
      <c r="B207" s="620"/>
    </row>
    <row r="208" spans="2:2" x14ac:dyDescent="0.15">
      <c r="B208" s="620"/>
    </row>
    <row r="209" spans="2:2" x14ac:dyDescent="0.15">
      <c r="B209" s="620"/>
    </row>
    <row r="210" spans="2:2" x14ac:dyDescent="0.15">
      <c r="B210" s="620"/>
    </row>
    <row r="211" spans="2:2" x14ac:dyDescent="0.15">
      <c r="B211" s="620"/>
    </row>
    <row r="212" spans="2:2" x14ac:dyDescent="0.15">
      <c r="B212" s="620"/>
    </row>
    <row r="213" spans="2:2" x14ac:dyDescent="0.15">
      <c r="B213" s="620"/>
    </row>
    <row r="214" spans="2:2" x14ac:dyDescent="0.15">
      <c r="B214" s="620"/>
    </row>
    <row r="215" spans="2:2" x14ac:dyDescent="0.15">
      <c r="B215" s="620"/>
    </row>
    <row r="216" spans="2:2" x14ac:dyDescent="0.15">
      <c r="B216" s="620"/>
    </row>
    <row r="217" spans="2:2" x14ac:dyDescent="0.15">
      <c r="B217" s="620"/>
    </row>
    <row r="218" spans="2:2" x14ac:dyDescent="0.15">
      <c r="B218" s="620"/>
    </row>
    <row r="219" spans="2:2" x14ac:dyDescent="0.15">
      <c r="B219" s="620"/>
    </row>
    <row r="220" spans="2:2" x14ac:dyDescent="0.15">
      <c r="B220" s="620"/>
    </row>
    <row r="221" spans="2:2" x14ac:dyDescent="0.15">
      <c r="B221" s="620"/>
    </row>
    <row r="222" spans="2:2" x14ac:dyDescent="0.15">
      <c r="B222" s="620"/>
    </row>
    <row r="223" spans="2:2" x14ac:dyDescent="0.15">
      <c r="B223" s="620"/>
    </row>
    <row r="224" spans="2:2" x14ac:dyDescent="0.15">
      <c r="B224" s="620"/>
    </row>
    <row r="225" spans="2:2" x14ac:dyDescent="0.15">
      <c r="B225" s="620"/>
    </row>
    <row r="226" spans="2:2" x14ac:dyDescent="0.15">
      <c r="B226" s="620"/>
    </row>
    <row r="227" spans="2:2" x14ac:dyDescent="0.15">
      <c r="B227" s="620"/>
    </row>
    <row r="228" spans="2:2" x14ac:dyDescent="0.15">
      <c r="B228" s="620"/>
    </row>
    <row r="229" spans="2:2" x14ac:dyDescent="0.15">
      <c r="B229" s="620"/>
    </row>
    <row r="230" spans="2:2" x14ac:dyDescent="0.15">
      <c r="B230" s="620"/>
    </row>
    <row r="231" spans="2:2" x14ac:dyDescent="0.15">
      <c r="B231" s="620"/>
    </row>
    <row r="232" spans="2:2" x14ac:dyDescent="0.15">
      <c r="B232" s="620"/>
    </row>
    <row r="233" spans="2:2" x14ac:dyDescent="0.15">
      <c r="B233" s="620"/>
    </row>
    <row r="234" spans="2:2" x14ac:dyDescent="0.15">
      <c r="B234" s="620"/>
    </row>
    <row r="235" spans="2:2" x14ac:dyDescent="0.15">
      <c r="B235" s="620"/>
    </row>
    <row r="236" spans="2:2" x14ac:dyDescent="0.15">
      <c r="B236" s="620"/>
    </row>
    <row r="237" spans="2:2" x14ac:dyDescent="0.15">
      <c r="B237" s="620"/>
    </row>
    <row r="238" spans="2:2" x14ac:dyDescent="0.15">
      <c r="B238" s="620"/>
    </row>
    <row r="239" spans="2:2" x14ac:dyDescent="0.15">
      <c r="B239" s="620"/>
    </row>
    <row r="240" spans="2:2" x14ac:dyDescent="0.15">
      <c r="B240" s="620"/>
    </row>
    <row r="241" spans="2:2" x14ac:dyDescent="0.15">
      <c r="B241" s="620"/>
    </row>
    <row r="242" spans="2:2" x14ac:dyDescent="0.15">
      <c r="B242" s="620"/>
    </row>
    <row r="243" spans="2:2" x14ac:dyDescent="0.15">
      <c r="B243" s="620"/>
    </row>
    <row r="244" spans="2:2" x14ac:dyDescent="0.15">
      <c r="B244" s="620"/>
    </row>
    <row r="245" spans="2:2" x14ac:dyDescent="0.15">
      <c r="B245" s="620"/>
    </row>
    <row r="246" spans="2:2" x14ac:dyDescent="0.15">
      <c r="B246" s="620"/>
    </row>
    <row r="247" spans="2:2" x14ac:dyDescent="0.15">
      <c r="B247" s="620"/>
    </row>
    <row r="248" spans="2:2" x14ac:dyDescent="0.15">
      <c r="B248" s="620"/>
    </row>
    <row r="249" spans="2:2" x14ac:dyDescent="0.15">
      <c r="B249" s="620"/>
    </row>
    <row r="250" spans="2:2" x14ac:dyDescent="0.15">
      <c r="B250" s="620"/>
    </row>
    <row r="251" spans="2:2" x14ac:dyDescent="0.15">
      <c r="B251" s="620"/>
    </row>
    <row r="252" spans="2:2" x14ac:dyDescent="0.15">
      <c r="B252" s="620"/>
    </row>
    <row r="253" spans="2:2" x14ac:dyDescent="0.15">
      <c r="B253" s="620"/>
    </row>
    <row r="254" spans="2:2" x14ac:dyDescent="0.15">
      <c r="B254" s="620"/>
    </row>
    <row r="255" spans="2:2" x14ac:dyDescent="0.15">
      <c r="B255" s="620"/>
    </row>
    <row r="256" spans="2:2" x14ac:dyDescent="0.15">
      <c r="B256" s="620"/>
    </row>
    <row r="257" spans="2:2" x14ac:dyDescent="0.15">
      <c r="B257" s="620"/>
    </row>
    <row r="258" spans="2:2" x14ac:dyDescent="0.15">
      <c r="B258" s="620"/>
    </row>
    <row r="259" spans="2:2" x14ac:dyDescent="0.15">
      <c r="B259" s="620"/>
    </row>
    <row r="260" spans="2:2" x14ac:dyDescent="0.15">
      <c r="B260" s="620"/>
    </row>
    <row r="261" spans="2:2" x14ac:dyDescent="0.15">
      <c r="B261" s="620"/>
    </row>
    <row r="262" spans="2:2" x14ac:dyDescent="0.15">
      <c r="B262" s="620"/>
    </row>
    <row r="263" spans="2:2" x14ac:dyDescent="0.15">
      <c r="B263" s="620"/>
    </row>
    <row r="264" spans="2:2" x14ac:dyDescent="0.15">
      <c r="B264" s="620"/>
    </row>
    <row r="265" spans="2:2" x14ac:dyDescent="0.15">
      <c r="B265" s="620"/>
    </row>
    <row r="266" spans="2:2" x14ac:dyDescent="0.15">
      <c r="B266" s="620"/>
    </row>
    <row r="267" spans="2:2" x14ac:dyDescent="0.15">
      <c r="B267" s="620"/>
    </row>
    <row r="268" spans="2:2" x14ac:dyDescent="0.15">
      <c r="B268" s="620"/>
    </row>
    <row r="269" spans="2:2" x14ac:dyDescent="0.15">
      <c r="B269" s="620"/>
    </row>
    <row r="270" spans="2:2" x14ac:dyDescent="0.15">
      <c r="B270" s="620"/>
    </row>
    <row r="271" spans="2:2" x14ac:dyDescent="0.15">
      <c r="B271" s="620"/>
    </row>
    <row r="272" spans="2:2" x14ac:dyDescent="0.15">
      <c r="B272" s="620"/>
    </row>
    <row r="273" spans="2:2" x14ac:dyDescent="0.15">
      <c r="B273" s="620"/>
    </row>
    <row r="274" spans="2:2" x14ac:dyDescent="0.15">
      <c r="B274" s="620"/>
    </row>
    <row r="275" spans="2:2" x14ac:dyDescent="0.15">
      <c r="B275" s="620"/>
    </row>
    <row r="276" spans="2:2" x14ac:dyDescent="0.15">
      <c r="B276" s="620"/>
    </row>
    <row r="277" spans="2:2" x14ac:dyDescent="0.15">
      <c r="B277" s="620"/>
    </row>
    <row r="278" spans="2:2" x14ac:dyDescent="0.15">
      <c r="B278" s="620"/>
    </row>
    <row r="279" spans="2:2" x14ac:dyDescent="0.15">
      <c r="B279" s="620"/>
    </row>
    <row r="280" spans="2:2" x14ac:dyDescent="0.15">
      <c r="B280" s="620"/>
    </row>
    <row r="281" spans="2:2" x14ac:dyDescent="0.15">
      <c r="B281" s="620"/>
    </row>
    <row r="282" spans="2:2" x14ac:dyDescent="0.15">
      <c r="B282" s="620"/>
    </row>
    <row r="283" spans="2:2" x14ac:dyDescent="0.15">
      <c r="B283" s="620"/>
    </row>
    <row r="284" spans="2:2" x14ac:dyDescent="0.15">
      <c r="B284" s="620"/>
    </row>
    <row r="285" spans="2:2" x14ac:dyDescent="0.15">
      <c r="B285" s="620"/>
    </row>
    <row r="286" spans="2:2" x14ac:dyDescent="0.15">
      <c r="B286" s="620"/>
    </row>
    <row r="287" spans="2:2" x14ac:dyDescent="0.15">
      <c r="B287" s="620"/>
    </row>
    <row r="288" spans="2:2" x14ac:dyDescent="0.15">
      <c r="B288" s="620"/>
    </row>
    <row r="289" spans="2:2" x14ac:dyDescent="0.15">
      <c r="B289" s="620"/>
    </row>
    <row r="290" spans="2:2" x14ac:dyDescent="0.15">
      <c r="B290" s="620"/>
    </row>
    <row r="291" spans="2:2" x14ac:dyDescent="0.15">
      <c r="B291" s="620"/>
    </row>
    <row r="292" spans="2:2" x14ac:dyDescent="0.15">
      <c r="B292" s="620"/>
    </row>
    <row r="293" spans="2:2" x14ac:dyDescent="0.15">
      <c r="B293" s="620"/>
    </row>
    <row r="294" spans="2:2" x14ac:dyDescent="0.15">
      <c r="B294" s="620"/>
    </row>
    <row r="295" spans="2:2" x14ac:dyDescent="0.15">
      <c r="B295" s="620"/>
    </row>
    <row r="296" spans="2:2" x14ac:dyDescent="0.15">
      <c r="B296" s="620"/>
    </row>
    <row r="297" spans="2:2" x14ac:dyDescent="0.15">
      <c r="B297" s="620"/>
    </row>
    <row r="298" spans="2:2" x14ac:dyDescent="0.15">
      <c r="B298" s="620"/>
    </row>
    <row r="299" spans="2:2" x14ac:dyDescent="0.15">
      <c r="B299" s="620"/>
    </row>
    <row r="300" spans="2:2" x14ac:dyDescent="0.15">
      <c r="B300" s="620"/>
    </row>
    <row r="301" spans="2:2" x14ac:dyDescent="0.15">
      <c r="B301" s="620"/>
    </row>
    <row r="302" spans="2:2" x14ac:dyDescent="0.15">
      <c r="B302" s="620"/>
    </row>
    <row r="303" spans="2:2" x14ac:dyDescent="0.15">
      <c r="B303" s="620"/>
    </row>
    <row r="304" spans="2:2" x14ac:dyDescent="0.15">
      <c r="B304" s="620"/>
    </row>
    <row r="305" spans="2:2" x14ac:dyDescent="0.15">
      <c r="B305" s="620"/>
    </row>
    <row r="306" spans="2:2" x14ac:dyDescent="0.15">
      <c r="B306" s="620"/>
    </row>
    <row r="307" spans="2:2" x14ac:dyDescent="0.15">
      <c r="B307" s="620"/>
    </row>
    <row r="308" spans="2:2" x14ac:dyDescent="0.15">
      <c r="B308" s="620"/>
    </row>
    <row r="309" spans="2:2" x14ac:dyDescent="0.15">
      <c r="B309" s="620"/>
    </row>
    <row r="310" spans="2:2" x14ac:dyDescent="0.15">
      <c r="B310" s="620"/>
    </row>
    <row r="311" spans="2:2" x14ac:dyDescent="0.15">
      <c r="B311" s="620"/>
    </row>
    <row r="312" spans="2:2" x14ac:dyDescent="0.15">
      <c r="B312" s="620"/>
    </row>
    <row r="313" spans="2:2" x14ac:dyDescent="0.15">
      <c r="B313" s="620"/>
    </row>
    <row r="314" spans="2:2" x14ac:dyDescent="0.15">
      <c r="B314" s="620"/>
    </row>
    <row r="315" spans="2:2" x14ac:dyDescent="0.15">
      <c r="B315" s="620"/>
    </row>
    <row r="316" spans="2:2" x14ac:dyDescent="0.15">
      <c r="B316" s="620"/>
    </row>
    <row r="317" spans="2:2" x14ac:dyDescent="0.15">
      <c r="B317" s="620"/>
    </row>
    <row r="318" spans="2:2" x14ac:dyDescent="0.15">
      <c r="B318" s="620"/>
    </row>
    <row r="319" spans="2:2" x14ac:dyDescent="0.15">
      <c r="B319" s="620"/>
    </row>
    <row r="320" spans="2:2" x14ac:dyDescent="0.15">
      <c r="B320" s="620"/>
    </row>
    <row r="321" spans="2:2" x14ac:dyDescent="0.15">
      <c r="B321" s="620"/>
    </row>
    <row r="322" spans="2:2" x14ac:dyDescent="0.15">
      <c r="B322" s="620"/>
    </row>
    <row r="323" spans="2:2" x14ac:dyDescent="0.15">
      <c r="B323" s="620"/>
    </row>
    <row r="324" spans="2:2" x14ac:dyDescent="0.15">
      <c r="B324" s="620"/>
    </row>
    <row r="325" spans="2:2" x14ac:dyDescent="0.15">
      <c r="B325" s="620"/>
    </row>
    <row r="326" spans="2:2" x14ac:dyDescent="0.15">
      <c r="B326" s="620"/>
    </row>
    <row r="327" spans="2:2" x14ac:dyDescent="0.15">
      <c r="B327" s="620"/>
    </row>
    <row r="328" spans="2:2" x14ac:dyDescent="0.15">
      <c r="B328" s="620"/>
    </row>
    <row r="329" spans="2:2" x14ac:dyDescent="0.15">
      <c r="B329" s="620"/>
    </row>
    <row r="330" spans="2:2" x14ac:dyDescent="0.15">
      <c r="B330" s="620"/>
    </row>
    <row r="331" spans="2:2" x14ac:dyDescent="0.15">
      <c r="B331" s="620"/>
    </row>
    <row r="332" spans="2:2" x14ac:dyDescent="0.15">
      <c r="B332" s="620"/>
    </row>
    <row r="333" spans="2:2" x14ac:dyDescent="0.15">
      <c r="B333" s="620"/>
    </row>
    <row r="334" spans="2:2" x14ac:dyDescent="0.15">
      <c r="B334" s="620"/>
    </row>
    <row r="335" spans="2:2" x14ac:dyDescent="0.15">
      <c r="B335" s="620"/>
    </row>
    <row r="336" spans="2:2" x14ac:dyDescent="0.15">
      <c r="B336" s="620"/>
    </row>
    <row r="337" spans="2:2" x14ac:dyDescent="0.15">
      <c r="B337" s="620"/>
    </row>
    <row r="338" spans="2:2" x14ac:dyDescent="0.15">
      <c r="B338" s="620"/>
    </row>
    <row r="339" spans="2:2" x14ac:dyDescent="0.15">
      <c r="B339" s="620"/>
    </row>
    <row r="340" spans="2:2" x14ac:dyDescent="0.15">
      <c r="B340" s="620"/>
    </row>
    <row r="341" spans="2:2" x14ac:dyDescent="0.15">
      <c r="B341" s="620"/>
    </row>
    <row r="342" spans="2:2" x14ac:dyDescent="0.15">
      <c r="B342" s="620"/>
    </row>
    <row r="343" spans="2:2" x14ac:dyDescent="0.15">
      <c r="B343" s="620"/>
    </row>
    <row r="344" spans="2:2" x14ac:dyDescent="0.15">
      <c r="B344" s="620"/>
    </row>
    <row r="345" spans="2:2" x14ac:dyDescent="0.15">
      <c r="B345" s="620"/>
    </row>
    <row r="346" spans="2:2" x14ac:dyDescent="0.15">
      <c r="B346" s="620"/>
    </row>
    <row r="347" spans="2:2" x14ac:dyDescent="0.15">
      <c r="B347" s="620"/>
    </row>
    <row r="348" spans="2:2" x14ac:dyDescent="0.15">
      <c r="B348" s="620"/>
    </row>
    <row r="349" spans="2:2" x14ac:dyDescent="0.15">
      <c r="B349" s="620"/>
    </row>
    <row r="350" spans="2:2" x14ac:dyDescent="0.15">
      <c r="B350" s="620"/>
    </row>
    <row r="351" spans="2:2" x14ac:dyDescent="0.15">
      <c r="B351" s="620"/>
    </row>
    <row r="352" spans="2:2" x14ac:dyDescent="0.15">
      <c r="B352" s="620"/>
    </row>
    <row r="353" spans="2:2" x14ac:dyDescent="0.15">
      <c r="B353" s="620"/>
    </row>
    <row r="354" spans="2:2" x14ac:dyDescent="0.15">
      <c r="B354" s="620"/>
    </row>
    <row r="355" spans="2:2" x14ac:dyDescent="0.15">
      <c r="B355" s="620"/>
    </row>
    <row r="356" spans="2:2" x14ac:dyDescent="0.15">
      <c r="B356" s="620"/>
    </row>
    <row r="357" spans="2:2" x14ac:dyDescent="0.15">
      <c r="B357" s="620"/>
    </row>
    <row r="358" spans="2:2" x14ac:dyDescent="0.15">
      <c r="B358" s="620"/>
    </row>
    <row r="359" spans="2:2" x14ac:dyDescent="0.15">
      <c r="B359" s="620"/>
    </row>
    <row r="360" spans="2:2" x14ac:dyDescent="0.15">
      <c r="B360" s="620"/>
    </row>
    <row r="361" spans="2:2" x14ac:dyDescent="0.15">
      <c r="B361" s="620"/>
    </row>
    <row r="362" spans="2:2" x14ac:dyDescent="0.15">
      <c r="B362" s="620"/>
    </row>
    <row r="363" spans="2:2" x14ac:dyDescent="0.15">
      <c r="B363" s="620"/>
    </row>
    <row r="364" spans="2:2" x14ac:dyDescent="0.15">
      <c r="B364" s="620"/>
    </row>
    <row r="365" spans="2:2" x14ac:dyDescent="0.15">
      <c r="B365" s="620"/>
    </row>
    <row r="366" spans="2:2" x14ac:dyDescent="0.15">
      <c r="B366" s="620"/>
    </row>
    <row r="367" spans="2:2" x14ac:dyDescent="0.15">
      <c r="B367" s="620"/>
    </row>
    <row r="368" spans="2:2" x14ac:dyDescent="0.15">
      <c r="B368" s="620"/>
    </row>
    <row r="369" spans="2:2" x14ac:dyDescent="0.15">
      <c r="B369" s="620"/>
    </row>
    <row r="370" spans="2:2" x14ac:dyDescent="0.15">
      <c r="B370" s="620"/>
    </row>
    <row r="371" spans="2:2" x14ac:dyDescent="0.15">
      <c r="B371" s="620"/>
    </row>
    <row r="372" spans="2:2" x14ac:dyDescent="0.15">
      <c r="B372" s="620"/>
    </row>
    <row r="373" spans="2:2" x14ac:dyDescent="0.15">
      <c r="B373" s="620"/>
    </row>
    <row r="374" spans="2:2" x14ac:dyDescent="0.15">
      <c r="B374" s="620"/>
    </row>
    <row r="375" spans="2:2" x14ac:dyDescent="0.15">
      <c r="B375" s="620"/>
    </row>
    <row r="376" spans="2:2" x14ac:dyDescent="0.15">
      <c r="B376" s="620"/>
    </row>
    <row r="377" spans="2:2" x14ac:dyDescent="0.15">
      <c r="B377" s="620"/>
    </row>
    <row r="378" spans="2:2" x14ac:dyDescent="0.15">
      <c r="B378" s="620"/>
    </row>
    <row r="379" spans="2:2" x14ac:dyDescent="0.15">
      <c r="B379" s="620"/>
    </row>
    <row r="380" spans="2:2" x14ac:dyDescent="0.15">
      <c r="B380" s="620"/>
    </row>
    <row r="381" spans="2:2" x14ac:dyDescent="0.15">
      <c r="B381" s="620"/>
    </row>
    <row r="382" spans="2:2" x14ac:dyDescent="0.15">
      <c r="B382" s="620"/>
    </row>
    <row r="383" spans="2:2" x14ac:dyDescent="0.15">
      <c r="B383" s="620"/>
    </row>
    <row r="384" spans="2:2" x14ac:dyDescent="0.15">
      <c r="B384" s="620"/>
    </row>
    <row r="385" spans="2:2" x14ac:dyDescent="0.15">
      <c r="B385" s="620"/>
    </row>
    <row r="386" spans="2:2" x14ac:dyDescent="0.15">
      <c r="B386" s="620"/>
    </row>
    <row r="387" spans="2:2" x14ac:dyDescent="0.15">
      <c r="B387" s="620"/>
    </row>
    <row r="388" spans="2:2" x14ac:dyDescent="0.15">
      <c r="B388" s="620"/>
    </row>
    <row r="389" spans="2:2" x14ac:dyDescent="0.15">
      <c r="B389" s="620"/>
    </row>
    <row r="390" spans="2:2" x14ac:dyDescent="0.15">
      <c r="B390" s="620"/>
    </row>
    <row r="391" spans="2:2" x14ac:dyDescent="0.15">
      <c r="B391" s="620"/>
    </row>
    <row r="392" spans="2:2" x14ac:dyDescent="0.15">
      <c r="B392" s="620"/>
    </row>
    <row r="393" spans="2:2" x14ac:dyDescent="0.15">
      <c r="B393" s="620"/>
    </row>
    <row r="394" spans="2:2" x14ac:dyDescent="0.15">
      <c r="B394" s="620"/>
    </row>
    <row r="395" spans="2:2" x14ac:dyDescent="0.15">
      <c r="B395" s="620"/>
    </row>
    <row r="396" spans="2:2" x14ac:dyDescent="0.15">
      <c r="B396" s="620"/>
    </row>
    <row r="397" spans="2:2" x14ac:dyDescent="0.15">
      <c r="B397" s="620"/>
    </row>
    <row r="398" spans="2:2" x14ac:dyDescent="0.15">
      <c r="B398" s="620"/>
    </row>
    <row r="399" spans="2:2" x14ac:dyDescent="0.15">
      <c r="B399" s="620"/>
    </row>
    <row r="400" spans="2:2" x14ac:dyDescent="0.15">
      <c r="B400" s="620"/>
    </row>
    <row r="401" spans="2:2" x14ac:dyDescent="0.15">
      <c r="B401" s="620"/>
    </row>
    <row r="402" spans="2:2" x14ac:dyDescent="0.15">
      <c r="B402" s="620"/>
    </row>
    <row r="403" spans="2:2" x14ac:dyDescent="0.15">
      <c r="B403" s="620"/>
    </row>
    <row r="404" spans="2:2" x14ac:dyDescent="0.15">
      <c r="B404" s="620"/>
    </row>
    <row r="405" spans="2:2" x14ac:dyDescent="0.15">
      <c r="B405" s="620"/>
    </row>
    <row r="406" spans="2:2" x14ac:dyDescent="0.15">
      <c r="B406" s="620"/>
    </row>
    <row r="407" spans="2:2" x14ac:dyDescent="0.15">
      <c r="B407" s="620"/>
    </row>
    <row r="408" spans="2:2" x14ac:dyDescent="0.15">
      <c r="B408" s="620"/>
    </row>
    <row r="409" spans="2:2" x14ac:dyDescent="0.15">
      <c r="B409" s="620"/>
    </row>
    <row r="410" spans="2:2" x14ac:dyDescent="0.15">
      <c r="B410" s="620"/>
    </row>
    <row r="411" spans="2:2" x14ac:dyDescent="0.15">
      <c r="B411" s="620"/>
    </row>
    <row r="412" spans="2:2" x14ac:dyDescent="0.15">
      <c r="B412" s="620"/>
    </row>
    <row r="413" spans="2:2" x14ac:dyDescent="0.15">
      <c r="B413" s="620"/>
    </row>
    <row r="414" spans="2:2" x14ac:dyDescent="0.15">
      <c r="B414" s="620"/>
    </row>
    <row r="415" spans="2:2" x14ac:dyDescent="0.15">
      <c r="B415" s="620"/>
    </row>
    <row r="416" spans="2:2" x14ac:dyDescent="0.15">
      <c r="B416" s="620"/>
    </row>
    <row r="417" spans="2:2" x14ac:dyDescent="0.15">
      <c r="B417" s="620"/>
    </row>
    <row r="418" spans="2:2" x14ac:dyDescent="0.15">
      <c r="B418" s="620"/>
    </row>
    <row r="419" spans="2:2" x14ac:dyDescent="0.15">
      <c r="B419" s="620"/>
    </row>
    <row r="420" spans="2:2" x14ac:dyDescent="0.15">
      <c r="B420" s="620"/>
    </row>
    <row r="421" spans="2:2" x14ac:dyDescent="0.15">
      <c r="B421" s="620"/>
    </row>
    <row r="422" spans="2:2" x14ac:dyDescent="0.15">
      <c r="B422" s="620"/>
    </row>
    <row r="423" spans="2:2" x14ac:dyDescent="0.15">
      <c r="B423" s="620"/>
    </row>
    <row r="424" spans="2:2" x14ac:dyDescent="0.15">
      <c r="B424" s="620"/>
    </row>
    <row r="425" spans="2:2" x14ac:dyDescent="0.15">
      <c r="B425" s="620"/>
    </row>
    <row r="426" spans="2:2" x14ac:dyDescent="0.15">
      <c r="B426" s="620"/>
    </row>
    <row r="427" spans="2:2" x14ac:dyDescent="0.15">
      <c r="B427" s="620"/>
    </row>
    <row r="428" spans="2:2" x14ac:dyDescent="0.15">
      <c r="B428" s="620"/>
    </row>
    <row r="429" spans="2:2" x14ac:dyDescent="0.15">
      <c r="B429" s="620"/>
    </row>
    <row r="430" spans="2:2" x14ac:dyDescent="0.15">
      <c r="B430" s="620"/>
    </row>
    <row r="431" spans="2:2" x14ac:dyDescent="0.15">
      <c r="B431" s="620"/>
    </row>
    <row r="432" spans="2:2" x14ac:dyDescent="0.15">
      <c r="B432" s="620"/>
    </row>
    <row r="433" spans="2:2" x14ac:dyDescent="0.15">
      <c r="B433" s="620"/>
    </row>
    <row r="434" spans="2:2" x14ac:dyDescent="0.15">
      <c r="B434" s="620"/>
    </row>
    <row r="435" spans="2:2" x14ac:dyDescent="0.15">
      <c r="B435" s="620"/>
    </row>
    <row r="436" spans="2:2" x14ac:dyDescent="0.15">
      <c r="B436" s="620"/>
    </row>
    <row r="437" spans="2:2" x14ac:dyDescent="0.15">
      <c r="B437" s="620"/>
    </row>
    <row r="438" spans="2:2" x14ac:dyDescent="0.15">
      <c r="B438" s="620"/>
    </row>
    <row r="439" spans="2:2" x14ac:dyDescent="0.15">
      <c r="B439" s="620"/>
    </row>
    <row r="440" spans="2:2" x14ac:dyDescent="0.15">
      <c r="B440" s="620"/>
    </row>
    <row r="441" spans="2:2" x14ac:dyDescent="0.15">
      <c r="B441" s="620"/>
    </row>
    <row r="442" spans="2:2" x14ac:dyDescent="0.15">
      <c r="B442" s="620"/>
    </row>
    <row r="443" spans="2:2" x14ac:dyDescent="0.15">
      <c r="B443" s="620"/>
    </row>
    <row r="444" spans="2:2" x14ac:dyDescent="0.15">
      <c r="B444" s="620"/>
    </row>
    <row r="445" spans="2:2" x14ac:dyDescent="0.15">
      <c r="B445" s="620"/>
    </row>
    <row r="446" spans="2:2" x14ac:dyDescent="0.15">
      <c r="B446" s="620"/>
    </row>
    <row r="447" spans="2:2" x14ac:dyDescent="0.15">
      <c r="B447" s="620"/>
    </row>
    <row r="448" spans="2:2" x14ac:dyDescent="0.15">
      <c r="B448" s="620"/>
    </row>
    <row r="449" spans="2:2" x14ac:dyDescent="0.15">
      <c r="B449" s="620"/>
    </row>
    <row r="450" spans="2:2" x14ac:dyDescent="0.15">
      <c r="B450" s="620"/>
    </row>
    <row r="451" spans="2:2" x14ac:dyDescent="0.15">
      <c r="B451" s="620"/>
    </row>
    <row r="452" spans="2:2" x14ac:dyDescent="0.15">
      <c r="B452" s="620"/>
    </row>
    <row r="453" spans="2:2" x14ac:dyDescent="0.15">
      <c r="B453" s="620"/>
    </row>
    <row r="454" spans="2:2" x14ac:dyDescent="0.15">
      <c r="B454" s="620"/>
    </row>
    <row r="455" spans="2:2" x14ac:dyDescent="0.15">
      <c r="B455" s="620"/>
    </row>
    <row r="456" spans="2:2" x14ac:dyDescent="0.15">
      <c r="B456" s="620"/>
    </row>
    <row r="457" spans="2:2" x14ac:dyDescent="0.15">
      <c r="B457" s="620"/>
    </row>
    <row r="458" spans="2:2" x14ac:dyDescent="0.15">
      <c r="B458" s="620"/>
    </row>
    <row r="459" spans="2:2" x14ac:dyDescent="0.15">
      <c r="B459" s="620"/>
    </row>
    <row r="460" spans="2:2" x14ac:dyDescent="0.15">
      <c r="B460" s="620"/>
    </row>
    <row r="461" spans="2:2" x14ac:dyDescent="0.15">
      <c r="B461" s="620"/>
    </row>
    <row r="462" spans="2:2" x14ac:dyDescent="0.15">
      <c r="B462" s="620"/>
    </row>
    <row r="463" spans="2:2" x14ac:dyDescent="0.15">
      <c r="B463" s="620"/>
    </row>
    <row r="464" spans="2:2" x14ac:dyDescent="0.15">
      <c r="B464" s="620"/>
    </row>
    <row r="465" spans="2:2" x14ac:dyDescent="0.15">
      <c r="B465" s="620"/>
    </row>
    <row r="466" spans="2:2" x14ac:dyDescent="0.15">
      <c r="B466" s="620"/>
    </row>
    <row r="467" spans="2:2" x14ac:dyDescent="0.15">
      <c r="B467" s="620"/>
    </row>
    <row r="468" spans="2:2" x14ac:dyDescent="0.15">
      <c r="B468" s="620"/>
    </row>
    <row r="469" spans="2:2" x14ac:dyDescent="0.15">
      <c r="B469" s="620"/>
    </row>
    <row r="470" spans="2:2" x14ac:dyDescent="0.15">
      <c r="B470" s="620"/>
    </row>
    <row r="471" spans="2:2" x14ac:dyDescent="0.15">
      <c r="B471" s="620"/>
    </row>
    <row r="472" spans="2:2" x14ac:dyDescent="0.15">
      <c r="B472" s="620"/>
    </row>
    <row r="473" spans="2:2" x14ac:dyDescent="0.15">
      <c r="B473" s="620"/>
    </row>
    <row r="474" spans="2:2" x14ac:dyDescent="0.15">
      <c r="B474" s="620"/>
    </row>
    <row r="475" spans="2:2" x14ac:dyDescent="0.15">
      <c r="B475" s="620"/>
    </row>
    <row r="476" spans="2:2" x14ac:dyDescent="0.15">
      <c r="B476" s="620"/>
    </row>
    <row r="477" spans="2:2" x14ac:dyDescent="0.15">
      <c r="B477" s="620"/>
    </row>
    <row r="478" spans="2:2" x14ac:dyDescent="0.15">
      <c r="B478" s="620"/>
    </row>
    <row r="479" spans="2:2" x14ac:dyDescent="0.15">
      <c r="B479" s="620"/>
    </row>
    <row r="480" spans="2:2" x14ac:dyDescent="0.15">
      <c r="B480" s="620"/>
    </row>
    <row r="481" spans="2:2" x14ac:dyDescent="0.15">
      <c r="B481" s="620"/>
    </row>
    <row r="482" spans="2:2" x14ac:dyDescent="0.15">
      <c r="B482" s="620"/>
    </row>
  </sheetData>
  <sortState xmlns:xlrd2="http://schemas.microsoft.com/office/spreadsheetml/2017/richdata2" ref="B4:O85">
    <sortCondition descending="1" ref="N4:N85"/>
  </sortState>
  <mergeCells count="1">
    <mergeCell ref="B1:O2"/>
  </mergeCells>
  <hyperlinks>
    <hyperlink ref="E85" r:id="rId1" tooltip="Бүх амжилтууд харах" display="https://mmo.mn/olympiads/achievements/212365/" xr:uid="{5D2C5A3D-26C2-4BCA-8823-456501693424}"/>
    <hyperlink ref="E26" r:id="rId2" tooltip="Бүх амжилтууд харах" display="https://mmo.mn/olympiads/achievements/219233/" xr:uid="{6D252F9B-2C7D-4530-B774-0442893290A4}"/>
  </hyperlinks>
  <pageMargins left="0.7" right="0.7" top="0.75" bottom="0.75" header="0.3" footer="0.3"/>
  <pageSetup paperSize="9" scale="8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8C28-9164-4B28-9C63-D6569D8EB817}">
  <dimension ref="A1:AR103"/>
  <sheetViews>
    <sheetView zoomScale="75" zoomScaleNormal="85" workbookViewId="0">
      <pane xSplit="1" ySplit="3" topLeftCell="B4" activePane="bottomRight" state="frozen"/>
      <selection pane="topRight"/>
      <selection pane="bottomLeft"/>
      <selection pane="bottomRight" activeCell="A3" sqref="A1:A1048576"/>
    </sheetView>
  </sheetViews>
  <sheetFormatPr baseColWidth="10" defaultColWidth="8.83203125" defaultRowHeight="15" x14ac:dyDescent="0.2"/>
  <cols>
    <col min="1" max="1" width="6.33203125" style="597" customWidth="1"/>
    <col min="2" max="2" width="10.5" customWidth="1"/>
    <col min="3" max="3" width="6.83203125" customWidth="1"/>
    <col min="4" max="4" width="14.5" customWidth="1"/>
    <col min="5" max="5" width="20.5" customWidth="1"/>
    <col min="6" max="6" width="19.6640625" customWidth="1"/>
    <col min="7" max="7" width="15.83203125" customWidth="1"/>
    <col min="8" max="8" width="20.83203125" hidden="1" customWidth="1"/>
    <col min="9" max="13" width="8.5" customWidth="1"/>
    <col min="14" max="14" width="17" customWidth="1"/>
    <col min="15" max="44" width="8.83203125" style="68"/>
  </cols>
  <sheetData>
    <row r="1" spans="1:44" ht="15" customHeight="1" x14ac:dyDescent="0.2">
      <c r="A1" s="630" t="s">
        <v>873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</row>
    <row r="2" spans="1:44" ht="30.5" customHeight="1" x14ac:dyDescent="0.2">
      <c r="A2" s="631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0"/>
    </row>
    <row r="3" spans="1:44" s="244" customFormat="1" ht="27.75" customHeight="1" x14ac:dyDescent="0.2">
      <c r="A3" s="241" t="s">
        <v>0</v>
      </c>
      <c r="B3" s="242" t="s">
        <v>1</v>
      </c>
      <c r="C3" s="241" t="s">
        <v>2</v>
      </c>
      <c r="D3" s="241" t="s">
        <v>3</v>
      </c>
      <c r="E3" s="241" t="s">
        <v>4</v>
      </c>
      <c r="F3" s="241" t="s">
        <v>5</v>
      </c>
      <c r="G3" s="241" t="s">
        <v>6</v>
      </c>
      <c r="H3" s="241" t="s">
        <v>7</v>
      </c>
      <c r="I3" s="241" t="s">
        <v>8</v>
      </c>
      <c r="J3" s="241" t="s">
        <v>9</v>
      </c>
      <c r="K3" s="241" t="s">
        <v>10</v>
      </c>
      <c r="L3" s="241" t="s">
        <v>11</v>
      </c>
      <c r="M3" s="243" t="s">
        <v>12</v>
      </c>
      <c r="N3" s="425" t="s">
        <v>13</v>
      </c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</row>
    <row r="4" spans="1:44" s="201" customFormat="1" x14ac:dyDescent="0.2">
      <c r="A4" s="581">
        <v>1</v>
      </c>
      <c r="B4" s="314" t="s">
        <v>246</v>
      </c>
      <c r="C4" s="315">
        <v>204</v>
      </c>
      <c r="D4" s="316">
        <v>121247</v>
      </c>
      <c r="E4" s="317" t="s">
        <v>247</v>
      </c>
      <c r="F4" s="317" t="s">
        <v>248</v>
      </c>
      <c r="G4" s="318" t="s">
        <v>61</v>
      </c>
      <c r="H4" s="318" t="s">
        <v>249</v>
      </c>
      <c r="I4" s="318">
        <v>3</v>
      </c>
      <c r="J4" s="318">
        <v>7</v>
      </c>
      <c r="K4" s="318">
        <v>7</v>
      </c>
      <c r="L4" s="318">
        <v>3</v>
      </c>
      <c r="M4" s="317">
        <f t="shared" ref="M4:M35" si="0">SUM(I4:L4)</f>
        <v>20</v>
      </c>
      <c r="N4" s="319" t="s">
        <v>19</v>
      </c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</row>
    <row r="5" spans="1:44" s="204" customFormat="1" x14ac:dyDescent="0.2">
      <c r="A5" s="582">
        <v>2</v>
      </c>
      <c r="B5" s="320" t="s">
        <v>246</v>
      </c>
      <c r="C5" s="320">
        <v>204</v>
      </c>
      <c r="D5" s="321">
        <v>121226</v>
      </c>
      <c r="E5" s="322" t="s">
        <v>250</v>
      </c>
      <c r="F5" s="322" t="s">
        <v>59</v>
      </c>
      <c r="G5" s="323" t="s">
        <v>61</v>
      </c>
      <c r="H5" s="323" t="s">
        <v>251</v>
      </c>
      <c r="I5" s="323">
        <v>7</v>
      </c>
      <c r="J5" s="323">
        <v>0</v>
      </c>
      <c r="K5" s="323">
        <v>7</v>
      </c>
      <c r="L5" s="323">
        <v>2</v>
      </c>
      <c r="M5" s="324">
        <f t="shared" si="0"/>
        <v>16</v>
      </c>
      <c r="N5" s="323" t="s">
        <v>24</v>
      </c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</row>
    <row r="6" spans="1:44" s="204" customFormat="1" x14ac:dyDescent="0.2">
      <c r="A6" s="583">
        <v>3</v>
      </c>
      <c r="B6" s="320" t="s">
        <v>246</v>
      </c>
      <c r="C6" s="320">
        <v>209</v>
      </c>
      <c r="D6" s="321">
        <v>38640</v>
      </c>
      <c r="E6" s="322" t="s">
        <v>252</v>
      </c>
      <c r="F6" s="322" t="s">
        <v>253</v>
      </c>
      <c r="G6" s="323" t="s">
        <v>844</v>
      </c>
      <c r="H6" s="323" t="s">
        <v>254</v>
      </c>
      <c r="I6" s="323">
        <v>4</v>
      </c>
      <c r="J6" s="323">
        <v>7</v>
      </c>
      <c r="K6" s="323">
        <v>2</v>
      </c>
      <c r="L6" s="323">
        <v>0</v>
      </c>
      <c r="M6" s="324">
        <f t="shared" si="0"/>
        <v>13</v>
      </c>
      <c r="N6" s="323" t="s">
        <v>24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</row>
    <row r="7" spans="1:44" s="204" customFormat="1" x14ac:dyDescent="0.2">
      <c r="A7" s="582">
        <v>4</v>
      </c>
      <c r="B7" s="320" t="s">
        <v>246</v>
      </c>
      <c r="C7" s="320">
        <v>209</v>
      </c>
      <c r="D7" s="321">
        <v>154618</v>
      </c>
      <c r="E7" s="322" t="s">
        <v>255</v>
      </c>
      <c r="F7" s="322" t="s">
        <v>256</v>
      </c>
      <c r="G7" s="322">
        <v>50</v>
      </c>
      <c r="H7" s="322" t="s">
        <v>257</v>
      </c>
      <c r="I7" s="322">
        <v>3</v>
      </c>
      <c r="J7" s="322">
        <v>7</v>
      </c>
      <c r="K7" s="322">
        <v>0</v>
      </c>
      <c r="L7" s="322">
        <v>0</v>
      </c>
      <c r="M7" s="324">
        <f t="shared" si="0"/>
        <v>10</v>
      </c>
      <c r="N7" s="323" t="s">
        <v>24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</row>
    <row r="8" spans="1:44" s="204" customFormat="1" x14ac:dyDescent="0.2">
      <c r="A8" s="583">
        <v>5</v>
      </c>
      <c r="B8" s="320" t="s">
        <v>246</v>
      </c>
      <c r="C8" s="320">
        <v>206</v>
      </c>
      <c r="D8" s="321">
        <v>161122</v>
      </c>
      <c r="E8" s="322" t="s">
        <v>99</v>
      </c>
      <c r="F8" s="322" t="s">
        <v>258</v>
      </c>
      <c r="G8" s="323" t="s">
        <v>844</v>
      </c>
      <c r="H8" s="323" t="s">
        <v>259</v>
      </c>
      <c r="I8" s="323">
        <v>0</v>
      </c>
      <c r="J8" s="323">
        <v>0</v>
      </c>
      <c r="K8" s="323">
        <v>7</v>
      </c>
      <c r="L8" s="323">
        <v>2</v>
      </c>
      <c r="M8" s="324">
        <f t="shared" si="0"/>
        <v>9</v>
      </c>
      <c r="N8" s="323" t="s">
        <v>24</v>
      </c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</row>
    <row r="9" spans="1:44" s="204" customFormat="1" x14ac:dyDescent="0.2">
      <c r="A9" s="582">
        <v>6</v>
      </c>
      <c r="B9" s="320" t="s">
        <v>246</v>
      </c>
      <c r="C9" s="320">
        <v>206</v>
      </c>
      <c r="D9" s="321">
        <v>218817</v>
      </c>
      <c r="E9" s="322" t="s">
        <v>260</v>
      </c>
      <c r="F9" s="322" t="s">
        <v>261</v>
      </c>
      <c r="G9" s="322">
        <v>24</v>
      </c>
      <c r="H9" s="322" t="s">
        <v>262</v>
      </c>
      <c r="I9" s="322">
        <v>2</v>
      </c>
      <c r="J9" s="322">
        <v>7</v>
      </c>
      <c r="K9" s="322">
        <v>0</v>
      </c>
      <c r="L9" s="322">
        <v>0</v>
      </c>
      <c r="M9" s="324">
        <f t="shared" si="0"/>
        <v>9</v>
      </c>
      <c r="N9" s="323" t="s">
        <v>24</v>
      </c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</row>
    <row r="10" spans="1:44" s="204" customFormat="1" x14ac:dyDescent="0.2">
      <c r="A10" s="583">
        <v>7</v>
      </c>
      <c r="B10" s="320" t="s">
        <v>246</v>
      </c>
      <c r="C10" s="320">
        <v>207</v>
      </c>
      <c r="D10" s="321">
        <v>77655</v>
      </c>
      <c r="E10" s="322" t="s">
        <v>263</v>
      </c>
      <c r="F10" s="322" t="s">
        <v>121</v>
      </c>
      <c r="G10" s="323" t="s">
        <v>844</v>
      </c>
      <c r="H10" s="323" t="s">
        <v>264</v>
      </c>
      <c r="I10" s="323">
        <v>0</v>
      </c>
      <c r="J10" s="323">
        <v>7</v>
      </c>
      <c r="K10" s="323">
        <v>2</v>
      </c>
      <c r="L10" s="323">
        <v>0</v>
      </c>
      <c r="M10" s="324">
        <f t="shared" si="0"/>
        <v>9</v>
      </c>
      <c r="N10" s="323" t="s">
        <v>24</v>
      </c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</row>
    <row r="11" spans="1:44" s="206" customFormat="1" x14ac:dyDescent="0.2">
      <c r="A11" s="612">
        <v>8</v>
      </c>
      <c r="B11" s="325" t="s">
        <v>246</v>
      </c>
      <c r="C11" s="325">
        <v>209</v>
      </c>
      <c r="D11" s="326">
        <v>150578</v>
      </c>
      <c r="E11" s="326" t="s">
        <v>176</v>
      </c>
      <c r="F11" s="326" t="s">
        <v>265</v>
      </c>
      <c r="G11" s="327">
        <v>24</v>
      </c>
      <c r="H11" s="327" t="s">
        <v>266</v>
      </c>
      <c r="I11" s="327">
        <v>0</v>
      </c>
      <c r="J11" s="327">
        <v>7</v>
      </c>
      <c r="K11" s="327">
        <v>0</v>
      </c>
      <c r="L11" s="327">
        <v>1</v>
      </c>
      <c r="M11" s="328">
        <f t="shared" si="0"/>
        <v>8</v>
      </c>
      <c r="N11" s="327" t="s">
        <v>35</v>
      </c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</row>
    <row r="12" spans="1:44" s="206" customFormat="1" x14ac:dyDescent="0.2">
      <c r="A12" s="613">
        <v>9</v>
      </c>
      <c r="B12" s="325" t="s">
        <v>246</v>
      </c>
      <c r="C12" s="325">
        <v>206</v>
      </c>
      <c r="D12" s="329">
        <v>77658</v>
      </c>
      <c r="E12" s="327" t="s">
        <v>267</v>
      </c>
      <c r="F12" s="327" t="s">
        <v>268</v>
      </c>
      <c r="G12" s="330" t="s">
        <v>844</v>
      </c>
      <c r="H12" s="330" t="s">
        <v>269</v>
      </c>
      <c r="I12" s="330">
        <v>3</v>
      </c>
      <c r="J12" s="330">
        <v>0</v>
      </c>
      <c r="K12" s="330">
        <v>0</v>
      </c>
      <c r="L12" s="330">
        <v>2</v>
      </c>
      <c r="M12" s="328">
        <f t="shared" si="0"/>
        <v>5</v>
      </c>
      <c r="N12" s="327" t="s">
        <v>35</v>
      </c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</row>
    <row r="13" spans="1:44" s="206" customFormat="1" x14ac:dyDescent="0.2">
      <c r="A13" s="612">
        <v>10</v>
      </c>
      <c r="B13" s="325" t="s">
        <v>246</v>
      </c>
      <c r="C13" s="325">
        <v>205</v>
      </c>
      <c r="D13" s="329">
        <v>75392</v>
      </c>
      <c r="E13" s="327" t="s">
        <v>270</v>
      </c>
      <c r="F13" s="327" t="s">
        <v>271</v>
      </c>
      <c r="G13" s="330" t="s">
        <v>61</v>
      </c>
      <c r="H13" s="330" t="s">
        <v>272</v>
      </c>
      <c r="I13" s="330">
        <v>3</v>
      </c>
      <c r="J13" s="330">
        <v>0</v>
      </c>
      <c r="K13" s="330">
        <v>0</v>
      </c>
      <c r="L13" s="330">
        <v>2</v>
      </c>
      <c r="M13" s="328">
        <f t="shared" si="0"/>
        <v>5</v>
      </c>
      <c r="N13" s="327" t="s">
        <v>35</v>
      </c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</row>
    <row r="14" spans="1:44" s="206" customFormat="1" x14ac:dyDescent="0.2">
      <c r="A14" s="613">
        <v>11</v>
      </c>
      <c r="B14" s="325" t="s">
        <v>246</v>
      </c>
      <c r="C14" s="325">
        <v>207</v>
      </c>
      <c r="D14" s="327">
        <v>189265</v>
      </c>
      <c r="E14" s="329" t="s">
        <v>273</v>
      </c>
      <c r="F14" s="331" t="s">
        <v>274</v>
      </c>
      <c r="G14" s="332" t="s">
        <v>850</v>
      </c>
      <c r="H14" s="327" t="s">
        <v>275</v>
      </c>
      <c r="I14" s="327">
        <v>2</v>
      </c>
      <c r="J14" s="327">
        <v>0</v>
      </c>
      <c r="K14" s="327">
        <v>0</v>
      </c>
      <c r="L14" s="327">
        <v>3</v>
      </c>
      <c r="M14" s="328">
        <f t="shared" si="0"/>
        <v>5</v>
      </c>
      <c r="N14" s="327" t="s">
        <v>35</v>
      </c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</row>
    <row r="15" spans="1:44" s="137" customFormat="1" x14ac:dyDescent="0.2">
      <c r="A15" s="587">
        <v>12</v>
      </c>
      <c r="B15" s="333" t="s">
        <v>246</v>
      </c>
      <c r="C15" s="333">
        <v>204</v>
      </c>
      <c r="D15" s="334">
        <v>32647</v>
      </c>
      <c r="E15" s="335" t="s">
        <v>276</v>
      </c>
      <c r="F15" s="336" t="s">
        <v>277</v>
      </c>
      <c r="G15" s="337" t="s">
        <v>61</v>
      </c>
      <c r="H15" s="338" t="s">
        <v>278</v>
      </c>
      <c r="I15" s="338">
        <v>4</v>
      </c>
      <c r="J15" s="338">
        <v>0</v>
      </c>
      <c r="K15" s="338">
        <v>0</v>
      </c>
      <c r="L15" s="338">
        <v>0</v>
      </c>
      <c r="M15" s="339">
        <f t="shared" si="0"/>
        <v>4</v>
      </c>
      <c r="N15" s="182" t="s">
        <v>883</v>
      </c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</row>
    <row r="16" spans="1:44" s="137" customFormat="1" x14ac:dyDescent="0.2">
      <c r="A16" s="586">
        <v>13</v>
      </c>
      <c r="B16" s="333" t="s">
        <v>246</v>
      </c>
      <c r="C16" s="333">
        <v>207</v>
      </c>
      <c r="D16" s="334">
        <v>34189</v>
      </c>
      <c r="E16" s="335" t="s">
        <v>220</v>
      </c>
      <c r="F16" s="336" t="s">
        <v>280</v>
      </c>
      <c r="G16" s="337" t="s">
        <v>844</v>
      </c>
      <c r="H16" s="338" t="s">
        <v>281</v>
      </c>
      <c r="I16" s="338">
        <v>3</v>
      </c>
      <c r="J16" s="338">
        <v>0</v>
      </c>
      <c r="K16" s="338">
        <v>0</v>
      </c>
      <c r="L16" s="338">
        <v>0</v>
      </c>
      <c r="M16" s="339">
        <f t="shared" si="0"/>
        <v>3</v>
      </c>
      <c r="N16" s="182" t="s">
        <v>883</v>
      </c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</row>
    <row r="17" spans="1:44" s="137" customFormat="1" x14ac:dyDescent="0.2">
      <c r="A17" s="587">
        <v>14</v>
      </c>
      <c r="B17" s="333" t="s">
        <v>246</v>
      </c>
      <c r="C17" s="333">
        <v>204</v>
      </c>
      <c r="D17" s="334">
        <v>121190</v>
      </c>
      <c r="E17" s="335" t="s">
        <v>146</v>
      </c>
      <c r="F17" s="336" t="s">
        <v>282</v>
      </c>
      <c r="G17" s="337" t="s">
        <v>61</v>
      </c>
      <c r="H17" s="338" t="s">
        <v>283</v>
      </c>
      <c r="I17" s="338">
        <v>2</v>
      </c>
      <c r="J17" s="338">
        <v>0</v>
      </c>
      <c r="K17" s="338">
        <v>0</v>
      </c>
      <c r="L17" s="338">
        <v>0</v>
      </c>
      <c r="M17" s="339">
        <f t="shared" si="0"/>
        <v>2</v>
      </c>
      <c r="N17" s="182" t="s">
        <v>883</v>
      </c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</row>
    <row r="18" spans="1:44" s="137" customFormat="1" x14ac:dyDescent="0.2">
      <c r="A18" s="586">
        <v>15</v>
      </c>
      <c r="B18" s="333" t="s">
        <v>246</v>
      </c>
      <c r="C18" s="333">
        <v>204</v>
      </c>
      <c r="D18" s="333">
        <v>121235</v>
      </c>
      <c r="E18" s="340" t="s">
        <v>284</v>
      </c>
      <c r="F18" s="341" t="s">
        <v>285</v>
      </c>
      <c r="G18" s="337" t="s">
        <v>61</v>
      </c>
      <c r="H18" s="338" t="s">
        <v>286</v>
      </c>
      <c r="I18" s="338">
        <v>2</v>
      </c>
      <c r="J18" s="338">
        <v>0</v>
      </c>
      <c r="K18" s="338">
        <v>0</v>
      </c>
      <c r="L18" s="338">
        <v>0</v>
      </c>
      <c r="M18" s="339">
        <f t="shared" si="0"/>
        <v>2</v>
      </c>
      <c r="N18" s="182" t="s">
        <v>883</v>
      </c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</row>
    <row r="19" spans="1:44" s="137" customFormat="1" x14ac:dyDescent="0.2">
      <c r="A19" s="587">
        <v>16</v>
      </c>
      <c r="B19" s="333" t="s">
        <v>246</v>
      </c>
      <c r="C19" s="333">
        <v>204</v>
      </c>
      <c r="D19" s="342">
        <v>86590</v>
      </c>
      <c r="E19" s="342" t="s">
        <v>287</v>
      </c>
      <c r="F19" s="343" t="s">
        <v>288</v>
      </c>
      <c r="G19" s="344">
        <v>39</v>
      </c>
      <c r="H19" s="345" t="s">
        <v>289</v>
      </c>
      <c r="I19" s="345">
        <v>2</v>
      </c>
      <c r="J19" s="345">
        <v>0</v>
      </c>
      <c r="K19" s="345">
        <v>0</v>
      </c>
      <c r="L19" s="345">
        <v>0</v>
      </c>
      <c r="M19" s="339">
        <f t="shared" si="0"/>
        <v>2</v>
      </c>
      <c r="N19" s="182" t="s">
        <v>883</v>
      </c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</row>
    <row r="20" spans="1:44" s="137" customFormat="1" x14ac:dyDescent="0.2">
      <c r="A20" s="586">
        <v>17</v>
      </c>
      <c r="B20" s="333" t="s">
        <v>246</v>
      </c>
      <c r="C20" s="333">
        <v>209</v>
      </c>
      <c r="D20" s="346">
        <v>148089</v>
      </c>
      <c r="E20" s="347" t="s">
        <v>290</v>
      </c>
      <c r="F20" s="347" t="s">
        <v>291</v>
      </c>
      <c r="G20" s="348">
        <v>24</v>
      </c>
      <c r="H20" s="348" t="s">
        <v>292</v>
      </c>
      <c r="I20" s="349">
        <v>2</v>
      </c>
      <c r="J20" s="349">
        <v>0</v>
      </c>
      <c r="K20" s="349">
        <v>0</v>
      </c>
      <c r="L20" s="349">
        <v>0</v>
      </c>
      <c r="M20" s="339">
        <f t="shared" si="0"/>
        <v>2</v>
      </c>
      <c r="N20" s="182" t="s">
        <v>883</v>
      </c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</row>
    <row r="21" spans="1:44" s="137" customFormat="1" x14ac:dyDescent="0.2">
      <c r="A21" s="587">
        <v>18</v>
      </c>
      <c r="B21" s="333" t="s">
        <v>246</v>
      </c>
      <c r="C21" s="333">
        <v>207</v>
      </c>
      <c r="D21" s="350">
        <v>81398</v>
      </c>
      <c r="E21" s="339" t="s">
        <v>293</v>
      </c>
      <c r="F21" s="339" t="s">
        <v>294</v>
      </c>
      <c r="G21" s="339">
        <v>17</v>
      </c>
      <c r="H21" s="339" t="s">
        <v>295</v>
      </c>
      <c r="I21" s="339">
        <v>2</v>
      </c>
      <c r="J21" s="339">
        <v>0</v>
      </c>
      <c r="K21" s="339">
        <v>0</v>
      </c>
      <c r="L21" s="339">
        <v>0</v>
      </c>
      <c r="M21" s="339">
        <f t="shared" si="0"/>
        <v>2</v>
      </c>
      <c r="N21" s="182" t="s">
        <v>883</v>
      </c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</row>
    <row r="22" spans="1:44" s="137" customFormat="1" x14ac:dyDescent="0.2">
      <c r="A22" s="586">
        <v>19</v>
      </c>
      <c r="B22" s="333" t="s">
        <v>246</v>
      </c>
      <c r="C22" s="333">
        <v>205</v>
      </c>
      <c r="D22" s="334">
        <v>193909</v>
      </c>
      <c r="E22" s="335" t="s">
        <v>296</v>
      </c>
      <c r="F22" s="335" t="s">
        <v>297</v>
      </c>
      <c r="G22" s="338" t="s">
        <v>61</v>
      </c>
      <c r="H22" s="338" t="s">
        <v>298</v>
      </c>
      <c r="I22" s="338">
        <v>2</v>
      </c>
      <c r="J22" s="338">
        <v>0</v>
      </c>
      <c r="K22" s="338">
        <v>0</v>
      </c>
      <c r="L22" s="338">
        <v>0</v>
      </c>
      <c r="M22" s="339">
        <f t="shared" si="0"/>
        <v>2</v>
      </c>
      <c r="N22" s="182" t="s">
        <v>883</v>
      </c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</row>
    <row r="23" spans="1:44" s="137" customFormat="1" x14ac:dyDescent="0.2">
      <c r="A23" s="587">
        <v>20</v>
      </c>
      <c r="B23" s="333" t="s">
        <v>246</v>
      </c>
      <c r="C23" s="333">
        <v>209</v>
      </c>
      <c r="D23" s="334">
        <v>173651</v>
      </c>
      <c r="E23" s="334" t="s">
        <v>299</v>
      </c>
      <c r="F23" s="334" t="s">
        <v>300</v>
      </c>
      <c r="G23" s="334">
        <v>72</v>
      </c>
      <c r="H23" s="334" t="s">
        <v>301</v>
      </c>
      <c r="I23" s="338">
        <v>1</v>
      </c>
      <c r="J23" s="338">
        <v>0</v>
      </c>
      <c r="K23" s="338">
        <v>0</v>
      </c>
      <c r="L23" s="338">
        <v>0</v>
      </c>
      <c r="M23" s="339">
        <f t="shared" si="0"/>
        <v>1</v>
      </c>
      <c r="N23" s="182" t="s">
        <v>883</v>
      </c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</row>
    <row r="24" spans="1:44" s="68" customFormat="1" x14ac:dyDescent="0.2">
      <c r="A24" s="614">
        <v>21</v>
      </c>
      <c r="B24" s="351" t="s">
        <v>246</v>
      </c>
      <c r="C24" s="351">
        <v>205</v>
      </c>
      <c r="D24" s="352">
        <v>81405</v>
      </c>
      <c r="E24" s="352" t="s">
        <v>302</v>
      </c>
      <c r="F24" s="352" t="s">
        <v>248</v>
      </c>
      <c r="G24" s="353">
        <v>17</v>
      </c>
      <c r="H24" s="353" t="s">
        <v>303</v>
      </c>
      <c r="I24" s="353">
        <v>0</v>
      </c>
      <c r="J24" s="353">
        <v>0</v>
      </c>
      <c r="K24" s="353">
        <v>0</v>
      </c>
      <c r="L24" s="353">
        <v>0</v>
      </c>
      <c r="M24" s="354">
        <f t="shared" si="0"/>
        <v>0</v>
      </c>
      <c r="N24" s="353" t="s">
        <v>279</v>
      </c>
    </row>
    <row r="25" spans="1:44" s="68" customFormat="1" x14ac:dyDescent="0.2">
      <c r="A25" s="615">
        <v>22</v>
      </c>
      <c r="B25" s="351" t="s">
        <v>246</v>
      </c>
      <c r="C25" s="351">
        <v>205</v>
      </c>
      <c r="D25" s="352">
        <v>193636</v>
      </c>
      <c r="E25" s="352" t="s">
        <v>304</v>
      </c>
      <c r="F25" s="352" t="s">
        <v>305</v>
      </c>
      <c r="G25" s="353">
        <v>17</v>
      </c>
      <c r="H25" s="353" t="s">
        <v>306</v>
      </c>
      <c r="I25" s="353">
        <v>0</v>
      </c>
      <c r="J25" s="353">
        <v>0</v>
      </c>
      <c r="K25" s="353">
        <v>0</v>
      </c>
      <c r="L25" s="353">
        <v>0</v>
      </c>
      <c r="M25" s="354">
        <f t="shared" si="0"/>
        <v>0</v>
      </c>
      <c r="N25" s="353" t="s">
        <v>279</v>
      </c>
      <c r="R25" s="68" t="s">
        <v>307</v>
      </c>
    </row>
    <row r="26" spans="1:44" s="68" customFormat="1" x14ac:dyDescent="0.2">
      <c r="A26" s="614">
        <v>23</v>
      </c>
      <c r="B26" s="351" t="s">
        <v>246</v>
      </c>
      <c r="C26" s="351">
        <v>205</v>
      </c>
      <c r="D26" s="352">
        <v>172732</v>
      </c>
      <c r="E26" s="352" t="s">
        <v>308</v>
      </c>
      <c r="F26" s="355" t="s">
        <v>309</v>
      </c>
      <c r="G26" s="356">
        <v>17</v>
      </c>
      <c r="H26" s="353" t="s">
        <v>310</v>
      </c>
      <c r="I26" s="353">
        <v>0</v>
      </c>
      <c r="J26" s="353">
        <v>0</v>
      </c>
      <c r="K26" s="353">
        <v>0</v>
      </c>
      <c r="L26" s="353">
        <v>0</v>
      </c>
      <c r="M26" s="354">
        <f t="shared" si="0"/>
        <v>0</v>
      </c>
      <c r="N26" s="353" t="s">
        <v>279</v>
      </c>
      <c r="R26" s="68" t="s">
        <v>307</v>
      </c>
    </row>
    <row r="27" spans="1:44" s="68" customFormat="1" x14ac:dyDescent="0.2">
      <c r="A27" s="615">
        <v>24</v>
      </c>
      <c r="B27" s="351" t="s">
        <v>246</v>
      </c>
      <c r="C27" s="351">
        <v>205</v>
      </c>
      <c r="D27" s="357">
        <v>157901</v>
      </c>
      <c r="E27" s="353" t="s">
        <v>311</v>
      </c>
      <c r="F27" s="358" t="s">
        <v>183</v>
      </c>
      <c r="G27" s="356">
        <v>23</v>
      </c>
      <c r="H27" s="353" t="s">
        <v>312</v>
      </c>
      <c r="I27" s="353">
        <v>0</v>
      </c>
      <c r="J27" s="353">
        <v>0</v>
      </c>
      <c r="K27" s="353">
        <v>0</v>
      </c>
      <c r="L27" s="353">
        <v>0</v>
      </c>
      <c r="M27" s="354">
        <f t="shared" si="0"/>
        <v>0</v>
      </c>
      <c r="N27" s="353" t="s">
        <v>279</v>
      </c>
    </row>
    <row r="28" spans="1:44" s="68" customFormat="1" x14ac:dyDescent="0.2">
      <c r="A28" s="614">
        <v>25</v>
      </c>
      <c r="B28" s="351" t="s">
        <v>246</v>
      </c>
      <c r="C28" s="351">
        <v>205</v>
      </c>
      <c r="D28" s="357">
        <v>158114</v>
      </c>
      <c r="E28" s="353" t="s">
        <v>313</v>
      </c>
      <c r="F28" s="358" t="s">
        <v>314</v>
      </c>
      <c r="G28" s="356">
        <v>23</v>
      </c>
      <c r="H28" s="353" t="s">
        <v>315</v>
      </c>
      <c r="I28" s="353">
        <v>0</v>
      </c>
      <c r="J28" s="353">
        <v>0</v>
      </c>
      <c r="K28" s="353">
        <v>0</v>
      </c>
      <c r="L28" s="353">
        <v>0</v>
      </c>
      <c r="M28" s="354">
        <f t="shared" si="0"/>
        <v>0</v>
      </c>
      <c r="N28" s="353" t="s">
        <v>279</v>
      </c>
    </row>
    <row r="29" spans="1:44" s="68" customFormat="1" x14ac:dyDescent="0.2">
      <c r="A29" s="615">
        <v>26</v>
      </c>
      <c r="B29" s="351" t="s">
        <v>246</v>
      </c>
      <c r="C29" s="351">
        <v>205</v>
      </c>
      <c r="D29" s="357">
        <v>159026</v>
      </c>
      <c r="E29" s="353" t="s">
        <v>287</v>
      </c>
      <c r="F29" s="358" t="s">
        <v>106</v>
      </c>
      <c r="G29" s="356">
        <v>23</v>
      </c>
      <c r="H29" s="353" t="s">
        <v>316</v>
      </c>
      <c r="I29" s="353">
        <v>0</v>
      </c>
      <c r="J29" s="353">
        <v>0</v>
      </c>
      <c r="K29" s="353">
        <v>0</v>
      </c>
      <c r="L29" s="353">
        <v>0</v>
      </c>
      <c r="M29" s="354">
        <f t="shared" si="0"/>
        <v>0</v>
      </c>
      <c r="N29" s="353" t="s">
        <v>279</v>
      </c>
    </row>
    <row r="30" spans="1:44" s="68" customFormat="1" x14ac:dyDescent="0.2">
      <c r="A30" s="614">
        <v>27</v>
      </c>
      <c r="B30" s="351" t="s">
        <v>246</v>
      </c>
      <c r="C30" s="351">
        <v>205</v>
      </c>
      <c r="D30" s="357">
        <v>207170</v>
      </c>
      <c r="E30" s="353" t="s">
        <v>317</v>
      </c>
      <c r="F30" s="358" t="s">
        <v>318</v>
      </c>
      <c r="G30" s="359">
        <v>57</v>
      </c>
      <c r="H30" s="357" t="s">
        <v>319</v>
      </c>
      <c r="I30" s="357">
        <v>0</v>
      </c>
      <c r="J30" s="357">
        <v>0</v>
      </c>
      <c r="K30" s="357">
        <v>0</v>
      </c>
      <c r="L30" s="357">
        <v>0</v>
      </c>
      <c r="M30" s="354">
        <f t="shared" si="0"/>
        <v>0</v>
      </c>
      <c r="N30" s="357" t="s">
        <v>279</v>
      </c>
    </row>
    <row r="31" spans="1:44" s="68" customFormat="1" x14ac:dyDescent="0.2">
      <c r="A31" s="615">
        <v>28</v>
      </c>
      <c r="B31" s="351" t="s">
        <v>246</v>
      </c>
      <c r="C31" s="351">
        <v>205</v>
      </c>
      <c r="D31" s="357">
        <v>172820</v>
      </c>
      <c r="E31" s="357" t="s">
        <v>288</v>
      </c>
      <c r="F31" s="360" t="s">
        <v>320</v>
      </c>
      <c r="G31" s="359">
        <v>57</v>
      </c>
      <c r="H31" s="357" t="s">
        <v>321</v>
      </c>
      <c r="I31" s="357">
        <v>0</v>
      </c>
      <c r="J31" s="357">
        <v>0</v>
      </c>
      <c r="K31" s="357">
        <v>0</v>
      </c>
      <c r="L31" s="357">
        <v>0</v>
      </c>
      <c r="M31" s="354">
        <f t="shared" si="0"/>
        <v>0</v>
      </c>
      <c r="N31" s="357" t="s">
        <v>279</v>
      </c>
    </row>
    <row r="32" spans="1:44" s="68" customFormat="1" x14ac:dyDescent="0.2">
      <c r="A32" s="614">
        <v>29</v>
      </c>
      <c r="B32" s="351" t="s">
        <v>246</v>
      </c>
      <c r="C32" s="351">
        <v>205</v>
      </c>
      <c r="D32" s="357">
        <v>172924</v>
      </c>
      <c r="E32" s="357" t="s">
        <v>114</v>
      </c>
      <c r="F32" s="360" t="s">
        <v>322</v>
      </c>
      <c r="G32" s="468">
        <v>57</v>
      </c>
      <c r="H32" s="364" t="s">
        <v>323</v>
      </c>
      <c r="I32" s="364">
        <v>0</v>
      </c>
      <c r="J32" s="364">
        <v>0</v>
      </c>
      <c r="K32" s="364">
        <v>0</v>
      </c>
      <c r="L32" s="357">
        <v>0</v>
      </c>
      <c r="M32" s="354">
        <f t="shared" si="0"/>
        <v>0</v>
      </c>
      <c r="N32" s="357" t="s">
        <v>279</v>
      </c>
    </row>
    <row r="33" spans="1:14" s="68" customFormat="1" x14ac:dyDescent="0.2">
      <c r="A33" s="615">
        <v>30</v>
      </c>
      <c r="B33" s="351" t="s">
        <v>246</v>
      </c>
      <c r="C33" s="351">
        <v>205</v>
      </c>
      <c r="D33" s="357">
        <v>172811</v>
      </c>
      <c r="E33" s="357" t="s">
        <v>324</v>
      </c>
      <c r="F33" s="360" t="s">
        <v>325</v>
      </c>
      <c r="G33" s="469">
        <v>57</v>
      </c>
      <c r="H33" s="469" t="s">
        <v>326</v>
      </c>
      <c r="I33" s="469">
        <v>0</v>
      </c>
      <c r="J33" s="469">
        <v>0</v>
      </c>
      <c r="K33" s="469">
        <v>0</v>
      </c>
      <c r="L33" s="357">
        <v>0</v>
      </c>
      <c r="M33" s="354">
        <f t="shared" si="0"/>
        <v>0</v>
      </c>
      <c r="N33" s="357" t="s">
        <v>279</v>
      </c>
    </row>
    <row r="34" spans="1:14" s="68" customFormat="1" x14ac:dyDescent="0.2">
      <c r="A34" s="614">
        <v>31</v>
      </c>
      <c r="B34" s="351" t="s">
        <v>246</v>
      </c>
      <c r="C34" s="351">
        <v>205</v>
      </c>
      <c r="D34" s="357">
        <v>120938</v>
      </c>
      <c r="E34" s="361" t="s">
        <v>327</v>
      </c>
      <c r="F34" s="385" t="s">
        <v>328</v>
      </c>
      <c r="G34" s="366" t="s">
        <v>61</v>
      </c>
      <c r="H34" s="366" t="s">
        <v>329</v>
      </c>
      <c r="I34" s="366">
        <v>0</v>
      </c>
      <c r="J34" s="366">
        <v>0</v>
      </c>
      <c r="K34" s="366">
        <v>0</v>
      </c>
      <c r="L34" s="363">
        <v>0</v>
      </c>
      <c r="M34" s="354">
        <f t="shared" si="0"/>
        <v>0</v>
      </c>
      <c r="N34" s="363" t="s">
        <v>279</v>
      </c>
    </row>
    <row r="35" spans="1:14" s="68" customFormat="1" x14ac:dyDescent="0.2">
      <c r="A35" s="615">
        <v>32</v>
      </c>
      <c r="B35" s="351" t="s">
        <v>246</v>
      </c>
      <c r="C35" s="351">
        <v>205</v>
      </c>
      <c r="D35" s="364">
        <v>121240</v>
      </c>
      <c r="E35" s="365" t="s">
        <v>60</v>
      </c>
      <c r="F35" s="373" t="s">
        <v>330</v>
      </c>
      <c r="G35" s="366" t="s">
        <v>61</v>
      </c>
      <c r="H35" s="366" t="s">
        <v>331</v>
      </c>
      <c r="I35" s="366">
        <v>0</v>
      </c>
      <c r="J35" s="366">
        <v>0</v>
      </c>
      <c r="K35" s="366">
        <v>0</v>
      </c>
      <c r="L35" s="367">
        <v>0</v>
      </c>
      <c r="M35" s="354">
        <f t="shared" si="0"/>
        <v>0</v>
      </c>
      <c r="N35" s="367" t="s">
        <v>279</v>
      </c>
    </row>
    <row r="36" spans="1:14" s="68" customFormat="1" x14ac:dyDescent="0.2">
      <c r="A36" s="614">
        <v>33</v>
      </c>
      <c r="B36" s="351" t="s">
        <v>246</v>
      </c>
      <c r="C36" s="351">
        <v>205</v>
      </c>
      <c r="D36" s="368">
        <v>95167</v>
      </c>
      <c r="E36" s="369" t="s">
        <v>332</v>
      </c>
      <c r="F36" s="466" t="s">
        <v>109</v>
      </c>
      <c r="G36" s="366" t="s">
        <v>61</v>
      </c>
      <c r="H36" s="366" t="s">
        <v>333</v>
      </c>
      <c r="I36" s="366">
        <v>0</v>
      </c>
      <c r="J36" s="366">
        <v>0</v>
      </c>
      <c r="K36" s="366">
        <v>0</v>
      </c>
      <c r="L36" s="371">
        <v>0</v>
      </c>
      <c r="M36" s="354">
        <f t="shared" ref="M36:M67" si="1">SUM(I36:L36)</f>
        <v>0</v>
      </c>
      <c r="N36" s="371" t="s">
        <v>279</v>
      </c>
    </row>
    <row r="37" spans="1:14" s="68" customFormat="1" x14ac:dyDescent="0.2">
      <c r="A37" s="615">
        <v>34</v>
      </c>
      <c r="B37" s="351" t="s">
        <v>246</v>
      </c>
      <c r="C37" s="351">
        <v>205</v>
      </c>
      <c r="D37" s="364">
        <v>121224</v>
      </c>
      <c r="E37" s="372" t="s">
        <v>334</v>
      </c>
      <c r="F37" s="373" t="s">
        <v>302</v>
      </c>
      <c r="G37" s="366" t="s">
        <v>61</v>
      </c>
      <c r="H37" s="366" t="s">
        <v>335</v>
      </c>
      <c r="I37" s="366">
        <v>0</v>
      </c>
      <c r="J37" s="366">
        <v>0</v>
      </c>
      <c r="K37" s="366">
        <v>0</v>
      </c>
      <c r="L37" s="371">
        <v>0</v>
      </c>
      <c r="M37" s="354">
        <f t="shared" si="1"/>
        <v>0</v>
      </c>
      <c r="N37" s="371" t="s">
        <v>279</v>
      </c>
    </row>
    <row r="38" spans="1:14" s="68" customFormat="1" x14ac:dyDescent="0.2">
      <c r="A38" s="614">
        <v>35</v>
      </c>
      <c r="B38" s="351" t="s">
        <v>246</v>
      </c>
      <c r="C38" s="351">
        <v>205</v>
      </c>
      <c r="D38" s="374">
        <v>121196</v>
      </c>
      <c r="E38" s="375" t="s">
        <v>336</v>
      </c>
      <c r="F38" s="467" t="s">
        <v>337</v>
      </c>
      <c r="G38" s="366" t="s">
        <v>61</v>
      </c>
      <c r="H38" s="366" t="s">
        <v>338</v>
      </c>
      <c r="I38" s="366">
        <v>0</v>
      </c>
      <c r="J38" s="366">
        <v>0</v>
      </c>
      <c r="K38" s="366">
        <v>0</v>
      </c>
      <c r="L38" s="362">
        <v>0</v>
      </c>
      <c r="M38" s="354">
        <f t="shared" si="1"/>
        <v>0</v>
      </c>
      <c r="N38" s="362" t="s">
        <v>279</v>
      </c>
    </row>
    <row r="39" spans="1:14" s="68" customFormat="1" x14ac:dyDescent="0.2">
      <c r="A39" s="615">
        <v>36</v>
      </c>
      <c r="B39" s="351" t="s">
        <v>246</v>
      </c>
      <c r="C39" s="351">
        <v>204</v>
      </c>
      <c r="D39" s="357">
        <v>176834</v>
      </c>
      <c r="E39" s="353" t="s">
        <v>132</v>
      </c>
      <c r="F39" s="358" t="s">
        <v>339</v>
      </c>
      <c r="G39" s="470">
        <v>117</v>
      </c>
      <c r="H39" s="470"/>
      <c r="I39" s="470"/>
      <c r="J39" s="470"/>
      <c r="K39" s="470"/>
      <c r="L39" s="353"/>
      <c r="M39" s="354">
        <f t="shared" si="1"/>
        <v>0</v>
      </c>
      <c r="N39" s="353" t="s">
        <v>279</v>
      </c>
    </row>
    <row r="40" spans="1:14" s="68" customFormat="1" x14ac:dyDescent="0.2">
      <c r="A40" s="614">
        <v>37</v>
      </c>
      <c r="B40" s="351" t="s">
        <v>246</v>
      </c>
      <c r="C40" s="351">
        <v>204</v>
      </c>
      <c r="D40" s="357">
        <v>158988</v>
      </c>
      <c r="E40" s="357" t="s">
        <v>265</v>
      </c>
      <c r="F40" s="360" t="s">
        <v>340</v>
      </c>
      <c r="G40" s="470">
        <v>23</v>
      </c>
      <c r="H40" s="470" t="s">
        <v>341</v>
      </c>
      <c r="I40" s="470">
        <v>0</v>
      </c>
      <c r="J40" s="470">
        <v>0</v>
      </c>
      <c r="K40" s="470">
        <v>0</v>
      </c>
      <c r="L40" s="353">
        <v>0</v>
      </c>
      <c r="M40" s="354">
        <f t="shared" si="1"/>
        <v>0</v>
      </c>
      <c r="N40" s="353" t="s">
        <v>279</v>
      </c>
    </row>
    <row r="41" spans="1:14" s="68" customFormat="1" x14ac:dyDescent="0.2">
      <c r="A41" s="615">
        <v>38</v>
      </c>
      <c r="B41" s="351" t="s">
        <v>246</v>
      </c>
      <c r="C41" s="351">
        <v>204</v>
      </c>
      <c r="D41" s="357">
        <v>182305</v>
      </c>
      <c r="E41" s="357" t="s">
        <v>342</v>
      </c>
      <c r="F41" s="360" t="s">
        <v>343</v>
      </c>
      <c r="G41" s="470">
        <v>23</v>
      </c>
      <c r="H41" s="470" t="s">
        <v>344</v>
      </c>
      <c r="I41" s="470">
        <v>0</v>
      </c>
      <c r="J41" s="470">
        <v>0</v>
      </c>
      <c r="K41" s="470">
        <v>0</v>
      </c>
      <c r="L41" s="361">
        <v>0</v>
      </c>
      <c r="M41" s="354">
        <f t="shared" si="1"/>
        <v>0</v>
      </c>
      <c r="N41" s="361" t="s">
        <v>279</v>
      </c>
    </row>
    <row r="42" spans="1:14" s="68" customFormat="1" x14ac:dyDescent="0.2">
      <c r="A42" s="614">
        <v>39</v>
      </c>
      <c r="B42" s="351" t="s">
        <v>246</v>
      </c>
      <c r="C42" s="351">
        <v>204</v>
      </c>
      <c r="D42" s="357">
        <v>159050</v>
      </c>
      <c r="E42" s="357" t="s">
        <v>217</v>
      </c>
      <c r="F42" s="360" t="s">
        <v>106</v>
      </c>
      <c r="G42" s="470">
        <v>23</v>
      </c>
      <c r="H42" s="470" t="s">
        <v>345</v>
      </c>
      <c r="I42" s="470">
        <v>0</v>
      </c>
      <c r="J42" s="470">
        <v>0</v>
      </c>
      <c r="K42" s="470">
        <v>0</v>
      </c>
      <c r="L42" s="361">
        <v>0</v>
      </c>
      <c r="M42" s="354">
        <f t="shared" si="1"/>
        <v>0</v>
      </c>
      <c r="N42" s="361" t="s">
        <v>279</v>
      </c>
    </row>
    <row r="43" spans="1:14" s="68" customFormat="1" x14ac:dyDescent="0.2">
      <c r="A43" s="615">
        <v>40</v>
      </c>
      <c r="B43" s="351" t="s">
        <v>246</v>
      </c>
      <c r="C43" s="351">
        <v>204</v>
      </c>
      <c r="D43" s="357">
        <v>143393</v>
      </c>
      <c r="E43" s="353" t="s">
        <v>346</v>
      </c>
      <c r="F43" s="358" t="s">
        <v>115</v>
      </c>
      <c r="G43" s="470">
        <v>5</v>
      </c>
      <c r="H43" s="470" t="s">
        <v>347</v>
      </c>
      <c r="I43" s="470">
        <v>0</v>
      </c>
      <c r="J43" s="470">
        <v>0</v>
      </c>
      <c r="K43" s="470">
        <v>0</v>
      </c>
      <c r="L43" s="361">
        <v>0</v>
      </c>
      <c r="M43" s="354">
        <f t="shared" si="1"/>
        <v>0</v>
      </c>
      <c r="N43" s="361" t="s">
        <v>279</v>
      </c>
    </row>
    <row r="44" spans="1:14" s="68" customFormat="1" x14ac:dyDescent="0.2">
      <c r="A44" s="614">
        <v>41</v>
      </c>
      <c r="B44" s="351" t="s">
        <v>246</v>
      </c>
      <c r="C44" s="351">
        <v>204</v>
      </c>
      <c r="D44" s="357">
        <v>121263</v>
      </c>
      <c r="E44" s="353" t="s">
        <v>348</v>
      </c>
      <c r="F44" s="358" t="s">
        <v>349</v>
      </c>
      <c r="G44" s="370" t="s">
        <v>61</v>
      </c>
      <c r="H44" s="371" t="s">
        <v>350</v>
      </c>
      <c r="I44" s="371">
        <v>0</v>
      </c>
      <c r="J44" s="371">
        <v>0</v>
      </c>
      <c r="K44" s="371">
        <v>0</v>
      </c>
      <c r="L44" s="371">
        <v>0</v>
      </c>
      <c r="M44" s="354">
        <f t="shared" si="1"/>
        <v>0</v>
      </c>
      <c r="N44" s="371" t="s">
        <v>279</v>
      </c>
    </row>
    <row r="45" spans="1:14" s="68" customFormat="1" x14ac:dyDescent="0.2">
      <c r="A45" s="615">
        <v>42</v>
      </c>
      <c r="B45" s="351" t="s">
        <v>246</v>
      </c>
      <c r="C45" s="351">
        <v>204</v>
      </c>
      <c r="D45" s="364">
        <v>121249</v>
      </c>
      <c r="E45" s="372" t="s">
        <v>351</v>
      </c>
      <c r="F45" s="373" t="s">
        <v>352</v>
      </c>
      <c r="G45" s="376" t="s">
        <v>61</v>
      </c>
      <c r="H45" s="371" t="s">
        <v>353</v>
      </c>
      <c r="I45" s="371">
        <v>0</v>
      </c>
      <c r="J45" s="371">
        <v>0</v>
      </c>
      <c r="K45" s="371">
        <v>0</v>
      </c>
      <c r="L45" s="371">
        <v>0</v>
      </c>
      <c r="M45" s="354">
        <f t="shared" si="1"/>
        <v>0</v>
      </c>
      <c r="N45" s="371" t="s">
        <v>279</v>
      </c>
    </row>
    <row r="46" spans="1:14" s="68" customFormat="1" x14ac:dyDescent="0.2">
      <c r="A46" s="614">
        <v>43</v>
      </c>
      <c r="B46" s="377" t="s">
        <v>246</v>
      </c>
      <c r="C46" s="351">
        <v>204</v>
      </c>
      <c r="D46" s="368">
        <v>121244</v>
      </c>
      <c r="E46" s="369" t="s">
        <v>354</v>
      </c>
      <c r="F46" s="369" t="s">
        <v>355</v>
      </c>
      <c r="G46" s="367" t="s">
        <v>61</v>
      </c>
      <c r="H46" s="371" t="s">
        <v>356</v>
      </c>
      <c r="I46" s="371">
        <v>0</v>
      </c>
      <c r="J46" s="371">
        <v>0</v>
      </c>
      <c r="K46" s="371">
        <v>0</v>
      </c>
      <c r="L46" s="371">
        <v>0</v>
      </c>
      <c r="M46" s="354">
        <f t="shared" si="1"/>
        <v>0</v>
      </c>
      <c r="N46" s="371" t="s">
        <v>279</v>
      </c>
    </row>
    <row r="47" spans="1:14" s="68" customFormat="1" x14ac:dyDescent="0.2">
      <c r="A47" s="615">
        <v>44</v>
      </c>
      <c r="B47" s="377" t="s">
        <v>246</v>
      </c>
      <c r="C47" s="351">
        <v>204</v>
      </c>
      <c r="D47" s="378">
        <v>121206</v>
      </c>
      <c r="E47" s="361" t="s">
        <v>59</v>
      </c>
      <c r="F47" s="361" t="s">
        <v>180</v>
      </c>
      <c r="G47" s="371" t="s">
        <v>61</v>
      </c>
      <c r="H47" s="371" t="s">
        <v>357</v>
      </c>
      <c r="I47" s="371">
        <v>0</v>
      </c>
      <c r="J47" s="371">
        <v>0</v>
      </c>
      <c r="K47" s="371">
        <v>0</v>
      </c>
      <c r="L47" s="371">
        <v>0</v>
      </c>
      <c r="M47" s="354">
        <f t="shared" si="1"/>
        <v>0</v>
      </c>
      <c r="N47" s="371" t="s">
        <v>279</v>
      </c>
    </row>
    <row r="48" spans="1:14" s="68" customFormat="1" x14ac:dyDescent="0.2">
      <c r="A48" s="614">
        <v>45</v>
      </c>
      <c r="B48" s="377" t="s">
        <v>246</v>
      </c>
      <c r="C48" s="351">
        <v>204</v>
      </c>
      <c r="D48" s="379">
        <v>14128</v>
      </c>
      <c r="E48" s="380" t="s">
        <v>358</v>
      </c>
      <c r="F48" s="380" t="s">
        <v>59</v>
      </c>
      <c r="G48" s="371" t="s">
        <v>61</v>
      </c>
      <c r="H48" s="371" t="s">
        <v>359</v>
      </c>
      <c r="I48" s="371">
        <v>0</v>
      </c>
      <c r="J48" s="371">
        <v>0</v>
      </c>
      <c r="K48" s="371">
        <v>0</v>
      </c>
      <c r="L48" s="371">
        <v>0</v>
      </c>
      <c r="M48" s="354">
        <f t="shared" si="1"/>
        <v>0</v>
      </c>
      <c r="N48" s="371" t="s">
        <v>279</v>
      </c>
    </row>
    <row r="49" spans="1:14" s="68" customFormat="1" x14ac:dyDescent="0.2">
      <c r="A49" s="615">
        <v>46</v>
      </c>
      <c r="B49" s="351" t="s">
        <v>246</v>
      </c>
      <c r="C49" s="351">
        <v>204</v>
      </c>
      <c r="D49" s="357">
        <v>52057</v>
      </c>
      <c r="E49" s="357" t="s">
        <v>290</v>
      </c>
      <c r="F49" s="360" t="s">
        <v>66</v>
      </c>
      <c r="G49" s="370" t="s">
        <v>152</v>
      </c>
      <c r="H49" s="371" t="s">
        <v>279</v>
      </c>
      <c r="I49" s="371"/>
      <c r="J49" s="371"/>
      <c r="K49" s="371"/>
      <c r="L49" s="371"/>
      <c r="M49" s="354">
        <f t="shared" si="1"/>
        <v>0</v>
      </c>
      <c r="N49" s="371" t="s">
        <v>279</v>
      </c>
    </row>
    <row r="50" spans="1:14" s="68" customFormat="1" x14ac:dyDescent="0.2">
      <c r="A50" s="614">
        <v>47</v>
      </c>
      <c r="B50" s="351" t="s">
        <v>246</v>
      </c>
      <c r="C50" s="351">
        <v>204</v>
      </c>
      <c r="D50" s="381">
        <v>189467</v>
      </c>
      <c r="E50" s="381" t="s">
        <v>360</v>
      </c>
      <c r="F50" s="382" t="s">
        <v>361</v>
      </c>
      <c r="G50" s="370" t="s">
        <v>152</v>
      </c>
      <c r="H50" s="371" t="s">
        <v>279</v>
      </c>
      <c r="I50" s="371"/>
      <c r="J50" s="371"/>
      <c r="K50" s="371"/>
      <c r="L50" s="371"/>
      <c r="M50" s="354">
        <f t="shared" si="1"/>
        <v>0</v>
      </c>
      <c r="N50" s="371" t="s">
        <v>279</v>
      </c>
    </row>
    <row r="51" spans="1:14" s="68" customFormat="1" x14ac:dyDescent="0.2">
      <c r="A51" s="615">
        <v>48</v>
      </c>
      <c r="B51" s="351" t="s">
        <v>246</v>
      </c>
      <c r="C51" s="351">
        <v>204</v>
      </c>
      <c r="D51" s="381">
        <v>143125</v>
      </c>
      <c r="E51" s="381" t="s">
        <v>362</v>
      </c>
      <c r="F51" s="382" t="s">
        <v>153</v>
      </c>
      <c r="G51" s="383">
        <v>39</v>
      </c>
      <c r="H51" s="384" t="s">
        <v>363</v>
      </c>
      <c r="I51" s="384">
        <v>0</v>
      </c>
      <c r="J51" s="384">
        <v>0</v>
      </c>
      <c r="K51" s="384">
        <v>0</v>
      </c>
      <c r="L51" s="384">
        <v>0</v>
      </c>
      <c r="M51" s="354">
        <f t="shared" si="1"/>
        <v>0</v>
      </c>
      <c r="N51" s="384" t="s">
        <v>279</v>
      </c>
    </row>
    <row r="52" spans="1:14" s="68" customFormat="1" x14ac:dyDescent="0.2">
      <c r="A52" s="614">
        <v>49</v>
      </c>
      <c r="B52" s="351" t="s">
        <v>246</v>
      </c>
      <c r="C52" s="351">
        <v>204</v>
      </c>
      <c r="D52" s="381">
        <v>143115</v>
      </c>
      <c r="E52" s="381" t="s">
        <v>290</v>
      </c>
      <c r="F52" s="382" t="s">
        <v>364</v>
      </c>
      <c r="G52" s="383">
        <v>39</v>
      </c>
      <c r="H52" s="384" t="s">
        <v>365</v>
      </c>
      <c r="I52" s="384">
        <v>0</v>
      </c>
      <c r="J52" s="384">
        <v>0</v>
      </c>
      <c r="K52" s="384">
        <v>0</v>
      </c>
      <c r="L52" s="384">
        <v>0</v>
      </c>
      <c r="M52" s="354">
        <f t="shared" si="1"/>
        <v>0</v>
      </c>
      <c r="N52" s="384" t="s">
        <v>279</v>
      </c>
    </row>
    <row r="53" spans="1:14" s="68" customFormat="1" x14ac:dyDescent="0.2">
      <c r="A53" s="615">
        <v>50</v>
      </c>
      <c r="B53" s="351" t="s">
        <v>246</v>
      </c>
      <c r="C53" s="351">
        <v>206</v>
      </c>
      <c r="D53" s="357">
        <v>189351</v>
      </c>
      <c r="E53" s="361" t="s">
        <v>366</v>
      </c>
      <c r="F53" s="385" t="s">
        <v>367</v>
      </c>
      <c r="G53" s="370" t="s">
        <v>152</v>
      </c>
      <c r="H53" s="371" t="s">
        <v>368</v>
      </c>
      <c r="I53" s="371">
        <v>0</v>
      </c>
      <c r="J53" s="371">
        <v>0</v>
      </c>
      <c r="K53" s="371">
        <v>0</v>
      </c>
      <c r="L53" s="371">
        <v>0</v>
      </c>
      <c r="M53" s="354">
        <f t="shared" si="1"/>
        <v>0</v>
      </c>
      <c r="N53" s="371" t="s">
        <v>279</v>
      </c>
    </row>
    <row r="54" spans="1:14" s="68" customFormat="1" x14ac:dyDescent="0.2">
      <c r="A54" s="589">
        <v>51</v>
      </c>
      <c r="B54" s="386" t="s">
        <v>246</v>
      </c>
      <c r="C54" s="386">
        <v>206</v>
      </c>
      <c r="D54" s="387">
        <v>150436</v>
      </c>
      <c r="E54" s="388" t="s">
        <v>369</v>
      </c>
      <c r="F54" s="389" t="s">
        <v>370</v>
      </c>
      <c r="G54" s="390">
        <v>24</v>
      </c>
      <c r="H54" s="388" t="s">
        <v>371</v>
      </c>
      <c r="I54" s="388">
        <v>0</v>
      </c>
      <c r="J54" s="388">
        <v>0</v>
      </c>
      <c r="K54" s="388">
        <v>0</v>
      </c>
      <c r="L54" s="388">
        <v>0</v>
      </c>
      <c r="M54" s="354">
        <f t="shared" si="1"/>
        <v>0</v>
      </c>
      <c r="N54" s="388" t="s">
        <v>279</v>
      </c>
    </row>
    <row r="55" spans="1:14" s="68" customFormat="1" x14ac:dyDescent="0.2">
      <c r="A55" s="588">
        <v>52</v>
      </c>
      <c r="B55" s="386" t="s">
        <v>246</v>
      </c>
      <c r="C55" s="386">
        <v>206</v>
      </c>
      <c r="D55" s="391">
        <v>112748</v>
      </c>
      <c r="E55" s="392" t="s">
        <v>372</v>
      </c>
      <c r="F55" s="393" t="s">
        <v>373</v>
      </c>
      <c r="G55" s="394">
        <v>49</v>
      </c>
      <c r="H55" s="395" t="s">
        <v>374</v>
      </c>
      <c r="I55" s="395">
        <v>0</v>
      </c>
      <c r="J55" s="395">
        <v>0</v>
      </c>
      <c r="K55" s="395">
        <v>0</v>
      </c>
      <c r="L55" s="395">
        <v>0</v>
      </c>
      <c r="M55" s="354">
        <f t="shared" si="1"/>
        <v>0</v>
      </c>
      <c r="N55" s="395" t="s">
        <v>279</v>
      </c>
    </row>
    <row r="56" spans="1:14" s="68" customFormat="1" x14ac:dyDescent="0.2">
      <c r="A56" s="589">
        <v>53</v>
      </c>
      <c r="B56" s="396" t="s">
        <v>246</v>
      </c>
      <c r="C56" s="386">
        <v>206</v>
      </c>
      <c r="D56" s="397">
        <v>112083</v>
      </c>
      <c r="E56" s="397" t="s">
        <v>375</v>
      </c>
      <c r="F56" s="397" t="s">
        <v>376</v>
      </c>
      <c r="G56" s="387">
        <v>49</v>
      </c>
      <c r="H56" s="387" t="s">
        <v>279</v>
      </c>
      <c r="I56" s="387"/>
      <c r="J56" s="387"/>
      <c r="K56" s="387"/>
      <c r="L56" s="387"/>
      <c r="M56" s="354">
        <f t="shared" si="1"/>
        <v>0</v>
      </c>
      <c r="N56" s="387" t="s">
        <v>279</v>
      </c>
    </row>
    <row r="57" spans="1:14" s="68" customFormat="1" x14ac:dyDescent="0.2">
      <c r="A57" s="588">
        <v>54</v>
      </c>
      <c r="B57" s="396" t="s">
        <v>246</v>
      </c>
      <c r="C57" s="386">
        <v>206</v>
      </c>
      <c r="D57" s="387">
        <v>154562</v>
      </c>
      <c r="E57" s="387" t="s">
        <v>377</v>
      </c>
      <c r="F57" s="387" t="s">
        <v>378</v>
      </c>
      <c r="G57" s="387">
        <v>49</v>
      </c>
      <c r="H57" s="387" t="s">
        <v>379</v>
      </c>
      <c r="I57" s="387">
        <v>0</v>
      </c>
      <c r="J57" s="387">
        <v>0</v>
      </c>
      <c r="K57" s="387">
        <v>0</v>
      </c>
      <c r="L57" s="387">
        <v>0</v>
      </c>
      <c r="M57" s="354">
        <f t="shared" si="1"/>
        <v>0</v>
      </c>
      <c r="N57" s="387" t="s">
        <v>279</v>
      </c>
    </row>
    <row r="58" spans="1:14" s="68" customFormat="1" x14ac:dyDescent="0.2">
      <c r="A58" s="589">
        <v>55</v>
      </c>
      <c r="B58" s="396" t="s">
        <v>246</v>
      </c>
      <c r="C58" s="386">
        <v>206</v>
      </c>
      <c r="D58" s="387">
        <v>120924</v>
      </c>
      <c r="E58" s="398" t="s">
        <v>380</v>
      </c>
      <c r="F58" s="398" t="s">
        <v>381</v>
      </c>
      <c r="G58" s="399" t="s">
        <v>61</v>
      </c>
      <c r="H58" s="399" t="s">
        <v>382</v>
      </c>
      <c r="I58" s="399">
        <v>0</v>
      </c>
      <c r="J58" s="399">
        <v>0</v>
      </c>
      <c r="K58" s="399">
        <v>0</v>
      </c>
      <c r="L58" s="399">
        <v>0</v>
      </c>
      <c r="M58" s="354">
        <f t="shared" si="1"/>
        <v>0</v>
      </c>
      <c r="N58" s="399" t="s">
        <v>279</v>
      </c>
    </row>
    <row r="59" spans="1:14" s="68" customFormat="1" x14ac:dyDescent="0.2">
      <c r="A59" s="588">
        <v>56</v>
      </c>
      <c r="B59" s="396" t="s">
        <v>246</v>
      </c>
      <c r="C59" s="386">
        <v>206</v>
      </c>
      <c r="D59" s="387">
        <v>121211</v>
      </c>
      <c r="E59" s="398" t="s">
        <v>383</v>
      </c>
      <c r="F59" s="400" t="s">
        <v>384</v>
      </c>
      <c r="G59" s="401" t="s">
        <v>61</v>
      </c>
      <c r="H59" s="399" t="s">
        <v>385</v>
      </c>
      <c r="I59" s="399">
        <v>0</v>
      </c>
      <c r="J59" s="399">
        <v>0</v>
      </c>
      <c r="K59" s="399">
        <v>0</v>
      </c>
      <c r="L59" s="399">
        <v>0</v>
      </c>
      <c r="M59" s="354">
        <f t="shared" si="1"/>
        <v>0</v>
      </c>
      <c r="N59" s="399" t="s">
        <v>279</v>
      </c>
    </row>
    <row r="60" spans="1:14" s="68" customFormat="1" x14ac:dyDescent="0.2">
      <c r="A60" s="589">
        <v>57</v>
      </c>
      <c r="B60" s="386" t="s">
        <v>246</v>
      </c>
      <c r="C60" s="386">
        <v>206</v>
      </c>
      <c r="D60" s="387">
        <v>121184</v>
      </c>
      <c r="E60" s="398" t="s">
        <v>386</v>
      </c>
      <c r="F60" s="398" t="s">
        <v>387</v>
      </c>
      <c r="G60" s="399" t="s">
        <v>61</v>
      </c>
      <c r="H60" s="399" t="s">
        <v>388</v>
      </c>
      <c r="I60" s="399">
        <v>0</v>
      </c>
      <c r="J60" s="399">
        <v>0</v>
      </c>
      <c r="K60" s="399">
        <v>0</v>
      </c>
      <c r="L60" s="399">
        <v>0</v>
      </c>
      <c r="M60" s="354">
        <f t="shared" si="1"/>
        <v>0</v>
      </c>
      <c r="N60" s="399" t="s">
        <v>279</v>
      </c>
    </row>
    <row r="61" spans="1:14" s="68" customFormat="1" x14ac:dyDescent="0.2">
      <c r="A61" s="588">
        <v>58</v>
      </c>
      <c r="B61" s="386" t="s">
        <v>246</v>
      </c>
      <c r="C61" s="386">
        <v>206</v>
      </c>
      <c r="D61" s="387">
        <v>121217</v>
      </c>
      <c r="E61" s="398" t="s">
        <v>389</v>
      </c>
      <c r="F61" s="398" t="s">
        <v>390</v>
      </c>
      <c r="G61" s="399" t="s">
        <v>61</v>
      </c>
      <c r="H61" s="399" t="s">
        <v>391</v>
      </c>
      <c r="I61" s="399">
        <v>0</v>
      </c>
      <c r="J61" s="399">
        <v>0</v>
      </c>
      <c r="K61" s="399">
        <v>0</v>
      </c>
      <c r="L61" s="399">
        <v>0</v>
      </c>
      <c r="M61" s="354">
        <f t="shared" si="1"/>
        <v>0</v>
      </c>
      <c r="N61" s="399" t="s">
        <v>279</v>
      </c>
    </row>
    <row r="62" spans="1:14" s="68" customFormat="1" x14ac:dyDescent="0.2">
      <c r="A62" s="589">
        <v>59</v>
      </c>
      <c r="B62" s="386" t="s">
        <v>246</v>
      </c>
      <c r="C62" s="386">
        <v>206</v>
      </c>
      <c r="D62" s="386">
        <v>121261</v>
      </c>
      <c r="E62" s="402" t="s">
        <v>392</v>
      </c>
      <c r="F62" s="402" t="s">
        <v>59</v>
      </c>
      <c r="G62" s="399" t="s">
        <v>61</v>
      </c>
      <c r="H62" s="399" t="s">
        <v>393</v>
      </c>
      <c r="I62" s="399">
        <v>0</v>
      </c>
      <c r="J62" s="399">
        <v>0</v>
      </c>
      <c r="K62" s="399">
        <v>0</v>
      </c>
      <c r="L62" s="399">
        <v>0</v>
      </c>
      <c r="M62" s="354">
        <f t="shared" si="1"/>
        <v>0</v>
      </c>
      <c r="N62" s="399" t="s">
        <v>279</v>
      </c>
    </row>
    <row r="63" spans="1:14" s="68" customFormat="1" x14ac:dyDescent="0.2">
      <c r="A63" s="588">
        <v>60</v>
      </c>
      <c r="B63" s="386" t="s">
        <v>246</v>
      </c>
      <c r="C63" s="386">
        <v>206</v>
      </c>
      <c r="D63" s="386">
        <v>75393</v>
      </c>
      <c r="E63" s="402" t="s">
        <v>351</v>
      </c>
      <c r="F63" s="402" t="s">
        <v>394</v>
      </c>
      <c r="G63" s="399" t="s">
        <v>61</v>
      </c>
      <c r="H63" s="399" t="s">
        <v>395</v>
      </c>
      <c r="I63" s="399">
        <v>0</v>
      </c>
      <c r="J63" s="399">
        <v>0</v>
      </c>
      <c r="K63" s="399">
        <v>0</v>
      </c>
      <c r="L63" s="399">
        <v>0</v>
      </c>
      <c r="M63" s="354">
        <f t="shared" si="1"/>
        <v>0</v>
      </c>
      <c r="N63" s="399" t="s">
        <v>279</v>
      </c>
    </row>
    <row r="64" spans="1:14" s="68" customFormat="1" x14ac:dyDescent="0.2">
      <c r="A64" s="589">
        <v>61</v>
      </c>
      <c r="B64" s="386" t="s">
        <v>246</v>
      </c>
      <c r="C64" s="386">
        <v>206</v>
      </c>
      <c r="D64" s="386">
        <v>121270</v>
      </c>
      <c r="E64" s="402" t="s">
        <v>396</v>
      </c>
      <c r="F64" s="402" t="s">
        <v>397</v>
      </c>
      <c r="G64" s="399" t="s">
        <v>61</v>
      </c>
      <c r="H64" s="399" t="s">
        <v>398</v>
      </c>
      <c r="I64" s="399">
        <v>0</v>
      </c>
      <c r="J64" s="399">
        <v>0</v>
      </c>
      <c r="K64" s="399">
        <v>0</v>
      </c>
      <c r="L64" s="399">
        <v>0</v>
      </c>
      <c r="M64" s="354">
        <f t="shared" si="1"/>
        <v>0</v>
      </c>
      <c r="N64" s="399" t="s">
        <v>279</v>
      </c>
    </row>
    <row r="65" spans="1:14" s="68" customFormat="1" x14ac:dyDescent="0.2">
      <c r="A65" s="588">
        <v>62</v>
      </c>
      <c r="B65" s="386" t="s">
        <v>246</v>
      </c>
      <c r="C65" s="386">
        <v>206</v>
      </c>
      <c r="D65" s="403">
        <v>122619</v>
      </c>
      <c r="E65" s="403" t="s">
        <v>399</v>
      </c>
      <c r="F65" s="403" t="s">
        <v>400</v>
      </c>
      <c r="G65" s="398">
        <v>5</v>
      </c>
      <c r="H65" s="398" t="s">
        <v>401</v>
      </c>
      <c r="I65" s="398">
        <v>0</v>
      </c>
      <c r="J65" s="398">
        <v>0</v>
      </c>
      <c r="K65" s="398">
        <v>0</v>
      </c>
      <c r="L65" s="398">
        <v>0</v>
      </c>
      <c r="M65" s="354">
        <f t="shared" si="1"/>
        <v>0</v>
      </c>
      <c r="N65" s="398" t="s">
        <v>279</v>
      </c>
    </row>
    <row r="66" spans="1:14" s="68" customFormat="1" x14ac:dyDescent="0.2">
      <c r="A66" s="589">
        <v>63</v>
      </c>
      <c r="B66" s="386" t="s">
        <v>246</v>
      </c>
      <c r="C66" s="386">
        <v>206</v>
      </c>
      <c r="D66" s="403">
        <v>176791</v>
      </c>
      <c r="E66" s="403" t="s">
        <v>402</v>
      </c>
      <c r="F66" s="403" t="s">
        <v>403</v>
      </c>
      <c r="G66" s="398">
        <v>5</v>
      </c>
      <c r="H66" s="398" t="s">
        <v>404</v>
      </c>
      <c r="I66" s="398">
        <v>0</v>
      </c>
      <c r="J66" s="398">
        <v>0</v>
      </c>
      <c r="K66" s="398">
        <v>0</v>
      </c>
      <c r="L66" s="398">
        <v>0</v>
      </c>
      <c r="M66" s="354">
        <f t="shared" si="1"/>
        <v>0</v>
      </c>
      <c r="N66" s="398" t="s">
        <v>279</v>
      </c>
    </row>
    <row r="67" spans="1:14" s="68" customFormat="1" x14ac:dyDescent="0.2">
      <c r="A67" s="588">
        <v>64</v>
      </c>
      <c r="B67" s="386" t="s">
        <v>246</v>
      </c>
      <c r="C67" s="386">
        <v>206</v>
      </c>
      <c r="D67" s="403">
        <v>122656</v>
      </c>
      <c r="E67" s="403" t="s">
        <v>405</v>
      </c>
      <c r="F67" s="403" t="s">
        <v>406</v>
      </c>
      <c r="G67" s="398">
        <v>5</v>
      </c>
      <c r="H67" s="398" t="s">
        <v>407</v>
      </c>
      <c r="I67" s="398">
        <v>0</v>
      </c>
      <c r="J67" s="398">
        <v>0</v>
      </c>
      <c r="K67" s="398">
        <v>0</v>
      </c>
      <c r="L67" s="398">
        <v>0</v>
      </c>
      <c r="M67" s="354">
        <f t="shared" si="1"/>
        <v>0</v>
      </c>
      <c r="N67" s="398" t="s">
        <v>279</v>
      </c>
    </row>
    <row r="68" spans="1:14" s="68" customFormat="1" x14ac:dyDescent="0.2">
      <c r="A68" s="589">
        <v>65</v>
      </c>
      <c r="B68" s="386" t="s">
        <v>246</v>
      </c>
      <c r="C68" s="386">
        <v>206</v>
      </c>
      <c r="D68" s="387">
        <v>75389</v>
      </c>
      <c r="E68" s="398" t="s">
        <v>69</v>
      </c>
      <c r="F68" s="398" t="s">
        <v>408</v>
      </c>
      <c r="G68" s="399" t="s">
        <v>61</v>
      </c>
      <c r="H68" s="399" t="s">
        <v>279</v>
      </c>
      <c r="I68" s="399"/>
      <c r="J68" s="399"/>
      <c r="K68" s="399"/>
      <c r="L68" s="399"/>
      <c r="M68" s="354">
        <f t="shared" ref="M68:M99" si="2">SUM(I68:L68)</f>
        <v>0</v>
      </c>
      <c r="N68" s="399" t="s">
        <v>279</v>
      </c>
    </row>
    <row r="69" spans="1:14" s="68" customFormat="1" x14ac:dyDescent="0.2">
      <c r="A69" s="588">
        <v>66</v>
      </c>
      <c r="B69" s="386" t="s">
        <v>246</v>
      </c>
      <c r="C69" s="386">
        <v>209</v>
      </c>
      <c r="D69" s="404">
        <v>218433</v>
      </c>
      <c r="E69" s="404" t="s">
        <v>129</v>
      </c>
      <c r="F69" s="404" t="s">
        <v>409</v>
      </c>
      <c r="G69" s="398">
        <v>24</v>
      </c>
      <c r="H69" s="398" t="s">
        <v>410</v>
      </c>
      <c r="I69" s="398">
        <v>0</v>
      </c>
      <c r="J69" s="398">
        <v>0</v>
      </c>
      <c r="K69" s="398">
        <v>0</v>
      </c>
      <c r="L69" s="398">
        <v>0</v>
      </c>
      <c r="M69" s="354">
        <f t="shared" si="2"/>
        <v>0</v>
      </c>
      <c r="N69" s="398" t="s">
        <v>279</v>
      </c>
    </row>
    <row r="70" spans="1:14" s="68" customFormat="1" x14ac:dyDescent="0.2">
      <c r="A70" s="589">
        <v>67</v>
      </c>
      <c r="B70" s="386" t="s">
        <v>246</v>
      </c>
      <c r="C70" s="386">
        <v>209</v>
      </c>
      <c r="D70" s="387">
        <v>143135</v>
      </c>
      <c r="E70" s="398" t="s">
        <v>411</v>
      </c>
      <c r="F70" s="400" t="s">
        <v>160</v>
      </c>
      <c r="G70" s="405">
        <v>50</v>
      </c>
      <c r="H70" s="398" t="s">
        <v>412</v>
      </c>
      <c r="I70" s="398">
        <v>0</v>
      </c>
      <c r="J70" s="398">
        <v>0</v>
      </c>
      <c r="K70" s="398">
        <v>0</v>
      </c>
      <c r="L70" s="398">
        <v>0</v>
      </c>
      <c r="M70" s="354">
        <f t="shared" si="2"/>
        <v>0</v>
      </c>
      <c r="N70" s="398" t="s">
        <v>279</v>
      </c>
    </row>
    <row r="71" spans="1:14" s="68" customFormat="1" x14ac:dyDescent="0.2">
      <c r="A71" s="588">
        <v>68</v>
      </c>
      <c r="B71" s="386" t="s">
        <v>246</v>
      </c>
      <c r="C71" s="386">
        <v>209</v>
      </c>
      <c r="D71" s="387">
        <v>143094</v>
      </c>
      <c r="E71" s="398" t="s">
        <v>413</v>
      </c>
      <c r="F71" s="400" t="s">
        <v>265</v>
      </c>
      <c r="G71" s="405">
        <v>50</v>
      </c>
      <c r="H71" s="398" t="s">
        <v>414</v>
      </c>
      <c r="I71" s="399">
        <v>0</v>
      </c>
      <c r="J71" s="399">
        <v>0</v>
      </c>
      <c r="K71" s="399">
        <v>0</v>
      </c>
      <c r="L71" s="399">
        <v>0</v>
      </c>
      <c r="M71" s="354">
        <f t="shared" si="2"/>
        <v>0</v>
      </c>
      <c r="N71" s="398" t="s">
        <v>279</v>
      </c>
    </row>
    <row r="72" spans="1:14" s="68" customFormat="1" x14ac:dyDescent="0.2">
      <c r="A72" s="589">
        <v>69</v>
      </c>
      <c r="B72" s="386" t="s">
        <v>246</v>
      </c>
      <c r="C72" s="386">
        <v>209</v>
      </c>
      <c r="D72" s="387">
        <v>143102</v>
      </c>
      <c r="E72" s="398" t="s">
        <v>383</v>
      </c>
      <c r="F72" s="400" t="s">
        <v>141</v>
      </c>
      <c r="G72" s="405">
        <v>50</v>
      </c>
      <c r="H72" s="398" t="s">
        <v>415</v>
      </c>
      <c r="I72" s="399">
        <v>0</v>
      </c>
      <c r="J72" s="399">
        <v>0</v>
      </c>
      <c r="K72" s="399">
        <v>0</v>
      </c>
      <c r="L72" s="399">
        <v>0</v>
      </c>
      <c r="M72" s="354">
        <f t="shared" si="2"/>
        <v>0</v>
      </c>
      <c r="N72" s="398" t="s">
        <v>279</v>
      </c>
    </row>
    <row r="73" spans="1:14" s="68" customFormat="1" x14ac:dyDescent="0.2">
      <c r="A73" s="588">
        <v>70</v>
      </c>
      <c r="B73" s="386" t="s">
        <v>246</v>
      </c>
      <c r="C73" s="386">
        <v>209</v>
      </c>
      <c r="D73" s="387">
        <v>207431</v>
      </c>
      <c r="E73" s="387" t="s">
        <v>416</v>
      </c>
      <c r="F73" s="406" t="s">
        <v>417</v>
      </c>
      <c r="G73" s="407">
        <v>72</v>
      </c>
      <c r="H73" s="391" t="s">
        <v>418</v>
      </c>
      <c r="I73" s="399">
        <v>0</v>
      </c>
      <c r="J73" s="399">
        <v>0</v>
      </c>
      <c r="K73" s="399">
        <v>0</v>
      </c>
      <c r="L73" s="399">
        <v>0</v>
      </c>
      <c r="M73" s="354">
        <f t="shared" si="2"/>
        <v>0</v>
      </c>
      <c r="N73" s="391" t="s">
        <v>279</v>
      </c>
    </row>
    <row r="74" spans="1:14" s="68" customFormat="1" x14ac:dyDescent="0.2">
      <c r="A74" s="589">
        <v>71</v>
      </c>
      <c r="B74" s="386" t="s">
        <v>246</v>
      </c>
      <c r="C74" s="386">
        <v>209</v>
      </c>
      <c r="D74" s="408">
        <v>173664</v>
      </c>
      <c r="E74" s="408" t="s">
        <v>419</v>
      </c>
      <c r="F74" s="406" t="s">
        <v>420</v>
      </c>
      <c r="G74" s="409">
        <v>72</v>
      </c>
      <c r="H74" s="397" t="s">
        <v>421</v>
      </c>
      <c r="I74" s="387">
        <v>0</v>
      </c>
      <c r="J74" s="387">
        <v>0</v>
      </c>
      <c r="K74" s="387">
        <v>0</v>
      </c>
      <c r="L74" s="387">
        <v>0</v>
      </c>
      <c r="M74" s="354">
        <f t="shared" si="2"/>
        <v>0</v>
      </c>
      <c r="N74" s="397" t="s">
        <v>279</v>
      </c>
    </row>
    <row r="75" spans="1:14" s="68" customFormat="1" x14ac:dyDescent="0.2">
      <c r="A75" s="588">
        <v>72</v>
      </c>
      <c r="B75" s="386" t="s">
        <v>246</v>
      </c>
      <c r="C75" s="386">
        <v>209</v>
      </c>
      <c r="D75" s="408">
        <v>121221</v>
      </c>
      <c r="E75" s="410" t="s">
        <v>422</v>
      </c>
      <c r="F75" s="400" t="s">
        <v>423</v>
      </c>
      <c r="G75" s="401" t="s">
        <v>61</v>
      </c>
      <c r="H75" s="399" t="s">
        <v>424</v>
      </c>
      <c r="I75" s="399">
        <v>0</v>
      </c>
      <c r="J75" s="399">
        <v>0</v>
      </c>
      <c r="K75" s="399">
        <v>0</v>
      </c>
      <c r="L75" s="399">
        <v>0</v>
      </c>
      <c r="M75" s="354">
        <f t="shared" si="2"/>
        <v>0</v>
      </c>
      <c r="N75" s="399" t="s">
        <v>279</v>
      </c>
    </row>
    <row r="76" spans="1:14" s="68" customFormat="1" x14ac:dyDescent="0.2">
      <c r="A76" s="589">
        <v>73</v>
      </c>
      <c r="B76" s="386" t="s">
        <v>246</v>
      </c>
      <c r="C76" s="386">
        <v>209</v>
      </c>
      <c r="D76" s="408">
        <v>193900</v>
      </c>
      <c r="E76" s="410" t="s">
        <v>114</v>
      </c>
      <c r="F76" s="400" t="s">
        <v>425</v>
      </c>
      <c r="G76" s="401" t="s">
        <v>61</v>
      </c>
      <c r="H76" s="411" t="s">
        <v>426</v>
      </c>
      <c r="I76" s="399">
        <v>0</v>
      </c>
      <c r="J76" s="399">
        <v>0</v>
      </c>
      <c r="K76" s="399">
        <v>0</v>
      </c>
      <c r="L76" s="399">
        <v>0</v>
      </c>
      <c r="M76" s="354">
        <f t="shared" si="2"/>
        <v>0</v>
      </c>
      <c r="N76" s="411" t="s">
        <v>279</v>
      </c>
    </row>
    <row r="77" spans="1:14" s="68" customFormat="1" x14ac:dyDescent="0.2">
      <c r="A77" s="588">
        <v>74</v>
      </c>
      <c r="B77" s="386" t="s">
        <v>246</v>
      </c>
      <c r="C77" s="386">
        <v>209</v>
      </c>
      <c r="D77" s="387">
        <v>123136</v>
      </c>
      <c r="E77" s="398" t="s">
        <v>427</v>
      </c>
      <c r="F77" s="400" t="s">
        <v>428</v>
      </c>
      <c r="G77" s="412" t="s">
        <v>61</v>
      </c>
      <c r="H77" s="413" t="s">
        <v>429</v>
      </c>
      <c r="I77" s="414">
        <v>0</v>
      </c>
      <c r="J77" s="414">
        <v>0</v>
      </c>
      <c r="K77" s="414">
        <v>0</v>
      </c>
      <c r="L77" s="414">
        <v>0</v>
      </c>
      <c r="M77" s="354">
        <f t="shared" si="2"/>
        <v>0</v>
      </c>
      <c r="N77" s="414" t="s">
        <v>279</v>
      </c>
    </row>
    <row r="78" spans="1:14" s="68" customFormat="1" x14ac:dyDescent="0.2">
      <c r="A78" s="589">
        <v>75</v>
      </c>
      <c r="B78" s="386" t="s">
        <v>246</v>
      </c>
      <c r="C78" s="386">
        <v>209</v>
      </c>
      <c r="D78" s="387">
        <v>75388</v>
      </c>
      <c r="E78" s="398" t="s">
        <v>59</v>
      </c>
      <c r="F78" s="400" t="s">
        <v>430</v>
      </c>
      <c r="G78" s="412" t="s">
        <v>61</v>
      </c>
      <c r="H78" s="415" t="s">
        <v>279</v>
      </c>
      <c r="I78" s="388"/>
      <c r="J78" s="388"/>
      <c r="K78" s="388"/>
      <c r="L78" s="388"/>
      <c r="M78" s="354">
        <f t="shared" si="2"/>
        <v>0</v>
      </c>
      <c r="N78" s="416" t="s">
        <v>279</v>
      </c>
    </row>
    <row r="79" spans="1:14" s="68" customFormat="1" x14ac:dyDescent="0.2">
      <c r="A79" s="588">
        <v>76</v>
      </c>
      <c r="B79" s="386" t="s">
        <v>246</v>
      </c>
      <c r="C79" s="386">
        <v>209</v>
      </c>
      <c r="D79" s="391">
        <v>152663</v>
      </c>
      <c r="E79" s="391" t="s">
        <v>431</v>
      </c>
      <c r="F79" s="393" t="s">
        <v>432</v>
      </c>
      <c r="G79" s="417" t="s">
        <v>122</v>
      </c>
      <c r="H79" s="415" t="s">
        <v>433</v>
      </c>
      <c r="I79" s="399">
        <v>0</v>
      </c>
      <c r="J79" s="399">
        <v>0</v>
      </c>
      <c r="K79" s="399">
        <v>0</v>
      </c>
      <c r="L79" s="399">
        <v>0</v>
      </c>
      <c r="M79" s="354">
        <f t="shared" si="2"/>
        <v>0</v>
      </c>
      <c r="N79" s="416" t="s">
        <v>279</v>
      </c>
    </row>
    <row r="80" spans="1:14" s="68" customFormat="1" x14ac:dyDescent="0.2">
      <c r="A80" s="589">
        <v>77</v>
      </c>
      <c r="B80" s="386" t="s">
        <v>246</v>
      </c>
      <c r="C80" s="386">
        <v>209</v>
      </c>
      <c r="D80" s="418">
        <v>152603</v>
      </c>
      <c r="E80" s="418" t="s">
        <v>434</v>
      </c>
      <c r="F80" s="418" t="s">
        <v>435</v>
      </c>
      <c r="G80" s="419" t="s">
        <v>122</v>
      </c>
      <c r="H80" s="415" t="s">
        <v>436</v>
      </c>
      <c r="I80" s="399">
        <v>0</v>
      </c>
      <c r="J80" s="399">
        <v>0</v>
      </c>
      <c r="K80" s="399">
        <v>0</v>
      </c>
      <c r="L80" s="399">
        <v>0</v>
      </c>
      <c r="M80" s="354">
        <f t="shared" si="2"/>
        <v>0</v>
      </c>
      <c r="N80" s="416" t="s">
        <v>279</v>
      </c>
    </row>
    <row r="81" spans="1:14" s="68" customFormat="1" x14ac:dyDescent="0.2">
      <c r="A81" s="588">
        <v>78</v>
      </c>
      <c r="B81" s="386" t="s">
        <v>246</v>
      </c>
      <c r="C81" s="386">
        <v>209</v>
      </c>
      <c r="D81" s="395">
        <v>194491</v>
      </c>
      <c r="E81" s="395" t="s">
        <v>437</v>
      </c>
      <c r="F81" s="395" t="s">
        <v>438</v>
      </c>
      <c r="G81" s="420" t="s">
        <v>122</v>
      </c>
      <c r="H81" s="415" t="s">
        <v>439</v>
      </c>
      <c r="I81" s="399">
        <v>0</v>
      </c>
      <c r="J81" s="399">
        <v>0</v>
      </c>
      <c r="K81" s="399">
        <v>0</v>
      </c>
      <c r="L81" s="399">
        <v>0</v>
      </c>
      <c r="M81" s="354">
        <f t="shared" si="2"/>
        <v>0</v>
      </c>
      <c r="N81" s="416" t="s">
        <v>279</v>
      </c>
    </row>
    <row r="82" spans="1:14" s="68" customFormat="1" x14ac:dyDescent="0.2">
      <c r="A82" s="589">
        <v>79</v>
      </c>
      <c r="B82" s="386" t="s">
        <v>246</v>
      </c>
      <c r="C82" s="386">
        <v>209</v>
      </c>
      <c r="D82" s="395">
        <v>162293</v>
      </c>
      <c r="E82" s="388" t="s">
        <v>250</v>
      </c>
      <c r="F82" s="388" t="s">
        <v>174</v>
      </c>
      <c r="G82" s="420" t="s">
        <v>152</v>
      </c>
      <c r="H82" s="415" t="s">
        <v>440</v>
      </c>
      <c r="I82" s="399">
        <v>0</v>
      </c>
      <c r="J82" s="399">
        <v>0</v>
      </c>
      <c r="K82" s="399">
        <v>0</v>
      </c>
      <c r="L82" s="399">
        <v>0</v>
      </c>
      <c r="M82" s="354">
        <f t="shared" si="2"/>
        <v>0</v>
      </c>
      <c r="N82" s="416" t="s">
        <v>279</v>
      </c>
    </row>
    <row r="83" spans="1:14" s="68" customFormat="1" x14ac:dyDescent="0.2">
      <c r="A83" s="588">
        <v>80</v>
      </c>
      <c r="B83" s="386" t="s">
        <v>246</v>
      </c>
      <c r="C83" s="386">
        <v>209</v>
      </c>
      <c r="D83" s="387">
        <v>77649</v>
      </c>
      <c r="E83" s="398" t="s">
        <v>441</v>
      </c>
      <c r="F83" s="398" t="s">
        <v>376</v>
      </c>
      <c r="G83" s="399" t="s">
        <v>152</v>
      </c>
      <c r="H83" s="399" t="s">
        <v>442</v>
      </c>
      <c r="I83" s="399">
        <v>0</v>
      </c>
      <c r="J83" s="399">
        <v>0</v>
      </c>
      <c r="K83" s="399">
        <v>0</v>
      </c>
      <c r="L83" s="399">
        <v>0</v>
      </c>
      <c r="M83" s="354">
        <f t="shared" si="2"/>
        <v>0</v>
      </c>
      <c r="N83" s="399" t="s">
        <v>279</v>
      </c>
    </row>
    <row r="84" spans="1:14" s="68" customFormat="1" x14ac:dyDescent="0.2">
      <c r="A84" s="589">
        <v>81</v>
      </c>
      <c r="B84" s="386" t="s">
        <v>246</v>
      </c>
      <c r="C84" s="386">
        <v>209</v>
      </c>
      <c r="D84" s="351">
        <v>211101</v>
      </c>
      <c r="E84" s="351" t="s">
        <v>265</v>
      </c>
      <c r="F84" s="351" t="s">
        <v>443</v>
      </c>
      <c r="G84" s="351">
        <v>61</v>
      </c>
      <c r="H84" s="351" t="s">
        <v>444</v>
      </c>
      <c r="I84" s="399">
        <v>0</v>
      </c>
      <c r="J84" s="399">
        <v>0</v>
      </c>
      <c r="K84" s="399">
        <v>0</v>
      </c>
      <c r="L84" s="399">
        <v>0</v>
      </c>
      <c r="M84" s="354">
        <f t="shared" si="2"/>
        <v>0</v>
      </c>
      <c r="N84" s="351" t="s">
        <v>279</v>
      </c>
    </row>
    <row r="85" spans="1:14" s="68" customFormat="1" x14ac:dyDescent="0.2">
      <c r="A85" s="588">
        <v>82</v>
      </c>
      <c r="B85" s="386" t="s">
        <v>246</v>
      </c>
      <c r="C85" s="386">
        <v>209</v>
      </c>
      <c r="D85" s="351">
        <v>211151</v>
      </c>
      <c r="E85" s="351" t="s">
        <v>445</v>
      </c>
      <c r="F85" s="351" t="s">
        <v>446</v>
      </c>
      <c r="G85" s="351">
        <v>61</v>
      </c>
      <c r="H85" s="351" t="s">
        <v>447</v>
      </c>
      <c r="I85" s="399">
        <v>0</v>
      </c>
      <c r="J85" s="399">
        <v>0</v>
      </c>
      <c r="K85" s="399">
        <v>0</v>
      </c>
      <c r="L85" s="399">
        <v>0</v>
      </c>
      <c r="M85" s="354">
        <f t="shared" si="2"/>
        <v>0</v>
      </c>
      <c r="N85" s="351" t="s">
        <v>279</v>
      </c>
    </row>
    <row r="86" spans="1:14" s="68" customFormat="1" x14ac:dyDescent="0.2">
      <c r="A86" s="589">
        <v>83</v>
      </c>
      <c r="B86" s="386" t="s">
        <v>246</v>
      </c>
      <c r="C86" s="386">
        <v>209</v>
      </c>
      <c r="D86" s="351">
        <v>211128</v>
      </c>
      <c r="E86" s="351" t="s">
        <v>448</v>
      </c>
      <c r="F86" s="351" t="s">
        <v>449</v>
      </c>
      <c r="G86" s="351">
        <v>61</v>
      </c>
      <c r="H86" s="351" t="s">
        <v>450</v>
      </c>
      <c r="I86" s="399">
        <v>0</v>
      </c>
      <c r="J86" s="399">
        <v>0</v>
      </c>
      <c r="K86" s="399">
        <v>0</v>
      </c>
      <c r="L86" s="399">
        <v>0</v>
      </c>
      <c r="M86" s="354">
        <f t="shared" si="2"/>
        <v>0</v>
      </c>
      <c r="N86" s="351" t="s">
        <v>279</v>
      </c>
    </row>
    <row r="87" spans="1:14" s="68" customFormat="1" x14ac:dyDescent="0.2">
      <c r="A87" s="588">
        <v>84</v>
      </c>
      <c r="B87" s="351" t="s">
        <v>246</v>
      </c>
      <c r="C87" s="351">
        <v>207</v>
      </c>
      <c r="D87" s="357">
        <v>168253</v>
      </c>
      <c r="E87" s="353" t="s">
        <v>451</v>
      </c>
      <c r="F87" s="353" t="s">
        <v>452</v>
      </c>
      <c r="G87" s="353">
        <v>17</v>
      </c>
      <c r="H87" s="353" t="s">
        <v>453</v>
      </c>
      <c r="I87" s="353">
        <v>0</v>
      </c>
      <c r="J87" s="353">
        <v>0</v>
      </c>
      <c r="K87" s="353">
        <v>0</v>
      </c>
      <c r="L87" s="353">
        <v>0</v>
      </c>
      <c r="M87" s="354">
        <f t="shared" si="2"/>
        <v>0</v>
      </c>
      <c r="N87" s="353" t="s">
        <v>279</v>
      </c>
    </row>
    <row r="88" spans="1:14" s="68" customFormat="1" x14ac:dyDescent="0.2">
      <c r="A88" s="589">
        <v>85</v>
      </c>
      <c r="B88" s="351" t="s">
        <v>246</v>
      </c>
      <c r="C88" s="351">
        <v>207</v>
      </c>
      <c r="D88" s="357">
        <v>193629</v>
      </c>
      <c r="E88" s="353" t="s">
        <v>454</v>
      </c>
      <c r="F88" s="353" t="s">
        <v>455</v>
      </c>
      <c r="G88" s="353">
        <v>17</v>
      </c>
      <c r="H88" s="353" t="s">
        <v>456</v>
      </c>
      <c r="I88" s="353">
        <v>0</v>
      </c>
      <c r="J88" s="353">
        <v>0</v>
      </c>
      <c r="K88" s="353">
        <v>0</v>
      </c>
      <c r="L88" s="353">
        <v>0</v>
      </c>
      <c r="M88" s="354">
        <f t="shared" si="2"/>
        <v>0</v>
      </c>
      <c r="N88" s="353" t="s">
        <v>279</v>
      </c>
    </row>
    <row r="89" spans="1:14" s="68" customFormat="1" x14ac:dyDescent="0.2">
      <c r="A89" s="588">
        <v>86</v>
      </c>
      <c r="B89" s="351" t="s">
        <v>246</v>
      </c>
      <c r="C89" s="351">
        <v>207</v>
      </c>
      <c r="D89" s="357">
        <v>172724</v>
      </c>
      <c r="E89" s="353" t="s">
        <v>457</v>
      </c>
      <c r="F89" s="353" t="s">
        <v>458</v>
      </c>
      <c r="G89" s="353">
        <v>17</v>
      </c>
      <c r="H89" s="353" t="s">
        <v>459</v>
      </c>
      <c r="I89" s="353">
        <v>0</v>
      </c>
      <c r="J89" s="353">
        <v>0</v>
      </c>
      <c r="K89" s="353">
        <v>0</v>
      </c>
      <c r="L89" s="353">
        <v>0</v>
      </c>
      <c r="M89" s="354">
        <f t="shared" si="2"/>
        <v>0</v>
      </c>
      <c r="N89" s="353" t="s">
        <v>279</v>
      </c>
    </row>
    <row r="90" spans="1:14" s="68" customFormat="1" x14ac:dyDescent="0.2">
      <c r="A90" s="589">
        <v>87</v>
      </c>
      <c r="B90" s="351" t="s">
        <v>246</v>
      </c>
      <c r="C90" s="351">
        <v>207</v>
      </c>
      <c r="D90" s="357">
        <v>202939</v>
      </c>
      <c r="E90" s="353" t="s">
        <v>168</v>
      </c>
      <c r="F90" s="353" t="s">
        <v>460</v>
      </c>
      <c r="G90" s="353">
        <v>37</v>
      </c>
      <c r="H90" s="353" t="s">
        <v>461</v>
      </c>
      <c r="I90" s="353">
        <v>0</v>
      </c>
      <c r="J90" s="353">
        <v>0</v>
      </c>
      <c r="K90" s="353">
        <v>0</v>
      </c>
      <c r="L90" s="353">
        <v>0</v>
      </c>
      <c r="M90" s="354">
        <f t="shared" si="2"/>
        <v>0</v>
      </c>
      <c r="N90" s="353" t="s">
        <v>279</v>
      </c>
    </row>
    <row r="91" spans="1:14" s="68" customFormat="1" x14ac:dyDescent="0.2">
      <c r="A91" s="588">
        <v>88</v>
      </c>
      <c r="B91" s="351" t="s">
        <v>246</v>
      </c>
      <c r="C91" s="351">
        <v>207</v>
      </c>
      <c r="D91" s="357">
        <v>202950</v>
      </c>
      <c r="E91" s="353" t="s">
        <v>462</v>
      </c>
      <c r="F91" s="353" t="s">
        <v>463</v>
      </c>
      <c r="G91" s="353">
        <v>37</v>
      </c>
      <c r="H91" s="353" t="s">
        <v>464</v>
      </c>
      <c r="I91" s="353">
        <v>0</v>
      </c>
      <c r="J91" s="353">
        <v>0</v>
      </c>
      <c r="K91" s="353">
        <v>0</v>
      </c>
      <c r="L91" s="353">
        <v>0</v>
      </c>
      <c r="M91" s="354">
        <f t="shared" si="2"/>
        <v>0</v>
      </c>
      <c r="N91" s="353" t="s">
        <v>279</v>
      </c>
    </row>
    <row r="92" spans="1:14" s="68" customFormat="1" x14ac:dyDescent="0.2">
      <c r="A92" s="589">
        <v>89</v>
      </c>
      <c r="B92" s="351" t="s">
        <v>246</v>
      </c>
      <c r="C92" s="351">
        <v>207</v>
      </c>
      <c r="D92" s="357">
        <v>202917</v>
      </c>
      <c r="E92" s="353" t="s">
        <v>361</v>
      </c>
      <c r="F92" s="353" t="s">
        <v>465</v>
      </c>
      <c r="G92" s="353">
        <v>37</v>
      </c>
      <c r="H92" s="353" t="s">
        <v>466</v>
      </c>
      <c r="I92" s="353">
        <v>0</v>
      </c>
      <c r="J92" s="353">
        <v>0</v>
      </c>
      <c r="K92" s="353">
        <v>0</v>
      </c>
      <c r="L92" s="353">
        <v>0</v>
      </c>
      <c r="M92" s="354">
        <f t="shared" si="2"/>
        <v>0</v>
      </c>
      <c r="N92" s="353" t="s">
        <v>279</v>
      </c>
    </row>
    <row r="93" spans="1:14" s="68" customFormat="1" x14ac:dyDescent="0.2">
      <c r="A93" s="588">
        <v>90</v>
      </c>
      <c r="B93" s="351" t="s">
        <v>246</v>
      </c>
      <c r="C93" s="351">
        <v>207</v>
      </c>
      <c r="D93" s="357">
        <v>202929</v>
      </c>
      <c r="E93" s="353" t="s">
        <v>467</v>
      </c>
      <c r="F93" s="353" t="s">
        <v>248</v>
      </c>
      <c r="G93" s="353">
        <v>37</v>
      </c>
      <c r="H93" s="353" t="s">
        <v>468</v>
      </c>
      <c r="I93" s="353">
        <v>0</v>
      </c>
      <c r="J93" s="353">
        <v>0</v>
      </c>
      <c r="K93" s="353">
        <v>0</v>
      </c>
      <c r="L93" s="353">
        <v>0</v>
      </c>
      <c r="M93" s="354">
        <f t="shared" si="2"/>
        <v>0</v>
      </c>
      <c r="N93" s="353" t="s">
        <v>279</v>
      </c>
    </row>
    <row r="94" spans="1:14" s="68" customFormat="1" x14ac:dyDescent="0.2">
      <c r="A94" s="589">
        <v>91</v>
      </c>
      <c r="B94" s="351" t="s">
        <v>246</v>
      </c>
      <c r="C94" s="351">
        <v>207</v>
      </c>
      <c r="D94" s="357">
        <v>154645</v>
      </c>
      <c r="E94" s="353" t="s">
        <v>179</v>
      </c>
      <c r="F94" s="353" t="s">
        <v>469</v>
      </c>
      <c r="G94" s="353">
        <v>50</v>
      </c>
      <c r="H94" s="353" t="s">
        <v>470</v>
      </c>
      <c r="I94" s="353">
        <v>0</v>
      </c>
      <c r="J94" s="353">
        <v>0</v>
      </c>
      <c r="K94" s="353">
        <v>0</v>
      </c>
      <c r="L94" s="353">
        <v>0</v>
      </c>
      <c r="M94" s="354">
        <f t="shared" si="2"/>
        <v>0</v>
      </c>
      <c r="N94" s="353" t="s">
        <v>279</v>
      </c>
    </row>
    <row r="95" spans="1:14" s="68" customFormat="1" x14ac:dyDescent="0.2">
      <c r="A95" s="588">
        <v>92</v>
      </c>
      <c r="B95" s="351" t="s">
        <v>246</v>
      </c>
      <c r="C95" s="351">
        <v>207</v>
      </c>
      <c r="D95" s="357">
        <v>143090</v>
      </c>
      <c r="E95" s="357" t="s">
        <v>471</v>
      </c>
      <c r="F95" s="357" t="s">
        <v>265</v>
      </c>
      <c r="G95" s="353">
        <v>50</v>
      </c>
      <c r="H95" s="353" t="s">
        <v>279</v>
      </c>
      <c r="I95" s="353"/>
      <c r="J95" s="353"/>
      <c r="K95" s="353"/>
      <c r="L95" s="353"/>
      <c r="M95" s="354">
        <f t="shared" si="2"/>
        <v>0</v>
      </c>
      <c r="N95" s="353" t="s">
        <v>279</v>
      </c>
    </row>
    <row r="96" spans="1:14" s="68" customFormat="1" x14ac:dyDescent="0.2">
      <c r="A96" s="589">
        <v>93</v>
      </c>
      <c r="B96" s="351" t="s">
        <v>246</v>
      </c>
      <c r="C96" s="351">
        <v>207</v>
      </c>
      <c r="D96" s="357">
        <v>154627</v>
      </c>
      <c r="E96" s="357" t="s">
        <v>472</v>
      </c>
      <c r="F96" s="357" t="s">
        <v>473</v>
      </c>
      <c r="G96" s="353">
        <v>50</v>
      </c>
      <c r="H96" s="353" t="s">
        <v>474</v>
      </c>
      <c r="I96" s="353">
        <v>0</v>
      </c>
      <c r="J96" s="353">
        <v>0</v>
      </c>
      <c r="K96" s="353">
        <v>0</v>
      </c>
      <c r="L96" s="353">
        <v>0</v>
      </c>
      <c r="M96" s="354">
        <f t="shared" si="2"/>
        <v>0</v>
      </c>
      <c r="N96" s="353" t="s">
        <v>279</v>
      </c>
    </row>
    <row r="97" spans="1:14" s="68" customFormat="1" x14ac:dyDescent="0.2">
      <c r="A97" s="588">
        <v>94</v>
      </c>
      <c r="B97" s="351" t="s">
        <v>246</v>
      </c>
      <c r="C97" s="351">
        <v>207</v>
      </c>
      <c r="D97" s="357">
        <v>154777</v>
      </c>
      <c r="E97" s="357" t="s">
        <v>346</v>
      </c>
      <c r="F97" s="360" t="s">
        <v>475</v>
      </c>
      <c r="G97" s="356">
        <v>50</v>
      </c>
      <c r="H97" s="353" t="s">
        <v>476</v>
      </c>
      <c r="I97" s="353">
        <v>0</v>
      </c>
      <c r="J97" s="353">
        <v>0</v>
      </c>
      <c r="K97" s="353">
        <v>0</v>
      </c>
      <c r="L97" s="353">
        <v>0</v>
      </c>
      <c r="M97" s="354">
        <f t="shared" si="2"/>
        <v>0</v>
      </c>
      <c r="N97" s="353" t="s">
        <v>279</v>
      </c>
    </row>
    <row r="98" spans="1:14" s="68" customFormat="1" x14ac:dyDescent="0.2">
      <c r="A98" s="589">
        <v>95</v>
      </c>
      <c r="B98" s="351" t="s">
        <v>246</v>
      </c>
      <c r="C98" s="351">
        <v>207</v>
      </c>
      <c r="D98" s="357">
        <v>190880</v>
      </c>
      <c r="E98" s="357" t="s">
        <v>270</v>
      </c>
      <c r="F98" s="360" t="s">
        <v>477</v>
      </c>
      <c r="G98" s="356" t="s">
        <v>48</v>
      </c>
      <c r="H98" s="353" t="s">
        <v>478</v>
      </c>
      <c r="I98" s="353">
        <v>0</v>
      </c>
      <c r="J98" s="353">
        <v>0</v>
      </c>
      <c r="K98" s="353">
        <v>0</v>
      </c>
      <c r="L98" s="353">
        <v>0</v>
      </c>
      <c r="M98" s="354">
        <f t="shared" si="2"/>
        <v>0</v>
      </c>
      <c r="N98" s="353" t="s">
        <v>279</v>
      </c>
    </row>
    <row r="99" spans="1:14" s="68" customFormat="1" x14ac:dyDescent="0.2">
      <c r="A99" s="588">
        <v>96</v>
      </c>
      <c r="B99" s="351" t="s">
        <v>246</v>
      </c>
      <c r="C99" s="351">
        <v>207</v>
      </c>
      <c r="D99" s="357">
        <v>121237</v>
      </c>
      <c r="E99" s="353" t="s">
        <v>479</v>
      </c>
      <c r="F99" s="358" t="s">
        <v>480</v>
      </c>
      <c r="G99" s="421" t="s">
        <v>61</v>
      </c>
      <c r="H99" s="362" t="s">
        <v>481</v>
      </c>
      <c r="I99" s="362">
        <v>0</v>
      </c>
      <c r="J99" s="362">
        <v>0</v>
      </c>
      <c r="K99" s="362">
        <v>0</v>
      </c>
      <c r="L99" s="362">
        <v>0</v>
      </c>
      <c r="M99" s="354">
        <f t="shared" si="2"/>
        <v>0</v>
      </c>
      <c r="N99" s="362" t="s">
        <v>279</v>
      </c>
    </row>
    <row r="100" spans="1:14" s="68" customFormat="1" x14ac:dyDescent="0.2">
      <c r="A100" s="589">
        <v>97</v>
      </c>
      <c r="B100" s="351" t="s">
        <v>246</v>
      </c>
      <c r="C100" s="351">
        <v>207</v>
      </c>
      <c r="D100" s="357">
        <v>48888</v>
      </c>
      <c r="E100" s="353" t="s">
        <v>482</v>
      </c>
      <c r="F100" s="358" t="s">
        <v>483</v>
      </c>
      <c r="G100" s="422" t="s">
        <v>61</v>
      </c>
      <c r="H100" s="363" t="s">
        <v>484</v>
      </c>
      <c r="I100" s="363">
        <v>0</v>
      </c>
      <c r="J100" s="363">
        <v>0</v>
      </c>
      <c r="K100" s="363">
        <v>0</v>
      </c>
      <c r="L100" s="363">
        <v>0</v>
      </c>
      <c r="M100" s="354">
        <f t="shared" ref="M100:M103" si="3">SUM(I100:L100)</f>
        <v>0</v>
      </c>
      <c r="N100" s="363" t="s">
        <v>279</v>
      </c>
    </row>
    <row r="101" spans="1:14" s="68" customFormat="1" x14ac:dyDescent="0.2">
      <c r="A101" s="588">
        <v>98</v>
      </c>
      <c r="B101" s="351" t="s">
        <v>246</v>
      </c>
      <c r="C101" s="351">
        <v>207</v>
      </c>
      <c r="D101" s="357">
        <v>36315</v>
      </c>
      <c r="E101" s="353" t="s">
        <v>485</v>
      </c>
      <c r="F101" s="358" t="s">
        <v>486</v>
      </c>
      <c r="G101" s="423" t="s">
        <v>61</v>
      </c>
      <c r="H101" s="424" t="s">
        <v>279</v>
      </c>
      <c r="I101" s="424"/>
      <c r="J101" s="424"/>
      <c r="K101" s="424"/>
      <c r="L101" s="424"/>
      <c r="M101" s="354">
        <f t="shared" si="3"/>
        <v>0</v>
      </c>
      <c r="N101" s="424" t="s">
        <v>279</v>
      </c>
    </row>
    <row r="102" spans="1:14" s="68" customFormat="1" x14ac:dyDescent="0.2">
      <c r="A102" s="589">
        <v>99</v>
      </c>
      <c r="B102" s="351" t="s">
        <v>246</v>
      </c>
      <c r="C102" s="351">
        <v>207</v>
      </c>
      <c r="D102" s="357">
        <v>193888</v>
      </c>
      <c r="E102" s="353" t="s">
        <v>487</v>
      </c>
      <c r="F102" s="358" t="s">
        <v>488</v>
      </c>
      <c r="G102" s="421" t="s">
        <v>61</v>
      </c>
      <c r="H102" s="362" t="s">
        <v>489</v>
      </c>
      <c r="I102" s="362">
        <v>0</v>
      </c>
      <c r="J102" s="362">
        <v>0</v>
      </c>
      <c r="K102" s="362">
        <v>0</v>
      </c>
      <c r="L102" s="362">
        <v>0</v>
      </c>
      <c r="M102" s="354">
        <f t="shared" si="3"/>
        <v>0</v>
      </c>
      <c r="N102" s="362" t="s">
        <v>279</v>
      </c>
    </row>
    <row r="103" spans="1:14" s="68" customFormat="1" x14ac:dyDescent="0.2">
      <c r="A103" s="588">
        <v>100</v>
      </c>
      <c r="B103" s="351" t="s">
        <v>246</v>
      </c>
      <c r="C103" s="351">
        <v>207</v>
      </c>
      <c r="D103" s="357">
        <v>189443</v>
      </c>
      <c r="E103" s="353" t="s">
        <v>490</v>
      </c>
      <c r="F103" s="358" t="s">
        <v>491</v>
      </c>
      <c r="G103" s="421" t="s">
        <v>152</v>
      </c>
      <c r="H103" s="362" t="s">
        <v>492</v>
      </c>
      <c r="I103" s="362">
        <v>0</v>
      </c>
      <c r="J103" s="362">
        <v>0</v>
      </c>
      <c r="K103" s="362">
        <v>0</v>
      </c>
      <c r="L103" s="362">
        <v>0</v>
      </c>
      <c r="M103" s="354">
        <f t="shared" si="3"/>
        <v>0</v>
      </c>
      <c r="N103" s="362" t="s">
        <v>279</v>
      </c>
    </row>
  </sheetData>
  <sortState xmlns:xlrd2="http://schemas.microsoft.com/office/spreadsheetml/2017/richdata2" ref="A4:N103">
    <sortCondition descending="1" ref="M4:M103"/>
  </sortState>
  <mergeCells count="1">
    <mergeCell ref="A1:N2"/>
  </mergeCells>
  <pageMargins left="0.7" right="0.7" top="0.75" bottom="0.75" header="0.3" footer="0.3"/>
  <pageSetup paperSize="9" scale="8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B8AD-F5E3-4917-BFA2-08D08CA8AD4C}">
  <dimension ref="A1:CC69"/>
  <sheetViews>
    <sheetView zoomScale="83" zoomScaleNormal="100" workbookViewId="0">
      <pane ySplit="3" topLeftCell="A4" activePane="bottomLeft" state="frozen"/>
      <selection pane="bottomLeft" activeCell="A3" sqref="A1:A1048576"/>
    </sheetView>
  </sheetViews>
  <sheetFormatPr baseColWidth="10" defaultColWidth="8.83203125" defaultRowHeight="15" x14ac:dyDescent="0.2"/>
  <cols>
    <col min="1" max="1" width="4.5" style="597" customWidth="1"/>
    <col min="2" max="2" width="10.83203125" style="73" customWidth="1"/>
    <col min="3" max="3" width="9.1640625" style="73" customWidth="1"/>
    <col min="4" max="4" width="14.6640625" style="72" customWidth="1"/>
    <col min="5" max="5" width="19.5" customWidth="1"/>
    <col min="6" max="6" width="20.6640625" customWidth="1"/>
    <col min="7" max="7" width="19" style="73" customWidth="1"/>
    <col min="8" max="8" width="14.33203125" style="72" hidden="1" customWidth="1"/>
    <col min="9" max="9" width="13.6640625" style="72" hidden="1" customWidth="1"/>
    <col min="10" max="16" width="9.1640625" style="72" customWidth="1"/>
    <col min="17" max="17" width="18.83203125" customWidth="1"/>
    <col min="18" max="81" width="9.1640625" style="68" customWidth="1"/>
    <col min="82" max="16367" width="9.1640625" customWidth="1"/>
  </cols>
  <sheetData>
    <row r="1" spans="1:81" ht="14.5" customHeight="1" x14ac:dyDescent="0.2">
      <c r="A1" s="630" t="s">
        <v>875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</row>
    <row r="2" spans="1:81" ht="31.25" customHeight="1" x14ac:dyDescent="0.2">
      <c r="A2" s="631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81" s="244" customFormat="1" ht="31.5" customHeight="1" x14ac:dyDescent="0.2">
      <c r="A3" s="245" t="s">
        <v>0</v>
      </c>
      <c r="B3" s="245" t="s">
        <v>1</v>
      </c>
      <c r="C3" s="245" t="s">
        <v>2</v>
      </c>
      <c r="D3" s="245" t="s">
        <v>3</v>
      </c>
      <c r="E3" s="245" t="s">
        <v>4</v>
      </c>
      <c r="F3" s="245" t="s">
        <v>5</v>
      </c>
      <c r="G3" s="245" t="s">
        <v>6</v>
      </c>
      <c r="H3" s="245" t="s">
        <v>493</v>
      </c>
      <c r="I3" s="245" t="s">
        <v>494</v>
      </c>
      <c r="J3" s="245" t="s">
        <v>8</v>
      </c>
      <c r="K3" s="245" t="s">
        <v>9</v>
      </c>
      <c r="L3" s="245" t="s">
        <v>10</v>
      </c>
      <c r="M3" s="245" t="s">
        <v>11</v>
      </c>
      <c r="N3" s="245" t="s">
        <v>495</v>
      </c>
      <c r="O3" s="245" t="s">
        <v>496</v>
      </c>
      <c r="P3" s="245" t="s">
        <v>497</v>
      </c>
      <c r="Q3" s="245" t="s">
        <v>498</v>
      </c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</row>
    <row r="4" spans="1:81" s="208" customFormat="1" ht="18" customHeight="1" x14ac:dyDescent="0.2">
      <c r="A4" s="603">
        <v>1</v>
      </c>
      <c r="B4" s="246" t="s">
        <v>499</v>
      </c>
      <c r="C4" s="246">
        <v>307</v>
      </c>
      <c r="D4" s="247">
        <v>181832</v>
      </c>
      <c r="E4" s="248" t="s">
        <v>500</v>
      </c>
      <c r="F4" s="248" t="s">
        <v>183</v>
      </c>
      <c r="G4" s="249" t="s">
        <v>61</v>
      </c>
      <c r="H4" s="250" t="s">
        <v>501</v>
      </c>
      <c r="I4" s="250" t="s">
        <v>502</v>
      </c>
      <c r="J4" s="250">
        <v>6</v>
      </c>
      <c r="K4" s="250">
        <v>4</v>
      </c>
      <c r="L4" s="250">
        <v>0</v>
      </c>
      <c r="M4" s="250">
        <v>7</v>
      </c>
      <c r="N4" s="250">
        <v>0</v>
      </c>
      <c r="O4" s="250">
        <v>0</v>
      </c>
      <c r="P4" s="251">
        <f t="shared" ref="P4:P35" si="0">SUM(J4:O4)</f>
        <v>17</v>
      </c>
      <c r="Q4" s="471" t="s">
        <v>19</v>
      </c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560"/>
      <c r="AL4" s="560"/>
      <c r="AM4" s="560"/>
      <c r="AN4" s="560"/>
      <c r="AO4" s="560"/>
      <c r="AP4" s="560"/>
      <c r="AQ4" s="560"/>
      <c r="AR4" s="560"/>
      <c r="AS4" s="560"/>
      <c r="AT4" s="560"/>
      <c r="AU4" s="560"/>
      <c r="AV4" s="560"/>
      <c r="AW4" s="560"/>
      <c r="AX4" s="560"/>
      <c r="AY4" s="560"/>
      <c r="AZ4" s="560"/>
      <c r="BA4" s="560"/>
      <c r="BB4" s="560"/>
      <c r="BC4" s="560"/>
      <c r="BD4" s="560"/>
      <c r="BE4" s="560"/>
      <c r="BF4" s="560"/>
      <c r="BG4" s="560"/>
      <c r="BH4" s="560"/>
      <c r="BI4" s="560"/>
      <c r="BJ4" s="560"/>
      <c r="BK4" s="560"/>
      <c r="BL4" s="560"/>
      <c r="BM4" s="560"/>
      <c r="BN4" s="560"/>
      <c r="BO4" s="560"/>
      <c r="BP4" s="560"/>
      <c r="BQ4" s="560"/>
      <c r="BR4" s="560"/>
      <c r="BS4" s="560"/>
      <c r="BT4" s="560"/>
      <c r="BU4" s="560"/>
      <c r="BV4" s="560"/>
      <c r="BW4" s="560"/>
      <c r="BX4" s="560"/>
      <c r="BY4" s="560"/>
      <c r="BZ4" s="560"/>
      <c r="CA4" s="560"/>
      <c r="CB4" s="560"/>
      <c r="CC4" s="560"/>
    </row>
    <row r="5" spans="1:81" s="214" customFormat="1" ht="17.25" customHeight="1" x14ac:dyDescent="0.2">
      <c r="A5" s="604">
        <v>2</v>
      </c>
      <c r="B5" s="487" t="s">
        <v>499</v>
      </c>
      <c r="C5" s="487">
        <v>306</v>
      </c>
      <c r="D5" s="488">
        <v>23240</v>
      </c>
      <c r="E5" s="489" t="s">
        <v>503</v>
      </c>
      <c r="F5" s="489" t="s">
        <v>504</v>
      </c>
      <c r="G5" s="491" t="s">
        <v>844</v>
      </c>
      <c r="H5" s="490" t="s">
        <v>505</v>
      </c>
      <c r="I5" s="490" t="s">
        <v>506</v>
      </c>
      <c r="J5" s="490">
        <v>7</v>
      </c>
      <c r="K5" s="490">
        <v>7</v>
      </c>
      <c r="L5" s="490">
        <v>0</v>
      </c>
      <c r="M5" s="490">
        <v>2</v>
      </c>
      <c r="N5" s="490">
        <v>0</v>
      </c>
      <c r="O5" s="490">
        <v>0</v>
      </c>
      <c r="P5" s="213">
        <f t="shared" si="0"/>
        <v>16</v>
      </c>
      <c r="Q5" s="472" t="s">
        <v>24</v>
      </c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561"/>
      <c r="AL5" s="561"/>
      <c r="AM5" s="561"/>
      <c r="AN5" s="561"/>
      <c r="AO5" s="561"/>
      <c r="AP5" s="561"/>
      <c r="AQ5" s="561"/>
      <c r="AR5" s="561"/>
      <c r="AS5" s="561"/>
      <c r="AT5" s="561"/>
      <c r="AU5" s="561"/>
      <c r="AV5" s="561"/>
      <c r="AW5" s="561"/>
      <c r="AX5" s="561"/>
      <c r="AY5" s="561"/>
      <c r="AZ5" s="561"/>
      <c r="BA5" s="561"/>
      <c r="BB5" s="561"/>
      <c r="BC5" s="561"/>
      <c r="BD5" s="561"/>
      <c r="BE5" s="561"/>
      <c r="BF5" s="561"/>
      <c r="BG5" s="561"/>
      <c r="BH5" s="561"/>
      <c r="BI5" s="561"/>
      <c r="BJ5" s="561"/>
      <c r="BK5" s="561"/>
      <c r="BL5" s="561"/>
      <c r="BM5" s="561"/>
      <c r="BN5" s="561"/>
      <c r="BO5" s="561"/>
      <c r="BP5" s="561"/>
      <c r="BQ5" s="561"/>
      <c r="BR5" s="561"/>
      <c r="BS5" s="561"/>
      <c r="BT5" s="561"/>
      <c r="BU5" s="561"/>
      <c r="BV5" s="561"/>
      <c r="BW5" s="561"/>
      <c r="BX5" s="561"/>
      <c r="BY5" s="561"/>
      <c r="BZ5" s="561"/>
      <c r="CA5" s="561"/>
      <c r="CB5" s="561"/>
      <c r="CC5" s="561"/>
    </row>
    <row r="6" spans="1:81" s="214" customFormat="1" ht="16" x14ac:dyDescent="0.2">
      <c r="A6" s="604">
        <v>3</v>
      </c>
      <c r="B6" s="202" t="s">
        <v>499</v>
      </c>
      <c r="C6" s="202">
        <v>307</v>
      </c>
      <c r="D6" s="209">
        <v>143396</v>
      </c>
      <c r="E6" s="426" t="s">
        <v>874</v>
      </c>
      <c r="F6" s="210" t="s">
        <v>507</v>
      </c>
      <c r="G6" s="211">
        <v>5</v>
      </c>
      <c r="H6" s="212" t="s">
        <v>508</v>
      </c>
      <c r="I6" s="212" t="s">
        <v>509</v>
      </c>
      <c r="J6" s="212">
        <v>7</v>
      </c>
      <c r="K6" s="212">
        <v>2</v>
      </c>
      <c r="L6" s="212">
        <v>0</v>
      </c>
      <c r="M6" s="212">
        <v>6</v>
      </c>
      <c r="N6" s="212">
        <v>0</v>
      </c>
      <c r="O6" s="212">
        <v>0</v>
      </c>
      <c r="P6" s="213">
        <f t="shared" si="0"/>
        <v>15</v>
      </c>
      <c r="Q6" s="472" t="s">
        <v>24</v>
      </c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561"/>
      <c r="AL6" s="561"/>
      <c r="AM6" s="561"/>
      <c r="AN6" s="561"/>
      <c r="AO6" s="561"/>
      <c r="AP6" s="561"/>
      <c r="AQ6" s="561"/>
      <c r="AR6" s="561"/>
      <c r="AS6" s="561"/>
      <c r="AT6" s="561"/>
      <c r="AU6" s="561"/>
      <c r="AV6" s="561"/>
      <c r="AW6" s="561"/>
      <c r="AX6" s="561"/>
      <c r="AY6" s="561"/>
      <c r="AZ6" s="561"/>
      <c r="BA6" s="561"/>
      <c r="BB6" s="561"/>
      <c r="BC6" s="561"/>
      <c r="BD6" s="561"/>
      <c r="BE6" s="561"/>
      <c r="BF6" s="561"/>
      <c r="BG6" s="561"/>
      <c r="BH6" s="561"/>
      <c r="BI6" s="561"/>
      <c r="BJ6" s="561"/>
      <c r="BK6" s="561"/>
      <c r="BL6" s="561"/>
      <c r="BM6" s="561"/>
      <c r="BN6" s="561"/>
      <c r="BO6" s="561"/>
      <c r="BP6" s="561"/>
      <c r="BQ6" s="561"/>
      <c r="BR6" s="561"/>
      <c r="BS6" s="561"/>
      <c r="BT6" s="561"/>
      <c r="BU6" s="561"/>
      <c r="BV6" s="561"/>
      <c r="BW6" s="561"/>
      <c r="BX6" s="561"/>
      <c r="BY6" s="561"/>
      <c r="BZ6" s="561"/>
      <c r="CA6" s="561"/>
      <c r="CB6" s="561"/>
      <c r="CC6" s="561"/>
    </row>
    <row r="7" spans="1:81" s="214" customFormat="1" ht="16" x14ac:dyDescent="0.2">
      <c r="A7" s="605">
        <v>4</v>
      </c>
      <c r="B7" s="202" t="s">
        <v>499</v>
      </c>
      <c r="C7" s="202">
        <v>301</v>
      </c>
      <c r="D7" s="215">
        <v>38254</v>
      </c>
      <c r="E7" s="216" t="s">
        <v>510</v>
      </c>
      <c r="F7" s="216" t="s">
        <v>100</v>
      </c>
      <c r="G7" s="217" t="s">
        <v>61</v>
      </c>
      <c r="H7" s="218" t="s">
        <v>511</v>
      </c>
      <c r="I7" s="218" t="s">
        <v>511</v>
      </c>
      <c r="J7" s="218">
        <v>7</v>
      </c>
      <c r="K7" s="218">
        <v>3</v>
      </c>
      <c r="L7" s="218">
        <v>1</v>
      </c>
      <c r="M7" s="218">
        <v>1</v>
      </c>
      <c r="N7" s="218">
        <v>0</v>
      </c>
      <c r="O7" s="218">
        <v>0</v>
      </c>
      <c r="P7" s="213">
        <f t="shared" si="0"/>
        <v>12</v>
      </c>
      <c r="Q7" s="472" t="s">
        <v>24</v>
      </c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561"/>
      <c r="AL7" s="561"/>
      <c r="AM7" s="561"/>
      <c r="AN7" s="561"/>
      <c r="AO7" s="561"/>
      <c r="AP7" s="561"/>
      <c r="AQ7" s="561"/>
      <c r="AR7" s="561"/>
      <c r="AS7" s="561"/>
      <c r="AT7" s="561"/>
      <c r="AU7" s="561"/>
      <c r="AV7" s="561"/>
      <c r="AW7" s="561"/>
      <c r="AX7" s="561"/>
      <c r="AY7" s="561"/>
      <c r="AZ7" s="561"/>
      <c r="BA7" s="561"/>
      <c r="BB7" s="561"/>
      <c r="BC7" s="561"/>
      <c r="BD7" s="561"/>
      <c r="BE7" s="561"/>
      <c r="BF7" s="561"/>
      <c r="BG7" s="561"/>
      <c r="BH7" s="561"/>
      <c r="BI7" s="561"/>
      <c r="BJ7" s="561"/>
      <c r="BK7" s="561"/>
      <c r="BL7" s="561"/>
      <c r="BM7" s="561"/>
      <c r="BN7" s="561"/>
      <c r="BO7" s="561"/>
      <c r="BP7" s="561"/>
      <c r="BQ7" s="561"/>
      <c r="BR7" s="561"/>
      <c r="BS7" s="561"/>
      <c r="BT7" s="561"/>
      <c r="BU7" s="561"/>
      <c r="BV7" s="561"/>
      <c r="BW7" s="561"/>
      <c r="BX7" s="561"/>
      <c r="BY7" s="561"/>
      <c r="BZ7" s="561"/>
      <c r="CA7" s="561"/>
      <c r="CB7" s="561"/>
      <c r="CC7" s="561"/>
    </row>
    <row r="8" spans="1:81" s="214" customFormat="1" ht="16" x14ac:dyDescent="0.2">
      <c r="A8" s="604">
        <v>5</v>
      </c>
      <c r="B8" s="202" t="s">
        <v>499</v>
      </c>
      <c r="C8" s="202">
        <v>303</v>
      </c>
      <c r="D8" s="219">
        <v>55138</v>
      </c>
      <c r="E8" s="210" t="s">
        <v>512</v>
      </c>
      <c r="F8" s="426" t="s">
        <v>513</v>
      </c>
      <c r="G8" s="220" t="s">
        <v>61</v>
      </c>
      <c r="H8" s="221" t="s">
        <v>514</v>
      </c>
      <c r="I8" s="221" t="s">
        <v>515</v>
      </c>
      <c r="J8" s="221">
        <v>7</v>
      </c>
      <c r="K8" s="221">
        <v>3</v>
      </c>
      <c r="L8" s="221">
        <v>0</v>
      </c>
      <c r="M8" s="221">
        <v>2</v>
      </c>
      <c r="N8" s="221">
        <v>0</v>
      </c>
      <c r="O8" s="221">
        <v>0</v>
      </c>
      <c r="P8" s="213">
        <f t="shared" si="0"/>
        <v>12</v>
      </c>
      <c r="Q8" s="472" t="s">
        <v>24</v>
      </c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561"/>
      <c r="AL8" s="561"/>
      <c r="AM8" s="561"/>
      <c r="AN8" s="561"/>
      <c r="AO8" s="561"/>
      <c r="AP8" s="561"/>
      <c r="AQ8" s="561"/>
      <c r="AR8" s="561"/>
      <c r="AS8" s="561"/>
      <c r="AT8" s="561"/>
      <c r="AU8" s="561"/>
      <c r="AV8" s="561"/>
      <c r="AW8" s="561"/>
      <c r="AX8" s="561"/>
      <c r="AY8" s="561"/>
      <c r="AZ8" s="561"/>
      <c r="BA8" s="561"/>
      <c r="BB8" s="561"/>
      <c r="BC8" s="561"/>
      <c r="BD8" s="561"/>
      <c r="BE8" s="561"/>
      <c r="BF8" s="561"/>
      <c r="BG8" s="561"/>
      <c r="BH8" s="561"/>
      <c r="BI8" s="561"/>
      <c r="BJ8" s="561"/>
      <c r="BK8" s="561"/>
      <c r="BL8" s="561"/>
      <c r="BM8" s="561"/>
      <c r="BN8" s="561"/>
      <c r="BO8" s="561"/>
      <c r="BP8" s="561"/>
      <c r="BQ8" s="561"/>
      <c r="BR8" s="561"/>
      <c r="BS8" s="561"/>
      <c r="BT8" s="561"/>
      <c r="BU8" s="561"/>
      <c r="BV8" s="561"/>
      <c r="BW8" s="561"/>
      <c r="BX8" s="561"/>
      <c r="BY8" s="561"/>
      <c r="BZ8" s="561"/>
      <c r="CA8" s="561"/>
      <c r="CB8" s="561"/>
      <c r="CC8" s="561"/>
    </row>
    <row r="9" spans="1:81" s="214" customFormat="1" ht="17" x14ac:dyDescent="0.2">
      <c r="A9" s="604">
        <v>6</v>
      </c>
      <c r="B9" s="202" t="s">
        <v>499</v>
      </c>
      <c r="C9" s="202">
        <v>306</v>
      </c>
      <c r="D9" s="222">
        <v>54100</v>
      </c>
      <c r="E9" s="223" t="s">
        <v>50</v>
      </c>
      <c r="F9" s="223" t="s">
        <v>516</v>
      </c>
      <c r="G9" s="491" t="s">
        <v>844</v>
      </c>
      <c r="H9" s="218" t="s">
        <v>517</v>
      </c>
      <c r="I9" s="218" t="s">
        <v>518</v>
      </c>
      <c r="J9" s="218">
        <v>7</v>
      </c>
      <c r="K9" s="218">
        <v>4</v>
      </c>
      <c r="L9" s="218">
        <v>0</v>
      </c>
      <c r="M9" s="218">
        <v>1</v>
      </c>
      <c r="N9" s="218">
        <v>0</v>
      </c>
      <c r="O9" s="218">
        <v>0</v>
      </c>
      <c r="P9" s="213">
        <f t="shared" si="0"/>
        <v>12</v>
      </c>
      <c r="Q9" s="472" t="s">
        <v>24</v>
      </c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561"/>
      <c r="AL9" s="561"/>
      <c r="AM9" s="561"/>
      <c r="AN9" s="561"/>
      <c r="AO9" s="561"/>
      <c r="AP9" s="561"/>
      <c r="AQ9" s="561"/>
      <c r="AR9" s="561"/>
      <c r="AS9" s="561"/>
      <c r="AT9" s="561"/>
      <c r="AU9" s="561"/>
      <c r="AV9" s="561"/>
      <c r="AW9" s="561"/>
      <c r="AX9" s="561"/>
      <c r="AY9" s="561"/>
      <c r="AZ9" s="561"/>
      <c r="BA9" s="561"/>
      <c r="BB9" s="561"/>
      <c r="BC9" s="561"/>
      <c r="BD9" s="561"/>
      <c r="BE9" s="561"/>
      <c r="BF9" s="561"/>
      <c r="BG9" s="561"/>
      <c r="BH9" s="561"/>
      <c r="BI9" s="561"/>
      <c r="BJ9" s="561"/>
      <c r="BK9" s="561"/>
      <c r="BL9" s="561"/>
      <c r="BM9" s="561"/>
      <c r="BN9" s="561"/>
      <c r="BO9" s="561"/>
      <c r="BP9" s="561"/>
      <c r="BQ9" s="561"/>
      <c r="BR9" s="561"/>
      <c r="BS9" s="561"/>
      <c r="BT9" s="561"/>
      <c r="BU9" s="561"/>
      <c r="BV9" s="561"/>
      <c r="BW9" s="561"/>
      <c r="BX9" s="561"/>
      <c r="BY9" s="561"/>
      <c r="BZ9" s="561"/>
      <c r="CA9" s="561"/>
      <c r="CB9" s="561"/>
      <c r="CC9" s="561"/>
    </row>
    <row r="10" spans="1:81" s="214" customFormat="1" ht="16" x14ac:dyDescent="0.2">
      <c r="A10" s="605">
        <v>7</v>
      </c>
      <c r="B10" s="202" t="s">
        <v>499</v>
      </c>
      <c r="C10" s="202">
        <v>402</v>
      </c>
      <c r="D10" s="215">
        <v>35861</v>
      </c>
      <c r="E10" s="216" t="s">
        <v>519</v>
      </c>
      <c r="F10" s="216" t="s">
        <v>106</v>
      </c>
      <c r="G10" s="203" t="s">
        <v>61</v>
      </c>
      <c r="H10" s="224" t="s">
        <v>520</v>
      </c>
      <c r="I10" s="224" t="s">
        <v>520</v>
      </c>
      <c r="J10" s="224">
        <v>7</v>
      </c>
      <c r="K10" s="224">
        <v>4</v>
      </c>
      <c r="L10" s="224">
        <v>0</v>
      </c>
      <c r="M10" s="224">
        <v>1</v>
      </c>
      <c r="N10" s="224">
        <v>0</v>
      </c>
      <c r="O10" s="224">
        <v>0</v>
      </c>
      <c r="P10" s="213">
        <f t="shared" si="0"/>
        <v>12</v>
      </c>
      <c r="Q10" s="472" t="s">
        <v>24</v>
      </c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561"/>
      <c r="AL10" s="561"/>
      <c r="AM10" s="561"/>
      <c r="AN10" s="561"/>
      <c r="AO10" s="561"/>
      <c r="AP10" s="561"/>
      <c r="AQ10" s="561"/>
      <c r="AR10" s="561"/>
      <c r="AS10" s="561"/>
      <c r="AT10" s="561"/>
      <c r="AU10" s="561"/>
      <c r="AV10" s="561"/>
      <c r="AW10" s="561"/>
      <c r="AX10" s="561"/>
      <c r="AY10" s="561"/>
      <c r="AZ10" s="561"/>
      <c r="BA10" s="561"/>
      <c r="BB10" s="561"/>
      <c r="BC10" s="561"/>
      <c r="BD10" s="561"/>
      <c r="BE10" s="561"/>
      <c r="BF10" s="561"/>
      <c r="BG10" s="561"/>
      <c r="BH10" s="561"/>
      <c r="BI10" s="561"/>
      <c r="BJ10" s="561"/>
      <c r="BK10" s="561"/>
      <c r="BL10" s="561"/>
      <c r="BM10" s="561"/>
      <c r="BN10" s="561"/>
      <c r="BO10" s="561"/>
      <c r="BP10" s="561"/>
      <c r="BQ10" s="561"/>
      <c r="BR10" s="561"/>
      <c r="BS10" s="561"/>
      <c r="BT10" s="561"/>
      <c r="BU10" s="561"/>
      <c r="BV10" s="561"/>
      <c r="BW10" s="561"/>
      <c r="BX10" s="561"/>
      <c r="BY10" s="561"/>
      <c r="BZ10" s="561"/>
      <c r="CA10" s="561"/>
      <c r="CB10" s="561"/>
      <c r="CC10" s="561"/>
    </row>
    <row r="11" spans="1:81" s="214" customFormat="1" ht="16" x14ac:dyDescent="0.2">
      <c r="A11" s="604">
        <v>8</v>
      </c>
      <c r="B11" s="202" t="s">
        <v>499</v>
      </c>
      <c r="C11" s="202">
        <v>402</v>
      </c>
      <c r="D11" s="215">
        <v>68773</v>
      </c>
      <c r="E11" s="216" t="s">
        <v>521</v>
      </c>
      <c r="F11" s="216" t="s">
        <v>248</v>
      </c>
      <c r="G11" s="203" t="s">
        <v>61</v>
      </c>
      <c r="H11" s="224" t="s">
        <v>522</v>
      </c>
      <c r="I11" s="224" t="s">
        <v>523</v>
      </c>
      <c r="J11" s="224">
        <v>7</v>
      </c>
      <c r="K11" s="224">
        <v>4</v>
      </c>
      <c r="L11" s="224">
        <v>0</v>
      </c>
      <c r="M11" s="224">
        <v>1</v>
      </c>
      <c r="N11" s="224">
        <v>0</v>
      </c>
      <c r="O11" s="224">
        <v>0</v>
      </c>
      <c r="P11" s="213">
        <f t="shared" si="0"/>
        <v>12</v>
      </c>
      <c r="Q11" s="472" t="s">
        <v>24</v>
      </c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561"/>
      <c r="AL11" s="561"/>
      <c r="AM11" s="561"/>
      <c r="AN11" s="561"/>
      <c r="AO11" s="561"/>
      <c r="AP11" s="561"/>
      <c r="AQ11" s="561"/>
      <c r="AR11" s="561"/>
      <c r="AS11" s="561"/>
      <c r="AT11" s="561"/>
      <c r="AU11" s="561"/>
      <c r="AV11" s="561"/>
      <c r="AW11" s="561"/>
      <c r="AX11" s="561"/>
      <c r="AY11" s="561"/>
      <c r="AZ11" s="561"/>
      <c r="BA11" s="561"/>
      <c r="BB11" s="561"/>
      <c r="BC11" s="561"/>
      <c r="BD11" s="561"/>
      <c r="BE11" s="561"/>
      <c r="BF11" s="561"/>
      <c r="BG11" s="561"/>
      <c r="BH11" s="561"/>
      <c r="BI11" s="561"/>
      <c r="BJ11" s="561"/>
      <c r="BK11" s="561"/>
      <c r="BL11" s="561"/>
      <c r="BM11" s="561"/>
      <c r="BN11" s="561"/>
      <c r="BO11" s="561"/>
      <c r="BP11" s="561"/>
      <c r="BQ11" s="561"/>
      <c r="BR11" s="561"/>
      <c r="BS11" s="561"/>
      <c r="BT11" s="561"/>
      <c r="BU11" s="561"/>
      <c r="BV11" s="561"/>
      <c r="BW11" s="561"/>
      <c r="BX11" s="561"/>
      <c r="BY11" s="561"/>
      <c r="BZ11" s="561"/>
      <c r="CA11" s="561"/>
      <c r="CB11" s="561"/>
      <c r="CC11" s="561"/>
    </row>
    <row r="12" spans="1:81" s="230" customFormat="1" ht="16" x14ac:dyDescent="0.2">
      <c r="A12" s="606">
        <v>9</v>
      </c>
      <c r="B12" s="205" t="s">
        <v>499</v>
      </c>
      <c r="C12" s="205">
        <v>307</v>
      </c>
      <c r="D12" s="225">
        <v>37516</v>
      </c>
      <c r="E12" s="226" t="s">
        <v>524</v>
      </c>
      <c r="F12" s="226" t="s">
        <v>525</v>
      </c>
      <c r="G12" s="227" t="s">
        <v>61</v>
      </c>
      <c r="H12" s="228" t="s">
        <v>526</v>
      </c>
      <c r="I12" s="228" t="s">
        <v>527</v>
      </c>
      <c r="J12" s="228">
        <v>7</v>
      </c>
      <c r="K12" s="228">
        <v>4</v>
      </c>
      <c r="L12" s="228">
        <v>0</v>
      </c>
      <c r="M12" s="228">
        <v>0</v>
      </c>
      <c r="N12" s="228">
        <v>0</v>
      </c>
      <c r="O12" s="228">
        <v>0</v>
      </c>
      <c r="P12" s="229">
        <f t="shared" si="0"/>
        <v>11</v>
      </c>
      <c r="Q12" s="473" t="s">
        <v>35</v>
      </c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561"/>
      <c r="AL12" s="561"/>
      <c r="AM12" s="561"/>
      <c r="AN12" s="561"/>
      <c r="AO12" s="561"/>
      <c r="AP12" s="561"/>
      <c r="AQ12" s="561"/>
      <c r="AR12" s="561"/>
      <c r="AS12" s="561"/>
      <c r="AT12" s="561"/>
      <c r="AU12" s="561"/>
      <c r="AV12" s="561"/>
      <c r="AW12" s="561"/>
      <c r="AX12" s="561"/>
      <c r="AY12" s="561"/>
      <c r="AZ12" s="561"/>
      <c r="BA12" s="561"/>
      <c r="BB12" s="561"/>
      <c r="BC12" s="561"/>
      <c r="BD12" s="561"/>
      <c r="BE12" s="561"/>
      <c r="BF12" s="561"/>
      <c r="BG12" s="561"/>
      <c r="BH12" s="561"/>
      <c r="BI12" s="561"/>
      <c r="BJ12" s="561"/>
      <c r="BK12" s="561"/>
      <c r="BL12" s="561"/>
      <c r="BM12" s="561"/>
      <c r="BN12" s="561"/>
      <c r="BO12" s="561"/>
      <c r="BP12" s="561"/>
      <c r="BQ12" s="561"/>
      <c r="BR12" s="561"/>
      <c r="BS12" s="561"/>
      <c r="BT12" s="561"/>
      <c r="BU12" s="561"/>
      <c r="BV12" s="561"/>
      <c r="BW12" s="561"/>
      <c r="BX12" s="561"/>
      <c r="BY12" s="561"/>
      <c r="BZ12" s="561"/>
      <c r="CA12" s="561"/>
      <c r="CB12" s="561"/>
      <c r="CC12" s="561"/>
    </row>
    <row r="13" spans="1:81" s="230" customFormat="1" ht="16" x14ac:dyDescent="0.2">
      <c r="A13" s="607">
        <v>10</v>
      </c>
      <c r="B13" s="205" t="s">
        <v>499</v>
      </c>
      <c r="C13" s="205">
        <v>301</v>
      </c>
      <c r="D13" s="225">
        <v>35555</v>
      </c>
      <c r="E13" s="226" t="s">
        <v>351</v>
      </c>
      <c r="F13" s="226" t="s">
        <v>138</v>
      </c>
      <c r="G13" s="227" t="s">
        <v>61</v>
      </c>
      <c r="H13" s="228" t="s">
        <v>528</v>
      </c>
      <c r="I13" s="228" t="s">
        <v>529</v>
      </c>
      <c r="J13" s="228">
        <v>7</v>
      </c>
      <c r="K13" s="228">
        <v>4</v>
      </c>
      <c r="L13" s="228">
        <v>0</v>
      </c>
      <c r="M13" s="228">
        <v>0</v>
      </c>
      <c r="N13" s="228">
        <v>0</v>
      </c>
      <c r="O13" s="228">
        <v>0</v>
      </c>
      <c r="P13" s="229">
        <f t="shared" si="0"/>
        <v>11</v>
      </c>
      <c r="Q13" s="473" t="s">
        <v>35</v>
      </c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561"/>
      <c r="AL13" s="561"/>
      <c r="AM13" s="561"/>
      <c r="AN13" s="561"/>
      <c r="AO13" s="561"/>
      <c r="AP13" s="561"/>
      <c r="AQ13" s="561"/>
      <c r="AR13" s="561"/>
      <c r="AS13" s="561"/>
      <c r="AT13" s="561"/>
      <c r="AU13" s="561"/>
      <c r="AV13" s="561"/>
      <c r="AW13" s="561"/>
      <c r="AX13" s="561"/>
      <c r="AY13" s="561"/>
      <c r="AZ13" s="561"/>
      <c r="BA13" s="561"/>
      <c r="BB13" s="561"/>
      <c r="BC13" s="561"/>
      <c r="BD13" s="561"/>
      <c r="BE13" s="561"/>
      <c r="BF13" s="561"/>
      <c r="BG13" s="561"/>
      <c r="BH13" s="561"/>
      <c r="BI13" s="561"/>
      <c r="BJ13" s="561"/>
      <c r="BK13" s="561"/>
      <c r="BL13" s="561"/>
      <c r="BM13" s="561"/>
      <c r="BN13" s="561"/>
      <c r="BO13" s="561"/>
      <c r="BP13" s="561"/>
      <c r="BQ13" s="561"/>
      <c r="BR13" s="561"/>
      <c r="BS13" s="561"/>
      <c r="BT13" s="561"/>
      <c r="BU13" s="561"/>
      <c r="BV13" s="561"/>
      <c r="BW13" s="561"/>
      <c r="BX13" s="561"/>
      <c r="BY13" s="561"/>
      <c r="BZ13" s="561"/>
      <c r="CA13" s="561"/>
      <c r="CB13" s="561"/>
      <c r="CC13" s="561"/>
    </row>
    <row r="14" spans="1:81" s="163" customFormat="1" ht="17" x14ac:dyDescent="0.2">
      <c r="A14" s="608">
        <v>11</v>
      </c>
      <c r="B14" s="164" t="s">
        <v>499</v>
      </c>
      <c r="C14" s="164">
        <v>301</v>
      </c>
      <c r="D14" s="154">
        <v>149747</v>
      </c>
      <c r="E14" s="166" t="s">
        <v>530</v>
      </c>
      <c r="F14" s="166" t="s">
        <v>531</v>
      </c>
      <c r="G14" s="182">
        <v>24</v>
      </c>
      <c r="H14" s="142" t="s">
        <v>532</v>
      </c>
      <c r="I14" s="142" t="s">
        <v>533</v>
      </c>
      <c r="J14" s="142">
        <v>7</v>
      </c>
      <c r="K14" s="142">
        <v>2</v>
      </c>
      <c r="L14" s="142">
        <v>0</v>
      </c>
      <c r="M14" s="142">
        <v>1</v>
      </c>
      <c r="N14" s="142">
        <v>0</v>
      </c>
      <c r="O14" s="142">
        <v>0</v>
      </c>
      <c r="P14" s="162">
        <f t="shared" si="0"/>
        <v>10</v>
      </c>
      <c r="Q14" s="142" t="s">
        <v>883</v>
      </c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561"/>
      <c r="AL14" s="561"/>
      <c r="AM14" s="561"/>
      <c r="AN14" s="561"/>
      <c r="AO14" s="561"/>
      <c r="AP14" s="561"/>
      <c r="AQ14" s="561"/>
      <c r="AR14" s="561"/>
      <c r="AS14" s="561"/>
      <c r="AT14" s="561"/>
      <c r="AU14" s="561"/>
      <c r="AV14" s="561"/>
      <c r="AW14" s="561"/>
      <c r="AX14" s="561"/>
      <c r="AY14" s="561"/>
      <c r="AZ14" s="561"/>
      <c r="BA14" s="561"/>
      <c r="BB14" s="561"/>
      <c r="BC14" s="561"/>
      <c r="BD14" s="561"/>
      <c r="BE14" s="561"/>
      <c r="BF14" s="561"/>
      <c r="BG14" s="561"/>
      <c r="BH14" s="561"/>
      <c r="BI14" s="561"/>
      <c r="BJ14" s="561"/>
      <c r="BK14" s="561"/>
      <c r="BL14" s="561"/>
      <c r="BM14" s="561"/>
      <c r="BN14" s="561"/>
      <c r="BO14" s="561"/>
      <c r="BP14" s="561"/>
      <c r="BQ14" s="561"/>
      <c r="BR14" s="561"/>
      <c r="BS14" s="561"/>
      <c r="BT14" s="561"/>
      <c r="BU14" s="561"/>
      <c r="BV14" s="561"/>
      <c r="BW14" s="561"/>
      <c r="BX14" s="561"/>
      <c r="BY14" s="561"/>
      <c r="BZ14" s="561"/>
      <c r="CA14" s="561"/>
      <c r="CB14" s="561"/>
      <c r="CC14" s="561"/>
    </row>
    <row r="15" spans="1:81" s="163" customFormat="1" ht="16" x14ac:dyDescent="0.2">
      <c r="A15" s="608">
        <v>12</v>
      </c>
      <c r="B15" s="164" t="s">
        <v>499</v>
      </c>
      <c r="C15" s="164">
        <v>301</v>
      </c>
      <c r="D15" s="139">
        <v>225422</v>
      </c>
      <c r="E15" s="160" t="s">
        <v>78</v>
      </c>
      <c r="F15" s="160" t="s">
        <v>534</v>
      </c>
      <c r="G15" s="182" t="s">
        <v>48</v>
      </c>
      <c r="H15" s="142" t="s">
        <v>535</v>
      </c>
      <c r="I15" s="142" t="s">
        <v>536</v>
      </c>
      <c r="J15" s="142">
        <v>7</v>
      </c>
      <c r="K15" s="142">
        <v>2</v>
      </c>
      <c r="L15" s="142">
        <v>0</v>
      </c>
      <c r="M15" s="142">
        <v>1</v>
      </c>
      <c r="N15" s="142">
        <v>0</v>
      </c>
      <c r="O15" s="142">
        <v>0</v>
      </c>
      <c r="P15" s="162">
        <f t="shared" si="0"/>
        <v>10</v>
      </c>
      <c r="Q15" s="142" t="s">
        <v>883</v>
      </c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561"/>
      <c r="AL15" s="561"/>
      <c r="AM15" s="561"/>
      <c r="AN15" s="561"/>
      <c r="AO15" s="561"/>
      <c r="AP15" s="561"/>
      <c r="AQ15" s="561"/>
      <c r="AR15" s="561"/>
      <c r="AS15" s="561"/>
      <c r="AT15" s="561"/>
      <c r="AU15" s="561"/>
      <c r="AV15" s="561"/>
      <c r="AW15" s="561"/>
      <c r="AX15" s="561"/>
      <c r="AY15" s="561"/>
      <c r="AZ15" s="561"/>
      <c r="BA15" s="561"/>
      <c r="BB15" s="561"/>
      <c r="BC15" s="561"/>
      <c r="BD15" s="561"/>
      <c r="BE15" s="561"/>
      <c r="BF15" s="561"/>
      <c r="BG15" s="561"/>
      <c r="BH15" s="561"/>
      <c r="BI15" s="561"/>
      <c r="BJ15" s="561"/>
      <c r="BK15" s="561"/>
      <c r="BL15" s="561"/>
      <c r="BM15" s="561"/>
      <c r="BN15" s="561"/>
      <c r="BO15" s="561"/>
      <c r="BP15" s="561"/>
      <c r="BQ15" s="561"/>
      <c r="BR15" s="561"/>
      <c r="BS15" s="561"/>
      <c r="BT15" s="561"/>
      <c r="BU15" s="561"/>
      <c r="BV15" s="561"/>
      <c r="BW15" s="561"/>
      <c r="BX15" s="561"/>
      <c r="BY15" s="561"/>
      <c r="BZ15" s="561"/>
      <c r="CA15" s="561"/>
      <c r="CB15" s="561"/>
      <c r="CC15" s="561"/>
    </row>
    <row r="16" spans="1:81" s="163" customFormat="1" ht="16" x14ac:dyDescent="0.2">
      <c r="A16" s="609">
        <v>13</v>
      </c>
      <c r="B16" s="164" t="s">
        <v>499</v>
      </c>
      <c r="C16" s="164">
        <v>301</v>
      </c>
      <c r="D16" s="167">
        <v>177656</v>
      </c>
      <c r="E16" s="168" t="s">
        <v>519</v>
      </c>
      <c r="F16" s="169" t="s">
        <v>537</v>
      </c>
      <c r="G16" s="193" t="s">
        <v>61</v>
      </c>
      <c r="H16" s="141" t="s">
        <v>538</v>
      </c>
      <c r="I16" s="141" t="s">
        <v>532</v>
      </c>
      <c r="J16" s="141">
        <v>7</v>
      </c>
      <c r="K16" s="141">
        <v>1</v>
      </c>
      <c r="L16" s="141">
        <v>0</v>
      </c>
      <c r="M16" s="141">
        <v>2</v>
      </c>
      <c r="N16" s="141">
        <v>0</v>
      </c>
      <c r="O16" s="141">
        <v>0</v>
      </c>
      <c r="P16" s="162">
        <f t="shared" si="0"/>
        <v>10</v>
      </c>
      <c r="Q16" s="142" t="s">
        <v>883</v>
      </c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561"/>
      <c r="AL16" s="561"/>
      <c r="AM16" s="561"/>
      <c r="AN16" s="561"/>
      <c r="AO16" s="561"/>
      <c r="AP16" s="561"/>
      <c r="AQ16" s="561"/>
      <c r="AR16" s="561"/>
      <c r="AS16" s="561"/>
      <c r="AT16" s="561"/>
      <c r="AU16" s="561"/>
      <c r="AV16" s="561"/>
      <c r="AW16" s="561"/>
      <c r="AX16" s="561"/>
      <c r="AY16" s="561"/>
      <c r="AZ16" s="561"/>
      <c r="BA16" s="561"/>
      <c r="BB16" s="561"/>
      <c r="BC16" s="561"/>
      <c r="BD16" s="561"/>
      <c r="BE16" s="561"/>
      <c r="BF16" s="561"/>
      <c r="BG16" s="561"/>
      <c r="BH16" s="561"/>
      <c r="BI16" s="561"/>
      <c r="BJ16" s="561"/>
      <c r="BK16" s="561"/>
      <c r="BL16" s="561"/>
      <c r="BM16" s="561"/>
      <c r="BN16" s="561"/>
      <c r="BO16" s="561"/>
      <c r="BP16" s="561"/>
      <c r="BQ16" s="561"/>
      <c r="BR16" s="561"/>
      <c r="BS16" s="561"/>
      <c r="BT16" s="561"/>
      <c r="BU16" s="561"/>
      <c r="BV16" s="561"/>
      <c r="BW16" s="561"/>
      <c r="BX16" s="561"/>
      <c r="BY16" s="561"/>
      <c r="BZ16" s="561"/>
      <c r="CA16" s="561"/>
      <c r="CB16" s="561"/>
      <c r="CC16" s="561"/>
    </row>
    <row r="17" spans="1:81" s="163" customFormat="1" ht="15" customHeight="1" x14ac:dyDescent="0.2">
      <c r="A17" s="608">
        <v>14</v>
      </c>
      <c r="B17" s="164" t="s">
        <v>499</v>
      </c>
      <c r="C17" s="164">
        <v>303</v>
      </c>
      <c r="D17" s="170">
        <v>162284</v>
      </c>
      <c r="E17" s="171" t="s">
        <v>503</v>
      </c>
      <c r="F17" s="171" t="s">
        <v>539</v>
      </c>
      <c r="G17" s="194">
        <v>23</v>
      </c>
      <c r="H17" s="172" t="s">
        <v>540</v>
      </c>
      <c r="I17" s="172" t="s">
        <v>541</v>
      </c>
      <c r="J17" s="172">
        <v>7</v>
      </c>
      <c r="K17" s="172">
        <v>2</v>
      </c>
      <c r="L17" s="172">
        <v>0</v>
      </c>
      <c r="M17" s="172">
        <v>1</v>
      </c>
      <c r="N17" s="172">
        <v>0</v>
      </c>
      <c r="O17" s="172">
        <v>0</v>
      </c>
      <c r="P17" s="162">
        <f t="shared" si="0"/>
        <v>10</v>
      </c>
      <c r="Q17" s="142" t="s">
        <v>883</v>
      </c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561"/>
      <c r="AL17" s="561"/>
      <c r="AM17" s="561"/>
      <c r="AN17" s="561"/>
      <c r="AO17" s="561"/>
      <c r="AP17" s="561"/>
      <c r="AQ17" s="561"/>
      <c r="AR17" s="561"/>
      <c r="AS17" s="561"/>
      <c r="AT17" s="561"/>
      <c r="AU17" s="561"/>
      <c r="AV17" s="561"/>
      <c r="AW17" s="561"/>
      <c r="AX17" s="561"/>
      <c r="AY17" s="561"/>
      <c r="AZ17" s="561"/>
      <c r="BA17" s="561"/>
      <c r="BB17" s="561"/>
      <c r="BC17" s="561"/>
      <c r="BD17" s="561"/>
      <c r="BE17" s="561"/>
      <c r="BF17" s="561"/>
      <c r="BG17" s="561"/>
      <c r="BH17" s="561"/>
      <c r="BI17" s="561"/>
      <c r="BJ17" s="561"/>
      <c r="BK17" s="561"/>
      <c r="BL17" s="561"/>
      <c r="BM17" s="561"/>
      <c r="BN17" s="561"/>
      <c r="BO17" s="561"/>
      <c r="BP17" s="561"/>
      <c r="BQ17" s="561"/>
      <c r="BR17" s="561"/>
      <c r="BS17" s="561"/>
      <c r="BT17" s="561"/>
      <c r="BU17" s="561"/>
      <c r="BV17" s="561"/>
      <c r="BW17" s="561"/>
      <c r="BX17" s="561"/>
      <c r="BY17" s="561"/>
      <c r="BZ17" s="561"/>
      <c r="CA17" s="561"/>
      <c r="CB17" s="561"/>
      <c r="CC17" s="561"/>
    </row>
    <row r="18" spans="1:81" s="163" customFormat="1" ht="16" x14ac:dyDescent="0.2">
      <c r="A18" s="608">
        <v>15</v>
      </c>
      <c r="B18" s="164" t="s">
        <v>499</v>
      </c>
      <c r="C18" s="164">
        <v>307</v>
      </c>
      <c r="D18" s="173">
        <v>150358</v>
      </c>
      <c r="E18" s="174" t="s">
        <v>94</v>
      </c>
      <c r="F18" s="174" t="s">
        <v>542</v>
      </c>
      <c r="G18" s="195">
        <v>72</v>
      </c>
      <c r="H18" s="170" t="s">
        <v>543</v>
      </c>
      <c r="I18" s="170" t="s">
        <v>526</v>
      </c>
      <c r="J18" s="170">
        <v>7</v>
      </c>
      <c r="K18" s="170">
        <v>2</v>
      </c>
      <c r="L18" s="170">
        <v>0</v>
      </c>
      <c r="M18" s="170">
        <v>1</v>
      </c>
      <c r="N18" s="170">
        <v>0</v>
      </c>
      <c r="O18" s="170">
        <v>0</v>
      </c>
      <c r="P18" s="162">
        <f t="shared" si="0"/>
        <v>10</v>
      </c>
      <c r="Q18" s="142" t="s">
        <v>883</v>
      </c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561"/>
      <c r="AL18" s="561"/>
      <c r="AM18" s="561"/>
      <c r="AN18" s="561"/>
      <c r="AO18" s="561"/>
      <c r="AP18" s="561"/>
      <c r="AQ18" s="561"/>
      <c r="AR18" s="561"/>
      <c r="AS18" s="561"/>
      <c r="AT18" s="561"/>
      <c r="AU18" s="561"/>
      <c r="AV18" s="561"/>
      <c r="AW18" s="561"/>
      <c r="AX18" s="561"/>
      <c r="AY18" s="561"/>
      <c r="AZ18" s="561"/>
      <c r="BA18" s="561"/>
      <c r="BB18" s="561"/>
      <c r="BC18" s="561"/>
      <c r="BD18" s="561"/>
      <c r="BE18" s="561"/>
      <c r="BF18" s="561"/>
      <c r="BG18" s="561"/>
      <c r="BH18" s="561"/>
      <c r="BI18" s="561"/>
      <c r="BJ18" s="561"/>
      <c r="BK18" s="561"/>
      <c r="BL18" s="561"/>
      <c r="BM18" s="561"/>
      <c r="BN18" s="561"/>
      <c r="BO18" s="561"/>
      <c r="BP18" s="561"/>
      <c r="BQ18" s="561"/>
      <c r="BR18" s="561"/>
      <c r="BS18" s="561"/>
      <c r="BT18" s="561"/>
      <c r="BU18" s="561"/>
      <c r="BV18" s="561"/>
      <c r="BW18" s="561"/>
      <c r="BX18" s="561"/>
      <c r="BY18" s="561"/>
      <c r="BZ18" s="561"/>
      <c r="CA18" s="561"/>
      <c r="CB18" s="561"/>
      <c r="CC18" s="561"/>
    </row>
    <row r="19" spans="1:81" s="163" customFormat="1" ht="16" x14ac:dyDescent="0.2">
      <c r="A19" s="609">
        <v>16</v>
      </c>
      <c r="B19" s="164" t="s">
        <v>499</v>
      </c>
      <c r="C19" s="164">
        <v>303</v>
      </c>
      <c r="D19" s="159">
        <v>162261</v>
      </c>
      <c r="E19" s="175" t="s">
        <v>544</v>
      </c>
      <c r="F19" s="176" t="s">
        <v>545</v>
      </c>
      <c r="G19" s="196">
        <v>23</v>
      </c>
      <c r="H19" s="177" t="s">
        <v>546</v>
      </c>
      <c r="I19" s="177" t="s">
        <v>547</v>
      </c>
      <c r="J19" s="177">
        <v>7</v>
      </c>
      <c r="K19" s="177">
        <v>2</v>
      </c>
      <c r="L19" s="177">
        <v>0</v>
      </c>
      <c r="M19" s="177">
        <v>1</v>
      </c>
      <c r="N19" s="177">
        <v>0</v>
      </c>
      <c r="O19" s="177">
        <v>0</v>
      </c>
      <c r="P19" s="162">
        <f t="shared" si="0"/>
        <v>10</v>
      </c>
      <c r="Q19" s="142" t="s">
        <v>883</v>
      </c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561"/>
      <c r="AL19" s="561"/>
      <c r="AM19" s="561"/>
      <c r="AN19" s="561"/>
      <c r="AO19" s="561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  <c r="BF19" s="561"/>
      <c r="BG19" s="561"/>
      <c r="BH19" s="561"/>
      <c r="BI19" s="561"/>
      <c r="BJ19" s="561"/>
      <c r="BK19" s="561"/>
      <c r="BL19" s="561"/>
      <c r="BM19" s="561"/>
      <c r="BN19" s="561"/>
      <c r="BO19" s="561"/>
      <c r="BP19" s="561"/>
      <c r="BQ19" s="561"/>
      <c r="BR19" s="561"/>
      <c r="BS19" s="561"/>
      <c r="BT19" s="561"/>
      <c r="BU19" s="561"/>
      <c r="BV19" s="561"/>
      <c r="BW19" s="561"/>
      <c r="BX19" s="561"/>
      <c r="BY19" s="561"/>
      <c r="BZ19" s="561"/>
      <c r="CA19" s="561"/>
      <c r="CB19" s="561"/>
      <c r="CC19" s="561"/>
    </row>
    <row r="20" spans="1:81" s="163" customFormat="1" ht="16" x14ac:dyDescent="0.2">
      <c r="A20" s="608">
        <v>17</v>
      </c>
      <c r="B20" s="164" t="s">
        <v>499</v>
      </c>
      <c r="C20" s="164">
        <v>301</v>
      </c>
      <c r="D20" s="159">
        <v>140913</v>
      </c>
      <c r="E20" s="175" t="s">
        <v>548</v>
      </c>
      <c r="F20" s="176" t="s">
        <v>549</v>
      </c>
      <c r="G20" s="197">
        <v>50</v>
      </c>
      <c r="H20" s="178" t="s">
        <v>550</v>
      </c>
      <c r="I20" s="178" t="s">
        <v>538</v>
      </c>
      <c r="J20" s="178">
        <v>7</v>
      </c>
      <c r="K20" s="178">
        <v>3</v>
      </c>
      <c r="L20" s="178">
        <v>0</v>
      </c>
      <c r="M20" s="178">
        <v>0</v>
      </c>
      <c r="N20" s="178">
        <v>0</v>
      </c>
      <c r="O20" s="178">
        <v>0</v>
      </c>
      <c r="P20" s="162">
        <f t="shared" si="0"/>
        <v>10</v>
      </c>
      <c r="Q20" s="142" t="s">
        <v>883</v>
      </c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561"/>
      <c r="AL20" s="561"/>
      <c r="AM20" s="561"/>
      <c r="AN20" s="561"/>
      <c r="AO20" s="561"/>
      <c r="AP20" s="561"/>
      <c r="AQ20" s="561"/>
      <c r="AR20" s="561"/>
      <c r="AS20" s="561"/>
      <c r="AT20" s="561"/>
      <c r="AU20" s="561"/>
      <c r="AV20" s="561"/>
      <c r="AW20" s="561"/>
      <c r="AX20" s="561"/>
      <c r="AY20" s="561"/>
      <c r="AZ20" s="561"/>
      <c r="BA20" s="561"/>
      <c r="BB20" s="561"/>
      <c r="BC20" s="561"/>
      <c r="BD20" s="561"/>
      <c r="BE20" s="561"/>
      <c r="BF20" s="561"/>
      <c r="BG20" s="561"/>
      <c r="BH20" s="561"/>
      <c r="BI20" s="561"/>
      <c r="BJ20" s="561"/>
      <c r="BK20" s="561"/>
      <c r="BL20" s="561"/>
      <c r="BM20" s="561"/>
      <c r="BN20" s="561"/>
      <c r="BO20" s="561"/>
      <c r="BP20" s="561"/>
      <c r="BQ20" s="561"/>
      <c r="BR20" s="561"/>
      <c r="BS20" s="561"/>
      <c r="BT20" s="561"/>
      <c r="BU20" s="561"/>
      <c r="BV20" s="561"/>
      <c r="BW20" s="561"/>
      <c r="BX20" s="561"/>
      <c r="BY20" s="561"/>
      <c r="BZ20" s="561"/>
      <c r="CA20" s="561"/>
      <c r="CB20" s="561"/>
      <c r="CC20" s="561"/>
    </row>
    <row r="21" spans="1:81" s="163" customFormat="1" ht="16" x14ac:dyDescent="0.2">
      <c r="A21" s="608">
        <v>18</v>
      </c>
      <c r="B21" s="164" t="s">
        <v>499</v>
      </c>
      <c r="C21" s="164">
        <v>303</v>
      </c>
      <c r="D21" s="139">
        <v>227506</v>
      </c>
      <c r="E21" s="179" t="s">
        <v>551</v>
      </c>
      <c r="F21" s="180" t="s">
        <v>452</v>
      </c>
      <c r="G21" s="198" t="s">
        <v>48</v>
      </c>
      <c r="H21" s="162" t="s">
        <v>547</v>
      </c>
      <c r="I21" s="162" t="s">
        <v>279</v>
      </c>
      <c r="J21" s="181">
        <v>7</v>
      </c>
      <c r="K21" s="181">
        <v>3</v>
      </c>
      <c r="L21" s="181">
        <v>0</v>
      </c>
      <c r="M21" s="181" t="s">
        <v>279</v>
      </c>
      <c r="N21" s="181" t="s">
        <v>279</v>
      </c>
      <c r="O21" s="181" t="s">
        <v>279</v>
      </c>
      <c r="P21" s="162">
        <f t="shared" si="0"/>
        <v>10</v>
      </c>
      <c r="Q21" s="142" t="s">
        <v>883</v>
      </c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561"/>
      <c r="AL21" s="561"/>
      <c r="AM21" s="561"/>
      <c r="AN21" s="561"/>
      <c r="AO21" s="561"/>
      <c r="AP21" s="561"/>
      <c r="AQ21" s="561"/>
      <c r="AR21" s="561"/>
      <c r="AS21" s="561"/>
      <c r="AT21" s="561"/>
      <c r="AU21" s="561"/>
      <c r="AV21" s="561"/>
      <c r="AW21" s="561"/>
      <c r="AX21" s="561"/>
      <c r="AY21" s="561"/>
      <c r="AZ21" s="561"/>
      <c r="BA21" s="561"/>
      <c r="BB21" s="561"/>
      <c r="BC21" s="561"/>
      <c r="BD21" s="561"/>
      <c r="BE21" s="561"/>
      <c r="BF21" s="561"/>
      <c r="BG21" s="561"/>
      <c r="BH21" s="561"/>
      <c r="BI21" s="561"/>
      <c r="BJ21" s="561"/>
      <c r="BK21" s="561"/>
      <c r="BL21" s="561"/>
      <c r="BM21" s="561"/>
      <c r="BN21" s="561"/>
      <c r="BO21" s="561"/>
      <c r="BP21" s="561"/>
      <c r="BQ21" s="561"/>
      <c r="BR21" s="561"/>
      <c r="BS21" s="561"/>
      <c r="BT21" s="561"/>
      <c r="BU21" s="561"/>
      <c r="BV21" s="561"/>
      <c r="BW21" s="561"/>
      <c r="BX21" s="561"/>
      <c r="BY21" s="561"/>
      <c r="BZ21" s="561"/>
      <c r="CA21" s="561"/>
      <c r="CB21" s="561"/>
      <c r="CC21" s="561"/>
    </row>
    <row r="22" spans="1:81" s="163" customFormat="1" ht="17" x14ac:dyDescent="0.2">
      <c r="A22" s="609">
        <v>19</v>
      </c>
      <c r="B22" s="164" t="s">
        <v>499</v>
      </c>
      <c r="C22" s="164">
        <v>306</v>
      </c>
      <c r="D22" s="154">
        <v>132580</v>
      </c>
      <c r="E22" s="183" t="s">
        <v>40</v>
      </c>
      <c r="F22" s="184" t="s">
        <v>552</v>
      </c>
      <c r="G22" s="185" t="s">
        <v>152</v>
      </c>
      <c r="H22" s="161" t="s">
        <v>553</v>
      </c>
      <c r="I22" s="161" t="s">
        <v>553</v>
      </c>
      <c r="J22" s="141">
        <v>7</v>
      </c>
      <c r="K22" s="141">
        <v>3</v>
      </c>
      <c r="L22" s="141">
        <v>0</v>
      </c>
      <c r="M22" s="141">
        <v>0</v>
      </c>
      <c r="N22" s="141">
        <v>0</v>
      </c>
      <c r="O22" s="141">
        <v>0</v>
      </c>
      <c r="P22" s="162">
        <f t="shared" si="0"/>
        <v>10</v>
      </c>
      <c r="Q22" s="142" t="s">
        <v>883</v>
      </c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561"/>
      <c r="AL22" s="561"/>
      <c r="AM22" s="561"/>
      <c r="AN22" s="561"/>
      <c r="AO22" s="561"/>
      <c r="AP22" s="561"/>
      <c r="AQ22" s="561"/>
      <c r="AR22" s="561"/>
      <c r="AS22" s="561"/>
      <c r="AT22" s="561"/>
      <c r="AU22" s="561"/>
      <c r="AV22" s="561"/>
      <c r="AW22" s="561"/>
      <c r="AX22" s="561"/>
      <c r="AY22" s="561"/>
      <c r="AZ22" s="561"/>
      <c r="BA22" s="561"/>
      <c r="BB22" s="561"/>
      <c r="BC22" s="561"/>
      <c r="BD22" s="561"/>
      <c r="BE22" s="561"/>
      <c r="BF22" s="561"/>
      <c r="BG22" s="561"/>
      <c r="BH22" s="561"/>
      <c r="BI22" s="561"/>
      <c r="BJ22" s="561"/>
      <c r="BK22" s="561"/>
      <c r="BL22" s="561"/>
      <c r="BM22" s="561"/>
      <c r="BN22" s="561"/>
      <c r="BO22" s="561"/>
      <c r="BP22" s="561"/>
      <c r="BQ22" s="561"/>
      <c r="BR22" s="561"/>
      <c r="BS22" s="561"/>
      <c r="BT22" s="561"/>
      <c r="BU22" s="561"/>
      <c r="BV22" s="561"/>
      <c r="BW22" s="561"/>
      <c r="BX22" s="561"/>
      <c r="BY22" s="561"/>
      <c r="BZ22" s="561"/>
      <c r="CA22" s="561"/>
      <c r="CB22" s="561"/>
      <c r="CC22" s="561"/>
    </row>
    <row r="23" spans="1:81" s="163" customFormat="1" ht="16" x14ac:dyDescent="0.2">
      <c r="A23" s="608">
        <v>20</v>
      </c>
      <c r="B23" s="164" t="s">
        <v>499</v>
      </c>
      <c r="C23" s="164">
        <v>402</v>
      </c>
      <c r="D23" s="139">
        <v>163735</v>
      </c>
      <c r="E23" s="186" t="s">
        <v>519</v>
      </c>
      <c r="F23" s="187" t="s">
        <v>183</v>
      </c>
      <c r="G23" s="188" t="s">
        <v>122</v>
      </c>
      <c r="H23" s="189" t="s">
        <v>523</v>
      </c>
      <c r="I23" s="189" t="s">
        <v>554</v>
      </c>
      <c r="J23" s="165">
        <v>7</v>
      </c>
      <c r="K23" s="165">
        <v>3</v>
      </c>
      <c r="L23" s="165">
        <v>0</v>
      </c>
      <c r="M23" s="165">
        <v>0</v>
      </c>
      <c r="N23" s="165">
        <v>0</v>
      </c>
      <c r="O23" s="165">
        <v>0</v>
      </c>
      <c r="P23" s="162">
        <f t="shared" si="0"/>
        <v>10</v>
      </c>
      <c r="Q23" s="142" t="s">
        <v>883</v>
      </c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561"/>
      <c r="AL23" s="561"/>
      <c r="AM23" s="561"/>
      <c r="AN23" s="561"/>
      <c r="AO23" s="561"/>
      <c r="AP23" s="561"/>
      <c r="AQ23" s="561"/>
      <c r="AR23" s="561"/>
      <c r="AS23" s="561"/>
      <c r="AT23" s="561"/>
      <c r="AU23" s="561"/>
      <c r="AV23" s="561"/>
      <c r="AW23" s="561"/>
      <c r="AX23" s="561"/>
      <c r="AY23" s="561"/>
      <c r="AZ23" s="561"/>
      <c r="BA23" s="561"/>
      <c r="BB23" s="561"/>
      <c r="BC23" s="561"/>
      <c r="BD23" s="561"/>
      <c r="BE23" s="561"/>
      <c r="BF23" s="561"/>
      <c r="BG23" s="561"/>
      <c r="BH23" s="561"/>
      <c r="BI23" s="561"/>
      <c r="BJ23" s="561"/>
      <c r="BK23" s="561"/>
      <c r="BL23" s="561"/>
      <c r="BM23" s="561"/>
      <c r="BN23" s="561"/>
      <c r="BO23" s="561"/>
      <c r="BP23" s="561"/>
      <c r="BQ23" s="561"/>
      <c r="BR23" s="561"/>
      <c r="BS23" s="561"/>
      <c r="BT23" s="561"/>
      <c r="BU23" s="561"/>
      <c r="BV23" s="561"/>
      <c r="BW23" s="561"/>
      <c r="BX23" s="561"/>
      <c r="BY23" s="561"/>
      <c r="BZ23" s="561"/>
      <c r="CA23" s="561"/>
      <c r="CB23" s="561"/>
      <c r="CC23" s="561"/>
    </row>
    <row r="24" spans="1:81" s="68" customFormat="1" ht="16" x14ac:dyDescent="0.2">
      <c r="A24" s="610">
        <v>21</v>
      </c>
      <c r="B24" s="21" t="s">
        <v>499</v>
      </c>
      <c r="C24" s="21">
        <v>303</v>
      </c>
      <c r="D24" s="40">
        <v>202755</v>
      </c>
      <c r="E24" s="157" t="s">
        <v>555</v>
      </c>
      <c r="F24" s="158" t="s">
        <v>556</v>
      </c>
      <c r="G24" s="98">
        <v>37</v>
      </c>
      <c r="H24" s="85" t="s">
        <v>541</v>
      </c>
      <c r="I24" s="85" t="s">
        <v>279</v>
      </c>
      <c r="J24" s="88">
        <v>7</v>
      </c>
      <c r="K24" s="88">
        <v>2</v>
      </c>
      <c r="L24" s="88">
        <v>0</v>
      </c>
      <c r="M24" s="88" t="s">
        <v>279</v>
      </c>
      <c r="N24" s="88" t="s">
        <v>279</v>
      </c>
      <c r="O24" s="88" t="s">
        <v>279</v>
      </c>
      <c r="P24" s="85">
        <f t="shared" si="0"/>
        <v>9</v>
      </c>
      <c r="Q24" s="88" t="s">
        <v>279</v>
      </c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</row>
    <row r="25" spans="1:81" s="68" customFormat="1" ht="16" x14ac:dyDescent="0.2">
      <c r="A25" s="611">
        <v>22</v>
      </c>
      <c r="B25" s="21" t="s">
        <v>499</v>
      </c>
      <c r="C25" s="21">
        <v>303</v>
      </c>
      <c r="D25" s="88">
        <v>112766</v>
      </c>
      <c r="E25" s="157" t="s">
        <v>557</v>
      </c>
      <c r="F25" s="158" t="s">
        <v>558</v>
      </c>
      <c r="G25" s="99">
        <v>49</v>
      </c>
      <c r="H25" s="100" t="s">
        <v>515</v>
      </c>
      <c r="I25" s="100" t="s">
        <v>559</v>
      </c>
      <c r="J25" s="90">
        <v>7</v>
      </c>
      <c r="K25" s="90">
        <v>2</v>
      </c>
      <c r="L25" s="90">
        <v>0</v>
      </c>
      <c r="M25" s="90">
        <v>0</v>
      </c>
      <c r="N25" s="90">
        <v>0</v>
      </c>
      <c r="O25" s="90">
        <v>0</v>
      </c>
      <c r="P25" s="85">
        <f t="shared" si="0"/>
        <v>9</v>
      </c>
      <c r="Q25" s="90" t="s">
        <v>279</v>
      </c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81" s="68" customFormat="1" ht="16" x14ac:dyDescent="0.2">
      <c r="A26" s="610">
        <v>23</v>
      </c>
      <c r="B26" s="21" t="s">
        <v>499</v>
      </c>
      <c r="C26" s="21">
        <v>306</v>
      </c>
      <c r="D26" s="40">
        <v>162269</v>
      </c>
      <c r="E26" s="92" t="s">
        <v>512</v>
      </c>
      <c r="F26" s="93" t="s">
        <v>560</v>
      </c>
      <c r="G26" s="101">
        <v>23</v>
      </c>
      <c r="H26" s="102" t="s">
        <v>561</v>
      </c>
      <c r="I26" s="102" t="s">
        <v>562</v>
      </c>
      <c r="J26" s="49">
        <v>7</v>
      </c>
      <c r="K26" s="49">
        <v>2</v>
      </c>
      <c r="L26" s="49">
        <v>0</v>
      </c>
      <c r="M26" s="49">
        <v>0</v>
      </c>
      <c r="N26" s="49">
        <v>0</v>
      </c>
      <c r="O26" s="49">
        <v>0</v>
      </c>
      <c r="P26" s="85">
        <f t="shared" si="0"/>
        <v>9</v>
      </c>
      <c r="Q26" s="23" t="s">
        <v>279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81" s="68" customFormat="1" ht="17" x14ac:dyDescent="0.2">
      <c r="A27" s="610">
        <v>24</v>
      </c>
      <c r="B27" s="21" t="s">
        <v>499</v>
      </c>
      <c r="C27" s="21">
        <v>306</v>
      </c>
      <c r="D27" s="43">
        <v>51788</v>
      </c>
      <c r="E27" s="91" t="s">
        <v>176</v>
      </c>
      <c r="F27" s="103" t="s">
        <v>563</v>
      </c>
      <c r="G27" s="71">
        <v>39</v>
      </c>
      <c r="H27" s="104" t="s">
        <v>564</v>
      </c>
      <c r="I27" s="104" t="s">
        <v>505</v>
      </c>
      <c r="J27" s="54">
        <v>7</v>
      </c>
      <c r="K27" s="54">
        <v>2</v>
      </c>
      <c r="L27" s="54">
        <v>0</v>
      </c>
      <c r="M27" s="54">
        <v>0</v>
      </c>
      <c r="N27" s="54">
        <v>0</v>
      </c>
      <c r="O27" s="54">
        <v>0</v>
      </c>
      <c r="P27" s="85">
        <f t="shared" si="0"/>
        <v>9</v>
      </c>
      <c r="Q27" s="24" t="s">
        <v>279</v>
      </c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spans="1:81" s="68" customFormat="1" ht="16" x14ac:dyDescent="0.2">
      <c r="A28" s="611">
        <v>25</v>
      </c>
      <c r="B28" s="21" t="s">
        <v>499</v>
      </c>
      <c r="C28" s="21">
        <v>307</v>
      </c>
      <c r="D28" s="40">
        <v>112767</v>
      </c>
      <c r="E28" s="92" t="s">
        <v>565</v>
      </c>
      <c r="F28" s="93" t="s">
        <v>566</v>
      </c>
      <c r="G28" s="106">
        <v>49</v>
      </c>
      <c r="H28" s="82" t="s">
        <v>567</v>
      </c>
      <c r="I28" s="82" t="s">
        <v>568</v>
      </c>
      <c r="J28" s="40">
        <v>7</v>
      </c>
      <c r="K28" s="40">
        <v>2</v>
      </c>
      <c r="L28" s="40">
        <v>0</v>
      </c>
      <c r="M28" s="40">
        <v>0</v>
      </c>
      <c r="N28" s="40">
        <v>0</v>
      </c>
      <c r="O28" s="40">
        <v>0</v>
      </c>
      <c r="P28" s="85">
        <f t="shared" si="0"/>
        <v>9</v>
      </c>
      <c r="Q28" s="27" t="s">
        <v>279</v>
      </c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81" s="68" customFormat="1" ht="16" x14ac:dyDescent="0.2">
      <c r="A29" s="610">
        <v>26</v>
      </c>
      <c r="B29" s="21" t="s">
        <v>499</v>
      </c>
      <c r="C29" s="21">
        <v>307</v>
      </c>
      <c r="D29" s="40">
        <v>112761</v>
      </c>
      <c r="E29" s="92" t="s">
        <v>569</v>
      </c>
      <c r="F29" s="93" t="s">
        <v>53</v>
      </c>
      <c r="G29" s="106">
        <v>49</v>
      </c>
      <c r="H29" s="82" t="s">
        <v>570</v>
      </c>
      <c r="I29" s="82" t="s">
        <v>571</v>
      </c>
      <c r="J29" s="40">
        <v>7</v>
      </c>
      <c r="K29" s="40">
        <v>2</v>
      </c>
      <c r="L29" s="40">
        <v>0</v>
      </c>
      <c r="M29" s="40">
        <v>0</v>
      </c>
      <c r="N29" s="40">
        <v>0</v>
      </c>
      <c r="O29" s="40">
        <v>0</v>
      </c>
      <c r="P29" s="85">
        <f t="shared" si="0"/>
        <v>9</v>
      </c>
      <c r="Q29" s="27" t="s">
        <v>279</v>
      </c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1:81" s="68" customFormat="1" ht="16" x14ac:dyDescent="0.2">
      <c r="A30" s="610">
        <v>27</v>
      </c>
      <c r="B30" s="21" t="s">
        <v>499</v>
      </c>
      <c r="C30" s="21">
        <v>307</v>
      </c>
      <c r="D30" s="40">
        <v>193741</v>
      </c>
      <c r="E30" s="92" t="s">
        <v>572</v>
      </c>
      <c r="F30" s="93" t="s">
        <v>573</v>
      </c>
      <c r="G30" s="106">
        <v>49</v>
      </c>
      <c r="H30" s="82" t="s">
        <v>574</v>
      </c>
      <c r="I30" s="82" t="s">
        <v>575</v>
      </c>
      <c r="J30" s="40">
        <v>7</v>
      </c>
      <c r="K30" s="40">
        <v>2</v>
      </c>
      <c r="L30" s="40">
        <v>0</v>
      </c>
      <c r="M30" s="40">
        <v>0</v>
      </c>
      <c r="N30" s="40">
        <v>0</v>
      </c>
      <c r="O30" s="40">
        <v>0</v>
      </c>
      <c r="P30" s="85">
        <f t="shared" si="0"/>
        <v>9</v>
      </c>
      <c r="Q30" s="27" t="s">
        <v>279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81" s="68" customFormat="1" ht="16" x14ac:dyDescent="0.2">
      <c r="A31" s="611">
        <v>28</v>
      </c>
      <c r="B31" s="21" t="s">
        <v>499</v>
      </c>
      <c r="C31" s="21">
        <v>307</v>
      </c>
      <c r="D31" s="42">
        <v>143406</v>
      </c>
      <c r="E31" s="87" t="s">
        <v>576</v>
      </c>
      <c r="F31" s="107" t="s">
        <v>577</v>
      </c>
      <c r="G31" s="101">
        <v>5</v>
      </c>
      <c r="H31" s="102" t="s">
        <v>578</v>
      </c>
      <c r="I31" s="102" t="s">
        <v>543</v>
      </c>
      <c r="J31" s="52">
        <v>7</v>
      </c>
      <c r="K31" s="52">
        <v>2</v>
      </c>
      <c r="L31" s="52">
        <v>0</v>
      </c>
      <c r="M31" s="52">
        <v>0</v>
      </c>
      <c r="N31" s="52">
        <v>0</v>
      </c>
      <c r="O31" s="52">
        <v>0</v>
      </c>
      <c r="P31" s="85">
        <f t="shared" si="0"/>
        <v>9</v>
      </c>
      <c r="Q31" s="37" t="s">
        <v>279</v>
      </c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</row>
    <row r="32" spans="1:81" s="68" customFormat="1" ht="16" x14ac:dyDescent="0.2">
      <c r="A32" s="610">
        <v>29</v>
      </c>
      <c r="B32" s="21" t="s">
        <v>499</v>
      </c>
      <c r="C32" s="21">
        <v>307</v>
      </c>
      <c r="D32" s="42">
        <v>125473</v>
      </c>
      <c r="E32" s="87" t="s">
        <v>279</v>
      </c>
      <c r="F32" s="107" t="s">
        <v>579</v>
      </c>
      <c r="G32" s="101">
        <v>5</v>
      </c>
      <c r="H32" s="102" t="s">
        <v>527</v>
      </c>
      <c r="I32" s="102" t="s">
        <v>580</v>
      </c>
      <c r="J32" s="190">
        <v>7</v>
      </c>
      <c r="K32" s="190">
        <v>2</v>
      </c>
      <c r="L32" s="190">
        <v>0</v>
      </c>
      <c r="M32" s="190">
        <v>0</v>
      </c>
      <c r="N32" s="190">
        <v>0</v>
      </c>
      <c r="O32" s="190">
        <v>0</v>
      </c>
      <c r="P32" s="85">
        <f t="shared" si="0"/>
        <v>9</v>
      </c>
      <c r="Q32" s="191" t="s">
        <v>279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s="68" customFormat="1" ht="16" x14ac:dyDescent="0.2">
      <c r="A33" s="610">
        <v>30</v>
      </c>
      <c r="B33" s="21" t="s">
        <v>499</v>
      </c>
      <c r="C33" s="21">
        <v>307</v>
      </c>
      <c r="D33" s="40">
        <v>119073</v>
      </c>
      <c r="E33" s="92" t="s">
        <v>287</v>
      </c>
      <c r="F33" s="93" t="s">
        <v>302</v>
      </c>
      <c r="G33" s="106">
        <v>72</v>
      </c>
      <c r="H33" s="82" t="s">
        <v>571</v>
      </c>
      <c r="I33" s="82" t="s">
        <v>567</v>
      </c>
      <c r="J33" s="82">
        <v>7</v>
      </c>
      <c r="K33" s="82">
        <v>2</v>
      </c>
      <c r="L33" s="82">
        <v>0</v>
      </c>
      <c r="M33" s="82">
        <v>0</v>
      </c>
      <c r="N33" s="82">
        <v>0</v>
      </c>
      <c r="O33" s="82">
        <v>0</v>
      </c>
      <c r="P33" s="85">
        <f t="shared" si="0"/>
        <v>9</v>
      </c>
      <c r="Q33" s="192" t="s">
        <v>279</v>
      </c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</row>
    <row r="34" spans="1:36" ht="17" x14ac:dyDescent="0.2">
      <c r="A34" s="611">
        <v>31</v>
      </c>
      <c r="B34" s="21" t="s">
        <v>499</v>
      </c>
      <c r="C34" s="21">
        <v>301</v>
      </c>
      <c r="D34" s="43">
        <v>150753</v>
      </c>
      <c r="E34" s="91" t="s">
        <v>581</v>
      </c>
      <c r="F34" s="103" t="s">
        <v>271</v>
      </c>
      <c r="G34" s="101">
        <v>24</v>
      </c>
      <c r="H34" s="102" t="s">
        <v>582</v>
      </c>
      <c r="I34" s="102" t="s">
        <v>583</v>
      </c>
      <c r="J34" s="102">
        <v>5</v>
      </c>
      <c r="K34" s="102">
        <v>2</v>
      </c>
      <c r="L34" s="102">
        <v>0</v>
      </c>
      <c r="M34" s="102">
        <v>1</v>
      </c>
      <c r="N34" s="102">
        <v>0</v>
      </c>
      <c r="O34" s="102">
        <v>0</v>
      </c>
      <c r="P34" s="85">
        <f t="shared" si="0"/>
        <v>8</v>
      </c>
      <c r="Q34" s="26" t="s">
        <v>279</v>
      </c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6" x14ac:dyDescent="0.2">
      <c r="A35" s="610">
        <v>32</v>
      </c>
      <c r="B35" s="21" t="s">
        <v>499</v>
      </c>
      <c r="C35" s="21">
        <v>303</v>
      </c>
      <c r="D35" s="77">
        <v>75396</v>
      </c>
      <c r="E35" s="131" t="s">
        <v>584</v>
      </c>
      <c r="F35" s="134" t="s">
        <v>585</v>
      </c>
      <c r="G35" s="99" t="s">
        <v>61</v>
      </c>
      <c r="H35" s="100" t="s">
        <v>559</v>
      </c>
      <c r="I35" s="100" t="s">
        <v>586</v>
      </c>
      <c r="J35" s="100">
        <v>7</v>
      </c>
      <c r="K35" s="100">
        <v>0</v>
      </c>
      <c r="L35" s="100">
        <v>0</v>
      </c>
      <c r="M35" s="100">
        <v>1</v>
      </c>
      <c r="N35" s="100">
        <v>0</v>
      </c>
      <c r="O35" s="100">
        <v>0</v>
      </c>
      <c r="P35" s="85">
        <f t="shared" si="0"/>
        <v>8</v>
      </c>
      <c r="Q35" s="111" t="s">
        <v>279</v>
      </c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</row>
    <row r="36" spans="1:36" ht="17" x14ac:dyDescent="0.2">
      <c r="A36" s="610">
        <v>33</v>
      </c>
      <c r="B36" s="21" t="s">
        <v>499</v>
      </c>
      <c r="C36" s="110">
        <v>306</v>
      </c>
      <c r="D36" s="129">
        <v>183978</v>
      </c>
      <c r="E36" s="130" t="s">
        <v>332</v>
      </c>
      <c r="F36" s="132" t="s">
        <v>587</v>
      </c>
      <c r="G36" s="105" t="s">
        <v>152</v>
      </c>
      <c r="H36" s="84" t="s">
        <v>588</v>
      </c>
      <c r="I36" s="84" t="s">
        <v>517</v>
      </c>
      <c r="J36" s="84">
        <v>7</v>
      </c>
      <c r="K36" s="84">
        <v>0</v>
      </c>
      <c r="L36" s="84">
        <v>0</v>
      </c>
      <c r="M36" s="84">
        <v>1</v>
      </c>
      <c r="N36" s="84">
        <v>0</v>
      </c>
      <c r="O36" s="84">
        <v>0</v>
      </c>
      <c r="P36" s="85">
        <f t="shared" ref="P36:P67" si="1">SUM(J36:O36)</f>
        <v>8</v>
      </c>
      <c r="Q36" s="128" t="s">
        <v>279</v>
      </c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6" x14ac:dyDescent="0.2">
      <c r="A37" s="611">
        <v>34</v>
      </c>
      <c r="B37" s="21" t="s">
        <v>499</v>
      </c>
      <c r="C37" s="110">
        <v>301</v>
      </c>
      <c r="D37" s="44">
        <v>141060</v>
      </c>
      <c r="E37" s="92" t="s">
        <v>293</v>
      </c>
      <c r="F37" s="93" t="s">
        <v>589</v>
      </c>
      <c r="G37" s="101">
        <v>50</v>
      </c>
      <c r="H37" s="102" t="s">
        <v>533</v>
      </c>
      <c r="I37" s="102" t="s">
        <v>590</v>
      </c>
      <c r="J37" s="49">
        <v>7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85">
        <f t="shared" si="1"/>
        <v>7</v>
      </c>
      <c r="Q37" s="23" t="s">
        <v>279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</row>
    <row r="38" spans="1:36" ht="16" x14ac:dyDescent="0.2">
      <c r="A38" s="610">
        <v>35</v>
      </c>
      <c r="B38" s="21" t="s">
        <v>499</v>
      </c>
      <c r="C38" s="21">
        <v>301</v>
      </c>
      <c r="D38" s="40">
        <v>68094</v>
      </c>
      <c r="E38" s="89" t="s">
        <v>284</v>
      </c>
      <c r="F38" s="109" t="s">
        <v>591</v>
      </c>
      <c r="G38" s="105" t="s">
        <v>61</v>
      </c>
      <c r="H38" s="84" t="s">
        <v>536</v>
      </c>
      <c r="I38" s="84" t="s">
        <v>279</v>
      </c>
      <c r="J38" s="51">
        <v>7</v>
      </c>
      <c r="K38" s="51">
        <v>0</v>
      </c>
      <c r="L38" s="51">
        <v>0</v>
      </c>
      <c r="M38" s="51" t="s">
        <v>279</v>
      </c>
      <c r="N38" s="51" t="s">
        <v>279</v>
      </c>
      <c r="O38" s="51" t="s">
        <v>279</v>
      </c>
      <c r="P38" s="85">
        <f t="shared" si="1"/>
        <v>7</v>
      </c>
      <c r="Q38" s="22" t="s">
        <v>279</v>
      </c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6" x14ac:dyDescent="0.2">
      <c r="A39" s="610">
        <v>36</v>
      </c>
      <c r="B39" s="21" t="s">
        <v>499</v>
      </c>
      <c r="C39" s="21">
        <v>306</v>
      </c>
      <c r="D39" s="40">
        <v>161474</v>
      </c>
      <c r="E39" s="92" t="s">
        <v>592</v>
      </c>
      <c r="F39" s="93" t="s">
        <v>258</v>
      </c>
      <c r="G39" s="101">
        <v>23</v>
      </c>
      <c r="H39" s="102" t="s">
        <v>593</v>
      </c>
      <c r="I39" s="102" t="s">
        <v>594</v>
      </c>
      <c r="J39" s="49">
        <v>7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85">
        <f t="shared" si="1"/>
        <v>7</v>
      </c>
      <c r="Q39" s="23" t="s">
        <v>279</v>
      </c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</row>
    <row r="40" spans="1:36" ht="17" x14ac:dyDescent="0.2">
      <c r="A40" s="611">
        <v>37</v>
      </c>
      <c r="B40" s="21" t="s">
        <v>499</v>
      </c>
      <c r="C40" s="21">
        <v>306</v>
      </c>
      <c r="D40" s="43">
        <v>139166</v>
      </c>
      <c r="E40" s="91" t="s">
        <v>595</v>
      </c>
      <c r="F40" s="103" t="s">
        <v>290</v>
      </c>
      <c r="G40" s="71">
        <v>39</v>
      </c>
      <c r="H40" s="104" t="s">
        <v>596</v>
      </c>
      <c r="I40" s="104" t="s">
        <v>593</v>
      </c>
      <c r="J40" s="54">
        <v>7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85">
        <f t="shared" si="1"/>
        <v>7</v>
      </c>
      <c r="Q40" s="24" t="s">
        <v>279</v>
      </c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36" ht="16" x14ac:dyDescent="0.2">
      <c r="A41" s="610">
        <v>38</v>
      </c>
      <c r="B41" s="21" t="s">
        <v>499</v>
      </c>
      <c r="C41" s="21">
        <v>307</v>
      </c>
      <c r="D41" s="40">
        <v>203015</v>
      </c>
      <c r="E41" s="89" t="s">
        <v>597</v>
      </c>
      <c r="F41" s="109" t="s">
        <v>598</v>
      </c>
      <c r="G41" s="101">
        <v>37</v>
      </c>
      <c r="H41" s="102" t="s">
        <v>502</v>
      </c>
      <c r="I41" s="102" t="s">
        <v>279</v>
      </c>
      <c r="J41" s="49">
        <v>7</v>
      </c>
      <c r="K41" s="49">
        <v>0</v>
      </c>
      <c r="L41" s="49">
        <v>0</v>
      </c>
      <c r="M41" s="49" t="s">
        <v>279</v>
      </c>
      <c r="N41" s="49" t="s">
        <v>279</v>
      </c>
      <c r="O41" s="49" t="s">
        <v>279</v>
      </c>
      <c r="P41" s="85">
        <f t="shared" si="1"/>
        <v>7</v>
      </c>
      <c r="Q41" s="23" t="s">
        <v>279</v>
      </c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</row>
    <row r="42" spans="1:36" ht="16" x14ac:dyDescent="0.2">
      <c r="A42" s="610">
        <v>39</v>
      </c>
      <c r="B42" s="21" t="s">
        <v>499</v>
      </c>
      <c r="C42" s="21">
        <v>307</v>
      </c>
      <c r="D42" s="40">
        <v>33741</v>
      </c>
      <c r="E42" s="89" t="s">
        <v>479</v>
      </c>
      <c r="F42" s="109" t="s">
        <v>430</v>
      </c>
      <c r="G42" s="105" t="s">
        <v>61</v>
      </c>
      <c r="H42" s="84" t="s">
        <v>568</v>
      </c>
      <c r="I42" s="84" t="s">
        <v>574</v>
      </c>
      <c r="J42" s="51">
        <v>7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85">
        <f t="shared" si="1"/>
        <v>7</v>
      </c>
      <c r="Q42" s="22" t="s">
        <v>279</v>
      </c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</row>
    <row r="43" spans="1:36" ht="16" x14ac:dyDescent="0.2">
      <c r="A43" s="611">
        <v>40</v>
      </c>
      <c r="B43" s="21" t="s">
        <v>499</v>
      </c>
      <c r="C43" s="21">
        <v>402</v>
      </c>
      <c r="D43" s="40">
        <v>140951</v>
      </c>
      <c r="E43" s="89" t="s">
        <v>599</v>
      </c>
      <c r="F43" s="109" t="s">
        <v>600</v>
      </c>
      <c r="G43" s="70">
        <v>50</v>
      </c>
      <c r="H43" s="112" t="s">
        <v>601</v>
      </c>
      <c r="I43" s="112" t="s">
        <v>601</v>
      </c>
      <c r="J43" s="113">
        <v>5</v>
      </c>
      <c r="K43" s="113">
        <v>2</v>
      </c>
      <c r="L43" s="113">
        <v>0</v>
      </c>
      <c r="M43" s="113">
        <v>0</v>
      </c>
      <c r="N43" s="113">
        <v>0</v>
      </c>
      <c r="O43" s="113">
        <v>0</v>
      </c>
      <c r="P43" s="85">
        <f t="shared" si="1"/>
        <v>7</v>
      </c>
      <c r="Q43" s="89" t="s">
        <v>279</v>
      </c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</row>
    <row r="44" spans="1:36" ht="17" x14ac:dyDescent="0.2">
      <c r="A44" s="610">
        <v>41</v>
      </c>
      <c r="B44" s="21" t="s">
        <v>499</v>
      </c>
      <c r="C44" s="21">
        <v>402</v>
      </c>
      <c r="D44" s="40">
        <v>208891</v>
      </c>
      <c r="E44" s="89" t="s">
        <v>602</v>
      </c>
      <c r="F44" s="109" t="s">
        <v>305</v>
      </c>
      <c r="G44" s="114">
        <v>61</v>
      </c>
      <c r="H44" s="115" t="s">
        <v>603</v>
      </c>
      <c r="I44" s="115" t="s">
        <v>279</v>
      </c>
      <c r="J44" s="116">
        <v>7</v>
      </c>
      <c r="K44" s="116">
        <v>0</v>
      </c>
      <c r="L44" s="116">
        <v>0</v>
      </c>
      <c r="M44" s="116" t="s">
        <v>279</v>
      </c>
      <c r="N44" s="116" t="s">
        <v>279</v>
      </c>
      <c r="O44" s="116" t="s">
        <v>279</v>
      </c>
      <c r="P44" s="85">
        <f t="shared" si="1"/>
        <v>7</v>
      </c>
      <c r="Q44" s="117" t="s">
        <v>279</v>
      </c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6" x14ac:dyDescent="0.2">
      <c r="A45" s="610">
        <v>42</v>
      </c>
      <c r="B45" s="21" t="s">
        <v>499</v>
      </c>
      <c r="C45" s="21">
        <v>402</v>
      </c>
      <c r="D45" s="40">
        <v>55267</v>
      </c>
      <c r="E45" s="89" t="s">
        <v>604</v>
      </c>
      <c r="F45" s="109" t="s">
        <v>127</v>
      </c>
      <c r="G45" s="69" t="s">
        <v>61</v>
      </c>
      <c r="H45" s="108" t="s">
        <v>605</v>
      </c>
      <c r="I45" s="108" t="s">
        <v>603</v>
      </c>
      <c r="J45" s="118">
        <v>7</v>
      </c>
      <c r="K45" s="118">
        <v>0</v>
      </c>
      <c r="L45" s="118">
        <v>0</v>
      </c>
      <c r="M45" s="118">
        <v>0</v>
      </c>
      <c r="N45" s="118">
        <v>0</v>
      </c>
      <c r="O45" s="118">
        <v>0</v>
      </c>
      <c r="P45" s="85">
        <f t="shared" si="1"/>
        <v>7</v>
      </c>
      <c r="Q45" s="119" t="s">
        <v>279</v>
      </c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</row>
    <row r="46" spans="1:36" ht="16" x14ac:dyDescent="0.2">
      <c r="A46" s="611">
        <v>43</v>
      </c>
      <c r="B46" s="21" t="s">
        <v>499</v>
      </c>
      <c r="C46" s="21">
        <v>402</v>
      </c>
      <c r="D46" s="40">
        <v>163718</v>
      </c>
      <c r="E46" s="92" t="s">
        <v>606</v>
      </c>
      <c r="F46" s="93" t="s">
        <v>106</v>
      </c>
      <c r="G46" s="69" t="s">
        <v>122</v>
      </c>
      <c r="H46" s="108" t="s">
        <v>607</v>
      </c>
      <c r="I46" s="108" t="s">
        <v>608</v>
      </c>
      <c r="J46" s="118">
        <v>7</v>
      </c>
      <c r="K46" s="118">
        <v>0</v>
      </c>
      <c r="L46" s="118">
        <v>0</v>
      </c>
      <c r="M46" s="118">
        <v>0</v>
      </c>
      <c r="N46" s="118">
        <v>0</v>
      </c>
      <c r="O46" s="118">
        <v>0</v>
      </c>
      <c r="P46" s="85">
        <f t="shared" si="1"/>
        <v>7</v>
      </c>
      <c r="Q46" s="119" t="s">
        <v>279</v>
      </c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</row>
    <row r="47" spans="1:36" ht="16" x14ac:dyDescent="0.2">
      <c r="A47" s="610">
        <v>44</v>
      </c>
      <c r="B47" s="21" t="s">
        <v>499</v>
      </c>
      <c r="C47" s="21">
        <v>303</v>
      </c>
      <c r="D47" s="40">
        <v>161522</v>
      </c>
      <c r="E47" s="92" t="s">
        <v>69</v>
      </c>
      <c r="F47" s="93" t="s">
        <v>609</v>
      </c>
      <c r="G47" s="98">
        <v>23</v>
      </c>
      <c r="H47" s="85" t="s">
        <v>610</v>
      </c>
      <c r="I47" s="85" t="s">
        <v>546</v>
      </c>
      <c r="J47" s="88">
        <v>6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5">
        <f t="shared" si="1"/>
        <v>6</v>
      </c>
      <c r="Q47" s="92" t="s">
        <v>279</v>
      </c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</row>
    <row r="48" spans="1:36" ht="16" x14ac:dyDescent="0.2">
      <c r="A48" s="610">
        <v>45</v>
      </c>
      <c r="B48" s="21" t="s">
        <v>499</v>
      </c>
      <c r="C48" s="21">
        <v>307</v>
      </c>
      <c r="D48" s="40">
        <v>150288</v>
      </c>
      <c r="E48" s="92" t="s">
        <v>479</v>
      </c>
      <c r="F48" s="93" t="s">
        <v>611</v>
      </c>
      <c r="G48" s="106">
        <v>72</v>
      </c>
      <c r="H48" s="82" t="s">
        <v>612</v>
      </c>
      <c r="I48" s="82" t="s">
        <v>508</v>
      </c>
      <c r="J48" s="40">
        <v>4</v>
      </c>
      <c r="K48" s="40">
        <v>2</v>
      </c>
      <c r="L48" s="40">
        <v>0</v>
      </c>
      <c r="M48" s="40">
        <v>0</v>
      </c>
      <c r="N48" s="40">
        <v>0</v>
      </c>
      <c r="O48" s="40">
        <v>0</v>
      </c>
      <c r="P48" s="85">
        <f t="shared" si="1"/>
        <v>6</v>
      </c>
      <c r="Q48" s="27" t="s">
        <v>279</v>
      </c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6" x14ac:dyDescent="0.2">
      <c r="A49" s="611">
        <v>46</v>
      </c>
      <c r="B49" s="21" t="s">
        <v>499</v>
      </c>
      <c r="C49" s="21">
        <v>303</v>
      </c>
      <c r="D49" s="42">
        <v>193485</v>
      </c>
      <c r="E49" s="87" t="s">
        <v>613</v>
      </c>
      <c r="F49" s="107" t="s">
        <v>614</v>
      </c>
      <c r="G49" s="99" t="s">
        <v>61</v>
      </c>
      <c r="H49" s="100" t="s">
        <v>586</v>
      </c>
      <c r="I49" s="100" t="s">
        <v>615</v>
      </c>
      <c r="J49" s="90">
        <v>2</v>
      </c>
      <c r="K49" s="90">
        <v>2</v>
      </c>
      <c r="L49" s="90">
        <v>0</v>
      </c>
      <c r="M49" s="90">
        <v>0</v>
      </c>
      <c r="N49" s="90">
        <v>0</v>
      </c>
      <c r="O49" s="90">
        <v>0</v>
      </c>
      <c r="P49" s="85">
        <f t="shared" si="1"/>
        <v>4</v>
      </c>
      <c r="Q49" s="87" t="s">
        <v>279</v>
      </c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</row>
    <row r="50" spans="1:36" ht="16" x14ac:dyDescent="0.2">
      <c r="A50" s="610">
        <v>47</v>
      </c>
      <c r="B50" s="21" t="s">
        <v>499</v>
      </c>
      <c r="C50" s="21">
        <v>301</v>
      </c>
      <c r="D50" s="40">
        <v>154267</v>
      </c>
      <c r="E50" s="89" t="s">
        <v>616</v>
      </c>
      <c r="F50" s="109" t="s">
        <v>617</v>
      </c>
      <c r="G50" s="101">
        <v>50</v>
      </c>
      <c r="H50" s="102" t="s">
        <v>529</v>
      </c>
      <c r="I50" s="102" t="s">
        <v>582</v>
      </c>
      <c r="J50" s="49">
        <v>2</v>
      </c>
      <c r="K50" s="49">
        <v>0</v>
      </c>
      <c r="L50" s="49">
        <v>0</v>
      </c>
      <c r="M50" s="49">
        <v>1</v>
      </c>
      <c r="N50" s="49">
        <v>0</v>
      </c>
      <c r="O50" s="49">
        <v>0</v>
      </c>
      <c r="P50" s="85">
        <f t="shared" si="1"/>
        <v>3</v>
      </c>
      <c r="Q50" s="23" t="s">
        <v>279</v>
      </c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7" x14ac:dyDescent="0.2">
      <c r="A51" s="610">
        <v>48</v>
      </c>
      <c r="B51" s="21" t="s">
        <v>499</v>
      </c>
      <c r="C51" s="21">
        <v>306</v>
      </c>
      <c r="D51" s="43">
        <v>52292</v>
      </c>
      <c r="E51" s="91" t="s">
        <v>129</v>
      </c>
      <c r="F51" s="103" t="s">
        <v>618</v>
      </c>
      <c r="G51" s="71">
        <v>39</v>
      </c>
      <c r="H51" s="104" t="s">
        <v>594</v>
      </c>
      <c r="I51" s="104" t="s">
        <v>588</v>
      </c>
      <c r="J51" s="54">
        <v>0</v>
      </c>
      <c r="K51" s="54">
        <v>2</v>
      </c>
      <c r="L51" s="54">
        <v>0</v>
      </c>
      <c r="M51" s="54">
        <v>1</v>
      </c>
      <c r="N51" s="54">
        <v>0</v>
      </c>
      <c r="O51" s="54">
        <v>0</v>
      </c>
      <c r="P51" s="85">
        <f t="shared" si="1"/>
        <v>3</v>
      </c>
      <c r="Q51" s="24" t="s">
        <v>279</v>
      </c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</row>
    <row r="52" spans="1:36" ht="16" x14ac:dyDescent="0.2">
      <c r="A52" s="611">
        <v>49</v>
      </c>
      <c r="B52" s="21" t="s">
        <v>499</v>
      </c>
      <c r="C52" s="21">
        <v>402</v>
      </c>
      <c r="D52" s="40">
        <v>81585</v>
      </c>
      <c r="E52" s="92" t="s">
        <v>619</v>
      </c>
      <c r="F52" s="93" t="s">
        <v>140</v>
      </c>
      <c r="G52" s="98">
        <v>17</v>
      </c>
      <c r="H52" s="85" t="s">
        <v>554</v>
      </c>
      <c r="I52" s="85" t="s">
        <v>522</v>
      </c>
      <c r="J52" s="88">
        <v>0</v>
      </c>
      <c r="K52" s="88">
        <v>2</v>
      </c>
      <c r="L52" s="88">
        <v>0</v>
      </c>
      <c r="M52" s="88">
        <v>1</v>
      </c>
      <c r="N52" s="88">
        <v>0</v>
      </c>
      <c r="O52" s="88">
        <v>0</v>
      </c>
      <c r="P52" s="85">
        <f t="shared" si="1"/>
        <v>3</v>
      </c>
      <c r="Q52" s="92" t="s">
        <v>279</v>
      </c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6" x14ac:dyDescent="0.2">
      <c r="A53" s="610">
        <v>50</v>
      </c>
      <c r="B53" s="21" t="s">
        <v>499</v>
      </c>
      <c r="C53" s="21">
        <v>301</v>
      </c>
      <c r="D53" s="40">
        <v>193482</v>
      </c>
      <c r="E53" s="89" t="s">
        <v>620</v>
      </c>
      <c r="F53" s="109" t="s">
        <v>248</v>
      </c>
      <c r="G53" s="105" t="s">
        <v>61</v>
      </c>
      <c r="H53" s="84" t="s">
        <v>583</v>
      </c>
      <c r="I53" s="84" t="s">
        <v>528</v>
      </c>
      <c r="J53" s="51">
        <v>0</v>
      </c>
      <c r="K53" s="51">
        <v>2</v>
      </c>
      <c r="L53" s="51">
        <v>0</v>
      </c>
      <c r="M53" s="51">
        <v>0</v>
      </c>
      <c r="N53" s="51">
        <v>0</v>
      </c>
      <c r="O53" s="51">
        <v>0</v>
      </c>
      <c r="P53" s="85">
        <f t="shared" si="1"/>
        <v>2</v>
      </c>
      <c r="Q53" s="22" t="s">
        <v>279</v>
      </c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</row>
    <row r="54" spans="1:36" ht="16" x14ac:dyDescent="0.2">
      <c r="A54" s="610">
        <v>51</v>
      </c>
      <c r="B54" s="21" t="s">
        <v>499</v>
      </c>
      <c r="C54" s="120">
        <v>307</v>
      </c>
      <c r="D54" s="41">
        <v>51565</v>
      </c>
      <c r="E54" s="123" t="s">
        <v>621</v>
      </c>
      <c r="F54" s="126" t="s">
        <v>622</v>
      </c>
      <c r="G54" s="106">
        <v>17</v>
      </c>
      <c r="H54" s="82" t="s">
        <v>575</v>
      </c>
      <c r="I54" s="82" t="s">
        <v>570</v>
      </c>
      <c r="J54" s="41">
        <v>0</v>
      </c>
      <c r="K54" s="41">
        <v>2</v>
      </c>
      <c r="L54" s="41">
        <v>0</v>
      </c>
      <c r="M54" s="41">
        <v>0</v>
      </c>
      <c r="N54" s="41">
        <v>0</v>
      </c>
      <c r="O54" s="41">
        <v>0</v>
      </c>
      <c r="P54" s="85">
        <f t="shared" si="1"/>
        <v>2</v>
      </c>
      <c r="Q54" s="32" t="s">
        <v>279</v>
      </c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</row>
    <row r="55" spans="1:36" ht="16" x14ac:dyDescent="0.2">
      <c r="A55" s="611">
        <v>52</v>
      </c>
      <c r="B55" s="110" t="s">
        <v>499</v>
      </c>
      <c r="C55" s="29">
        <v>402</v>
      </c>
      <c r="D55" s="95">
        <v>225364</v>
      </c>
      <c r="E55" s="125" t="s">
        <v>411</v>
      </c>
      <c r="F55" s="133" t="s">
        <v>180</v>
      </c>
      <c r="G55" s="70" t="s">
        <v>48</v>
      </c>
      <c r="H55" s="112" t="s">
        <v>623</v>
      </c>
      <c r="I55" s="112" t="s">
        <v>279</v>
      </c>
      <c r="J55" s="127">
        <v>0</v>
      </c>
      <c r="K55" s="127">
        <v>2</v>
      </c>
      <c r="L55" s="127">
        <v>0</v>
      </c>
      <c r="M55" s="127" t="s">
        <v>279</v>
      </c>
      <c r="N55" s="127" t="s">
        <v>279</v>
      </c>
      <c r="O55" s="127" t="s">
        <v>279</v>
      </c>
      <c r="P55" s="85">
        <f t="shared" si="1"/>
        <v>2</v>
      </c>
      <c r="Q55" s="125" t="s">
        <v>279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</row>
    <row r="56" spans="1:36" ht="16" x14ac:dyDescent="0.2">
      <c r="A56" s="610">
        <v>53</v>
      </c>
      <c r="B56" s="110" t="s">
        <v>499</v>
      </c>
      <c r="C56" s="30">
        <v>402</v>
      </c>
      <c r="D56" s="82">
        <v>140923</v>
      </c>
      <c r="E56" s="83" t="s">
        <v>624</v>
      </c>
      <c r="F56" s="97" t="s">
        <v>112</v>
      </c>
      <c r="G56" s="70">
        <v>50</v>
      </c>
      <c r="H56" s="112" t="s">
        <v>608</v>
      </c>
      <c r="I56" s="112" t="s">
        <v>625</v>
      </c>
      <c r="J56" s="112">
        <v>0</v>
      </c>
      <c r="K56" s="112">
        <v>1</v>
      </c>
      <c r="L56" s="112">
        <v>0</v>
      </c>
      <c r="M56" s="112">
        <v>1</v>
      </c>
      <c r="N56" s="112">
        <v>0</v>
      </c>
      <c r="O56" s="112">
        <v>0</v>
      </c>
      <c r="P56" s="85">
        <f t="shared" si="1"/>
        <v>2</v>
      </c>
      <c r="Q56" s="83" t="s">
        <v>279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</row>
    <row r="57" spans="1:36" ht="16" x14ac:dyDescent="0.2">
      <c r="A57" s="610">
        <v>54</v>
      </c>
      <c r="B57" s="21" t="s">
        <v>499</v>
      </c>
      <c r="C57" s="21">
        <v>307</v>
      </c>
      <c r="D57" s="40">
        <v>218469</v>
      </c>
      <c r="E57" s="89" t="s">
        <v>626</v>
      </c>
      <c r="F57" s="109" t="s">
        <v>627</v>
      </c>
      <c r="G57" s="101">
        <v>37</v>
      </c>
      <c r="H57" s="102" t="s">
        <v>580</v>
      </c>
      <c r="I57" s="102" t="s">
        <v>279</v>
      </c>
      <c r="J57" s="49">
        <v>1</v>
      </c>
      <c r="K57" s="49">
        <v>0</v>
      </c>
      <c r="L57" s="49">
        <v>0</v>
      </c>
      <c r="M57" s="49" t="s">
        <v>279</v>
      </c>
      <c r="N57" s="49" t="s">
        <v>279</v>
      </c>
      <c r="O57" s="49" t="s">
        <v>279</v>
      </c>
      <c r="P57" s="85">
        <f t="shared" si="1"/>
        <v>1</v>
      </c>
      <c r="Q57" s="23" t="s">
        <v>279</v>
      </c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</row>
    <row r="58" spans="1:36" ht="16" x14ac:dyDescent="0.2">
      <c r="A58" s="611">
        <v>55</v>
      </c>
      <c r="B58" s="21" t="s">
        <v>499</v>
      </c>
      <c r="C58" s="21">
        <v>402</v>
      </c>
      <c r="D58" s="121">
        <v>174266</v>
      </c>
      <c r="E58" s="124" t="s">
        <v>628</v>
      </c>
      <c r="F58" s="93" t="s">
        <v>115</v>
      </c>
      <c r="G58" s="98">
        <v>17</v>
      </c>
      <c r="H58" s="85" t="s">
        <v>629</v>
      </c>
      <c r="I58" s="85" t="s">
        <v>630</v>
      </c>
      <c r="J58" s="88">
        <v>1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5">
        <f t="shared" si="1"/>
        <v>1</v>
      </c>
      <c r="Q58" s="92" t="s">
        <v>279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</row>
    <row r="59" spans="1:36" ht="17" x14ac:dyDescent="0.2">
      <c r="A59" s="610">
        <v>56</v>
      </c>
      <c r="B59" s="21" t="s">
        <v>499</v>
      </c>
      <c r="C59" s="21">
        <v>402</v>
      </c>
      <c r="D59" s="40">
        <v>208844</v>
      </c>
      <c r="E59" s="89" t="s">
        <v>631</v>
      </c>
      <c r="F59" s="109" t="s">
        <v>452</v>
      </c>
      <c r="G59" s="114">
        <v>61</v>
      </c>
      <c r="H59" s="115" t="s">
        <v>630</v>
      </c>
      <c r="I59" s="115" t="s">
        <v>629</v>
      </c>
      <c r="J59" s="116">
        <v>1</v>
      </c>
      <c r="K59" s="116">
        <v>0</v>
      </c>
      <c r="L59" s="116">
        <v>0</v>
      </c>
      <c r="M59" s="116">
        <v>0</v>
      </c>
      <c r="N59" s="116">
        <v>0</v>
      </c>
      <c r="O59" s="116">
        <v>0</v>
      </c>
      <c r="P59" s="85">
        <f t="shared" si="1"/>
        <v>1</v>
      </c>
      <c r="Q59" s="117" t="s">
        <v>279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</row>
    <row r="60" spans="1:36" ht="16" x14ac:dyDescent="0.2">
      <c r="A60" s="610">
        <v>57</v>
      </c>
      <c r="B60" s="21" t="s">
        <v>499</v>
      </c>
      <c r="C60" s="21">
        <v>301</v>
      </c>
      <c r="D60" s="40">
        <v>158808</v>
      </c>
      <c r="E60" s="89" t="s">
        <v>632</v>
      </c>
      <c r="F60" s="109" t="s">
        <v>633</v>
      </c>
      <c r="G60" s="106">
        <v>117</v>
      </c>
      <c r="H60" s="82" t="s">
        <v>590</v>
      </c>
      <c r="I60" s="82" t="s">
        <v>279</v>
      </c>
      <c r="J60" s="40">
        <v>0</v>
      </c>
      <c r="K60" s="40">
        <v>0</v>
      </c>
      <c r="L60" s="40">
        <v>0</v>
      </c>
      <c r="M60" s="40" t="s">
        <v>279</v>
      </c>
      <c r="N60" s="40" t="s">
        <v>279</v>
      </c>
      <c r="O60" s="40" t="s">
        <v>279</v>
      </c>
      <c r="P60" s="85">
        <f t="shared" si="1"/>
        <v>0</v>
      </c>
      <c r="Q60" s="27" t="s">
        <v>279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</row>
    <row r="61" spans="1:36" ht="16" x14ac:dyDescent="0.2">
      <c r="A61" s="611">
        <v>58</v>
      </c>
      <c r="B61" s="21" t="s">
        <v>499</v>
      </c>
      <c r="C61" s="21">
        <v>301</v>
      </c>
      <c r="D61" s="88">
        <v>219668</v>
      </c>
      <c r="E61" s="89" t="s">
        <v>634</v>
      </c>
      <c r="F61" s="109" t="s">
        <v>611</v>
      </c>
      <c r="G61" s="106">
        <v>117</v>
      </c>
      <c r="H61" s="82" t="s">
        <v>635</v>
      </c>
      <c r="I61" s="82" t="s">
        <v>279</v>
      </c>
      <c r="J61" s="40">
        <v>0</v>
      </c>
      <c r="K61" s="40">
        <v>0</v>
      </c>
      <c r="L61" s="40">
        <v>0</v>
      </c>
      <c r="M61" s="40" t="s">
        <v>279</v>
      </c>
      <c r="N61" s="40" t="s">
        <v>279</v>
      </c>
      <c r="O61" s="40" t="s">
        <v>279</v>
      </c>
      <c r="P61" s="85">
        <f t="shared" si="1"/>
        <v>0</v>
      </c>
      <c r="Q61" s="27" t="s">
        <v>279</v>
      </c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</row>
    <row r="62" spans="1:36" ht="16" x14ac:dyDescent="0.2">
      <c r="A62" s="610">
        <v>59</v>
      </c>
      <c r="B62" s="21" t="s">
        <v>499</v>
      </c>
      <c r="C62" s="21">
        <v>306</v>
      </c>
      <c r="D62" s="40">
        <v>207324</v>
      </c>
      <c r="E62" s="89" t="s">
        <v>636</v>
      </c>
      <c r="F62" s="109" t="s">
        <v>637</v>
      </c>
      <c r="G62" s="106">
        <v>57</v>
      </c>
      <c r="H62" s="82" t="s">
        <v>638</v>
      </c>
      <c r="I62" s="82" t="s">
        <v>279</v>
      </c>
      <c r="J62" s="40">
        <v>0</v>
      </c>
      <c r="K62" s="40">
        <v>0</v>
      </c>
      <c r="L62" s="40">
        <v>0</v>
      </c>
      <c r="M62" s="40" t="s">
        <v>279</v>
      </c>
      <c r="N62" s="40" t="s">
        <v>279</v>
      </c>
      <c r="O62" s="40" t="s">
        <v>279</v>
      </c>
      <c r="P62" s="85">
        <f t="shared" si="1"/>
        <v>0</v>
      </c>
      <c r="Q62" s="27" t="s">
        <v>279</v>
      </c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6" x14ac:dyDescent="0.2">
      <c r="A63" s="610">
        <v>60</v>
      </c>
      <c r="B63" s="21" t="s">
        <v>499</v>
      </c>
      <c r="C63" s="21">
        <v>306</v>
      </c>
      <c r="D63" s="40">
        <v>207351</v>
      </c>
      <c r="E63" s="92" t="s">
        <v>373</v>
      </c>
      <c r="F63" s="93" t="s">
        <v>639</v>
      </c>
      <c r="G63" s="106">
        <v>57</v>
      </c>
      <c r="H63" s="82" t="s">
        <v>562</v>
      </c>
      <c r="I63" s="82" t="s">
        <v>279</v>
      </c>
      <c r="J63" s="40">
        <v>0</v>
      </c>
      <c r="K63" s="40">
        <v>0</v>
      </c>
      <c r="L63" s="40">
        <v>0</v>
      </c>
      <c r="M63" s="40" t="s">
        <v>279</v>
      </c>
      <c r="N63" s="40" t="s">
        <v>279</v>
      </c>
      <c r="O63" s="40" t="s">
        <v>279</v>
      </c>
      <c r="P63" s="85">
        <f t="shared" si="1"/>
        <v>0</v>
      </c>
      <c r="Q63" s="27" t="s">
        <v>279</v>
      </c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</row>
    <row r="64" spans="1:36" ht="16" x14ac:dyDescent="0.2">
      <c r="A64" s="611">
        <v>61</v>
      </c>
      <c r="B64" s="21" t="s">
        <v>499</v>
      </c>
      <c r="C64" s="21">
        <v>306</v>
      </c>
      <c r="D64" s="40">
        <v>207330</v>
      </c>
      <c r="E64" s="92" t="s">
        <v>640</v>
      </c>
      <c r="F64" s="93" t="s">
        <v>641</v>
      </c>
      <c r="G64" s="106">
        <v>57</v>
      </c>
      <c r="H64" s="82" t="s">
        <v>518</v>
      </c>
      <c r="I64" s="82" t="s">
        <v>279</v>
      </c>
      <c r="J64" s="40">
        <v>0</v>
      </c>
      <c r="K64" s="40">
        <v>0</v>
      </c>
      <c r="L64" s="40">
        <v>0</v>
      </c>
      <c r="M64" s="40" t="s">
        <v>279</v>
      </c>
      <c r="N64" s="40" t="s">
        <v>279</v>
      </c>
      <c r="O64" s="40" t="s">
        <v>279</v>
      </c>
      <c r="P64" s="85">
        <f t="shared" si="1"/>
        <v>0</v>
      </c>
      <c r="Q64" s="27" t="s">
        <v>279</v>
      </c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</row>
    <row r="65" spans="1:36" ht="16" x14ac:dyDescent="0.2">
      <c r="A65" s="610">
        <v>62</v>
      </c>
      <c r="B65" s="21" t="s">
        <v>499</v>
      </c>
      <c r="C65" s="21">
        <v>306</v>
      </c>
      <c r="D65" s="40">
        <v>206332</v>
      </c>
      <c r="E65" s="92" t="s">
        <v>642</v>
      </c>
      <c r="F65" s="93" t="s">
        <v>643</v>
      </c>
      <c r="G65" s="106">
        <v>57</v>
      </c>
      <c r="H65" s="82" t="s">
        <v>506</v>
      </c>
      <c r="I65" s="82" t="s">
        <v>279</v>
      </c>
      <c r="J65" s="40">
        <v>0</v>
      </c>
      <c r="K65" s="40">
        <v>0</v>
      </c>
      <c r="L65" s="40">
        <v>0</v>
      </c>
      <c r="M65" s="40" t="s">
        <v>279</v>
      </c>
      <c r="N65" s="40" t="s">
        <v>279</v>
      </c>
      <c r="O65" s="40" t="s">
        <v>279</v>
      </c>
      <c r="P65" s="85">
        <f t="shared" si="1"/>
        <v>0</v>
      </c>
      <c r="Q65" s="27" t="s">
        <v>279</v>
      </c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</row>
    <row r="66" spans="1:36" ht="16" x14ac:dyDescent="0.2">
      <c r="A66" s="610">
        <v>63</v>
      </c>
      <c r="B66" s="21" t="s">
        <v>499</v>
      </c>
      <c r="C66" s="21">
        <v>307</v>
      </c>
      <c r="D66" s="40">
        <v>202993</v>
      </c>
      <c r="E66" s="89" t="s">
        <v>644</v>
      </c>
      <c r="F66" s="109" t="s">
        <v>542</v>
      </c>
      <c r="G66" s="101">
        <v>37</v>
      </c>
      <c r="H66" s="102" t="s">
        <v>645</v>
      </c>
      <c r="I66" s="102" t="s">
        <v>279</v>
      </c>
      <c r="J66" s="49">
        <v>0</v>
      </c>
      <c r="K66" s="49">
        <v>0</v>
      </c>
      <c r="L66" s="49">
        <v>0</v>
      </c>
      <c r="M66" s="49" t="s">
        <v>279</v>
      </c>
      <c r="N66" s="49" t="s">
        <v>279</v>
      </c>
      <c r="O66" s="49" t="s">
        <v>279</v>
      </c>
      <c r="P66" s="85">
        <f t="shared" si="1"/>
        <v>0</v>
      </c>
      <c r="Q66" s="23" t="s">
        <v>279</v>
      </c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</row>
    <row r="67" spans="1:36" ht="16" x14ac:dyDescent="0.2">
      <c r="A67" s="611">
        <v>64</v>
      </c>
      <c r="B67" s="21" t="s">
        <v>499</v>
      </c>
      <c r="C67" s="21">
        <v>307</v>
      </c>
      <c r="D67" s="40">
        <v>143402</v>
      </c>
      <c r="E67" s="89" t="s">
        <v>646</v>
      </c>
      <c r="F67" s="109" t="s">
        <v>647</v>
      </c>
      <c r="G67" s="101">
        <v>5</v>
      </c>
      <c r="H67" s="102" t="s">
        <v>509</v>
      </c>
      <c r="I67" s="102" t="s">
        <v>279</v>
      </c>
      <c r="J67" s="49">
        <v>0</v>
      </c>
      <c r="K67" s="49">
        <v>0</v>
      </c>
      <c r="L67" s="49">
        <v>0</v>
      </c>
      <c r="M67" s="49" t="s">
        <v>279</v>
      </c>
      <c r="N67" s="49" t="s">
        <v>279</v>
      </c>
      <c r="O67" s="49" t="s">
        <v>279</v>
      </c>
      <c r="P67" s="85">
        <f t="shared" si="1"/>
        <v>0</v>
      </c>
      <c r="Q67" s="23" t="s">
        <v>279</v>
      </c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</row>
    <row r="68" spans="1:36" ht="16" x14ac:dyDescent="0.2">
      <c r="A68" s="610">
        <v>65</v>
      </c>
      <c r="B68" s="21" t="s">
        <v>499</v>
      </c>
      <c r="C68" s="21">
        <v>402</v>
      </c>
      <c r="D68" s="40">
        <v>154303</v>
      </c>
      <c r="E68" s="89" t="s">
        <v>648</v>
      </c>
      <c r="F68" s="89" t="s">
        <v>617</v>
      </c>
      <c r="G68" s="28">
        <v>50</v>
      </c>
      <c r="H68" s="113" t="s">
        <v>625</v>
      </c>
      <c r="I68" s="113" t="s">
        <v>649</v>
      </c>
      <c r="J68" s="113">
        <v>0</v>
      </c>
      <c r="K68" s="113">
        <v>0</v>
      </c>
      <c r="L68" s="113">
        <v>0</v>
      </c>
      <c r="M68" s="113">
        <v>0</v>
      </c>
      <c r="N68" s="113">
        <v>0</v>
      </c>
      <c r="O68" s="113">
        <v>0</v>
      </c>
      <c r="P68" s="85">
        <f t="shared" ref="P68:P69" si="2">SUM(J68:O68)</f>
        <v>0</v>
      </c>
      <c r="Q68" s="89" t="s">
        <v>279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</row>
    <row r="69" spans="1:36" ht="17" x14ac:dyDescent="0.2">
      <c r="A69" s="610">
        <v>66</v>
      </c>
      <c r="B69" s="21" t="s">
        <v>499</v>
      </c>
      <c r="C69" s="21">
        <v>402</v>
      </c>
      <c r="D69" s="40">
        <v>208922</v>
      </c>
      <c r="E69" s="89" t="s">
        <v>650</v>
      </c>
      <c r="F69" s="89" t="s">
        <v>651</v>
      </c>
      <c r="G69" s="122">
        <v>61</v>
      </c>
      <c r="H69" s="116" t="s">
        <v>649</v>
      </c>
      <c r="I69" s="116" t="s">
        <v>279</v>
      </c>
      <c r="J69" s="116">
        <v>0</v>
      </c>
      <c r="K69" s="116">
        <v>0</v>
      </c>
      <c r="L69" s="116">
        <v>0</v>
      </c>
      <c r="M69" s="116" t="s">
        <v>279</v>
      </c>
      <c r="N69" s="116" t="s">
        <v>279</v>
      </c>
      <c r="O69" s="116" t="s">
        <v>279</v>
      </c>
      <c r="P69" s="85">
        <f t="shared" si="2"/>
        <v>0</v>
      </c>
      <c r="Q69" s="117" t="s">
        <v>279</v>
      </c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</row>
  </sheetData>
  <sortState xmlns:xlrd2="http://schemas.microsoft.com/office/spreadsheetml/2017/richdata2" ref="A3:AJ69">
    <sortCondition descending="1" ref="P3:P69"/>
  </sortState>
  <mergeCells count="1">
    <mergeCell ref="A1:Q2"/>
  </mergeCells>
  <pageMargins left="0.7" right="0.7" top="0.75" bottom="0.75" header="0.3" footer="0.3"/>
  <pageSetup paperSize="9" scale="8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4382-FD98-4F79-8DFE-BAD19359ED83}">
  <dimension ref="A1:BZ74"/>
  <sheetViews>
    <sheetView zoomScale="118" zoomScaleNormal="130" workbookViewId="0">
      <pane xSplit="1" ySplit="2" topLeftCell="B3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5" x14ac:dyDescent="0.2"/>
  <cols>
    <col min="1" max="1" width="6.33203125" style="590" customWidth="1"/>
    <col min="2" max="2" width="10.1640625" style="72" customWidth="1"/>
    <col min="3" max="3" width="6.83203125" style="72" customWidth="1"/>
    <col min="4" max="4" width="14.5" customWidth="1"/>
    <col min="5" max="5" width="16.6640625" customWidth="1"/>
    <col min="6" max="6" width="15.5" customWidth="1"/>
    <col min="7" max="7" width="17.6640625" customWidth="1"/>
    <col min="8" max="9" width="14.83203125" hidden="1" customWidth="1"/>
    <col min="10" max="16" width="8.5" customWidth="1"/>
    <col min="17" max="17" width="17.6640625" customWidth="1"/>
    <col min="18" max="78" width="8.83203125" style="68"/>
  </cols>
  <sheetData>
    <row r="1" spans="1:78" ht="48.5" customHeight="1" x14ac:dyDescent="0.2">
      <c r="A1" s="632" t="s">
        <v>877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78" s="244" customFormat="1" ht="35.5" customHeight="1" x14ac:dyDescent="0.2">
      <c r="A2" s="252" t="s">
        <v>0</v>
      </c>
      <c r="B2" s="253" t="s">
        <v>1</v>
      </c>
      <c r="C2" s="253" t="s">
        <v>2</v>
      </c>
      <c r="D2" s="253" t="s">
        <v>3</v>
      </c>
      <c r="E2" s="253" t="s">
        <v>4</v>
      </c>
      <c r="F2" s="253" t="s">
        <v>5</v>
      </c>
      <c r="G2" s="253" t="s">
        <v>6</v>
      </c>
      <c r="H2" s="253" t="s">
        <v>652</v>
      </c>
      <c r="I2" s="253" t="s">
        <v>653</v>
      </c>
      <c r="J2" s="253" t="s">
        <v>8</v>
      </c>
      <c r="K2" s="253" t="s">
        <v>9</v>
      </c>
      <c r="L2" s="253" t="s">
        <v>10</v>
      </c>
      <c r="M2" s="253" t="s">
        <v>11</v>
      </c>
      <c r="N2" s="253" t="s">
        <v>495</v>
      </c>
      <c r="O2" s="253" t="s">
        <v>496</v>
      </c>
      <c r="P2" s="253" t="s">
        <v>497</v>
      </c>
      <c r="Q2" s="253" t="s">
        <v>498</v>
      </c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</row>
    <row r="3" spans="1:78" s="201" customFormat="1" ht="15" customHeight="1" x14ac:dyDescent="0.2">
      <c r="A3" s="581">
        <v>1</v>
      </c>
      <c r="B3" s="235" t="s">
        <v>654</v>
      </c>
      <c r="C3" s="235">
        <v>411</v>
      </c>
      <c r="D3" s="235">
        <v>75400</v>
      </c>
      <c r="E3" s="236" t="s">
        <v>247</v>
      </c>
      <c r="F3" s="236" t="s">
        <v>430</v>
      </c>
      <c r="G3" s="237" t="s">
        <v>61</v>
      </c>
      <c r="H3" s="237" t="s">
        <v>655</v>
      </c>
      <c r="I3" s="237" t="s">
        <v>656</v>
      </c>
      <c r="J3" s="237">
        <v>7</v>
      </c>
      <c r="K3" s="237">
        <v>6</v>
      </c>
      <c r="L3" s="237">
        <v>0</v>
      </c>
      <c r="M3" s="237">
        <v>2</v>
      </c>
      <c r="N3" s="237">
        <v>0</v>
      </c>
      <c r="O3" s="237">
        <v>1</v>
      </c>
      <c r="P3" s="238">
        <f t="shared" ref="P3:P34" si="0">SUM(J3:O3)</f>
        <v>16</v>
      </c>
      <c r="Q3" s="474" t="s">
        <v>19</v>
      </c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</row>
    <row r="4" spans="1:78" s="204" customFormat="1" x14ac:dyDescent="0.2">
      <c r="A4" s="582">
        <v>2</v>
      </c>
      <c r="B4" s="209" t="s">
        <v>654</v>
      </c>
      <c r="C4" s="209">
        <v>411</v>
      </c>
      <c r="D4" s="215">
        <v>123195</v>
      </c>
      <c r="E4" s="239" t="s">
        <v>380</v>
      </c>
      <c r="F4" s="239" t="s">
        <v>657</v>
      </c>
      <c r="G4" s="218" t="s">
        <v>61</v>
      </c>
      <c r="H4" s="218" t="s">
        <v>656</v>
      </c>
      <c r="I4" s="218" t="s">
        <v>658</v>
      </c>
      <c r="J4" s="218">
        <v>6</v>
      </c>
      <c r="K4" s="218">
        <v>2</v>
      </c>
      <c r="L4" s="218">
        <v>0</v>
      </c>
      <c r="M4" s="218">
        <v>4</v>
      </c>
      <c r="N4" s="218">
        <v>0</v>
      </c>
      <c r="O4" s="218">
        <v>3</v>
      </c>
      <c r="P4" s="240">
        <f t="shared" si="0"/>
        <v>15</v>
      </c>
      <c r="Q4" s="475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</row>
    <row r="5" spans="1:78" s="204" customFormat="1" x14ac:dyDescent="0.2">
      <c r="A5" s="582">
        <v>3</v>
      </c>
      <c r="B5" s="209" t="s">
        <v>654</v>
      </c>
      <c r="C5" s="209">
        <v>403</v>
      </c>
      <c r="D5" s="215">
        <v>150924</v>
      </c>
      <c r="E5" s="239" t="s">
        <v>659</v>
      </c>
      <c r="F5" s="239" t="s">
        <v>133</v>
      </c>
      <c r="G5" s="212">
        <v>24</v>
      </c>
      <c r="H5" s="212" t="s">
        <v>660</v>
      </c>
      <c r="I5" s="212" t="s">
        <v>661</v>
      </c>
      <c r="J5" s="212">
        <v>7</v>
      </c>
      <c r="K5" s="212">
        <v>7</v>
      </c>
      <c r="L5" s="212">
        <v>0</v>
      </c>
      <c r="M5" s="212">
        <v>1</v>
      </c>
      <c r="N5" s="212">
        <v>0</v>
      </c>
      <c r="O5" s="212">
        <v>0</v>
      </c>
      <c r="P5" s="240">
        <f t="shared" si="0"/>
        <v>15</v>
      </c>
      <c r="Q5" s="475" t="s">
        <v>24</v>
      </c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</row>
    <row r="6" spans="1:78" s="204" customFormat="1" x14ac:dyDescent="0.2">
      <c r="A6" s="583">
        <v>4</v>
      </c>
      <c r="B6" s="209" t="s">
        <v>654</v>
      </c>
      <c r="C6" s="209">
        <v>403</v>
      </c>
      <c r="D6" s="215">
        <v>213027</v>
      </c>
      <c r="E6" s="239" t="s">
        <v>662</v>
      </c>
      <c r="F6" s="239" t="s">
        <v>572</v>
      </c>
      <c r="G6" s="212">
        <v>24</v>
      </c>
      <c r="H6" s="212" t="s">
        <v>663</v>
      </c>
      <c r="I6" s="212" t="s">
        <v>664</v>
      </c>
      <c r="J6" s="212">
        <v>7</v>
      </c>
      <c r="K6" s="212">
        <v>7</v>
      </c>
      <c r="L6" s="212">
        <v>0</v>
      </c>
      <c r="M6" s="212">
        <v>0</v>
      </c>
      <c r="N6" s="212">
        <v>0</v>
      </c>
      <c r="O6" s="212">
        <v>0</v>
      </c>
      <c r="P6" s="240">
        <f t="shared" si="0"/>
        <v>14</v>
      </c>
      <c r="Q6" s="475" t="s">
        <v>24</v>
      </c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</row>
    <row r="7" spans="1:78" s="259" customFormat="1" x14ac:dyDescent="0.2">
      <c r="A7" s="584">
        <v>5</v>
      </c>
      <c r="B7" s="254" t="s">
        <v>654</v>
      </c>
      <c r="C7" s="254">
        <v>405</v>
      </c>
      <c r="D7" s="255">
        <v>27335</v>
      </c>
      <c r="E7" s="256" t="s">
        <v>665</v>
      </c>
      <c r="F7" s="256" t="s">
        <v>666</v>
      </c>
      <c r="G7" s="257" t="s">
        <v>61</v>
      </c>
      <c r="H7" s="257" t="s">
        <v>667</v>
      </c>
      <c r="I7" s="257" t="s">
        <v>668</v>
      </c>
      <c r="J7" s="257">
        <v>7</v>
      </c>
      <c r="K7" s="476">
        <v>3</v>
      </c>
      <c r="L7" s="257">
        <v>0</v>
      </c>
      <c r="M7" s="257">
        <v>2</v>
      </c>
      <c r="N7" s="257">
        <v>0</v>
      </c>
      <c r="O7" s="257">
        <v>0</v>
      </c>
      <c r="P7" s="258">
        <f t="shared" si="0"/>
        <v>12</v>
      </c>
      <c r="Q7" s="476" t="s">
        <v>35</v>
      </c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</row>
    <row r="8" spans="1:78" s="259" customFormat="1" x14ac:dyDescent="0.2">
      <c r="A8" s="584">
        <v>6</v>
      </c>
      <c r="B8" s="254" t="s">
        <v>654</v>
      </c>
      <c r="C8" s="254">
        <v>411</v>
      </c>
      <c r="D8" s="260">
        <v>181078</v>
      </c>
      <c r="E8" s="261" t="s">
        <v>669</v>
      </c>
      <c r="F8" s="261" t="s">
        <v>670</v>
      </c>
      <c r="G8" s="262">
        <v>23</v>
      </c>
      <c r="H8" s="262" t="s">
        <v>671</v>
      </c>
      <c r="I8" s="262" t="s">
        <v>671</v>
      </c>
      <c r="J8" s="262">
        <v>7</v>
      </c>
      <c r="K8" s="262">
        <v>2</v>
      </c>
      <c r="L8" s="262">
        <v>0</v>
      </c>
      <c r="M8" s="262">
        <v>2</v>
      </c>
      <c r="N8" s="262">
        <v>0</v>
      </c>
      <c r="O8" s="262">
        <v>0</v>
      </c>
      <c r="P8" s="258">
        <f t="shared" si="0"/>
        <v>11</v>
      </c>
      <c r="Q8" s="476" t="s">
        <v>35</v>
      </c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</row>
    <row r="9" spans="1:78" s="259" customFormat="1" x14ac:dyDescent="0.2">
      <c r="A9" s="585">
        <v>7</v>
      </c>
      <c r="B9" s="254" t="s">
        <v>654</v>
      </c>
      <c r="C9" s="254">
        <v>406</v>
      </c>
      <c r="D9" s="263">
        <v>44028</v>
      </c>
      <c r="E9" s="264" t="s">
        <v>198</v>
      </c>
      <c r="F9" s="264" t="s">
        <v>672</v>
      </c>
      <c r="G9" s="265" t="s">
        <v>61</v>
      </c>
      <c r="H9" s="265" t="s">
        <v>673</v>
      </c>
      <c r="I9" s="265" t="s">
        <v>674</v>
      </c>
      <c r="J9" s="265">
        <v>7</v>
      </c>
      <c r="K9" s="265">
        <v>2</v>
      </c>
      <c r="L9" s="265">
        <v>0</v>
      </c>
      <c r="M9" s="265">
        <v>1</v>
      </c>
      <c r="N9" s="265">
        <v>0</v>
      </c>
      <c r="O9" s="265">
        <v>0</v>
      </c>
      <c r="P9" s="258">
        <f t="shared" si="0"/>
        <v>10</v>
      </c>
      <c r="Q9" s="476" t="s">
        <v>35</v>
      </c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</row>
    <row r="10" spans="1:78" s="259" customFormat="1" x14ac:dyDescent="0.2">
      <c r="A10" s="584">
        <v>8</v>
      </c>
      <c r="B10" s="254" t="s">
        <v>654</v>
      </c>
      <c r="C10" s="254">
        <v>409</v>
      </c>
      <c r="D10" s="255">
        <v>61340</v>
      </c>
      <c r="E10" s="256" t="s">
        <v>675</v>
      </c>
      <c r="F10" s="256" t="s">
        <v>133</v>
      </c>
      <c r="G10" s="257" t="s">
        <v>61</v>
      </c>
      <c r="H10" s="257" t="s">
        <v>676</v>
      </c>
      <c r="I10" s="257" t="s">
        <v>676</v>
      </c>
      <c r="J10" s="257">
        <v>7</v>
      </c>
      <c r="K10" s="257">
        <v>2</v>
      </c>
      <c r="L10" s="257">
        <v>0</v>
      </c>
      <c r="M10" s="257">
        <v>1</v>
      </c>
      <c r="N10" s="257">
        <v>0</v>
      </c>
      <c r="O10" s="257">
        <v>0</v>
      </c>
      <c r="P10" s="258">
        <f t="shared" si="0"/>
        <v>10</v>
      </c>
      <c r="Q10" s="476" t="s">
        <v>35</v>
      </c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</row>
    <row r="11" spans="1:78" s="259" customFormat="1" x14ac:dyDescent="0.2">
      <c r="A11" s="584">
        <v>9</v>
      </c>
      <c r="B11" s="254" t="s">
        <v>654</v>
      </c>
      <c r="C11" s="254">
        <v>409</v>
      </c>
      <c r="D11" s="260">
        <v>14923</v>
      </c>
      <c r="E11" s="261" t="s">
        <v>677</v>
      </c>
      <c r="F11" s="261" t="s">
        <v>346</v>
      </c>
      <c r="G11" s="266" t="s">
        <v>152</v>
      </c>
      <c r="H11" s="266" t="s">
        <v>678</v>
      </c>
      <c r="I11" s="266" t="s">
        <v>679</v>
      </c>
      <c r="J11" s="266">
        <v>6</v>
      </c>
      <c r="K11" s="266">
        <v>2</v>
      </c>
      <c r="L11" s="266">
        <v>0</v>
      </c>
      <c r="M11" s="266">
        <v>2</v>
      </c>
      <c r="N11" s="266">
        <v>0</v>
      </c>
      <c r="O11" s="266">
        <v>0</v>
      </c>
      <c r="P11" s="258">
        <f t="shared" si="0"/>
        <v>10</v>
      </c>
      <c r="Q11" s="476" t="s">
        <v>35</v>
      </c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</row>
    <row r="12" spans="1:78" s="137" customFormat="1" x14ac:dyDescent="0.2">
      <c r="A12" s="586">
        <v>10</v>
      </c>
      <c r="B12" s="138" t="s">
        <v>654</v>
      </c>
      <c r="C12" s="138">
        <v>403</v>
      </c>
      <c r="D12" s="144">
        <v>88828</v>
      </c>
      <c r="E12" s="145" t="s">
        <v>680</v>
      </c>
      <c r="F12" s="146" t="s">
        <v>681</v>
      </c>
      <c r="G12" s="136">
        <v>23</v>
      </c>
      <c r="H12" s="136" t="s">
        <v>661</v>
      </c>
      <c r="I12" s="136" t="s">
        <v>682</v>
      </c>
      <c r="J12" s="136">
        <v>7</v>
      </c>
      <c r="K12" s="136">
        <v>2</v>
      </c>
      <c r="L12" s="136">
        <v>0</v>
      </c>
      <c r="M12" s="136">
        <v>0</v>
      </c>
      <c r="N12" s="136">
        <v>0</v>
      </c>
      <c r="O12" s="136">
        <v>0</v>
      </c>
      <c r="P12" s="136">
        <f t="shared" si="0"/>
        <v>9</v>
      </c>
      <c r="Q12" s="574" t="s">
        <v>883</v>
      </c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</row>
    <row r="13" spans="1:78" s="137" customFormat="1" x14ac:dyDescent="0.2">
      <c r="A13" s="587">
        <v>11</v>
      </c>
      <c r="B13" s="138" t="s">
        <v>654</v>
      </c>
      <c r="C13" s="138">
        <v>403</v>
      </c>
      <c r="D13" s="147">
        <v>151007</v>
      </c>
      <c r="E13" s="148" t="s">
        <v>683</v>
      </c>
      <c r="F13" s="140" t="s">
        <v>684</v>
      </c>
      <c r="G13" s="142">
        <v>24</v>
      </c>
      <c r="H13" s="142" t="s">
        <v>685</v>
      </c>
      <c r="I13" s="142" t="s">
        <v>686</v>
      </c>
      <c r="J13" s="142">
        <v>7</v>
      </c>
      <c r="K13" s="142">
        <v>2</v>
      </c>
      <c r="L13" s="142">
        <v>0</v>
      </c>
      <c r="M13" s="142">
        <v>0</v>
      </c>
      <c r="N13" s="142">
        <v>0</v>
      </c>
      <c r="O13" s="142">
        <v>0</v>
      </c>
      <c r="P13" s="136">
        <f t="shared" si="0"/>
        <v>9</v>
      </c>
      <c r="Q13" s="574" t="s">
        <v>883</v>
      </c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</row>
    <row r="14" spans="1:78" s="137" customFormat="1" x14ac:dyDescent="0.2">
      <c r="A14" s="587">
        <v>12</v>
      </c>
      <c r="B14" s="138" t="s">
        <v>654</v>
      </c>
      <c r="C14" s="138">
        <v>406</v>
      </c>
      <c r="D14" s="149">
        <v>53445</v>
      </c>
      <c r="E14" s="150" t="s">
        <v>40</v>
      </c>
      <c r="F14" s="151" t="s">
        <v>59</v>
      </c>
      <c r="G14" s="143" t="s">
        <v>61</v>
      </c>
      <c r="H14" s="143" t="s">
        <v>687</v>
      </c>
      <c r="I14" s="143" t="s">
        <v>688</v>
      </c>
      <c r="J14" s="143">
        <v>7</v>
      </c>
      <c r="K14" s="143">
        <v>2</v>
      </c>
      <c r="L14" s="143">
        <v>0</v>
      </c>
      <c r="M14" s="143">
        <v>0</v>
      </c>
      <c r="N14" s="143">
        <v>0</v>
      </c>
      <c r="O14" s="143">
        <v>0</v>
      </c>
      <c r="P14" s="136">
        <f t="shared" si="0"/>
        <v>9</v>
      </c>
      <c r="Q14" s="574" t="s">
        <v>883</v>
      </c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</row>
    <row r="15" spans="1:78" s="137" customFormat="1" x14ac:dyDescent="0.2">
      <c r="A15" s="586">
        <v>13</v>
      </c>
      <c r="B15" s="138" t="s">
        <v>654</v>
      </c>
      <c r="C15" s="138">
        <v>409</v>
      </c>
      <c r="D15" s="144">
        <v>55281</v>
      </c>
      <c r="E15" s="148" t="s">
        <v>290</v>
      </c>
      <c r="F15" s="140" t="s">
        <v>689</v>
      </c>
      <c r="G15" s="152" t="s">
        <v>61</v>
      </c>
      <c r="H15" s="152" t="s">
        <v>690</v>
      </c>
      <c r="I15" s="152" t="s">
        <v>691</v>
      </c>
      <c r="J15" s="152">
        <v>7</v>
      </c>
      <c r="K15" s="152">
        <v>2</v>
      </c>
      <c r="L15" s="152">
        <v>0</v>
      </c>
      <c r="M15" s="152">
        <v>0</v>
      </c>
      <c r="N15" s="152">
        <v>0</v>
      </c>
      <c r="O15" s="152">
        <v>0</v>
      </c>
      <c r="P15" s="136">
        <f t="shared" si="0"/>
        <v>9</v>
      </c>
      <c r="Q15" s="574" t="s">
        <v>883</v>
      </c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</row>
    <row r="16" spans="1:78" s="137" customFormat="1" x14ac:dyDescent="0.2">
      <c r="A16" s="587">
        <v>14</v>
      </c>
      <c r="B16" s="138" t="s">
        <v>654</v>
      </c>
      <c r="C16" s="138">
        <v>411</v>
      </c>
      <c r="D16" s="147">
        <v>211387</v>
      </c>
      <c r="E16" s="148" t="s">
        <v>530</v>
      </c>
      <c r="F16" s="140" t="s">
        <v>692</v>
      </c>
      <c r="G16" s="142">
        <v>5</v>
      </c>
      <c r="H16" s="142" t="s">
        <v>693</v>
      </c>
      <c r="I16" s="142" t="s">
        <v>694</v>
      </c>
      <c r="J16" s="142">
        <v>7</v>
      </c>
      <c r="K16" s="142">
        <v>2</v>
      </c>
      <c r="L16" s="142">
        <v>0</v>
      </c>
      <c r="M16" s="142">
        <v>0</v>
      </c>
      <c r="N16" s="142">
        <v>0</v>
      </c>
      <c r="O16" s="142">
        <v>0</v>
      </c>
      <c r="P16" s="136">
        <f t="shared" si="0"/>
        <v>9</v>
      </c>
      <c r="Q16" s="574" t="s">
        <v>883</v>
      </c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</row>
    <row r="17" spans="1:78" s="137" customFormat="1" x14ac:dyDescent="0.2">
      <c r="A17" s="587">
        <v>15</v>
      </c>
      <c r="B17" s="138" t="s">
        <v>654</v>
      </c>
      <c r="C17" s="138">
        <v>403</v>
      </c>
      <c r="D17" s="139">
        <v>203707</v>
      </c>
      <c r="E17" s="140" t="s">
        <v>50</v>
      </c>
      <c r="F17" s="140" t="s">
        <v>482</v>
      </c>
      <c r="G17" s="142">
        <v>37</v>
      </c>
      <c r="H17" s="142" t="s">
        <v>695</v>
      </c>
      <c r="I17" s="142"/>
      <c r="J17" s="142">
        <v>6</v>
      </c>
      <c r="K17" s="142">
        <v>2</v>
      </c>
      <c r="L17" s="142">
        <v>0</v>
      </c>
      <c r="M17" s="142"/>
      <c r="N17" s="142"/>
      <c r="O17" s="142"/>
      <c r="P17" s="136">
        <f t="shared" si="0"/>
        <v>8</v>
      </c>
      <c r="Q17" s="574" t="s">
        <v>883</v>
      </c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</row>
    <row r="18" spans="1:78" s="137" customFormat="1" x14ac:dyDescent="0.2">
      <c r="A18" s="586">
        <v>16</v>
      </c>
      <c r="B18" s="138" t="s">
        <v>654</v>
      </c>
      <c r="C18" s="138">
        <v>406</v>
      </c>
      <c r="D18" s="138">
        <v>37814</v>
      </c>
      <c r="E18" s="153" t="s">
        <v>696</v>
      </c>
      <c r="F18" s="153" t="s">
        <v>697</v>
      </c>
      <c r="G18" s="141" t="s">
        <v>61</v>
      </c>
      <c r="H18" s="141" t="s">
        <v>698</v>
      </c>
      <c r="I18" s="141" t="s">
        <v>699</v>
      </c>
      <c r="J18" s="141">
        <v>5</v>
      </c>
      <c r="K18" s="141">
        <v>2</v>
      </c>
      <c r="L18" s="141">
        <v>0</v>
      </c>
      <c r="M18" s="141">
        <v>1</v>
      </c>
      <c r="N18" s="141">
        <v>0</v>
      </c>
      <c r="O18" s="141">
        <v>0</v>
      </c>
      <c r="P18" s="136">
        <f t="shared" si="0"/>
        <v>8</v>
      </c>
      <c r="Q18" s="574" t="s">
        <v>883</v>
      </c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</row>
    <row r="19" spans="1:78" s="137" customFormat="1" x14ac:dyDescent="0.2">
      <c r="A19" s="587">
        <v>17</v>
      </c>
      <c r="B19" s="138" t="s">
        <v>654</v>
      </c>
      <c r="C19" s="138">
        <v>406</v>
      </c>
      <c r="D19" s="139">
        <v>132052</v>
      </c>
      <c r="E19" s="140" t="s">
        <v>512</v>
      </c>
      <c r="F19" s="140" t="s">
        <v>700</v>
      </c>
      <c r="G19" s="142">
        <v>5</v>
      </c>
      <c r="H19" s="142" t="s">
        <v>701</v>
      </c>
      <c r="I19" s="142" t="s">
        <v>702</v>
      </c>
      <c r="J19" s="142">
        <v>5</v>
      </c>
      <c r="K19" s="142">
        <v>2</v>
      </c>
      <c r="L19" s="142">
        <v>0</v>
      </c>
      <c r="M19" s="142">
        <v>0</v>
      </c>
      <c r="N19" s="142">
        <v>0</v>
      </c>
      <c r="O19" s="142">
        <v>0</v>
      </c>
      <c r="P19" s="136">
        <f t="shared" si="0"/>
        <v>7</v>
      </c>
      <c r="Q19" s="574" t="s">
        <v>883</v>
      </c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</row>
    <row r="20" spans="1:78" s="137" customFormat="1" x14ac:dyDescent="0.2">
      <c r="A20" s="587">
        <v>18</v>
      </c>
      <c r="B20" s="138" t="s">
        <v>654</v>
      </c>
      <c r="C20" s="138">
        <v>406</v>
      </c>
      <c r="D20" s="139">
        <v>193666</v>
      </c>
      <c r="E20" s="140" t="s">
        <v>703</v>
      </c>
      <c r="F20" s="140" t="s">
        <v>183</v>
      </c>
      <c r="G20" s="142">
        <v>17</v>
      </c>
      <c r="H20" s="142" t="s">
        <v>702</v>
      </c>
      <c r="I20" s="142" t="s">
        <v>704</v>
      </c>
      <c r="J20" s="142">
        <v>2</v>
      </c>
      <c r="K20" s="142">
        <v>2</v>
      </c>
      <c r="L20" s="142">
        <v>0</v>
      </c>
      <c r="M20" s="142">
        <v>1</v>
      </c>
      <c r="N20" s="142">
        <v>0</v>
      </c>
      <c r="O20" s="142">
        <v>0</v>
      </c>
      <c r="P20" s="136">
        <f t="shared" si="0"/>
        <v>5</v>
      </c>
      <c r="Q20" s="574" t="s">
        <v>883</v>
      </c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</row>
    <row r="21" spans="1:78" s="137" customFormat="1" ht="16" x14ac:dyDescent="0.2">
      <c r="A21" s="586">
        <v>19</v>
      </c>
      <c r="B21" s="138" t="s">
        <v>654</v>
      </c>
      <c r="C21" s="138">
        <v>411</v>
      </c>
      <c r="D21" s="154">
        <v>182681</v>
      </c>
      <c r="E21" s="155" t="s">
        <v>705</v>
      </c>
      <c r="F21" s="155" t="s">
        <v>452</v>
      </c>
      <c r="G21" s="141" t="s">
        <v>122</v>
      </c>
      <c r="H21" s="141" t="s">
        <v>706</v>
      </c>
      <c r="I21" s="141" t="s">
        <v>655</v>
      </c>
      <c r="J21" s="141">
        <v>3</v>
      </c>
      <c r="K21" s="141">
        <v>2</v>
      </c>
      <c r="L21" s="141">
        <v>0</v>
      </c>
      <c r="M21" s="141">
        <v>0</v>
      </c>
      <c r="N21" s="141">
        <v>0</v>
      </c>
      <c r="O21" s="141">
        <v>0</v>
      </c>
      <c r="P21" s="136">
        <f t="shared" si="0"/>
        <v>5</v>
      </c>
      <c r="Q21" s="574" t="s">
        <v>883</v>
      </c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</row>
    <row r="22" spans="1:78" s="137" customFormat="1" x14ac:dyDescent="0.2">
      <c r="A22" s="587">
        <v>20</v>
      </c>
      <c r="B22" s="138" t="s">
        <v>654</v>
      </c>
      <c r="C22" s="138">
        <v>411</v>
      </c>
      <c r="D22" s="139">
        <v>193457</v>
      </c>
      <c r="E22" s="140" t="s">
        <v>707</v>
      </c>
      <c r="F22" s="140" t="s">
        <v>201</v>
      </c>
      <c r="G22" s="141" t="s">
        <v>61</v>
      </c>
      <c r="H22" s="141" t="s">
        <v>708</v>
      </c>
      <c r="I22" s="141" t="s">
        <v>709</v>
      </c>
      <c r="J22" s="141">
        <v>3</v>
      </c>
      <c r="K22" s="141">
        <v>0</v>
      </c>
      <c r="L22" s="141">
        <v>0</v>
      </c>
      <c r="M22" s="141">
        <v>2</v>
      </c>
      <c r="N22" s="141">
        <v>0</v>
      </c>
      <c r="O22" s="141">
        <v>0</v>
      </c>
      <c r="P22" s="136">
        <f t="shared" si="0"/>
        <v>5</v>
      </c>
      <c r="Q22" s="574" t="s">
        <v>883</v>
      </c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</row>
    <row r="23" spans="1:78" x14ac:dyDescent="0.2">
      <c r="A23" s="588">
        <v>21</v>
      </c>
      <c r="B23" s="42" t="s">
        <v>654</v>
      </c>
      <c r="C23" s="42">
        <v>406</v>
      </c>
      <c r="D23" s="41">
        <v>125722</v>
      </c>
      <c r="E23" s="37" t="s">
        <v>710</v>
      </c>
      <c r="F23" s="78" t="s">
        <v>711</v>
      </c>
      <c r="G23" s="66">
        <v>5</v>
      </c>
      <c r="H23" s="52" t="s">
        <v>674</v>
      </c>
      <c r="I23" s="52"/>
      <c r="J23" s="52">
        <v>2</v>
      </c>
      <c r="K23" s="52">
        <v>2</v>
      </c>
      <c r="L23" s="52">
        <v>0</v>
      </c>
      <c r="M23" s="52"/>
      <c r="N23" s="52"/>
      <c r="O23" s="52"/>
      <c r="P23" s="53">
        <f t="shared" si="0"/>
        <v>4</v>
      </c>
      <c r="Q23" s="37" t="s">
        <v>279</v>
      </c>
    </row>
    <row r="24" spans="1:78" x14ac:dyDescent="0.2">
      <c r="A24" s="589">
        <v>22</v>
      </c>
      <c r="B24" s="42" t="s">
        <v>654</v>
      </c>
      <c r="C24" s="76">
        <v>409</v>
      </c>
      <c r="D24" s="231">
        <v>193346</v>
      </c>
      <c r="E24" s="232" t="s">
        <v>712</v>
      </c>
      <c r="F24" s="36" t="s">
        <v>713</v>
      </c>
      <c r="G24" s="46">
        <v>49</v>
      </c>
      <c r="H24" s="46" t="s">
        <v>679</v>
      </c>
      <c r="I24" s="46"/>
      <c r="J24" s="46">
        <v>2</v>
      </c>
      <c r="K24" s="46">
        <v>2</v>
      </c>
      <c r="L24" s="46">
        <v>0</v>
      </c>
      <c r="M24" s="46"/>
      <c r="N24" s="46"/>
      <c r="O24" s="46"/>
      <c r="P24" s="53">
        <f t="shared" si="0"/>
        <v>4</v>
      </c>
      <c r="Q24" s="34" t="s">
        <v>279</v>
      </c>
    </row>
    <row r="25" spans="1:78" x14ac:dyDescent="0.2">
      <c r="A25" s="588">
        <v>23</v>
      </c>
      <c r="B25" s="42" t="s">
        <v>654</v>
      </c>
      <c r="C25" s="76">
        <v>409</v>
      </c>
      <c r="D25" s="44">
        <v>151087</v>
      </c>
      <c r="E25" s="23" t="s">
        <v>288</v>
      </c>
      <c r="F25" s="23" t="s">
        <v>657</v>
      </c>
      <c r="G25" s="42">
        <v>24</v>
      </c>
      <c r="H25" s="42" t="s">
        <v>714</v>
      </c>
      <c r="I25" s="42" t="s">
        <v>678</v>
      </c>
      <c r="J25" s="42">
        <v>1</v>
      </c>
      <c r="K25" s="42">
        <v>2</v>
      </c>
      <c r="L25" s="42">
        <v>0</v>
      </c>
      <c r="M25" s="42">
        <v>1</v>
      </c>
      <c r="N25" s="42">
        <v>0</v>
      </c>
      <c r="O25" s="42">
        <v>0</v>
      </c>
      <c r="P25" s="53">
        <f t="shared" si="0"/>
        <v>4</v>
      </c>
      <c r="Q25" s="31" t="s">
        <v>279</v>
      </c>
    </row>
    <row r="26" spans="1:78" x14ac:dyDescent="0.2">
      <c r="A26" s="588">
        <v>24</v>
      </c>
      <c r="B26" s="42" t="s">
        <v>654</v>
      </c>
      <c r="C26" s="76">
        <v>409</v>
      </c>
      <c r="D26" s="44">
        <v>60879</v>
      </c>
      <c r="E26" s="23" t="s">
        <v>250</v>
      </c>
      <c r="F26" s="23" t="s">
        <v>715</v>
      </c>
      <c r="G26" s="51" t="s">
        <v>61</v>
      </c>
      <c r="H26" s="51" t="s">
        <v>691</v>
      </c>
      <c r="I26" s="51" t="s">
        <v>716</v>
      </c>
      <c r="J26" s="51">
        <v>1</v>
      </c>
      <c r="K26" s="51">
        <v>2</v>
      </c>
      <c r="L26" s="51">
        <v>0</v>
      </c>
      <c r="M26" s="51">
        <v>0</v>
      </c>
      <c r="N26" s="51">
        <v>1</v>
      </c>
      <c r="O26" s="51">
        <v>0</v>
      </c>
      <c r="P26" s="53">
        <f t="shared" si="0"/>
        <v>4</v>
      </c>
      <c r="Q26" s="22" t="s">
        <v>279</v>
      </c>
    </row>
    <row r="27" spans="1:78" x14ac:dyDescent="0.2">
      <c r="A27" s="589">
        <v>25</v>
      </c>
      <c r="B27" s="42" t="s">
        <v>654</v>
      </c>
      <c r="C27" s="76">
        <v>409</v>
      </c>
      <c r="D27" s="44">
        <v>220302</v>
      </c>
      <c r="E27" s="23" t="s">
        <v>717</v>
      </c>
      <c r="F27" s="23" t="s">
        <v>114</v>
      </c>
      <c r="G27" s="51" t="s">
        <v>152</v>
      </c>
      <c r="H27" s="51" t="s">
        <v>718</v>
      </c>
      <c r="I27" s="51" t="s">
        <v>719</v>
      </c>
      <c r="J27" s="51">
        <v>0</v>
      </c>
      <c r="K27" s="51">
        <v>2</v>
      </c>
      <c r="L27" s="51">
        <v>0</v>
      </c>
      <c r="M27" s="51">
        <v>2</v>
      </c>
      <c r="N27" s="51">
        <v>0</v>
      </c>
      <c r="O27" s="51">
        <v>0</v>
      </c>
      <c r="P27" s="53">
        <f t="shared" si="0"/>
        <v>4</v>
      </c>
      <c r="Q27" s="22" t="s">
        <v>279</v>
      </c>
    </row>
    <row r="28" spans="1:78" x14ac:dyDescent="0.2">
      <c r="A28" s="588">
        <v>26</v>
      </c>
      <c r="B28" s="42" t="s">
        <v>654</v>
      </c>
      <c r="C28" s="76">
        <v>403</v>
      </c>
      <c r="D28" s="44">
        <v>181080</v>
      </c>
      <c r="E28" s="23" t="s">
        <v>258</v>
      </c>
      <c r="F28" s="23" t="s">
        <v>720</v>
      </c>
      <c r="G28" s="49">
        <v>23</v>
      </c>
      <c r="H28" s="49" t="s">
        <v>682</v>
      </c>
      <c r="I28" s="49" t="s">
        <v>721</v>
      </c>
      <c r="J28" s="49">
        <v>3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53">
        <f t="shared" si="0"/>
        <v>3</v>
      </c>
      <c r="Q28" s="23" t="s">
        <v>279</v>
      </c>
    </row>
    <row r="29" spans="1:78" x14ac:dyDescent="0.2">
      <c r="A29" s="588">
        <v>27</v>
      </c>
      <c r="B29" s="42" t="s">
        <v>654</v>
      </c>
      <c r="C29" s="76">
        <v>403</v>
      </c>
      <c r="D29" s="44">
        <v>193463</v>
      </c>
      <c r="E29" s="23" t="s">
        <v>332</v>
      </c>
      <c r="F29" s="23" t="s">
        <v>722</v>
      </c>
      <c r="G29" s="51" t="s">
        <v>61</v>
      </c>
      <c r="H29" s="51" t="s">
        <v>721</v>
      </c>
      <c r="I29" s="51" t="s">
        <v>660</v>
      </c>
      <c r="J29" s="51">
        <v>1</v>
      </c>
      <c r="K29" s="51">
        <v>2</v>
      </c>
      <c r="L29" s="51">
        <v>0</v>
      </c>
      <c r="M29" s="51">
        <v>0</v>
      </c>
      <c r="N29" s="51">
        <v>0</v>
      </c>
      <c r="O29" s="51">
        <v>0</v>
      </c>
      <c r="P29" s="53">
        <f t="shared" si="0"/>
        <v>3</v>
      </c>
      <c r="Q29" s="22" t="s">
        <v>279</v>
      </c>
    </row>
    <row r="30" spans="1:78" x14ac:dyDescent="0.2">
      <c r="A30" s="589">
        <v>28</v>
      </c>
      <c r="B30" s="42" t="s">
        <v>654</v>
      </c>
      <c r="C30" s="76">
        <v>405</v>
      </c>
      <c r="D30" s="44">
        <v>140854</v>
      </c>
      <c r="E30" s="27" t="s">
        <v>179</v>
      </c>
      <c r="F30" s="27" t="s">
        <v>100</v>
      </c>
      <c r="G30" s="49">
        <v>50</v>
      </c>
      <c r="H30" s="49" t="s">
        <v>668</v>
      </c>
      <c r="I30" s="49" t="s">
        <v>723</v>
      </c>
      <c r="J30" s="49">
        <v>0</v>
      </c>
      <c r="K30" s="49">
        <v>2</v>
      </c>
      <c r="L30" s="49">
        <v>0</v>
      </c>
      <c r="M30" s="49">
        <v>1</v>
      </c>
      <c r="N30" s="49">
        <v>0</v>
      </c>
      <c r="O30" s="49">
        <v>0</v>
      </c>
      <c r="P30" s="53">
        <f t="shared" si="0"/>
        <v>3</v>
      </c>
      <c r="Q30" s="23" t="s">
        <v>279</v>
      </c>
    </row>
    <row r="31" spans="1:78" x14ac:dyDescent="0.2">
      <c r="A31" s="588">
        <v>29</v>
      </c>
      <c r="B31" s="42" t="s">
        <v>654</v>
      </c>
      <c r="C31" s="76">
        <v>406</v>
      </c>
      <c r="D31" s="44">
        <v>132070</v>
      </c>
      <c r="E31" s="23" t="s">
        <v>724</v>
      </c>
      <c r="F31" s="23" t="s">
        <v>725</v>
      </c>
      <c r="G31" s="49">
        <v>5</v>
      </c>
      <c r="H31" s="49" t="s">
        <v>726</v>
      </c>
      <c r="I31" s="49" t="s">
        <v>673</v>
      </c>
      <c r="J31" s="49">
        <v>1</v>
      </c>
      <c r="K31" s="49">
        <v>2</v>
      </c>
      <c r="L31" s="49">
        <v>0</v>
      </c>
      <c r="M31" s="49">
        <v>0</v>
      </c>
      <c r="N31" s="49">
        <v>0</v>
      </c>
      <c r="O31" s="49">
        <v>0</v>
      </c>
      <c r="P31" s="53">
        <f t="shared" si="0"/>
        <v>3</v>
      </c>
      <c r="Q31" s="23" t="s">
        <v>279</v>
      </c>
    </row>
    <row r="32" spans="1:78" x14ac:dyDescent="0.2">
      <c r="A32" s="588">
        <v>30</v>
      </c>
      <c r="B32" s="42" t="s">
        <v>654</v>
      </c>
      <c r="C32" s="76">
        <v>409</v>
      </c>
      <c r="D32" s="44">
        <v>133586</v>
      </c>
      <c r="E32" s="27" t="s">
        <v>46</v>
      </c>
      <c r="F32" s="27" t="s">
        <v>727</v>
      </c>
      <c r="G32" s="49">
        <v>23</v>
      </c>
      <c r="H32" s="49" t="s">
        <v>728</v>
      </c>
      <c r="I32" s="49"/>
      <c r="J32" s="49">
        <v>1</v>
      </c>
      <c r="K32" s="49">
        <v>2</v>
      </c>
      <c r="L32" s="49">
        <v>0</v>
      </c>
      <c r="M32" s="49"/>
      <c r="N32" s="49"/>
      <c r="O32" s="49"/>
      <c r="P32" s="53">
        <f t="shared" si="0"/>
        <v>3</v>
      </c>
      <c r="Q32" s="23" t="s">
        <v>279</v>
      </c>
    </row>
    <row r="33" spans="1:17" x14ac:dyDescent="0.2">
      <c r="A33" s="589">
        <v>31</v>
      </c>
      <c r="B33" s="42" t="s">
        <v>654</v>
      </c>
      <c r="C33" s="76">
        <v>409</v>
      </c>
      <c r="D33" s="44">
        <v>181127</v>
      </c>
      <c r="E33" s="27" t="s">
        <v>729</v>
      </c>
      <c r="F33" s="27" t="s">
        <v>186</v>
      </c>
      <c r="G33" s="49">
        <v>23</v>
      </c>
      <c r="H33" s="49" t="s">
        <v>730</v>
      </c>
      <c r="I33" s="49" t="s">
        <v>730</v>
      </c>
      <c r="J33" s="49">
        <v>0</v>
      </c>
      <c r="K33" s="49">
        <v>2</v>
      </c>
      <c r="L33" s="49">
        <v>0</v>
      </c>
      <c r="M33" s="49">
        <v>1</v>
      </c>
      <c r="N33" s="49">
        <v>0</v>
      </c>
      <c r="O33" s="49">
        <v>0</v>
      </c>
      <c r="P33" s="53">
        <f t="shared" si="0"/>
        <v>3</v>
      </c>
      <c r="Q33" s="23" t="s">
        <v>279</v>
      </c>
    </row>
    <row r="34" spans="1:17" ht="16" x14ac:dyDescent="0.2">
      <c r="A34" s="588">
        <v>32</v>
      </c>
      <c r="B34" s="42" t="s">
        <v>654</v>
      </c>
      <c r="C34" s="76">
        <v>411</v>
      </c>
      <c r="D34" s="44">
        <v>209295</v>
      </c>
      <c r="E34" s="23" t="s">
        <v>642</v>
      </c>
      <c r="F34" s="23" t="s">
        <v>376</v>
      </c>
      <c r="G34" s="54">
        <v>61</v>
      </c>
      <c r="H34" s="54" t="s">
        <v>731</v>
      </c>
      <c r="I34" s="54"/>
      <c r="J34" s="54">
        <v>1</v>
      </c>
      <c r="K34" s="54">
        <v>2</v>
      </c>
      <c r="L34" s="54">
        <v>0</v>
      </c>
      <c r="M34" s="54"/>
      <c r="N34" s="54"/>
      <c r="O34" s="54"/>
      <c r="P34" s="53">
        <f t="shared" si="0"/>
        <v>3</v>
      </c>
      <c r="Q34" s="24" t="s">
        <v>279</v>
      </c>
    </row>
    <row r="35" spans="1:17" ht="16" x14ac:dyDescent="0.2">
      <c r="A35" s="588">
        <v>33</v>
      </c>
      <c r="B35" s="42" t="s">
        <v>654</v>
      </c>
      <c r="C35" s="76">
        <v>403</v>
      </c>
      <c r="D35" s="44">
        <v>155869</v>
      </c>
      <c r="E35" s="23" t="s">
        <v>176</v>
      </c>
      <c r="F35" s="23" t="s">
        <v>732</v>
      </c>
      <c r="G35" s="54">
        <v>39</v>
      </c>
      <c r="H35" s="54" t="s">
        <v>733</v>
      </c>
      <c r="I35" s="54"/>
      <c r="J35" s="54">
        <v>0</v>
      </c>
      <c r="K35" s="54">
        <v>2</v>
      </c>
      <c r="L35" s="54">
        <v>0</v>
      </c>
      <c r="M35" s="54"/>
      <c r="N35" s="54"/>
      <c r="O35" s="54"/>
      <c r="P35" s="53">
        <f t="shared" ref="P35:P66" si="1">SUM(J35:O35)</f>
        <v>2</v>
      </c>
      <c r="Q35" s="24" t="s">
        <v>279</v>
      </c>
    </row>
    <row r="36" spans="1:17" x14ac:dyDescent="0.2">
      <c r="A36" s="589">
        <v>34</v>
      </c>
      <c r="B36" s="42" t="s">
        <v>654</v>
      </c>
      <c r="C36" s="76">
        <v>403</v>
      </c>
      <c r="D36" s="44">
        <v>112769</v>
      </c>
      <c r="E36" s="27" t="s">
        <v>265</v>
      </c>
      <c r="F36" s="27" t="s">
        <v>734</v>
      </c>
      <c r="G36" s="40">
        <v>49</v>
      </c>
      <c r="H36" s="40" t="s">
        <v>686</v>
      </c>
      <c r="I36" s="40" t="s">
        <v>663</v>
      </c>
      <c r="J36" s="40">
        <v>0</v>
      </c>
      <c r="K36" s="40">
        <v>2</v>
      </c>
      <c r="L36" s="40">
        <v>0</v>
      </c>
      <c r="M36" s="40">
        <v>0</v>
      </c>
      <c r="N36" s="40">
        <v>0</v>
      </c>
      <c r="O36" s="40">
        <v>0</v>
      </c>
      <c r="P36" s="53">
        <f t="shared" si="1"/>
        <v>2</v>
      </c>
      <c r="Q36" s="27" t="s">
        <v>279</v>
      </c>
    </row>
    <row r="37" spans="1:17" x14ac:dyDescent="0.2">
      <c r="A37" s="588">
        <v>35</v>
      </c>
      <c r="B37" s="42" t="s">
        <v>654</v>
      </c>
      <c r="C37" s="76">
        <v>403</v>
      </c>
      <c r="D37" s="45">
        <v>198042</v>
      </c>
      <c r="E37" s="37" t="s">
        <v>735</v>
      </c>
      <c r="F37" s="78" t="s">
        <v>611</v>
      </c>
      <c r="G37" s="66">
        <v>23</v>
      </c>
      <c r="H37" s="52" t="s">
        <v>664</v>
      </c>
      <c r="I37" s="52" t="s">
        <v>695</v>
      </c>
      <c r="J37" s="52">
        <v>0</v>
      </c>
      <c r="K37" s="52">
        <v>0</v>
      </c>
      <c r="L37" s="52">
        <v>0</v>
      </c>
      <c r="M37" s="52">
        <v>2</v>
      </c>
      <c r="N37" s="52">
        <v>0</v>
      </c>
      <c r="O37" s="52">
        <v>0</v>
      </c>
      <c r="P37" s="53">
        <f t="shared" si="1"/>
        <v>2</v>
      </c>
      <c r="Q37" s="37" t="s">
        <v>279</v>
      </c>
    </row>
    <row r="38" spans="1:17" x14ac:dyDescent="0.2">
      <c r="A38" s="588">
        <v>36</v>
      </c>
      <c r="B38" s="42" t="s">
        <v>654</v>
      </c>
      <c r="C38" s="42">
        <v>406</v>
      </c>
      <c r="D38" s="46">
        <v>215171</v>
      </c>
      <c r="E38" s="36" t="s">
        <v>736</v>
      </c>
      <c r="F38" s="36" t="s">
        <v>737</v>
      </c>
      <c r="G38" s="53">
        <v>50</v>
      </c>
      <c r="H38" s="53" t="s">
        <v>704</v>
      </c>
      <c r="I38" s="53"/>
      <c r="J38" s="53">
        <v>0</v>
      </c>
      <c r="K38" s="53">
        <v>2</v>
      </c>
      <c r="L38" s="53">
        <v>0</v>
      </c>
      <c r="M38" s="53"/>
      <c r="N38" s="53"/>
      <c r="O38" s="53"/>
      <c r="P38" s="53">
        <f t="shared" si="1"/>
        <v>2</v>
      </c>
      <c r="Q38" s="36" t="s">
        <v>279</v>
      </c>
    </row>
    <row r="39" spans="1:17" ht="16" x14ac:dyDescent="0.2">
      <c r="A39" s="589">
        <v>37</v>
      </c>
      <c r="B39" s="42" t="s">
        <v>654</v>
      </c>
      <c r="C39" s="42">
        <v>409</v>
      </c>
      <c r="D39" s="40">
        <v>209051</v>
      </c>
      <c r="E39" s="23" t="s">
        <v>738</v>
      </c>
      <c r="F39" s="23" t="s">
        <v>739</v>
      </c>
      <c r="G39" s="54">
        <v>61</v>
      </c>
      <c r="H39" s="54" t="s">
        <v>740</v>
      </c>
      <c r="I39" s="54"/>
      <c r="J39" s="54">
        <v>0</v>
      </c>
      <c r="K39" s="54">
        <v>2</v>
      </c>
      <c r="L39" s="54">
        <v>0</v>
      </c>
      <c r="M39" s="54"/>
      <c r="N39" s="54"/>
      <c r="O39" s="54"/>
      <c r="P39" s="53">
        <f t="shared" si="1"/>
        <v>2</v>
      </c>
      <c r="Q39" s="24" t="s">
        <v>279</v>
      </c>
    </row>
    <row r="40" spans="1:17" x14ac:dyDescent="0.2">
      <c r="A40" s="588">
        <v>38</v>
      </c>
      <c r="B40" s="81" t="s">
        <v>654</v>
      </c>
      <c r="C40" s="42">
        <v>409</v>
      </c>
      <c r="D40" s="40">
        <v>207764</v>
      </c>
      <c r="E40" s="23" t="s">
        <v>741</v>
      </c>
      <c r="F40" s="23" t="s">
        <v>742</v>
      </c>
      <c r="G40" s="40">
        <v>72</v>
      </c>
      <c r="H40" s="40" t="s">
        <v>743</v>
      </c>
      <c r="I40" s="40" t="s">
        <v>744</v>
      </c>
      <c r="J40" s="40">
        <v>0</v>
      </c>
      <c r="K40" s="40">
        <v>2</v>
      </c>
      <c r="L40" s="40">
        <v>0</v>
      </c>
      <c r="M40" s="40">
        <v>0</v>
      </c>
      <c r="N40" s="40">
        <v>0</v>
      </c>
      <c r="O40" s="40">
        <v>0</v>
      </c>
      <c r="P40" s="53">
        <f t="shared" si="1"/>
        <v>2</v>
      </c>
      <c r="Q40" s="27" t="s">
        <v>279</v>
      </c>
    </row>
    <row r="41" spans="1:17" x14ac:dyDescent="0.2">
      <c r="A41" s="588">
        <v>39</v>
      </c>
      <c r="B41" s="42" t="s">
        <v>654</v>
      </c>
      <c r="C41" s="42">
        <v>409</v>
      </c>
      <c r="D41" s="40">
        <v>207843</v>
      </c>
      <c r="E41" s="27" t="s">
        <v>745</v>
      </c>
      <c r="F41" s="27" t="s">
        <v>746</v>
      </c>
      <c r="G41" s="40">
        <v>72</v>
      </c>
      <c r="H41" s="40" t="s">
        <v>716</v>
      </c>
      <c r="I41" s="40"/>
      <c r="J41" s="40">
        <v>0</v>
      </c>
      <c r="K41" s="40">
        <v>2</v>
      </c>
      <c r="L41" s="40">
        <v>0</v>
      </c>
      <c r="M41" s="40"/>
      <c r="N41" s="40"/>
      <c r="O41" s="40"/>
      <c r="P41" s="53">
        <f t="shared" si="1"/>
        <v>2</v>
      </c>
      <c r="Q41" s="27" t="s">
        <v>279</v>
      </c>
    </row>
    <row r="42" spans="1:17" x14ac:dyDescent="0.2">
      <c r="A42" s="589">
        <v>40</v>
      </c>
      <c r="B42" s="42" t="s">
        <v>654</v>
      </c>
      <c r="C42" s="42">
        <v>411</v>
      </c>
      <c r="D42" s="41">
        <v>203677</v>
      </c>
      <c r="E42" s="37" t="s">
        <v>747</v>
      </c>
      <c r="F42" s="37" t="s">
        <v>748</v>
      </c>
      <c r="G42" s="52">
        <v>37</v>
      </c>
      <c r="H42" s="52" t="s">
        <v>694</v>
      </c>
      <c r="I42" s="52"/>
      <c r="J42" s="52">
        <v>0</v>
      </c>
      <c r="K42" s="52">
        <v>2</v>
      </c>
      <c r="L42" s="52">
        <v>0</v>
      </c>
      <c r="M42" s="52"/>
      <c r="N42" s="52"/>
      <c r="O42" s="52"/>
      <c r="P42" s="53">
        <f t="shared" si="1"/>
        <v>2</v>
      </c>
      <c r="Q42" s="37" t="s">
        <v>279</v>
      </c>
    </row>
    <row r="43" spans="1:17" x14ac:dyDescent="0.2">
      <c r="A43" s="588">
        <v>41</v>
      </c>
      <c r="B43" s="81" t="s">
        <v>654</v>
      </c>
      <c r="C43" s="42">
        <v>411</v>
      </c>
      <c r="D43" s="46">
        <v>147244</v>
      </c>
      <c r="E43" s="34" t="s">
        <v>749</v>
      </c>
      <c r="F43" s="34" t="s">
        <v>750</v>
      </c>
      <c r="G43" s="46">
        <v>72</v>
      </c>
      <c r="H43" s="46" t="s">
        <v>751</v>
      </c>
      <c r="I43" s="46"/>
      <c r="J43" s="46">
        <v>0</v>
      </c>
      <c r="K43" s="46">
        <v>2</v>
      </c>
      <c r="L43" s="46">
        <v>0</v>
      </c>
      <c r="M43" s="46"/>
      <c r="N43" s="46"/>
      <c r="O43" s="46"/>
      <c r="P43" s="53">
        <f t="shared" si="1"/>
        <v>2</v>
      </c>
      <c r="Q43" s="34" t="s">
        <v>279</v>
      </c>
    </row>
    <row r="44" spans="1:17" ht="31" x14ac:dyDescent="0.2">
      <c r="A44" s="588">
        <v>42</v>
      </c>
      <c r="B44" s="42" t="s">
        <v>654</v>
      </c>
      <c r="C44" s="42">
        <v>411</v>
      </c>
      <c r="D44" s="43">
        <v>182682</v>
      </c>
      <c r="E44" s="33" t="s">
        <v>185</v>
      </c>
      <c r="F44" s="33" t="s">
        <v>752</v>
      </c>
      <c r="G44" s="51" t="s">
        <v>122</v>
      </c>
      <c r="H44" s="51" t="s">
        <v>753</v>
      </c>
      <c r="I44" s="51" t="s">
        <v>754</v>
      </c>
      <c r="J44" s="51">
        <v>0</v>
      </c>
      <c r="K44" s="51">
        <v>2</v>
      </c>
      <c r="L44" s="51">
        <v>0</v>
      </c>
      <c r="M44" s="51">
        <v>0</v>
      </c>
      <c r="N44" s="51">
        <v>0</v>
      </c>
      <c r="O44" s="51">
        <v>0</v>
      </c>
      <c r="P44" s="53">
        <f t="shared" si="1"/>
        <v>2</v>
      </c>
      <c r="Q44" s="22" t="s">
        <v>279</v>
      </c>
    </row>
    <row r="45" spans="1:17" ht="16" x14ac:dyDescent="0.2">
      <c r="A45" s="589">
        <v>43</v>
      </c>
      <c r="B45" s="42" t="s">
        <v>654</v>
      </c>
      <c r="C45" s="42">
        <v>411</v>
      </c>
      <c r="D45" s="64">
        <v>194721</v>
      </c>
      <c r="E45" s="65" t="s">
        <v>755</v>
      </c>
      <c r="F45" s="65" t="s">
        <v>756</v>
      </c>
      <c r="G45" s="50" t="s">
        <v>122</v>
      </c>
      <c r="H45" s="50" t="s">
        <v>757</v>
      </c>
      <c r="I45" s="50" t="s">
        <v>693</v>
      </c>
      <c r="J45" s="50">
        <v>0</v>
      </c>
      <c r="K45" s="50">
        <v>2</v>
      </c>
      <c r="L45" s="50">
        <v>0</v>
      </c>
      <c r="M45" s="50">
        <v>0</v>
      </c>
      <c r="N45" s="50">
        <v>0</v>
      </c>
      <c r="O45" s="50">
        <v>0</v>
      </c>
      <c r="P45" s="53">
        <f t="shared" si="1"/>
        <v>2</v>
      </c>
      <c r="Q45" s="25" t="s">
        <v>279</v>
      </c>
    </row>
    <row r="46" spans="1:17" x14ac:dyDescent="0.2">
      <c r="A46" s="588">
        <v>44</v>
      </c>
      <c r="B46" s="81" t="s">
        <v>654</v>
      </c>
      <c r="C46" s="42">
        <v>406</v>
      </c>
      <c r="D46" s="47">
        <v>83635</v>
      </c>
      <c r="E46" s="35" t="s">
        <v>40</v>
      </c>
      <c r="F46" s="35" t="s">
        <v>758</v>
      </c>
      <c r="G46" s="53">
        <v>17</v>
      </c>
      <c r="H46" s="53" t="s">
        <v>759</v>
      </c>
      <c r="I46" s="53"/>
      <c r="J46" s="53">
        <v>1</v>
      </c>
      <c r="K46" s="53">
        <v>0</v>
      </c>
      <c r="L46" s="53">
        <v>0</v>
      </c>
      <c r="M46" s="53"/>
      <c r="N46" s="53"/>
      <c r="O46" s="53"/>
      <c r="P46" s="53">
        <f t="shared" si="1"/>
        <v>1</v>
      </c>
      <c r="Q46" s="36" t="s">
        <v>279</v>
      </c>
    </row>
    <row r="47" spans="1:17" x14ac:dyDescent="0.2">
      <c r="A47" s="588">
        <v>45</v>
      </c>
      <c r="B47" s="42" t="s">
        <v>654</v>
      </c>
      <c r="C47" s="42">
        <v>409</v>
      </c>
      <c r="D47" s="41">
        <v>147227</v>
      </c>
      <c r="E47" s="37" t="s">
        <v>760</v>
      </c>
      <c r="F47" s="37" t="s">
        <v>761</v>
      </c>
      <c r="G47" s="41">
        <v>72</v>
      </c>
      <c r="H47" s="41" t="s">
        <v>744</v>
      </c>
      <c r="I47" s="41"/>
      <c r="J47" s="41">
        <v>1</v>
      </c>
      <c r="K47" s="41">
        <v>0</v>
      </c>
      <c r="L47" s="41">
        <v>0</v>
      </c>
      <c r="M47" s="41"/>
      <c r="N47" s="41"/>
      <c r="O47" s="41"/>
      <c r="P47" s="53">
        <f t="shared" si="1"/>
        <v>1</v>
      </c>
      <c r="Q47" s="32" t="s">
        <v>279</v>
      </c>
    </row>
    <row r="48" spans="1:17" x14ac:dyDescent="0.2">
      <c r="A48" s="589">
        <v>46</v>
      </c>
      <c r="B48" s="42" t="s">
        <v>654</v>
      </c>
      <c r="C48" s="42">
        <v>411</v>
      </c>
      <c r="D48" s="47">
        <v>193784</v>
      </c>
      <c r="E48" s="35" t="s">
        <v>762</v>
      </c>
      <c r="F48" s="35" t="s">
        <v>600</v>
      </c>
      <c r="G48" s="53">
        <v>17</v>
      </c>
      <c r="H48" s="53" t="s">
        <v>763</v>
      </c>
      <c r="I48" s="53"/>
      <c r="J48" s="53">
        <v>1</v>
      </c>
      <c r="K48" s="53">
        <v>0</v>
      </c>
      <c r="L48" s="53">
        <v>0</v>
      </c>
      <c r="M48" s="53"/>
      <c r="N48" s="53"/>
      <c r="O48" s="53"/>
      <c r="P48" s="53">
        <f t="shared" si="1"/>
        <v>1</v>
      </c>
      <c r="Q48" s="36" t="s">
        <v>279</v>
      </c>
    </row>
    <row r="49" spans="1:17" ht="16" x14ac:dyDescent="0.2">
      <c r="A49" s="588">
        <v>47</v>
      </c>
      <c r="B49" s="81" t="s">
        <v>654</v>
      </c>
      <c r="C49" s="42">
        <v>411</v>
      </c>
      <c r="D49" s="43">
        <v>161195</v>
      </c>
      <c r="E49" s="33" t="s">
        <v>305</v>
      </c>
      <c r="F49" s="33" t="s">
        <v>764</v>
      </c>
      <c r="G49" s="51" t="s">
        <v>152</v>
      </c>
      <c r="H49" s="51" t="s">
        <v>709</v>
      </c>
      <c r="I49" s="51" t="s">
        <v>708</v>
      </c>
      <c r="J49" s="51">
        <v>0</v>
      </c>
      <c r="K49" s="51">
        <v>0</v>
      </c>
      <c r="L49" s="51">
        <v>0</v>
      </c>
      <c r="M49" s="51">
        <v>1</v>
      </c>
      <c r="N49" s="51">
        <v>0</v>
      </c>
      <c r="O49" s="51">
        <v>0</v>
      </c>
      <c r="P49" s="53">
        <f t="shared" si="1"/>
        <v>1</v>
      </c>
      <c r="Q49" s="22" t="s">
        <v>279</v>
      </c>
    </row>
    <row r="50" spans="1:17" ht="16" x14ac:dyDescent="0.2">
      <c r="A50" s="588">
        <v>48</v>
      </c>
      <c r="B50" s="81" t="s">
        <v>654</v>
      </c>
      <c r="C50" s="42">
        <v>403</v>
      </c>
      <c r="D50" s="40">
        <v>148438</v>
      </c>
      <c r="E50" s="26" t="s">
        <v>765</v>
      </c>
      <c r="F50" s="26" t="s">
        <v>217</v>
      </c>
      <c r="G50" s="54">
        <v>39</v>
      </c>
      <c r="H50" s="54" t="s">
        <v>766</v>
      </c>
      <c r="I50" s="54"/>
      <c r="J50" s="54">
        <v>0</v>
      </c>
      <c r="K50" s="54">
        <v>0</v>
      </c>
      <c r="L50" s="54">
        <v>0</v>
      </c>
      <c r="M50" s="54"/>
      <c r="N50" s="54"/>
      <c r="O50" s="54"/>
      <c r="P50" s="53">
        <f t="shared" si="1"/>
        <v>0</v>
      </c>
      <c r="Q50" s="24" t="s">
        <v>279</v>
      </c>
    </row>
    <row r="51" spans="1:17" ht="16" x14ac:dyDescent="0.2">
      <c r="A51" s="589">
        <v>49</v>
      </c>
      <c r="B51" s="42" t="s">
        <v>654</v>
      </c>
      <c r="C51" s="42">
        <v>403</v>
      </c>
      <c r="D51" s="40">
        <v>148795</v>
      </c>
      <c r="E51" s="23" t="s">
        <v>646</v>
      </c>
      <c r="F51" s="38" t="s">
        <v>767</v>
      </c>
      <c r="G51" s="67">
        <v>39</v>
      </c>
      <c r="H51" s="54" t="s">
        <v>768</v>
      </c>
      <c r="I51" s="54"/>
      <c r="J51" s="54">
        <v>0</v>
      </c>
      <c r="K51" s="54">
        <v>0</v>
      </c>
      <c r="L51" s="54">
        <v>0</v>
      </c>
      <c r="M51" s="54"/>
      <c r="N51" s="54"/>
      <c r="O51" s="54"/>
      <c r="P51" s="53">
        <f t="shared" si="1"/>
        <v>0</v>
      </c>
      <c r="Q51" s="24" t="s">
        <v>279</v>
      </c>
    </row>
    <row r="52" spans="1:17" x14ac:dyDescent="0.2">
      <c r="A52" s="588">
        <v>50</v>
      </c>
      <c r="B52" s="42" t="s">
        <v>654</v>
      </c>
      <c r="C52" s="42">
        <v>403</v>
      </c>
      <c r="D52" s="40">
        <v>109774</v>
      </c>
      <c r="E52" s="27" t="s">
        <v>293</v>
      </c>
      <c r="F52" s="79" t="s">
        <v>769</v>
      </c>
      <c r="G52" s="44">
        <v>49</v>
      </c>
      <c r="H52" s="40" t="s">
        <v>770</v>
      </c>
      <c r="I52" s="40"/>
      <c r="J52" s="40">
        <v>0</v>
      </c>
      <c r="K52" s="40">
        <v>0</v>
      </c>
      <c r="L52" s="40">
        <v>0</v>
      </c>
      <c r="M52" s="40"/>
      <c r="N52" s="40"/>
      <c r="O52" s="40"/>
      <c r="P52" s="53">
        <f t="shared" si="1"/>
        <v>0</v>
      </c>
      <c r="Q52" s="27" t="s">
        <v>279</v>
      </c>
    </row>
    <row r="53" spans="1:17" ht="16" x14ac:dyDescent="0.2">
      <c r="A53" s="588">
        <v>51</v>
      </c>
      <c r="B53" s="42" t="s">
        <v>654</v>
      </c>
      <c r="C53" s="42">
        <v>403</v>
      </c>
      <c r="D53" s="40">
        <v>209371</v>
      </c>
      <c r="E53" s="23" t="s">
        <v>670</v>
      </c>
      <c r="F53" s="23" t="s">
        <v>771</v>
      </c>
      <c r="G53" s="54">
        <v>61</v>
      </c>
      <c r="H53" s="54" t="s">
        <v>772</v>
      </c>
      <c r="I53" s="54"/>
      <c r="J53" s="54">
        <v>0</v>
      </c>
      <c r="K53" s="54">
        <v>0</v>
      </c>
      <c r="L53" s="54">
        <v>0</v>
      </c>
      <c r="M53" s="54"/>
      <c r="N53" s="54"/>
      <c r="O53" s="54"/>
      <c r="P53" s="53">
        <f t="shared" si="1"/>
        <v>0</v>
      </c>
      <c r="Q53" s="24" t="s">
        <v>279</v>
      </c>
    </row>
    <row r="54" spans="1:17" x14ac:dyDescent="0.2">
      <c r="A54" s="589">
        <v>52</v>
      </c>
      <c r="B54" s="81" t="s">
        <v>654</v>
      </c>
      <c r="C54" s="42">
        <v>405</v>
      </c>
      <c r="D54" s="40">
        <v>181146</v>
      </c>
      <c r="E54" s="23" t="s">
        <v>773</v>
      </c>
      <c r="F54" s="23" t="s">
        <v>452</v>
      </c>
      <c r="G54" s="49">
        <v>23</v>
      </c>
      <c r="H54" s="49" t="s">
        <v>774</v>
      </c>
      <c r="I54" s="49"/>
      <c r="J54" s="49">
        <v>0</v>
      </c>
      <c r="K54" s="49">
        <v>0</v>
      </c>
      <c r="L54" s="49">
        <v>0</v>
      </c>
      <c r="M54" s="49"/>
      <c r="N54" s="49"/>
      <c r="O54" s="49"/>
      <c r="P54" s="53">
        <f t="shared" si="1"/>
        <v>0</v>
      </c>
      <c r="Q54" s="23" t="s">
        <v>279</v>
      </c>
    </row>
    <row r="55" spans="1:17" x14ac:dyDescent="0.2">
      <c r="A55" s="588">
        <v>53</v>
      </c>
      <c r="B55" s="42" t="s">
        <v>654</v>
      </c>
      <c r="C55" s="42">
        <v>405</v>
      </c>
      <c r="D55" s="40">
        <v>165180</v>
      </c>
      <c r="E55" s="23" t="s">
        <v>775</v>
      </c>
      <c r="F55" s="23" t="s">
        <v>115</v>
      </c>
      <c r="G55" s="49">
        <v>23</v>
      </c>
      <c r="H55" s="49" t="s">
        <v>776</v>
      </c>
      <c r="I55" s="49" t="s">
        <v>776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53">
        <f t="shared" si="1"/>
        <v>0</v>
      </c>
      <c r="Q55" s="23" t="s">
        <v>279</v>
      </c>
    </row>
    <row r="56" spans="1:17" x14ac:dyDescent="0.2">
      <c r="A56" s="588">
        <v>54</v>
      </c>
      <c r="B56" s="42" t="s">
        <v>654</v>
      </c>
      <c r="C56" s="42">
        <v>405</v>
      </c>
      <c r="D56" s="40">
        <v>151134</v>
      </c>
      <c r="E56" s="23" t="s">
        <v>777</v>
      </c>
      <c r="F56" s="23" t="s">
        <v>778</v>
      </c>
      <c r="G56" s="49">
        <v>24</v>
      </c>
      <c r="H56" s="49" t="s">
        <v>779</v>
      </c>
      <c r="I56" s="49" t="s">
        <v>774</v>
      </c>
      <c r="J56" s="49">
        <v>0</v>
      </c>
      <c r="K56" s="49">
        <v>0</v>
      </c>
      <c r="L56" s="49">
        <v>0</v>
      </c>
      <c r="M56" s="49"/>
      <c r="N56" s="49">
        <v>0</v>
      </c>
      <c r="O56" s="49">
        <v>0</v>
      </c>
      <c r="P56" s="53">
        <f t="shared" si="1"/>
        <v>0</v>
      </c>
      <c r="Q56" s="23" t="s">
        <v>279</v>
      </c>
    </row>
    <row r="57" spans="1:17" x14ac:dyDescent="0.2">
      <c r="A57" s="589">
        <v>55</v>
      </c>
      <c r="B57" s="81" t="s">
        <v>654</v>
      </c>
      <c r="C57" s="42">
        <v>405</v>
      </c>
      <c r="D57" s="40">
        <v>151121</v>
      </c>
      <c r="E57" s="23" t="s">
        <v>512</v>
      </c>
      <c r="F57" s="23" t="s">
        <v>780</v>
      </c>
      <c r="G57" s="49">
        <v>24</v>
      </c>
      <c r="H57" s="49" t="s">
        <v>723</v>
      </c>
      <c r="I57" s="49"/>
      <c r="J57" s="49">
        <v>0</v>
      </c>
      <c r="K57" s="49">
        <v>0</v>
      </c>
      <c r="L57" s="49">
        <v>0</v>
      </c>
      <c r="M57" s="49"/>
      <c r="N57" s="49"/>
      <c r="O57" s="49"/>
      <c r="P57" s="53">
        <f t="shared" si="1"/>
        <v>0</v>
      </c>
      <c r="Q57" s="23" t="s">
        <v>279</v>
      </c>
    </row>
    <row r="58" spans="1:17" x14ac:dyDescent="0.2">
      <c r="A58" s="588">
        <v>56</v>
      </c>
      <c r="B58" s="42" t="s">
        <v>654</v>
      </c>
      <c r="C58" s="42">
        <v>406</v>
      </c>
      <c r="D58" s="40">
        <v>148762</v>
      </c>
      <c r="E58" s="23" t="s">
        <v>93</v>
      </c>
      <c r="F58" s="38" t="s">
        <v>681</v>
      </c>
      <c r="G58" s="55">
        <v>50</v>
      </c>
      <c r="H58" s="53" t="s">
        <v>781</v>
      </c>
      <c r="I58" s="53" t="s">
        <v>759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f t="shared" si="1"/>
        <v>0</v>
      </c>
      <c r="Q58" s="36" t="s">
        <v>279</v>
      </c>
    </row>
    <row r="59" spans="1:17" x14ac:dyDescent="0.2">
      <c r="A59" s="588">
        <v>57</v>
      </c>
      <c r="B59" s="42" t="s">
        <v>654</v>
      </c>
      <c r="C59" s="42">
        <v>406</v>
      </c>
      <c r="D59" s="40">
        <v>215223</v>
      </c>
      <c r="E59" s="23" t="s">
        <v>782</v>
      </c>
      <c r="F59" s="38" t="s">
        <v>783</v>
      </c>
      <c r="G59" s="80">
        <v>50</v>
      </c>
      <c r="H59" s="49" t="s">
        <v>699</v>
      </c>
      <c r="I59" s="49"/>
      <c r="J59" s="49">
        <v>0</v>
      </c>
      <c r="K59" s="49">
        <v>0</v>
      </c>
      <c r="L59" s="49">
        <v>0</v>
      </c>
      <c r="M59" s="49"/>
      <c r="N59" s="49"/>
      <c r="O59" s="49"/>
      <c r="P59" s="53">
        <f t="shared" si="1"/>
        <v>0</v>
      </c>
      <c r="Q59" s="23" t="s">
        <v>279</v>
      </c>
    </row>
    <row r="60" spans="1:17" x14ac:dyDescent="0.2">
      <c r="A60" s="589">
        <v>58</v>
      </c>
      <c r="B60" s="81" t="s">
        <v>654</v>
      </c>
      <c r="C60" s="42">
        <v>406</v>
      </c>
      <c r="D60" s="40">
        <v>207370</v>
      </c>
      <c r="E60" s="23" t="s">
        <v>427</v>
      </c>
      <c r="F60" s="38" t="s">
        <v>637</v>
      </c>
      <c r="G60" s="45">
        <v>57</v>
      </c>
      <c r="H60" s="41" t="s">
        <v>688</v>
      </c>
      <c r="I60" s="41"/>
      <c r="J60" s="41">
        <v>0</v>
      </c>
      <c r="K60" s="41">
        <v>0</v>
      </c>
      <c r="L60" s="41">
        <v>0</v>
      </c>
      <c r="M60" s="41"/>
      <c r="N60" s="41"/>
      <c r="O60" s="41"/>
      <c r="P60" s="53">
        <f t="shared" si="1"/>
        <v>0</v>
      </c>
      <c r="Q60" s="32" t="s">
        <v>279</v>
      </c>
    </row>
    <row r="61" spans="1:17" x14ac:dyDescent="0.2">
      <c r="A61" s="588">
        <v>59</v>
      </c>
      <c r="B61" s="42" t="s">
        <v>654</v>
      </c>
      <c r="C61" s="42">
        <v>406</v>
      </c>
      <c r="D61" s="40">
        <v>207024</v>
      </c>
      <c r="E61" s="23" t="s">
        <v>784</v>
      </c>
      <c r="F61" s="38" t="s">
        <v>785</v>
      </c>
      <c r="G61" s="56">
        <v>57</v>
      </c>
      <c r="H61" s="46" t="s">
        <v>786</v>
      </c>
      <c r="I61" s="46"/>
      <c r="J61" s="46">
        <v>0</v>
      </c>
      <c r="K61" s="46">
        <v>0</v>
      </c>
      <c r="L61" s="46">
        <v>0</v>
      </c>
      <c r="M61" s="46"/>
      <c r="N61" s="46"/>
      <c r="O61" s="46"/>
      <c r="P61" s="53">
        <f t="shared" si="1"/>
        <v>0</v>
      </c>
      <c r="Q61" s="34" t="s">
        <v>279</v>
      </c>
    </row>
    <row r="62" spans="1:17" x14ac:dyDescent="0.2">
      <c r="A62" s="588">
        <v>60</v>
      </c>
      <c r="B62" s="42" t="s">
        <v>654</v>
      </c>
      <c r="C62" s="42">
        <v>406</v>
      </c>
      <c r="D62" s="40">
        <v>206993</v>
      </c>
      <c r="E62" s="27" t="s">
        <v>50</v>
      </c>
      <c r="F62" s="27" t="s">
        <v>787</v>
      </c>
      <c r="G62" s="40">
        <v>57</v>
      </c>
      <c r="H62" s="40" t="s">
        <v>788</v>
      </c>
      <c r="I62" s="40"/>
      <c r="J62" s="40">
        <v>0</v>
      </c>
      <c r="K62" s="40">
        <v>0</v>
      </c>
      <c r="L62" s="40">
        <v>0</v>
      </c>
      <c r="M62" s="40"/>
      <c r="N62" s="40"/>
      <c r="O62" s="40"/>
      <c r="P62" s="53">
        <f t="shared" si="1"/>
        <v>0</v>
      </c>
      <c r="Q62" s="27" t="s">
        <v>279</v>
      </c>
    </row>
    <row r="63" spans="1:17" ht="16" x14ac:dyDescent="0.2">
      <c r="A63" s="589">
        <v>61</v>
      </c>
      <c r="B63" s="42" t="s">
        <v>654</v>
      </c>
      <c r="C63" s="42">
        <v>406</v>
      </c>
      <c r="D63" s="40">
        <v>209413</v>
      </c>
      <c r="E63" s="23" t="s">
        <v>789</v>
      </c>
      <c r="F63" s="23" t="s">
        <v>790</v>
      </c>
      <c r="G63" s="54">
        <v>61</v>
      </c>
      <c r="H63" s="54" t="s">
        <v>791</v>
      </c>
      <c r="I63" s="54"/>
      <c r="J63" s="54">
        <v>0</v>
      </c>
      <c r="K63" s="54">
        <v>0</v>
      </c>
      <c r="L63" s="54">
        <v>0</v>
      </c>
      <c r="M63" s="54"/>
      <c r="N63" s="54"/>
      <c r="O63" s="54"/>
      <c r="P63" s="53">
        <f t="shared" si="1"/>
        <v>0</v>
      </c>
      <c r="Q63" s="24" t="s">
        <v>279</v>
      </c>
    </row>
    <row r="64" spans="1:17" ht="16" x14ac:dyDescent="0.2">
      <c r="A64" s="588">
        <v>62</v>
      </c>
      <c r="B64" s="42" t="s">
        <v>654</v>
      </c>
      <c r="C64" s="42">
        <v>409</v>
      </c>
      <c r="D64" s="40">
        <v>209022</v>
      </c>
      <c r="E64" s="23" t="s">
        <v>387</v>
      </c>
      <c r="F64" s="23" t="s">
        <v>792</v>
      </c>
      <c r="G64" s="54">
        <v>61</v>
      </c>
      <c r="H64" s="54" t="s">
        <v>793</v>
      </c>
      <c r="I64" s="54"/>
      <c r="J64" s="54">
        <v>0</v>
      </c>
      <c r="K64" s="54">
        <v>0</v>
      </c>
      <c r="L64" s="54">
        <v>0</v>
      </c>
      <c r="M64" s="54"/>
      <c r="N64" s="54"/>
      <c r="O64" s="54"/>
      <c r="P64" s="53">
        <f t="shared" si="1"/>
        <v>0</v>
      </c>
      <c r="Q64" s="24" t="s">
        <v>279</v>
      </c>
    </row>
    <row r="65" spans="1:17" ht="16" x14ac:dyDescent="0.2">
      <c r="A65" s="588">
        <v>63</v>
      </c>
      <c r="B65" s="42" t="s">
        <v>654</v>
      </c>
      <c r="C65" s="42">
        <v>409</v>
      </c>
      <c r="D65" s="41">
        <v>209287</v>
      </c>
      <c r="E65" s="37" t="s">
        <v>794</v>
      </c>
      <c r="F65" s="37" t="s">
        <v>795</v>
      </c>
      <c r="G65" s="233">
        <v>61</v>
      </c>
      <c r="H65" s="233" t="s">
        <v>719</v>
      </c>
      <c r="I65" s="233"/>
      <c r="J65" s="233">
        <v>0</v>
      </c>
      <c r="K65" s="233">
        <v>0</v>
      </c>
      <c r="L65" s="233">
        <v>0</v>
      </c>
      <c r="M65" s="233"/>
      <c r="N65" s="233"/>
      <c r="O65" s="233"/>
      <c r="P65" s="53">
        <f t="shared" si="1"/>
        <v>0</v>
      </c>
      <c r="Q65" s="234" t="s">
        <v>279</v>
      </c>
    </row>
    <row r="66" spans="1:17" x14ac:dyDescent="0.2">
      <c r="A66" s="589">
        <v>64</v>
      </c>
      <c r="B66" s="42" t="s">
        <v>654</v>
      </c>
      <c r="C66" s="42">
        <v>409</v>
      </c>
      <c r="D66" s="46">
        <v>88829</v>
      </c>
      <c r="E66" s="36" t="s">
        <v>796</v>
      </c>
      <c r="F66" s="36" t="s">
        <v>797</v>
      </c>
      <c r="G66" s="48" t="s">
        <v>61</v>
      </c>
      <c r="H66" s="48" t="s">
        <v>798</v>
      </c>
      <c r="I66" s="48" t="s">
        <v>740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53">
        <f t="shared" si="1"/>
        <v>0</v>
      </c>
      <c r="Q66" s="20" t="s">
        <v>279</v>
      </c>
    </row>
    <row r="67" spans="1:17" x14ac:dyDescent="0.2">
      <c r="A67" s="588">
        <v>65</v>
      </c>
      <c r="B67" s="42" t="s">
        <v>654</v>
      </c>
      <c r="C67" s="42">
        <v>409</v>
      </c>
      <c r="D67" s="94">
        <v>193713</v>
      </c>
      <c r="E67" s="96" t="s">
        <v>273</v>
      </c>
      <c r="F67" s="96" t="s">
        <v>218</v>
      </c>
      <c r="G67" s="94">
        <v>49</v>
      </c>
      <c r="H67" s="94" t="s">
        <v>279</v>
      </c>
      <c r="I67" s="94" t="s">
        <v>793</v>
      </c>
      <c r="J67" s="94"/>
      <c r="K67" s="94"/>
      <c r="L67" s="94"/>
      <c r="M67" s="94">
        <v>0</v>
      </c>
      <c r="N67" s="94">
        <v>0</v>
      </c>
      <c r="O67" s="94">
        <v>0</v>
      </c>
      <c r="P67" s="53">
        <f t="shared" ref="P67:P71" si="2">SUM(J67:O67)</f>
        <v>0</v>
      </c>
      <c r="Q67" s="135" t="s">
        <v>279</v>
      </c>
    </row>
    <row r="68" spans="1:17" x14ac:dyDescent="0.2">
      <c r="A68" s="588">
        <v>66</v>
      </c>
      <c r="B68" s="42" t="s">
        <v>654</v>
      </c>
      <c r="C68" s="42">
        <v>411</v>
      </c>
      <c r="D68" s="46">
        <v>166501</v>
      </c>
      <c r="E68" s="36" t="s">
        <v>799</v>
      </c>
      <c r="F68" s="36" t="s">
        <v>800</v>
      </c>
      <c r="G68" s="53">
        <v>23</v>
      </c>
      <c r="H68" s="53" t="s">
        <v>801</v>
      </c>
      <c r="I68" s="53" t="s">
        <v>706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f t="shared" si="2"/>
        <v>0</v>
      </c>
      <c r="Q68" s="36" t="s">
        <v>279</v>
      </c>
    </row>
    <row r="69" spans="1:17" x14ac:dyDescent="0.2">
      <c r="A69" s="589">
        <v>67</v>
      </c>
      <c r="B69" s="42" t="s">
        <v>654</v>
      </c>
      <c r="C69" s="42">
        <v>411</v>
      </c>
      <c r="D69" s="40">
        <v>213327</v>
      </c>
      <c r="E69" s="23" t="s">
        <v>273</v>
      </c>
      <c r="F69" s="23" t="s">
        <v>432</v>
      </c>
      <c r="G69" s="49">
        <v>50</v>
      </c>
      <c r="H69" s="49" t="s">
        <v>658</v>
      </c>
      <c r="I69" s="49"/>
      <c r="J69" s="49">
        <v>0</v>
      </c>
      <c r="K69" s="49">
        <v>0</v>
      </c>
      <c r="L69" s="49">
        <v>0</v>
      </c>
      <c r="M69" s="49"/>
      <c r="N69" s="49"/>
      <c r="O69" s="49"/>
      <c r="P69" s="53">
        <f t="shared" si="2"/>
        <v>0</v>
      </c>
      <c r="Q69" s="23" t="s">
        <v>279</v>
      </c>
    </row>
    <row r="70" spans="1:17" x14ac:dyDescent="0.2">
      <c r="A70" s="588">
        <v>68</v>
      </c>
      <c r="B70" s="42" t="s">
        <v>654</v>
      </c>
      <c r="C70" s="42">
        <v>411</v>
      </c>
      <c r="D70" s="40">
        <v>205910</v>
      </c>
      <c r="E70" s="27" t="s">
        <v>114</v>
      </c>
      <c r="F70" s="27" t="s">
        <v>802</v>
      </c>
      <c r="G70" s="40">
        <v>57</v>
      </c>
      <c r="H70" s="40" t="s">
        <v>754</v>
      </c>
      <c r="I70" s="40"/>
      <c r="J70" s="40">
        <v>0</v>
      </c>
      <c r="K70" s="40">
        <v>0</v>
      </c>
      <c r="L70" s="40">
        <v>0</v>
      </c>
      <c r="M70" s="40"/>
      <c r="N70" s="40"/>
      <c r="O70" s="40"/>
      <c r="P70" s="53">
        <f t="shared" si="2"/>
        <v>0</v>
      </c>
      <c r="Q70" s="27" t="s">
        <v>279</v>
      </c>
    </row>
    <row r="71" spans="1:17" x14ac:dyDescent="0.2">
      <c r="A71" s="588">
        <v>69</v>
      </c>
      <c r="B71" s="42" t="s">
        <v>654</v>
      </c>
      <c r="C71" s="42">
        <v>411</v>
      </c>
      <c r="D71" s="40">
        <v>207836</v>
      </c>
      <c r="E71" s="39" t="s">
        <v>803</v>
      </c>
      <c r="F71" s="39" t="s">
        <v>665</v>
      </c>
      <c r="G71" s="40">
        <v>72</v>
      </c>
      <c r="H71" s="40" t="s">
        <v>804</v>
      </c>
      <c r="I71" s="40"/>
      <c r="J71" s="40">
        <v>0</v>
      </c>
      <c r="K71" s="40">
        <v>0</v>
      </c>
      <c r="L71" s="40">
        <v>0</v>
      </c>
      <c r="M71" s="40"/>
      <c r="N71" s="40"/>
      <c r="O71" s="40"/>
      <c r="P71" s="53">
        <f t="shared" si="2"/>
        <v>0</v>
      </c>
      <c r="Q71" s="27" t="s">
        <v>279</v>
      </c>
    </row>
    <row r="72" spans="1:17" x14ac:dyDescent="0.2">
      <c r="G72" s="72"/>
      <c r="H72" s="72"/>
      <c r="I72" s="72"/>
      <c r="J72" s="72"/>
      <c r="K72" s="72"/>
      <c r="L72" s="72"/>
      <c r="M72" s="72"/>
      <c r="N72" s="72"/>
      <c r="O72" s="72"/>
      <c r="P72" s="72"/>
    </row>
    <row r="73" spans="1:17" x14ac:dyDescent="0.2">
      <c r="G73" s="72"/>
      <c r="H73" s="72"/>
      <c r="I73" s="72"/>
      <c r="J73" s="72"/>
      <c r="K73" s="72"/>
      <c r="L73" s="72"/>
      <c r="M73" s="72"/>
      <c r="N73" s="72"/>
      <c r="O73" s="72"/>
      <c r="P73" s="72"/>
    </row>
    <row r="74" spans="1:17" x14ac:dyDescent="0.2">
      <c r="G74" s="72"/>
      <c r="H74" s="72"/>
      <c r="I74" s="72"/>
      <c r="J74" s="72"/>
      <c r="K74" s="72"/>
      <c r="L74" s="72"/>
      <c r="M74" s="72"/>
      <c r="N74" s="72"/>
      <c r="O74" s="72"/>
      <c r="P74" s="72"/>
    </row>
  </sheetData>
  <sortState xmlns:xlrd2="http://schemas.microsoft.com/office/spreadsheetml/2017/richdata2" ref="A3:Q74">
    <sortCondition descending="1" ref="P3:P74"/>
  </sortState>
  <mergeCells count="1">
    <mergeCell ref="A1:Q1"/>
  </mergeCells>
  <pageMargins left="0.7" right="0.7" top="0.75" bottom="0.75" header="0.3" footer="0.3"/>
  <pageSetup paperSize="9" scale="8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1208-7E90-4E51-AAFD-24E86D1A102A}">
  <dimension ref="A1:BP14"/>
  <sheetViews>
    <sheetView zoomScale="116" zoomScaleNormal="160" workbookViewId="0">
      <selection activeCell="E23" sqref="E23"/>
    </sheetView>
  </sheetViews>
  <sheetFormatPr baseColWidth="10" defaultColWidth="8.83203125" defaultRowHeight="15" x14ac:dyDescent="0.2"/>
  <cols>
    <col min="1" max="1" width="4.83203125" style="597" customWidth="1"/>
    <col min="2" max="2" width="8.5" customWidth="1"/>
    <col min="3" max="3" width="6" customWidth="1"/>
    <col min="4" max="4" width="12.1640625" customWidth="1"/>
    <col min="5" max="5" width="17.33203125" customWidth="1"/>
    <col min="6" max="6" width="22.33203125" customWidth="1"/>
    <col min="7" max="7" width="15.6640625" customWidth="1"/>
    <col min="8" max="8" width="17" hidden="1" customWidth="1"/>
    <col min="9" max="9" width="9.5" style="72" customWidth="1"/>
    <col min="10" max="12" width="11" style="72" customWidth="1"/>
    <col min="13" max="13" width="9.83203125" style="72" customWidth="1"/>
    <col min="14" max="14" width="17.33203125" customWidth="1"/>
    <col min="15" max="68" width="8.83203125" style="68"/>
  </cols>
  <sheetData>
    <row r="1" spans="1:68" ht="56.25" customHeight="1" x14ac:dyDescent="0.2">
      <c r="A1" s="630" t="s">
        <v>876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68" s="244" customFormat="1" ht="21.75" customHeight="1" x14ac:dyDescent="0.2">
      <c r="A2" s="245" t="s">
        <v>0</v>
      </c>
      <c r="B2" s="481" t="s">
        <v>1</v>
      </c>
      <c r="C2" s="504" t="s">
        <v>2</v>
      </c>
      <c r="D2" s="504" t="s">
        <v>3</v>
      </c>
      <c r="E2" s="504" t="s">
        <v>4</v>
      </c>
      <c r="F2" s="504" t="s">
        <v>5</v>
      </c>
      <c r="G2" s="505" t="s">
        <v>6</v>
      </c>
      <c r="H2" s="506" t="s">
        <v>7</v>
      </c>
      <c r="I2" s="506" t="s">
        <v>805</v>
      </c>
      <c r="J2" s="245" t="s">
        <v>806</v>
      </c>
      <c r="K2" s="253" t="s">
        <v>807</v>
      </c>
      <c r="L2" s="245" t="s">
        <v>808</v>
      </c>
      <c r="M2" s="480" t="s">
        <v>497</v>
      </c>
      <c r="N2" s="480" t="s">
        <v>809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</row>
    <row r="3" spans="1:68" s="201" customFormat="1" x14ac:dyDescent="0.2">
      <c r="A3" s="591">
        <v>1</v>
      </c>
      <c r="B3" s="496" t="s">
        <v>810</v>
      </c>
      <c r="C3" s="507">
        <v>410</v>
      </c>
      <c r="D3" s="507"/>
      <c r="E3" s="508" t="s">
        <v>811</v>
      </c>
      <c r="F3" s="508" t="s">
        <v>812</v>
      </c>
      <c r="G3" s="507" t="s">
        <v>813</v>
      </c>
      <c r="H3" s="507" t="s">
        <v>814</v>
      </c>
      <c r="I3" s="509">
        <v>7</v>
      </c>
      <c r="J3" s="499">
        <v>6</v>
      </c>
      <c r="K3" s="298">
        <v>3</v>
      </c>
      <c r="L3" s="298">
        <v>3</v>
      </c>
      <c r="M3" s="298">
        <f t="shared" ref="M3:M14" si="0">SUM(I3:L3)</f>
        <v>19</v>
      </c>
      <c r="N3" s="298" t="s">
        <v>19</v>
      </c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</row>
    <row r="4" spans="1:68" s="204" customFormat="1" x14ac:dyDescent="0.2">
      <c r="A4" s="592">
        <v>2</v>
      </c>
      <c r="B4" s="497" t="s">
        <v>810</v>
      </c>
      <c r="C4" s="510">
        <v>410</v>
      </c>
      <c r="D4" s="511"/>
      <c r="E4" s="512" t="s">
        <v>815</v>
      </c>
      <c r="F4" s="512" t="s">
        <v>816</v>
      </c>
      <c r="G4" s="511">
        <v>5</v>
      </c>
      <c r="H4" s="511" t="s">
        <v>817</v>
      </c>
      <c r="I4" s="513">
        <v>7</v>
      </c>
      <c r="J4" s="500">
        <v>0</v>
      </c>
      <c r="K4" s="492">
        <v>2</v>
      </c>
      <c r="L4" s="492">
        <v>7</v>
      </c>
      <c r="M4" s="492">
        <f t="shared" si="0"/>
        <v>16</v>
      </c>
      <c r="N4" s="492" t="s">
        <v>24</v>
      </c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</row>
    <row r="5" spans="1:68" s="204" customFormat="1" x14ac:dyDescent="0.2">
      <c r="A5" s="592">
        <v>3</v>
      </c>
      <c r="B5" s="497" t="s">
        <v>810</v>
      </c>
      <c r="C5" s="510">
        <v>410</v>
      </c>
      <c r="D5" s="510" t="s">
        <v>279</v>
      </c>
      <c r="E5" s="514" t="s">
        <v>305</v>
      </c>
      <c r="F5" s="514" t="s">
        <v>818</v>
      </c>
      <c r="G5" s="515" t="s">
        <v>61</v>
      </c>
      <c r="H5" s="510" t="s">
        <v>819</v>
      </c>
      <c r="I5" s="516">
        <v>7</v>
      </c>
      <c r="J5" s="501">
        <v>0</v>
      </c>
      <c r="K5" s="493">
        <v>1</v>
      </c>
      <c r="L5" s="493">
        <v>5</v>
      </c>
      <c r="M5" s="492">
        <f t="shared" si="0"/>
        <v>13</v>
      </c>
      <c r="N5" s="492" t="s">
        <v>24</v>
      </c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</row>
    <row r="6" spans="1:68" s="204" customFormat="1" x14ac:dyDescent="0.2">
      <c r="A6" s="592">
        <v>4</v>
      </c>
      <c r="B6" s="497" t="s">
        <v>810</v>
      </c>
      <c r="C6" s="510">
        <v>410</v>
      </c>
      <c r="D6" s="517">
        <v>98854</v>
      </c>
      <c r="E6" s="518" t="s">
        <v>157</v>
      </c>
      <c r="F6" s="518" t="s">
        <v>50</v>
      </c>
      <c r="G6" s="517">
        <v>49</v>
      </c>
      <c r="H6" s="510" t="s">
        <v>820</v>
      </c>
      <c r="I6" s="516">
        <v>7</v>
      </c>
      <c r="J6" s="501">
        <v>0</v>
      </c>
      <c r="K6" s="493">
        <v>1</v>
      </c>
      <c r="L6" s="493">
        <v>5</v>
      </c>
      <c r="M6" s="492">
        <f t="shared" si="0"/>
        <v>13</v>
      </c>
      <c r="N6" s="492" t="s">
        <v>24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</row>
    <row r="7" spans="1:68" s="259" customFormat="1" x14ac:dyDescent="0.2">
      <c r="A7" s="593">
        <v>5</v>
      </c>
      <c r="B7" s="498" t="s">
        <v>810</v>
      </c>
      <c r="C7" s="519">
        <v>410</v>
      </c>
      <c r="D7" s="520">
        <v>231983</v>
      </c>
      <c r="E7" s="521" t="s">
        <v>153</v>
      </c>
      <c r="F7" s="521" t="s">
        <v>94</v>
      </c>
      <c r="G7" s="522">
        <v>39</v>
      </c>
      <c r="H7" s="519" t="s">
        <v>821</v>
      </c>
      <c r="I7" s="523">
        <v>7</v>
      </c>
      <c r="J7" s="502">
        <v>0</v>
      </c>
      <c r="K7" s="494">
        <v>2</v>
      </c>
      <c r="L7" s="494">
        <v>3</v>
      </c>
      <c r="M7" s="299">
        <f t="shared" si="0"/>
        <v>12</v>
      </c>
      <c r="N7" s="495" t="s">
        <v>35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</row>
    <row r="8" spans="1:68" s="259" customFormat="1" x14ac:dyDescent="0.2">
      <c r="A8" s="593">
        <v>6</v>
      </c>
      <c r="B8" s="498" t="s">
        <v>810</v>
      </c>
      <c r="C8" s="519">
        <v>410</v>
      </c>
      <c r="D8" s="524" t="s">
        <v>279</v>
      </c>
      <c r="E8" s="525" t="s">
        <v>880</v>
      </c>
      <c r="F8" s="525" t="s">
        <v>236</v>
      </c>
      <c r="G8" s="526" t="s">
        <v>61</v>
      </c>
      <c r="H8" s="519" t="s">
        <v>822</v>
      </c>
      <c r="I8" s="523">
        <v>7</v>
      </c>
      <c r="J8" s="502">
        <v>0</v>
      </c>
      <c r="K8" s="494">
        <v>1</v>
      </c>
      <c r="L8" s="494">
        <v>3</v>
      </c>
      <c r="M8" s="299">
        <f t="shared" si="0"/>
        <v>11</v>
      </c>
      <c r="N8" s="495" t="s">
        <v>35</v>
      </c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</row>
    <row r="9" spans="1:68" s="259" customFormat="1" x14ac:dyDescent="0.2">
      <c r="A9" s="593">
        <v>7</v>
      </c>
      <c r="B9" s="498" t="s">
        <v>810</v>
      </c>
      <c r="C9" s="519">
        <v>410</v>
      </c>
      <c r="D9" s="527"/>
      <c r="E9" s="528" t="s">
        <v>823</v>
      </c>
      <c r="F9" s="528" t="s">
        <v>824</v>
      </c>
      <c r="G9" s="527">
        <v>5</v>
      </c>
      <c r="H9" s="527" t="s">
        <v>825</v>
      </c>
      <c r="I9" s="529">
        <v>7</v>
      </c>
      <c r="J9" s="503">
        <v>0</v>
      </c>
      <c r="K9" s="299">
        <v>1</v>
      </c>
      <c r="L9" s="299">
        <v>3</v>
      </c>
      <c r="M9" s="299">
        <f t="shared" si="0"/>
        <v>11</v>
      </c>
      <c r="N9" s="495" t="s">
        <v>35</v>
      </c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</row>
    <row r="10" spans="1:68" s="137" customFormat="1" x14ac:dyDescent="0.2">
      <c r="A10" s="594">
        <v>8</v>
      </c>
      <c r="B10" s="530" t="s">
        <v>810</v>
      </c>
      <c r="C10" s="478">
        <v>410</v>
      </c>
      <c r="D10" s="531" t="s">
        <v>279</v>
      </c>
      <c r="E10" s="532" t="s">
        <v>881</v>
      </c>
      <c r="F10" s="532" t="s">
        <v>182</v>
      </c>
      <c r="G10" s="533" t="s">
        <v>61</v>
      </c>
      <c r="H10" s="478" t="s">
        <v>827</v>
      </c>
      <c r="I10" s="534">
        <v>7</v>
      </c>
      <c r="J10" s="535">
        <v>0</v>
      </c>
      <c r="K10" s="536">
        <v>1</v>
      </c>
      <c r="L10" s="536">
        <v>2</v>
      </c>
      <c r="M10" s="537">
        <f t="shared" si="0"/>
        <v>10</v>
      </c>
      <c r="N10" s="575" t="s">
        <v>883</v>
      </c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</row>
    <row r="11" spans="1:68" s="137" customFormat="1" x14ac:dyDescent="0.2">
      <c r="A11" s="594">
        <v>9</v>
      </c>
      <c r="B11" s="538" t="s">
        <v>810</v>
      </c>
      <c r="C11" s="538">
        <v>410</v>
      </c>
      <c r="D11" s="539" t="s">
        <v>828</v>
      </c>
      <c r="E11" s="540" t="s">
        <v>829</v>
      </c>
      <c r="F11" s="540" t="s">
        <v>830</v>
      </c>
      <c r="G11" s="541">
        <v>24</v>
      </c>
      <c r="H11" s="477" t="s">
        <v>831</v>
      </c>
      <c r="I11" s="542">
        <v>5</v>
      </c>
      <c r="J11" s="536">
        <v>0</v>
      </c>
      <c r="K11" s="536">
        <v>2</v>
      </c>
      <c r="L11" s="536">
        <v>3</v>
      </c>
      <c r="M11" s="537">
        <f t="shared" si="0"/>
        <v>10</v>
      </c>
      <c r="N11" s="575" t="s">
        <v>883</v>
      </c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s="137" customFormat="1" x14ac:dyDescent="0.2">
      <c r="A12" s="594">
        <v>10</v>
      </c>
      <c r="B12" s="538" t="s">
        <v>810</v>
      </c>
      <c r="C12" s="538">
        <v>410</v>
      </c>
      <c r="D12" s="543">
        <v>177283</v>
      </c>
      <c r="E12" s="544" t="s">
        <v>624</v>
      </c>
      <c r="F12" s="544" t="s">
        <v>832</v>
      </c>
      <c r="G12" s="545">
        <v>23</v>
      </c>
      <c r="H12" s="546" t="s">
        <v>833</v>
      </c>
      <c r="I12" s="536">
        <v>7</v>
      </c>
      <c r="J12" s="536">
        <v>0</v>
      </c>
      <c r="K12" s="536">
        <v>1</v>
      </c>
      <c r="L12" s="536">
        <v>0</v>
      </c>
      <c r="M12" s="537">
        <f t="shared" si="0"/>
        <v>8</v>
      </c>
      <c r="N12" s="575" t="s">
        <v>883</v>
      </c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</row>
    <row r="13" spans="1:68" x14ac:dyDescent="0.2">
      <c r="A13" s="595">
        <v>11</v>
      </c>
      <c r="B13" s="304" t="s">
        <v>810</v>
      </c>
      <c r="C13" s="304">
        <v>410</v>
      </c>
      <c r="D13" s="305"/>
      <c r="E13" s="306" t="s">
        <v>826</v>
      </c>
      <c r="F13" s="306" t="s">
        <v>834</v>
      </c>
      <c r="G13" s="307">
        <v>23</v>
      </c>
      <c r="H13" s="308" t="s">
        <v>835</v>
      </c>
      <c r="I13" s="309">
        <v>7</v>
      </c>
      <c r="J13" s="309">
        <v>0</v>
      </c>
      <c r="K13" s="309">
        <v>0</v>
      </c>
      <c r="L13" s="309">
        <v>0</v>
      </c>
      <c r="M13" s="309">
        <f t="shared" si="0"/>
        <v>7</v>
      </c>
      <c r="N13" s="300"/>
    </row>
    <row r="14" spans="1:68" x14ac:dyDescent="0.2">
      <c r="A14" s="596">
        <v>12</v>
      </c>
      <c r="B14" s="303" t="s">
        <v>810</v>
      </c>
      <c r="C14" s="303">
        <v>410</v>
      </c>
      <c r="D14" s="303" t="s">
        <v>279</v>
      </c>
      <c r="E14" s="310" t="s">
        <v>882</v>
      </c>
      <c r="F14" s="310" t="s">
        <v>836</v>
      </c>
      <c r="G14" s="311" t="s">
        <v>61</v>
      </c>
      <c r="H14" s="303" t="s">
        <v>837</v>
      </c>
      <c r="I14" s="301">
        <v>3</v>
      </c>
      <c r="J14" s="301">
        <v>0</v>
      </c>
      <c r="K14" s="301">
        <v>0</v>
      </c>
      <c r="L14" s="301">
        <v>3</v>
      </c>
      <c r="M14" s="312">
        <f t="shared" si="0"/>
        <v>6</v>
      </c>
      <c r="N14" s="302"/>
    </row>
  </sheetData>
  <sortState xmlns:xlrd2="http://schemas.microsoft.com/office/spreadsheetml/2017/richdata2" ref="A3:N14">
    <sortCondition descending="1" ref="M3:M14"/>
  </sortState>
  <mergeCells count="1">
    <mergeCell ref="A1:N1"/>
  </mergeCells>
  <pageMargins left="0.7" right="0.7" top="0.75" bottom="0.75" header="0.3" footer="0.3"/>
  <pageSetup paperSize="9" scale="85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57BE-06AB-484C-B8B7-FEF62DCEEE95}">
  <dimension ref="A1:CR13"/>
  <sheetViews>
    <sheetView tabSelected="1" zoomScaleNormal="130" workbookViewId="0">
      <selection activeCell="D7" sqref="D7"/>
    </sheetView>
  </sheetViews>
  <sheetFormatPr baseColWidth="10" defaultColWidth="8.83203125" defaultRowHeight="15" x14ac:dyDescent="0.2"/>
  <cols>
    <col min="1" max="1" width="4.83203125" style="597" customWidth="1"/>
    <col min="2" max="2" width="9.6640625" customWidth="1"/>
    <col min="3" max="3" width="6.5" customWidth="1"/>
    <col min="4" max="4" width="14" customWidth="1"/>
    <col min="5" max="5" width="17.33203125" customWidth="1"/>
    <col min="6" max="6" width="22.33203125" customWidth="1"/>
    <col min="7" max="7" width="19.83203125" customWidth="1"/>
    <col min="8" max="9" width="12.83203125" hidden="1" customWidth="1"/>
    <col min="10" max="10" width="9.5" style="72" customWidth="1"/>
    <col min="11" max="14" width="11" style="72" customWidth="1"/>
    <col min="15" max="15" width="9.1640625" style="72"/>
    <col min="16" max="16" width="9.83203125" style="72" customWidth="1"/>
    <col min="17" max="17" width="18" style="73" customWidth="1"/>
    <col min="18" max="96" width="8.83203125" style="68"/>
  </cols>
  <sheetData>
    <row r="1" spans="1:96" ht="48" customHeight="1" x14ac:dyDescent="0.2">
      <c r="A1" s="630" t="s">
        <v>879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96" ht="29.5" customHeight="1" x14ac:dyDescent="0.2">
      <c r="A2" s="245" t="s">
        <v>0</v>
      </c>
      <c r="B2" s="479" t="s">
        <v>1</v>
      </c>
      <c r="C2" s="280" t="s">
        <v>2</v>
      </c>
      <c r="D2" s="280" t="s">
        <v>3</v>
      </c>
      <c r="E2" s="280" t="s">
        <v>4</v>
      </c>
      <c r="F2" s="280" t="s">
        <v>5</v>
      </c>
      <c r="G2" s="281" t="s">
        <v>6</v>
      </c>
      <c r="H2" s="245" t="s">
        <v>652</v>
      </c>
      <c r="I2" s="245" t="s">
        <v>838</v>
      </c>
      <c r="J2" s="245" t="s">
        <v>805</v>
      </c>
      <c r="K2" s="245" t="s">
        <v>806</v>
      </c>
      <c r="L2" s="253" t="s">
        <v>807</v>
      </c>
      <c r="M2" s="245" t="s">
        <v>808</v>
      </c>
      <c r="N2" s="245" t="s">
        <v>839</v>
      </c>
      <c r="O2" s="269" t="s">
        <v>840</v>
      </c>
      <c r="P2" s="480" t="s">
        <v>497</v>
      </c>
      <c r="Q2" s="480" t="s">
        <v>809</v>
      </c>
    </row>
    <row r="3" spans="1:96" ht="18.5" customHeight="1" x14ac:dyDescent="0.2">
      <c r="A3" s="598">
        <v>1</v>
      </c>
      <c r="B3" s="200" t="s">
        <v>841</v>
      </c>
      <c r="C3" s="200">
        <v>408</v>
      </c>
      <c r="D3" s="282">
        <v>107971</v>
      </c>
      <c r="E3" s="292" t="s">
        <v>842</v>
      </c>
      <c r="F3" s="293" t="s">
        <v>843</v>
      </c>
      <c r="G3" s="283" t="s">
        <v>844</v>
      </c>
      <c r="H3" s="270" t="s">
        <v>845</v>
      </c>
      <c r="I3" s="270" t="s">
        <v>845</v>
      </c>
      <c r="J3" s="207">
        <v>6</v>
      </c>
      <c r="K3" s="207">
        <v>7</v>
      </c>
      <c r="L3" s="207">
        <v>1</v>
      </c>
      <c r="M3" s="207">
        <v>7</v>
      </c>
      <c r="N3" s="207">
        <v>7</v>
      </c>
      <c r="O3" s="271">
        <v>2</v>
      </c>
      <c r="P3" s="276">
        <f t="shared" ref="P3:P13" si="0">SUM(J3:O3)</f>
        <v>30</v>
      </c>
      <c r="Q3" s="576" t="s">
        <v>19</v>
      </c>
    </row>
    <row r="4" spans="1:96" ht="18.5" customHeight="1" x14ac:dyDescent="0.2">
      <c r="A4" s="599">
        <v>2</v>
      </c>
      <c r="B4" s="284" t="s">
        <v>841</v>
      </c>
      <c r="C4" s="284">
        <v>408</v>
      </c>
      <c r="D4" s="284" t="s">
        <v>279</v>
      </c>
      <c r="E4" s="294" t="s">
        <v>599</v>
      </c>
      <c r="F4" s="295" t="s">
        <v>846</v>
      </c>
      <c r="G4" s="285" t="s">
        <v>61</v>
      </c>
      <c r="H4" s="272" t="s">
        <v>847</v>
      </c>
      <c r="I4" s="272" t="s">
        <v>848</v>
      </c>
      <c r="J4" s="273">
        <v>7</v>
      </c>
      <c r="K4" s="273">
        <v>6</v>
      </c>
      <c r="L4" s="273">
        <v>5</v>
      </c>
      <c r="M4" s="273">
        <v>7</v>
      </c>
      <c r="N4" s="273">
        <v>3</v>
      </c>
      <c r="O4" s="274">
        <v>0</v>
      </c>
      <c r="P4" s="277">
        <f t="shared" si="0"/>
        <v>28</v>
      </c>
      <c r="Q4" s="577" t="s">
        <v>24</v>
      </c>
    </row>
    <row r="5" spans="1:96" ht="18.5" customHeight="1" x14ac:dyDescent="0.2">
      <c r="A5" s="599">
        <v>3</v>
      </c>
      <c r="B5" s="284" t="s">
        <v>841</v>
      </c>
      <c r="C5" s="284">
        <v>408</v>
      </c>
      <c r="D5" s="286">
        <v>159502</v>
      </c>
      <c r="E5" s="484" t="s">
        <v>849</v>
      </c>
      <c r="F5" s="485" t="s">
        <v>644</v>
      </c>
      <c r="G5" s="486" t="s">
        <v>850</v>
      </c>
      <c r="H5" s="272" t="s">
        <v>851</v>
      </c>
      <c r="I5" s="272" t="s">
        <v>852</v>
      </c>
      <c r="J5" s="273">
        <v>7</v>
      </c>
      <c r="K5" s="273">
        <v>7</v>
      </c>
      <c r="L5" s="273">
        <v>0</v>
      </c>
      <c r="M5" s="273">
        <v>7</v>
      </c>
      <c r="N5" s="273">
        <v>7</v>
      </c>
      <c r="O5" s="274">
        <v>0</v>
      </c>
      <c r="P5" s="277">
        <f t="shared" si="0"/>
        <v>28</v>
      </c>
      <c r="Q5" s="577" t="s">
        <v>24</v>
      </c>
    </row>
    <row r="6" spans="1:96" ht="18.5" customHeight="1" x14ac:dyDescent="0.2">
      <c r="A6" s="600">
        <v>5</v>
      </c>
      <c r="B6" s="288" t="s">
        <v>841</v>
      </c>
      <c r="C6" s="562">
        <v>408</v>
      </c>
      <c r="D6" s="482">
        <v>181846</v>
      </c>
      <c r="E6" s="568" t="s">
        <v>853</v>
      </c>
      <c r="F6" s="564" t="s">
        <v>854</v>
      </c>
      <c r="G6" s="287" t="s">
        <v>61</v>
      </c>
      <c r="H6" s="267" t="s">
        <v>855</v>
      </c>
      <c r="I6" s="267" t="s">
        <v>851</v>
      </c>
      <c r="J6" s="268">
        <v>7</v>
      </c>
      <c r="K6" s="268">
        <v>2</v>
      </c>
      <c r="L6" s="268">
        <v>6</v>
      </c>
      <c r="M6" s="268">
        <v>7</v>
      </c>
      <c r="N6" s="268">
        <v>0</v>
      </c>
      <c r="O6" s="275">
        <v>0</v>
      </c>
      <c r="P6" s="278">
        <f t="shared" si="0"/>
        <v>22</v>
      </c>
      <c r="Q6" s="578" t="s">
        <v>35</v>
      </c>
    </row>
    <row r="7" spans="1:96" ht="18.5" customHeight="1" x14ac:dyDescent="0.2">
      <c r="A7" s="600">
        <v>4</v>
      </c>
      <c r="B7" s="288" t="s">
        <v>841</v>
      </c>
      <c r="C7" s="562">
        <v>408</v>
      </c>
      <c r="D7" s="482">
        <v>107800</v>
      </c>
      <c r="E7" s="568" t="s">
        <v>856</v>
      </c>
      <c r="F7" s="564" t="s">
        <v>857</v>
      </c>
      <c r="G7" s="289" t="s">
        <v>61</v>
      </c>
      <c r="H7" s="267" t="s">
        <v>858</v>
      </c>
      <c r="I7" s="267" t="s">
        <v>859</v>
      </c>
      <c r="J7" s="268">
        <v>7</v>
      </c>
      <c r="K7" s="268">
        <v>1</v>
      </c>
      <c r="L7" s="268">
        <v>0</v>
      </c>
      <c r="M7" s="268">
        <v>7</v>
      </c>
      <c r="N7" s="268">
        <v>2</v>
      </c>
      <c r="O7" s="275">
        <v>2</v>
      </c>
      <c r="P7" s="278">
        <f t="shared" si="0"/>
        <v>19</v>
      </c>
      <c r="Q7" s="578" t="s">
        <v>35</v>
      </c>
    </row>
    <row r="8" spans="1:96" ht="18.5" customHeight="1" x14ac:dyDescent="0.2">
      <c r="A8" s="600">
        <v>6</v>
      </c>
      <c r="B8" s="288" t="s">
        <v>841</v>
      </c>
      <c r="C8" s="562">
        <v>408</v>
      </c>
      <c r="D8" s="482" t="s">
        <v>279</v>
      </c>
      <c r="E8" s="568" t="s">
        <v>860</v>
      </c>
      <c r="F8" s="564" t="s">
        <v>114</v>
      </c>
      <c r="G8" s="289" t="s">
        <v>61</v>
      </c>
      <c r="H8" s="267" t="s">
        <v>861</v>
      </c>
      <c r="I8" s="267" t="s">
        <v>847</v>
      </c>
      <c r="J8" s="268">
        <v>5</v>
      </c>
      <c r="K8" s="268">
        <v>1</v>
      </c>
      <c r="L8" s="268">
        <v>0</v>
      </c>
      <c r="M8" s="268">
        <v>7</v>
      </c>
      <c r="N8" s="268">
        <v>1</v>
      </c>
      <c r="O8" s="275">
        <v>0</v>
      </c>
      <c r="P8" s="278">
        <f t="shared" si="0"/>
        <v>14</v>
      </c>
      <c r="Q8" s="578" t="s">
        <v>35</v>
      </c>
    </row>
    <row r="9" spans="1:96" s="137" customFormat="1" ht="18.5" customHeight="1" x14ac:dyDescent="0.2">
      <c r="A9" s="601">
        <v>7</v>
      </c>
      <c r="B9" s="547" t="s">
        <v>841</v>
      </c>
      <c r="C9" s="563">
        <v>408</v>
      </c>
      <c r="D9" s="569">
        <v>208212</v>
      </c>
      <c r="E9" s="570" t="s">
        <v>862</v>
      </c>
      <c r="F9" s="565" t="s">
        <v>863</v>
      </c>
      <c r="G9" s="550">
        <v>61</v>
      </c>
      <c r="H9" s="551" t="s">
        <v>864</v>
      </c>
      <c r="I9" s="551" t="s">
        <v>865</v>
      </c>
      <c r="J9" s="552">
        <v>4</v>
      </c>
      <c r="K9" s="552">
        <v>1</v>
      </c>
      <c r="L9" s="552">
        <v>0</v>
      </c>
      <c r="M9" s="552">
        <v>7</v>
      </c>
      <c r="N9" s="552">
        <v>1</v>
      </c>
      <c r="O9" s="553">
        <v>0</v>
      </c>
      <c r="P9" s="554">
        <f t="shared" si="0"/>
        <v>13</v>
      </c>
      <c r="Q9" s="579" t="s">
        <v>883</v>
      </c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</row>
    <row r="10" spans="1:96" s="137" customFormat="1" ht="18.5" customHeight="1" x14ac:dyDescent="0.2">
      <c r="A10" s="601">
        <v>8</v>
      </c>
      <c r="B10" s="547" t="s">
        <v>841</v>
      </c>
      <c r="C10" s="563">
        <v>408</v>
      </c>
      <c r="D10" s="571">
        <v>141008</v>
      </c>
      <c r="E10" s="572" t="s">
        <v>866</v>
      </c>
      <c r="F10" s="566" t="s">
        <v>867</v>
      </c>
      <c r="G10" s="555">
        <v>50</v>
      </c>
      <c r="H10" s="551" t="s">
        <v>852</v>
      </c>
      <c r="I10" s="551" t="s">
        <v>864</v>
      </c>
      <c r="J10" s="552">
        <v>4</v>
      </c>
      <c r="K10" s="552">
        <v>1</v>
      </c>
      <c r="L10" s="552">
        <v>0</v>
      </c>
      <c r="M10" s="552">
        <v>7</v>
      </c>
      <c r="N10" s="552">
        <v>0</v>
      </c>
      <c r="O10" s="553">
        <v>0</v>
      </c>
      <c r="P10" s="554">
        <f t="shared" si="0"/>
        <v>12</v>
      </c>
      <c r="Q10" s="579" t="s">
        <v>883</v>
      </c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</row>
    <row r="11" spans="1:96" s="137" customFormat="1" ht="18.5" customHeight="1" x14ac:dyDescent="0.2">
      <c r="A11" s="601">
        <v>9</v>
      </c>
      <c r="B11" s="547" t="s">
        <v>841</v>
      </c>
      <c r="C11" s="563">
        <v>408</v>
      </c>
      <c r="D11" s="483" t="s">
        <v>279</v>
      </c>
      <c r="E11" s="573" t="s">
        <v>868</v>
      </c>
      <c r="F11" s="567" t="s">
        <v>869</v>
      </c>
      <c r="G11" s="556" t="s">
        <v>61</v>
      </c>
      <c r="H11" s="551" t="s">
        <v>870</v>
      </c>
      <c r="I11" s="551" t="s">
        <v>861</v>
      </c>
      <c r="J11" s="552">
        <v>2</v>
      </c>
      <c r="K11" s="552">
        <v>1</v>
      </c>
      <c r="L11" s="552">
        <v>0</v>
      </c>
      <c r="M11" s="552">
        <v>0</v>
      </c>
      <c r="N11" s="552">
        <v>0</v>
      </c>
      <c r="O11" s="553">
        <v>0</v>
      </c>
      <c r="P11" s="554">
        <f t="shared" si="0"/>
        <v>3</v>
      </c>
      <c r="Q11" s="579" t="s">
        <v>883</v>
      </c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</row>
    <row r="12" spans="1:96" s="137" customFormat="1" ht="18.5" customHeight="1" x14ac:dyDescent="0.2">
      <c r="A12" s="601">
        <v>10</v>
      </c>
      <c r="B12" s="547" t="s">
        <v>841</v>
      </c>
      <c r="C12" s="547">
        <v>408</v>
      </c>
      <c r="D12" s="557" t="s">
        <v>828</v>
      </c>
      <c r="E12" s="548" t="s">
        <v>871</v>
      </c>
      <c r="F12" s="549" t="s">
        <v>869</v>
      </c>
      <c r="G12" s="558">
        <v>24</v>
      </c>
      <c r="H12" s="551" t="s">
        <v>865</v>
      </c>
      <c r="I12" s="551" t="s">
        <v>870</v>
      </c>
      <c r="J12" s="552">
        <v>0</v>
      </c>
      <c r="K12" s="552">
        <v>1</v>
      </c>
      <c r="L12" s="552">
        <v>0</v>
      </c>
      <c r="M12" s="552">
        <v>1</v>
      </c>
      <c r="N12" s="552">
        <v>0</v>
      </c>
      <c r="O12" s="553">
        <v>0</v>
      </c>
      <c r="P12" s="554">
        <f t="shared" si="0"/>
        <v>2</v>
      </c>
      <c r="Q12" s="579" t="s">
        <v>883</v>
      </c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</row>
    <row r="13" spans="1:96" ht="18.5" customHeight="1" x14ac:dyDescent="0.2">
      <c r="A13" s="602">
        <v>11</v>
      </c>
      <c r="B13" s="313" t="s">
        <v>841</v>
      </c>
      <c r="C13" s="313">
        <v>408</v>
      </c>
      <c r="D13" s="290">
        <v>173590</v>
      </c>
      <c r="E13" s="296" t="s">
        <v>715</v>
      </c>
      <c r="F13" s="297" t="s">
        <v>872</v>
      </c>
      <c r="G13" s="291">
        <v>72</v>
      </c>
      <c r="H13" s="19" t="s">
        <v>848</v>
      </c>
      <c r="I13" s="19" t="s">
        <v>858</v>
      </c>
      <c r="J13" s="74">
        <v>0</v>
      </c>
      <c r="K13" s="74">
        <v>1</v>
      </c>
      <c r="L13" s="74">
        <v>0</v>
      </c>
      <c r="M13" s="74">
        <v>0</v>
      </c>
      <c r="N13" s="74">
        <v>0</v>
      </c>
      <c r="O13" s="75">
        <v>0</v>
      </c>
      <c r="P13" s="279">
        <f t="shared" si="0"/>
        <v>1</v>
      </c>
      <c r="Q13" s="580"/>
    </row>
  </sheetData>
  <sortState xmlns:xlrd2="http://schemas.microsoft.com/office/spreadsheetml/2017/richdata2" ref="A3:Q13">
    <sortCondition descending="1" ref="P3:P13"/>
  </sortState>
  <mergeCells count="1">
    <mergeCell ref="A1:Q1"/>
  </mergeCells>
  <pageMargins left="0.7" right="0.7" top="0.75" bottom="0.75" header="0.3" footer="0.3"/>
  <pageSetup paperSize="9" scale="75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a13e81-fdb6-4bc6-97c6-d9591c1832f9" xsi:nil="true"/>
    <lcf76f155ced4ddcb4097134ff3c332f xmlns="cc54509c-b672-4b18-9d13-442b501312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0AAC746DE49A44B20C6A12FF9E0C51" ma:contentTypeVersion="15" ma:contentTypeDescription="Create a new document." ma:contentTypeScope="" ma:versionID="a608dd63a878bbab48c9de1bcd2c9186">
  <xsd:schema xmlns:xsd="http://www.w3.org/2001/XMLSchema" xmlns:xs="http://www.w3.org/2001/XMLSchema" xmlns:p="http://schemas.microsoft.com/office/2006/metadata/properties" xmlns:ns2="cc54509c-b672-4b18-9d13-442b501312a2" xmlns:ns3="f6a13e81-fdb6-4bc6-97c6-d9591c1832f9" targetNamespace="http://schemas.microsoft.com/office/2006/metadata/properties" ma:root="true" ma:fieldsID="492b96a39b67b967e6a4d434f265f264" ns2:_="" ns3:_="">
    <xsd:import namespace="cc54509c-b672-4b18-9d13-442b501312a2"/>
    <xsd:import namespace="f6a13e81-fdb6-4bc6-97c6-d9591c1832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4509c-b672-4b18-9d13-442b50131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0f5fb5b-10b2-42f7-b400-d74e216d51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13e81-fdb6-4bc6-97c6-d9591c1832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872105-bdb7-47cb-a940-a5a0beaf2a44}" ma:internalName="TaxCatchAll" ma:showField="CatchAllData" ma:web="f6a13e81-fdb6-4bc6-97c6-d9591c183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E82D3B-8315-4CF8-BE71-ED7BFB78766D}">
  <ds:schemaRefs>
    <ds:schemaRef ds:uri="http://schemas.microsoft.com/office/2006/metadata/properties"/>
    <ds:schemaRef ds:uri="http://schemas.microsoft.com/office/infopath/2007/PartnerControls"/>
    <ds:schemaRef ds:uri="f6a13e81-fdb6-4bc6-97c6-d9591c1832f9"/>
    <ds:schemaRef ds:uri="cc54509c-b672-4b18-9d13-442b501312a2"/>
  </ds:schemaRefs>
</ds:datastoreItem>
</file>

<file path=customXml/itemProps2.xml><?xml version="1.0" encoding="utf-8"?>
<ds:datastoreItem xmlns:ds="http://schemas.openxmlformats.org/officeDocument/2006/customXml" ds:itemID="{2D464028-3C9D-4E4F-9AA3-5A5E5CC2D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4509c-b672-4b18-9d13-442b501312a2"/>
    <ds:schemaRef ds:uri="f6a13e81-fdb6-4bc6-97c6-d9591c1832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E378D9-CA75-4655-9AD3-8E39BAB2D9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 (5-6)</vt:lpstr>
      <vt:lpstr>D (7-8) </vt:lpstr>
      <vt:lpstr>E (9-10)</vt:lpstr>
      <vt:lpstr> (F11-12) </vt:lpstr>
      <vt:lpstr>S (БАГШ) </vt:lpstr>
      <vt:lpstr>T (БАГШ)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DiNo</cp:lastModifiedBy>
  <cp:revision/>
  <cp:lastPrinted>2025-12-15T02:09:36Z</cp:lastPrinted>
  <dcterms:created xsi:type="dcterms:W3CDTF">2025-12-13T07:38:41Z</dcterms:created>
  <dcterms:modified xsi:type="dcterms:W3CDTF">2025-12-17T08:38:29Z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0x010100AD0AAC746DE49A44B20C6A12FF9E0C51</vt:lpwstr>
  </property>
  <property fmtid="{D5CDD505-2E9C-101B-9397-08002B2CF9AE}" pid="3" name="MediaServiceImageTags">
    <vt:lpwstr/>
  </property>
</Properties>
</file>