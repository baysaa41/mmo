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Day2" sheetId="1" state="visible" r:id="rId3"/>
    <sheet name="Day1" sheetId="2" state="visible" r:id="rId4"/>
    <sheet name="5-р анги" sheetId="3" state="visible" r:id="rId5"/>
    <sheet name="6-р анги" sheetId="4" state="visible" r:id="rId6"/>
    <sheet name="7-р анги" sheetId="5" state="visible" r:id="rId7"/>
    <sheet name="8-р анги" sheetId="6" state="visible" r:id="rId8"/>
    <sheet name="9-р анги" sheetId="7" state="visible" r:id="rId9"/>
    <sheet name="10-р анги Нэгтгэл" sheetId="8" state="visible" r:id="rId10"/>
    <sheet name="11-р анги нэгтгэл" sheetId="9" state="visible" r:id="rId11"/>
    <sheet name="12-р анги нэгтгэл" sheetId="10" state="visible" r:id="rId12"/>
    <sheet name="Бага ангийн багш" sheetId="11" state="visible" r:id="rId13"/>
    <sheet name="T" sheetId="12" state="visible" r:id="rId14"/>
    <sheet name="10-р анги өдөр-1" sheetId="13" state="visible" r:id="rId15"/>
    <sheet name="10-р анги өдөр-2" sheetId="14" state="visible" r:id="rId16"/>
    <sheet name="11-р анги өдөр-1" sheetId="15" state="visible" r:id="rId17"/>
    <sheet name="12-р анги өдөр-1" sheetId="16" state="visible" r:id="rId18"/>
    <sheet name="12-р анги өдөр-2" sheetId="17" state="visible" r:id="rId19"/>
    <sheet name="Sec_key" sheetId="18" state="hidden" r:id="rId20"/>
  </sheets>
  <definedNames>
    <definedName function="false" hidden="true" localSheetId="8" name="_xlnm._FilterDatabase" vbProcedure="false">'11-р анги нэгтгэл'!$A$3:$O$29</definedName>
    <definedName function="false" hidden="true" localSheetId="9" name="_xlnm._FilterDatabase" vbProcedure="false">'12-р анги нэгтгэл'!$A$3:$O$31</definedName>
    <definedName function="false" hidden="true" localSheetId="15" name="_xlnm._FilterDatabase" vbProcedure="false">'12-р анги өдөр-1'!$A$2:$N$30</definedName>
    <definedName function="false" hidden="true" localSheetId="16" name="_xlnm._FilterDatabase" vbProcedure="false">'12-р анги өдөр-2'!$A$2:$N$30</definedName>
    <definedName function="false" hidden="true" localSheetId="2" name="_xlnm._FilterDatabase" vbProcedure="false">'5-р анги'!$A$3:$M$59</definedName>
    <definedName function="false" hidden="true" localSheetId="1" name="_xlnm._FilterDatabase" vbProcedure="false">Day1!$A$1:$V$296</definedName>
    <definedName function="false" hidden="true" localSheetId="0" name="_xlnm._FilterDatabase" vbProcedure="false">Day2!$A$1:$P$312</definedName>
    <definedName function="false" hidden="true" localSheetId="11" name="_xlnm._FilterDatabase" vbProcedure="false">T!$A$3:$L$45</definedName>
    <definedName function="false" hidden="true" localSheetId="10" name="_xlnm._FilterDatabase" vbProcedure="false">'Бага ангийн багш'!$B$3:$L$46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<sst xmlns="http://schemas.openxmlformats.org/spreadsheetml/2006/main" count="6625" uniqueCount="2542">
  <si>
    <t xml:space="preserve">TEST</t>
  </si>
  <si>
    <t xml:space="preserve">E(10-Р АНГИ) II-I</t>
  </si>
  <si>
    <t xml:space="preserve">Сарангоо</t>
  </si>
  <si>
    <t xml:space="preserve">D(7-Р АНГИ) II-I</t>
  </si>
  <si>
    <t xml:space="preserve">https://drive.google.com/file/d/11DyCmGNVTG_ivDFBkITgp5iXayINvjDm/view?usp=drivesdk</t>
  </si>
  <si>
    <t xml:space="preserve">https://drive.google.com/file/d/1HtN-xkextwP5jX3ZNHzyi7ZxRy1vfE2K/view?usp=drivesdk</t>
  </si>
  <si>
    <t xml:space="preserve">https://drive.google.com/file/d/1eZT1Q65jK3nmfGTxsd1ibuYnZhmrfHNq/view?usp=drivesdk</t>
  </si>
  <si>
    <t xml:space="preserve">https://drive.google.com/file/d/1ZU_MLXeTHxn-5eq8b2jGGm9zGDRZorXx/view?usp=drivesdk</t>
  </si>
  <si>
    <t xml:space="preserve">https://drive.google.com/file/d/107Eb0U6cyS8F8-DFrehECDfwVveJZTqu/view?usp=drivesdk</t>
  </si>
  <si>
    <t xml:space="preserve">https://drive.google.com/file/d/1Y4nh1L8uY_fRECrWcmtf1K2HeR5cuFnw/view?usp=drivesdk</t>
  </si>
  <si>
    <t xml:space="preserve">https://drive.google.com/file/d/1BPEHm6ZXHCgRfFmFRQUT6pSiB9cVuwuY/view?usp=drivesdk</t>
  </si>
  <si>
    <t xml:space="preserve">Бүрэнтөгс</t>
  </si>
  <si>
    <t xml:space="preserve">https://drive.google.com/file/d/1EWBC07aFDCDgahCeuqVgE54hrquVbSc-/view?usp=drivesdk</t>
  </si>
  <si>
    <t xml:space="preserve">https://drive.google.com/file/d/1MzglUGxXQT7PWJ1PmlnKAvUI3DZe089Y/view?usp=drivesdk</t>
  </si>
  <si>
    <t xml:space="preserve">https://drive.google.com/file/d/1oWgpZWjX25_BrcwzPD8TlAv56TVQXetw/view?usp=drivesdk</t>
  </si>
  <si>
    <t xml:space="preserve">https://drive.google.com/file/d/1YTGacUl6IeRadlsOuAiJbRqouTTvE777/view?usp=drivesdk</t>
  </si>
  <si>
    <t xml:space="preserve">https://drive.google.com/file/d/1znuL8Ylf7f3Tl07WEivm4XxmLSfVukT7/view?usp=drivesdk</t>
  </si>
  <si>
    <t xml:space="preserve">Энхтүвшин</t>
  </si>
  <si>
    <t xml:space="preserve">https://drive.google.com/file/d/1IPFA-ms8bEi33KUPGkQ0cFlHHp8IrZB4/view?usp=drivesdk</t>
  </si>
  <si>
    <t xml:space="preserve">https://drive.google.com/file/d/12MMwL-ynA92Sl5eW_WQNCkhCy7nOyb41/view?usp=drivesdk</t>
  </si>
  <si>
    <t xml:space="preserve">Сүх-Очир</t>
  </si>
  <si>
    <t xml:space="preserve">https://drive.google.com/file/d/1GVkL87DN76YIEr0KPF0U_iQmM14TmFwX/view?usp=drivesdk</t>
  </si>
  <si>
    <t xml:space="preserve">https://drive.google.com/file/d/1vkURYVCjNWV4I9-ao8QQM6X_RXH3vFqs/view?usp=drivesdk</t>
  </si>
  <si>
    <t xml:space="preserve">Бадмаараг</t>
  </si>
  <si>
    <t xml:space="preserve">https://drive.google.com/file/d/12qfaI6trCToyD5w8vXP63rO7Xh5PYwwe/view?usp=drivesdk</t>
  </si>
  <si>
    <t xml:space="preserve">Батмөнх</t>
  </si>
  <si>
    <t xml:space="preserve">https://drive.google.com/file/d/18TuqNSldFtjJdgIYZoCrtbK0dMfbISSY/view?usp=drivesdk</t>
  </si>
  <si>
    <t xml:space="preserve">Амин-Эрдэнэ</t>
  </si>
  <si>
    <t xml:space="preserve">https://drive.google.com/file/d/15vJx6KqD4KFCL-i0Ki6OFEuxj__ymFrz/view?usp=drivesdk</t>
  </si>
  <si>
    <t xml:space="preserve">Цэлмэг</t>
  </si>
  <si>
    <t xml:space="preserve">https://drive.google.com/file/d/1ku-vTjU9obw3YDh05cYCh8ITvz_SRzgj/view?usp=drivesdk</t>
  </si>
  <si>
    <t xml:space="preserve">https://drive.google.com/file/d/1blYmeVBhkTlwm2Hy51MT8MMiTNHn4AAQ/view?usp=drivesdk</t>
  </si>
  <si>
    <t xml:space="preserve">Буяндалай</t>
  </si>
  <si>
    <t xml:space="preserve">https://drive.google.com/file/d/1NPafRRwQMa3vy74bKJgh9W4ysZ-6zf9u/view?usp=drivesdk</t>
  </si>
  <si>
    <t xml:space="preserve">https://drive.google.com/file/d/1rsAa8FdDdVTxsMYhZYWdky2fwHHpQ3cG/view?usp=drivesdk</t>
  </si>
  <si>
    <t xml:space="preserve">Ганбаатар</t>
  </si>
  <si>
    <t xml:space="preserve">https://drive.google.com/file/d/1IOEmhmAQboPoz1QuC3d2HuRG8qIpDYS2/view?usp=drivesdk</t>
  </si>
  <si>
    <t xml:space="preserve">https://drive.google.com/file/d/1o2IKPy73RKFglyzNf5U-hNOckpsZAIQx/view?usp=drivesdk</t>
  </si>
  <si>
    <t xml:space="preserve">Хосбилэг</t>
  </si>
  <si>
    <t xml:space="preserve">https://drive.google.com/file/d/1Oml4Q7sOyqZRh-2a7pW2nfUwv312SXaT/view?usp=drivesdk</t>
  </si>
  <si>
    <t xml:space="preserve">Бямбадорж</t>
  </si>
  <si>
    <t xml:space="preserve">https://drive.google.com/file/d/1HtRThoTc_QWkE7Fmx-Gzffzoq4Y-zxE9/view?usp=drivesdk</t>
  </si>
  <si>
    <t xml:space="preserve">Манлай</t>
  </si>
  <si>
    <t xml:space="preserve">https://drive.google.com/file/d/1cDF0pLBKDffctIX50Exf3tAXe1V6RKjC/view?usp=drivesdk</t>
  </si>
  <si>
    <t xml:space="preserve">Энхжаргал</t>
  </si>
  <si>
    <t xml:space="preserve">https://drive.google.com/file/d/1TXx3yi1X3M7MyfsNVTS4fxDfj-qWxuxl/view?usp=drivesdk</t>
  </si>
  <si>
    <t xml:space="preserve">Амина</t>
  </si>
  <si>
    <t xml:space="preserve">https://drive.google.com/file/d/1dnqUkA8vLB29qo7iNkaMq_XGPY8ISr2i/view?usp=drivesdk</t>
  </si>
  <si>
    <t xml:space="preserve">Оюун-Ундрал</t>
  </si>
  <si>
    <t xml:space="preserve">https://drive.google.com/file/d/1n9fUjJBhhPhk9J0T9e8J1mLwwScn0Lao/view?usp=drivesdk</t>
  </si>
  <si>
    <t xml:space="preserve">https://drive.google.com/file/d/1PFLtk2_7h275wEnzgLcNElT4h_MUNC7N/view?usp=drivesdk</t>
  </si>
  <si>
    <t xml:space="preserve">Анужин</t>
  </si>
  <si>
    <t xml:space="preserve">https://drive.google.com/file/d/1i85GIcMvPscivRLONpOQQQyDClC9N7ar/view?usp=drivesdk</t>
  </si>
  <si>
    <t xml:space="preserve">https://drive.google.com/file/d/1uSswBPaqjWZJrccSXjK2yFxMFd8cMK6s/view?usp=drivesdk</t>
  </si>
  <si>
    <t xml:space="preserve">Ижилзаяа</t>
  </si>
  <si>
    <t xml:space="preserve">https://drive.google.com/file/d/1elDhD-OY-t6BPbY0x11nsmTSUfwYdHQg/view?usp=drivesdk</t>
  </si>
  <si>
    <t xml:space="preserve">https://drive.google.com/file/d/1S5EpKPtg4Hqcr9mnPkH2xe8JZUOZyZAY/view?usp=drivesdk</t>
  </si>
  <si>
    <t xml:space="preserve">https://drive.google.com/file/d/1zA2spbK8YEwBB-tjf4AKfLpgHUhITEZ-/view?usp=drivesdk</t>
  </si>
  <si>
    <t xml:space="preserve">Далай</t>
  </si>
  <si>
    <t xml:space="preserve">https://drive.google.com/file/d/1XS_SQalBk-Y7KuQxz1z2i-mmADKdqCQe/view?usp=drivesdk</t>
  </si>
  <si>
    <t xml:space="preserve">https://drive.google.com/file/d/12Owkhne6KSMexCmQKDOBjwNfkiCy4Jjw/view?usp=drivesdk</t>
  </si>
  <si>
    <t xml:space="preserve">https://drive.google.com/file/d/1b90E__hlfp5mUOBcK9H2_UcwQZ74WNJB/view?usp=drivesdk</t>
  </si>
  <si>
    <t xml:space="preserve">https://drive.google.com/file/d/1lJYQcwyloEVXF3XAP9Og5UqzYRYGoTUc/view?usp=drivesdk</t>
  </si>
  <si>
    <t xml:space="preserve">Итгэл</t>
  </si>
  <si>
    <t xml:space="preserve">https://drive.google.com/file/d/1ugMOpblkWYJkokPFQyvtUHVIWywsxB4f/view?usp=drivesdk</t>
  </si>
  <si>
    <t xml:space="preserve">https://drive.google.com/file/d/1Bp9lBvMoUICePULZ7rxotKNnzKGOl1i0/view?usp=drivesdk</t>
  </si>
  <si>
    <t xml:space="preserve">https://drive.google.com/file/d/1g8DR91c5UC4As_NSl4CvrDCshzxH2ijC/view?usp=drivesdk</t>
  </si>
  <si>
    <t xml:space="preserve">https://drive.google.com/file/d/1jkg5PSPWcyyN06tiuKFaf2yqZAIQp9-v/view?usp=drivesdk</t>
  </si>
  <si>
    <t xml:space="preserve">Оюунхорол</t>
  </si>
  <si>
    <t xml:space="preserve">Биндэръяа</t>
  </si>
  <si>
    <t xml:space="preserve">https://drive.google.com/file/d/1VCZBPprNaCMdUpYEwnG8xByTRFQbLVJ3/view?usp=drivesdk</t>
  </si>
  <si>
    <t xml:space="preserve">https://drive.google.com/file/d/1Zpz-sQly7pSuEgCgHtfUn8_TdUdqd8dU/view?usp=drivesdk</t>
  </si>
  <si>
    <t xml:space="preserve">https://drive.google.com/file/d/146BjmAS3wqExeBAgvZEPxzOZ4vbi7-m1/view?usp=drivesdk</t>
  </si>
  <si>
    <t xml:space="preserve">https://drive.google.com/file/d/1OCYiVQPA-KRI19PjyXagY2mlx0gKxq_i/view?usp=drivesdk</t>
  </si>
  <si>
    <t xml:space="preserve">Тайванжаргал</t>
  </si>
  <si>
    <t xml:space="preserve">https://drive.google.com/file/d/19Tki1n01ji0F6Kk2c4JrYlQwojtmfvW4/view?usp=drivesdk</t>
  </si>
  <si>
    <t xml:space="preserve">https://drive.google.com/file/d/1h99HWDSBxO6GeXeXW4UznspzEiVXF-4l/view?usp=drivesdk</t>
  </si>
  <si>
    <t xml:space="preserve">https://drive.google.com/file/d/1Zka1HBvZjh7KWe3VCARggz-TnAlFRUJm/view?usp=drivesdk</t>
  </si>
  <si>
    <t xml:space="preserve">https://drive.google.com/file/d/1d2F-2vL5lY5Vb38HlP9Vwqbq7NXKSGwd/view?usp=drivesdk</t>
  </si>
  <si>
    <t xml:space="preserve">Алтанхүү</t>
  </si>
  <si>
    <t xml:space="preserve">https://drive.google.com/file/d/1rYcSocIQ3zaNOiebP_iZQ3hEgIPnqqu3/view?usp=drivesdk</t>
  </si>
  <si>
    <t xml:space="preserve">https://drive.google.com/file/d/1jLoSjYiNrDKYs45mw7Q8MUNPiImYvudJ/view?usp=drivesdk</t>
  </si>
  <si>
    <t xml:space="preserve">https://drive.google.com/file/d/16pCLv7_bSQhA-g71MCzi7h57KcqXM_Iy/view?usp=drivesdk</t>
  </si>
  <si>
    <t xml:space="preserve">https://drive.google.com/file/d/1J4kxPjXYWPOEM26jawngwzrJddMC9P3K/view?usp=drivesdk</t>
  </si>
  <si>
    <t xml:space="preserve">Тэлмүүн</t>
  </si>
  <si>
    <t xml:space="preserve">https://drive.google.com/file/d/1jeaFCCUxj5D0DBbmP5p9K0NylgEeBXb1/view?usp=drivesdk</t>
  </si>
  <si>
    <t xml:space="preserve">https://drive.google.com/file/d/1NECfY3EXgdUmmqmVuDiJEd11saT-owKb/view?usp=drivesdk</t>
  </si>
  <si>
    <t xml:space="preserve">https://drive.google.com/file/d/10AmW4F_lWiCtCWfI-fdkBvboITpyKurg/view?usp=drivesdk</t>
  </si>
  <si>
    <t xml:space="preserve">https://drive.google.com/file/d/1Ryun7BTGNZhmt6TXZUEo2ipdYDdS7zcB/view?usp=drivesdk</t>
  </si>
  <si>
    <t xml:space="preserve">Аминцэцэг</t>
  </si>
  <si>
    <t xml:space="preserve">https://drive.google.com/file/d/1usFDPjQ0bx7KwtGjfYFQX4FLK_UeFdcG/view?usp=drivesdk</t>
  </si>
  <si>
    <t xml:space="preserve">https://drive.google.com/file/d/1dygbDv7m2JxOi7dmATTAKF5UDfz6-hEV/view?usp=drivesdk</t>
  </si>
  <si>
    <t xml:space="preserve">https://drive.google.com/file/d/1wrFhVsZVWjDZuMTgPKD_FeLvJB-26npy/view?usp=drivesdk</t>
  </si>
  <si>
    <t xml:space="preserve">https://drive.google.com/file/d/1KYf5DKIs_zflhqSGEP0uiRvny7yITpXZ/view?usp=drivesdk</t>
  </si>
  <si>
    <t xml:space="preserve">Аружан</t>
  </si>
  <si>
    <t xml:space="preserve">https://drive.google.com/file/d/1AGsbmUxGBHIpaiJIzAOIjP2AgtRPpo10/view?usp=drivesdk</t>
  </si>
  <si>
    <t xml:space="preserve">https://drive.google.com/file/d/1fAtbDu1KiwFYDzwzWuovrCrEc6OIwt2j/view?usp=drivesdk</t>
  </si>
  <si>
    <t xml:space="preserve">Ану-Үжин</t>
  </si>
  <si>
    <t xml:space="preserve">https://drive.google.com/file/d/1xmi8HhEne-XSPV5_75Caz64anAPFntsy/view?usp=drivesdk</t>
  </si>
  <si>
    <t xml:space="preserve">https://drive.google.com/file/d/1xDDhi1B8xB-1mjCfTIVqpIe23wqclHDR/view?usp=drivesdk</t>
  </si>
  <si>
    <t xml:space="preserve">https://drive.google.com/file/d/19_ghNUg5_rBAGX8a3AAjwR-DOwFkImKl/view?usp=drivesdk</t>
  </si>
  <si>
    <t xml:space="preserve">Нансалмаа</t>
  </si>
  <si>
    <t xml:space="preserve">https://drive.google.com/file/d/17MCY7DnwacUgqS9nnO_5FrzIWrlA0Bes/view?usp=drivesdk</t>
  </si>
  <si>
    <t xml:space="preserve">https://drive.google.com/file/d/1oZ_IEv-WTRqxq0-7nnoaZnnoCE6s1fJc/view?usp=drivesdk</t>
  </si>
  <si>
    <t xml:space="preserve">https://drive.google.com/file/d/1OCgakN8BZBLd7h0QdRD2rq-WCabwPTSd/view?usp=drivesdk</t>
  </si>
  <si>
    <t xml:space="preserve">https://drive.google.com/file/d/1vnss1A3B0MzRWtypVz4W77iTaoKIJsuH/view?usp=drivesdk</t>
  </si>
  <si>
    <t xml:space="preserve">https://drive.google.com/file/d/1CEue2-2gqriODsNjhQFskdeCKugWxIic/view?usp=drivesdk</t>
  </si>
  <si>
    <t xml:space="preserve">https://drive.google.com/file/d/1DiQ9NiD-2SFeXpSV0jDxY5X9pW9VmTs7/view?usp=drivesdk</t>
  </si>
  <si>
    <t xml:space="preserve">https://drive.google.com/file/d/1KWOXmSPvkE_L61EGyOG8mXeVAV0veVFB/view?usp=drivesdk</t>
  </si>
  <si>
    <t xml:space="preserve">Мянганбаяр</t>
  </si>
  <si>
    <t xml:space="preserve">https://drive.google.com/file/d/1IgbeVKCkSLFIwjud2HgrnCIUQUPIoJM7/view?usp=drivesdk</t>
  </si>
  <si>
    <t xml:space="preserve">https://drive.google.com/file/d/1WRzunmP2eC_QdEPXjjRbnr_vMX196fT1/view?usp=drivesdk</t>
  </si>
  <si>
    <t xml:space="preserve">https://drive.google.com/file/d/1ZmvPMz6sP6rowJXp1a1g-Kv_6177_hm7/view?usp=drivesdk</t>
  </si>
  <si>
    <t xml:space="preserve">https://drive.google.com/file/d/1-Osw0Tn-YmPZXy4Yfu6YLSt8ecsr0zPk/view?usp=drivesdk</t>
  </si>
  <si>
    <t xml:space="preserve">https://drive.google.com/file/d/1TBXwGSr57m20I07r3qe32mm4sVy3Y4f7/view?usp=drivesdk</t>
  </si>
  <si>
    <t xml:space="preserve">Бат-Ирээдүй</t>
  </si>
  <si>
    <t xml:space="preserve">https://drive.google.com/file/d/1rmNLwsx59Qx4W2-mByQyC3f4QTAyuSjw/view?usp=drivesdk</t>
  </si>
  <si>
    <t xml:space="preserve">https://drive.google.com/file/d/1D5u0R93iNNZJdLDOXXZoACiosKiH_x50/view?usp=drivesdk</t>
  </si>
  <si>
    <t xml:space="preserve">https://drive.google.com/file/d/10Yld1EfqOEp3zeYR7waqJUusz5P76NjD/view?usp=drivesdk</t>
  </si>
  <si>
    <t xml:space="preserve">https://drive.google.com/file/d/1Vnz8m1ONpyyVVI8OsBapI-hjY2LEhoyn/view?usp=drivesdk</t>
  </si>
  <si>
    <t xml:space="preserve">Хишигмаа</t>
  </si>
  <si>
    <t xml:space="preserve">https://drive.google.com/file/d/1--d4xMXodBCFH_9fLl2K4rIG_uxVFCjr/view?usp=drivesdk</t>
  </si>
  <si>
    <t xml:space="preserve">https://drive.google.com/file/d/1Z94BP3UGA8qYLP-4jISUsqVmyic8lcsY/view?usp=drivesdk</t>
  </si>
  <si>
    <t xml:space="preserve">Эрхэмбэлгэ</t>
  </si>
  <si>
    <t xml:space="preserve">https://drive.google.com/file/d/1c01n9iGXwRQlmJCq1vL7tEhMy_RZ2CD7/view?usp=drivesdk</t>
  </si>
  <si>
    <t xml:space="preserve">https://drive.google.com/file/d/1DZpJ29fJdG-cLNZKT1YQjbEy2Tep1J6Z/view?usp=drivesdk</t>
  </si>
  <si>
    <t xml:space="preserve">Хулан</t>
  </si>
  <si>
    <t xml:space="preserve">https://drive.google.com/file/d/1abV_IEfeUOoUFjw8legxMWgyY_Oz7ZbN/view?usp=drivesdk</t>
  </si>
  <si>
    <t xml:space="preserve">https://drive.google.com/file/d/1KLAlYwJ4YVKSzA-0m4P7CkaVBixc3es4/view?usp=drivesdk</t>
  </si>
  <si>
    <t xml:space="preserve">https://drive.google.com/file/d/1NMbYP9jTl5oHJpR9rByoLWIj7IGuOwJZ/view?usp=drivesdk</t>
  </si>
  <si>
    <t xml:space="preserve">Чингүүн</t>
  </si>
  <si>
    <t xml:space="preserve">https://drive.google.com/file/d/1mJXbYdt71KGqCmdXiJY4xzxD-KL0FiOt/view?usp=drivesdk</t>
  </si>
  <si>
    <t xml:space="preserve">https://drive.google.com/file/d/1QSXcqD4tjrkP1Myh0NPMZXRx6c3-2ya4/view?usp=drivesdk</t>
  </si>
  <si>
    <t xml:space="preserve">Өнөмөнхлэй</t>
  </si>
  <si>
    <t xml:space="preserve">https://drive.google.com/file/d/1ISP0-XXiWrc0x7q8IO1rm7Y7bZ8JskY1/view?usp=drivesdk</t>
  </si>
  <si>
    <t xml:space="preserve">https://drive.google.com/file/d/1KihAV4QbUYvjtEsIskinRr9Rr6gA29he/view?usp=drivesdk</t>
  </si>
  <si>
    <t xml:space="preserve">https://drive.google.com/file/d/12f_fDKG5R8VXoS-zgdQ8rAM2QsDAeH_J/view?usp=drivesdk</t>
  </si>
  <si>
    <t xml:space="preserve">https://drive.google.com/file/d/10wMg9NgDzALkcHieCPg6D2_26nuEw9px/view?usp=drivesdk</t>
  </si>
  <si>
    <t xml:space="preserve">https://drive.google.com/file/d/1H46UyJ-qhljzlujWzwA-I97cpafozqLp/view?usp=drivesdk</t>
  </si>
  <si>
    <t xml:space="preserve">https://drive.google.com/file/d/1dVL6Eunm-sQgfY9nCOOhqvIZ6pNacN-i/view?usp=drivesdk</t>
  </si>
  <si>
    <t xml:space="preserve">Оюунбилэг</t>
  </si>
  <si>
    <t xml:space="preserve">https://drive.google.com/file/d/1iag5WOefLxiqnbcOUNeySMoMsOGBbxeU/view?usp=drivesdk</t>
  </si>
  <si>
    <t xml:space="preserve">https://drive.google.com/file/d/13rYBSXWAhmE1_631Azr9hqu6HZN7CHuI/view?usp=drivesdk</t>
  </si>
  <si>
    <t xml:space="preserve">https://drive.google.com/file/d/13XjOrduQbcpf4O7cugGiVh9LLK4RhoQF/view?usp=drivesdk</t>
  </si>
  <si>
    <t xml:space="preserve">https://drive.google.com/file/d/1rqtC_Nlr9WMX5dxzyddAQv1lrvdqggiS/view?usp=drivesdk</t>
  </si>
  <si>
    <t xml:space="preserve">Элбэгзаяа</t>
  </si>
  <si>
    <t xml:space="preserve">https://drive.google.com/file/d/1hvj6PIno1wY0A5gqZXIZCPc2PfG-Uc88/view?usp=drivesdk</t>
  </si>
  <si>
    <t xml:space="preserve">https://drive.google.com/file/d/146Dga4JtEmU--yax25VopTz38LXUsWlQ/view?usp=drivesdk</t>
  </si>
  <si>
    <t xml:space="preserve">https://drive.google.com/file/d/1tyKENWgYb_3AMbVukMF6hSspD0wdn2f3/view?usp=drivesdk</t>
  </si>
  <si>
    <t xml:space="preserve">https://drive.google.com/file/d/1FS-AoUqjhNS9c0-YJ1DiXQ4bC_SMsfUi/view?usp=drivesdk</t>
  </si>
  <si>
    <t xml:space="preserve">Очирбат</t>
  </si>
  <si>
    <t xml:space="preserve">https://drive.google.com/file/d/1MFJ7LNMD5IBQWrZ_6l-tdkK_SftCOF5i/view?usp=drivesdk</t>
  </si>
  <si>
    <t xml:space="preserve">https://drive.google.com/file/d/1K8AHOgQV3jYxdYXf7nK6sIabx_DEtbd7/view?usp=drivesdk</t>
  </si>
  <si>
    <t xml:space="preserve">Хүслэн</t>
  </si>
  <si>
    <t xml:space="preserve">https://drive.google.com/file/d/11Jw71eSPwkx7Bf13Ypyx3jL4nasOkG10/view?usp=drivesdk</t>
  </si>
  <si>
    <t xml:space="preserve">https://drive.google.com/file/d/1KUz_mc222xmN5rNgyIVvh5teRBB-qYRm/view?usp=drivesdk</t>
  </si>
  <si>
    <t xml:space="preserve">https://drive.google.com/file/d/1eNJ2lDZuSWDvgud6yN1DQ4gpQ0Xta4QB/view?usp=drivesdk</t>
  </si>
  <si>
    <t xml:space="preserve">Гансүлд</t>
  </si>
  <si>
    <t xml:space="preserve">https://drive.google.com/file/d/1xiNsCcvKI7XGtTYGUWS4A0Ez5L0fAB1s/view?usp=drivesdk</t>
  </si>
  <si>
    <t xml:space="preserve">https://drive.google.com/file/d/1AKw71qER-2oDQ_KMx7KJv4jShwLxK-16/view?usp=drivesdk</t>
  </si>
  <si>
    <t xml:space="preserve">https://drive.google.com/file/d/1Gu3KXm-BxaGTFi_oj6vaMmtOZnjeZLLH/view?usp=drivesdk</t>
  </si>
  <si>
    <t xml:space="preserve">https://drive.google.com/file/d/1y_bgGyglXoKBfeczbclwjzh9OFDf6uG4/view?usp=drivesdk</t>
  </si>
  <si>
    <t xml:space="preserve">Энх-Амгалан</t>
  </si>
  <si>
    <t xml:space="preserve">https://drive.google.com/file/d/1t9UzzA7b1AwAjPsQ0XUCgmh1ImyaK5xz/view?usp=drivesdk</t>
  </si>
  <si>
    <t xml:space="preserve">https://drive.google.com/file/d/1ED_5OHzGASD8-jLv_sCsxj0QJH2HZAKN/view?usp=drivesdk</t>
  </si>
  <si>
    <t xml:space="preserve">https://drive.google.com/file/d/1n4Ihd7hQpWnx69XXs_lF3IFPx7U-CL9T/view?usp=drivesdk</t>
  </si>
  <si>
    <t xml:space="preserve">https://drive.google.com/file/d/12Ct-H0eDTmGzJIhjBJY6NeggTPqdNvfZ/view?usp=drivesdk</t>
  </si>
  <si>
    <t xml:space="preserve">Ананд</t>
  </si>
  <si>
    <t xml:space="preserve">https://drive.google.com/file/d/1_ea7AitcrJ2RSR4VEi_q1q8M6PenHzu7/view?usp=drivesdk</t>
  </si>
  <si>
    <t xml:space="preserve">https://drive.google.com/file/d/1M27LDkBMiBHRjiHuTBI18dOW8sMmrFkv/view?usp=drivesdk</t>
  </si>
  <si>
    <t xml:space="preserve">Эрхсаран</t>
  </si>
  <si>
    <t xml:space="preserve">https://drive.google.com/file/d/1OXP0J8t3jObJ-lGRTwuv_HnuL8gjBXHj/view?usp=drivesdk</t>
  </si>
  <si>
    <t xml:space="preserve">https://drive.google.com/file/d/1hOhm6uS9KZc41ow1ZnGTSQoxsMDltSTU/view?usp=drivesdk</t>
  </si>
  <si>
    <t xml:space="preserve">https://drive.google.com/file/d/1shwbzTplHls8GXEZtSL5dpwbetbvbnEO/view?usp=drivesdk</t>
  </si>
  <si>
    <t xml:space="preserve">https://drive.google.com/file/d/1fabroA3mXvTWT-4rf8JqyAmeo2Sb3UcY/view?usp=drivesdk</t>
  </si>
  <si>
    <t xml:space="preserve">Энхзаяа</t>
  </si>
  <si>
    <t xml:space="preserve">https://drive.google.com/file/d/12oFrpKcauDnSpY2IPiB5o3TpHwmqeWKu/view?usp=drivesdk</t>
  </si>
  <si>
    <t xml:space="preserve">https://drive.google.com/file/d/1O51dFTMGSEto5v_snqVRKfOrr1WbgPqz/view?usp=drivesdk</t>
  </si>
  <si>
    <t xml:space="preserve">https://drive.google.com/file/d/1-wv2zFFFBUF4XiOxdEbC6-WADab8sx2W/view?usp=drivesdk</t>
  </si>
  <si>
    <t xml:space="preserve">https://drive.google.com/file/d/1Pnct-jROeQEN0XwN9X02aaENH38zoS48/view?usp=drivesdk</t>
  </si>
  <si>
    <t xml:space="preserve">Минжин</t>
  </si>
  <si>
    <t xml:space="preserve">https://drive.google.com/file/d/18KS0Rv71909PM6wVDP5zj408x-Fw2eU5/view?usp=drivesdk</t>
  </si>
  <si>
    <t xml:space="preserve">https://drive.google.com/file/d/1w-crruHoUsvabo1rkHsbNYgXDOjZpA_I/view?usp=drivesdk</t>
  </si>
  <si>
    <t xml:space="preserve">https://drive.google.com/file/d/18HfvBH_KhwnW_3AVDe2XIQ9Q0O0aj5fs/view?usp=drivesdk</t>
  </si>
  <si>
    <t xml:space="preserve">Бадрал</t>
  </si>
  <si>
    <t xml:space="preserve">https://drive.google.com/file/d/1XUAeZ7BC0vm5fdMOc3BYbEGAzFR7jSLB/view?usp=drivesdk</t>
  </si>
  <si>
    <t xml:space="preserve">https://drive.google.com/file/d/1CP8Up5bvOPm7yByAIgn7UQ_WtjCmwOyM/view?usp=drivesdk</t>
  </si>
  <si>
    <t xml:space="preserve">https://drive.google.com/file/d/1uZFdncf9IscB6-c_bdy6FzbcjeTP_RII/view?usp=drivesdk</t>
  </si>
  <si>
    <t xml:space="preserve">Мягмарсүрэн</t>
  </si>
  <si>
    <t xml:space="preserve">D(8-Р АНГИ) II-I </t>
  </si>
  <si>
    <t xml:space="preserve">https://drive.google.com/file/d/18gnObGo-HIfCNQIZdsTHYZTpJITDOh_I/view?usp=drivesdk</t>
  </si>
  <si>
    <t xml:space="preserve">https://drive.google.com/file/d/1lBIxnRN1bBbtmZYfokv-cNqLVTVEyV0E/view?usp=drivesdk</t>
  </si>
  <si>
    <t xml:space="preserve">https://drive.google.com/file/d/1UyLTmhYkiOkKU_UCjN8YyNMyZ5hTUXwK/view?usp=drivesdk</t>
  </si>
  <si>
    <t xml:space="preserve">https://drive.google.com/file/d/1BJ5GP_xBpS4684RS9-SkV2ha_lUanbx3/view?usp=drivesdk</t>
  </si>
  <si>
    <t xml:space="preserve">https://drive.google.com/file/d/1p9Se1PIpzu2QBsyfDd8qNEIbShK9WN1t/view?usp=drivesdk</t>
  </si>
  <si>
    <t xml:space="preserve">https://drive.google.com/file/d/10qVbKHZBcYO_vJ7iWYZyaNfYHrczHpgF/view?usp=drivesdk</t>
  </si>
  <si>
    <t xml:space="preserve">Цэцэгбал</t>
  </si>
  <si>
    <t xml:space="preserve">https://drive.google.com/file/d/1NVkJxyajBsnaKph4DC4Ae8kLzL7aglVH/view?usp=drivesdk</t>
  </si>
  <si>
    <t xml:space="preserve">https://drive.google.com/file/d/1ETpAXwtavsNHCMVLvgBj3QP3CXrfq1ij/view?usp=drivesdk</t>
  </si>
  <si>
    <t xml:space="preserve">https://drive.google.com/file/d/1hAoPqmVwp07lI8CuajZXH1Lo7l1sXCaB/view?usp=drivesdk</t>
  </si>
  <si>
    <t xml:space="preserve">https://drive.google.com/file/d/1tT-zLt-6q3OkvRbvqibSQnv5G9cmDy77/view?usp=drivesdk</t>
  </si>
  <si>
    <t xml:space="preserve">Соёлтогтох</t>
  </si>
  <si>
    <t xml:space="preserve">https://drive.google.com/file/d/1rJUADVHsc0fOgGUEl0yavJkfyyqf8Q5M/view?usp=drivesdk</t>
  </si>
  <si>
    <t xml:space="preserve">https://drive.google.com/file/d/1lOX9-Xv825EQaSjiQ3m55GI2soZM8UmQ/view?usp=drivesdk</t>
  </si>
  <si>
    <t xml:space="preserve">Аззаяа</t>
  </si>
  <si>
    <t xml:space="preserve">https://drive.google.com/file/d/1FSS9bMwF-W7RhRdXfxeJ1M0FhwpsEYJ5/view?usp=drivesdk</t>
  </si>
  <si>
    <t xml:space="preserve">https://drive.google.com/file/d/1PFjzRZzmBeQE8TUhNn1im0NJIPjc5CV5/view?usp=drivesdk</t>
  </si>
  <si>
    <t xml:space="preserve">https://drive.google.com/file/d/1fIUjlS_y3Zubf5q4W7MsQWn9664k-syk/view?usp=drivesdk</t>
  </si>
  <si>
    <t xml:space="preserve">Анхилуун</t>
  </si>
  <si>
    <t xml:space="preserve">https://drive.google.com/file/d/18ePMci0q1WNpVojBHksvBPyD_N-oY6fC/view?usp=drivesdk</t>
  </si>
  <si>
    <t xml:space="preserve">https://drive.google.com/file/d/1zcHsipFLfTZUbgHvcrLzVm63P4epFJAA/view?usp=drivesdk</t>
  </si>
  <si>
    <t xml:space="preserve">https://drive.google.com/file/d/1UbqLU1WNxGcGGsIdJ2796TKnPcyFMVU4/view?usp=drivesdk</t>
  </si>
  <si>
    <t xml:space="preserve">Өсөх-ирээдүй</t>
  </si>
  <si>
    <t xml:space="preserve">https://drive.google.com/file/d/1m4LSkqq2tqLfG6kfJp6w1_F8IknwE10j/view?usp=drivesdk</t>
  </si>
  <si>
    <t xml:space="preserve">https://drive.google.com/file/d/1zkbu6H3iXg1cjAQSLtHxLIjBAVTuLqdq/view?usp=drivesdk</t>
  </si>
  <si>
    <t xml:space="preserve">https://drive.google.com/file/d/1MaO81CnsVpacQGC8-ASGzYsAK3DAl2ri/view?usp=drivesdk</t>
  </si>
  <si>
    <t xml:space="preserve">Үжин</t>
  </si>
  <si>
    <t xml:space="preserve">https://drive.google.com/file/d/1kpfUZWJssYprHQBTdCqkUg-F819MNBpU/view?usp=drivesdk</t>
  </si>
  <si>
    <t xml:space="preserve">https://drive.google.com/file/d/14fjho6RrhMIOoYnBGwq9_wgXXGchaF-m/view?usp=drivesdk</t>
  </si>
  <si>
    <t xml:space="preserve">https://drive.google.com/file/d/13MKYO61P6jYkgOir5iH9h59byEG9miVV/view?usp=drivesdk</t>
  </si>
  <si>
    <t xml:space="preserve">Батбаян</t>
  </si>
  <si>
    <t xml:space="preserve">https://drive.google.com/file/d/1wH9uMb4KSYpuv1awKtAp3QXmvGe0V4GZ/view?usp=drivesdk</t>
  </si>
  <si>
    <t xml:space="preserve">https://drive.google.com/file/d/1GhdBSYQDL40GDsjWogYwBwbe___Al0OM/view?usp=drivesdk</t>
  </si>
  <si>
    <t xml:space="preserve">https://drive.google.com/file/d/1eFQua7TBToKKRn_1W6IZgKNrbeblhzYs/view?usp=drivesdk</t>
  </si>
  <si>
    <t xml:space="preserve">Төгөлдөр</t>
  </si>
  <si>
    <t xml:space="preserve">https://drive.google.com/file/d/1wv1O8CGH1P9CCZm9PboeIy5FbNKzitJw/view?usp=drivesdk</t>
  </si>
  <si>
    <t xml:space="preserve">Алтжин</t>
  </si>
  <si>
    <t xml:space="preserve">https://drive.google.com/file/d/1Ol9QF9zq1UwtdNzxb2tgk68E2t3wNlJu/view?usp=drivesdk</t>
  </si>
  <si>
    <t xml:space="preserve">https://drive.google.com/file/d/10TiNhqxSqsiUwc5kpRc7OJ4Z1i9fyvk8/view?usp=drivesdk</t>
  </si>
  <si>
    <t xml:space="preserve">https://drive.google.com/file/d/1LT09QoEOVlV9HUAg-zMxtbJRrRTpBlGn/view?usp=drivesdk</t>
  </si>
  <si>
    <t xml:space="preserve">Амарбаясгалан</t>
  </si>
  <si>
    <t xml:space="preserve">https://drive.google.com/file/d/1DO4g_VSkSGQFmkS82mPxVmgRV7Quek5s/view?usp=drivesdk</t>
  </si>
  <si>
    <t xml:space="preserve">https://drive.google.com/file/d/1fH_A2OvwE3F2DcAlWAwWgK8rPsRDElH2/view?usp=drivesdk</t>
  </si>
  <si>
    <t xml:space="preserve">https://drive.google.com/file/d/1iF0hY6HJlD4TUo95iKZK7BXt5NGdpRck/view?usp=drivesdk</t>
  </si>
  <si>
    <t xml:space="preserve">Ангараг</t>
  </si>
  <si>
    <t xml:space="preserve">https://drive.google.com/file/d/1FVzNNc93cdrvbHyttTY7IQxtRsazrJHg/view?usp=drivesdk</t>
  </si>
  <si>
    <t xml:space="preserve">https://drive.google.com/file/d/1LRz6IvLhqH9fuI95S5zCdyyhp855n68Z/view?usp=drivesdk</t>
  </si>
  <si>
    <t xml:space="preserve">https://drive.google.com/file/d/1vqP69IXS5P6VAIbmLT8ZYYtLVF2oUkkE/view?usp=drivesdk</t>
  </si>
  <si>
    <t xml:space="preserve">Энхрий</t>
  </si>
  <si>
    <t xml:space="preserve">https://drive.google.com/file/d/1KG3n_JAIcRG8WGj8SawdUqup6FcGL6uq/view?usp=drivesdk</t>
  </si>
  <si>
    <t xml:space="preserve">https://drive.google.com/file/d/12a2pH11DEr5aCX9LV4nOb3PqDq5bNzbZ/view?usp=drivesdk</t>
  </si>
  <si>
    <t xml:space="preserve">Ганням</t>
  </si>
  <si>
    <t xml:space="preserve">https://drive.google.com/file/d/1V4FasFvh43lkvwHvkQFqox_iXQdVhWbm/view?usp=drivesdk</t>
  </si>
  <si>
    <t xml:space="preserve">Энгүүн</t>
  </si>
  <si>
    <t xml:space="preserve">https://drive.google.com/file/d/1abJ9sKuB854PttaHNdCaryIFqRUq4LMb/view?usp=drivesdk</t>
  </si>
  <si>
    <t xml:space="preserve">https://drive.google.com/file/d/1Wh5GAtQotcE6-vafUqkVxIKTiqxiRDL4/view?usp=drivesdk</t>
  </si>
  <si>
    <t xml:space="preserve">https://drive.google.com/file/d/1Su9zmPMlhYnp-w1v17fyHkgMvTrVNfPL/view?usp=drivesdk</t>
  </si>
  <si>
    <t xml:space="preserve">Амарзаяа</t>
  </si>
  <si>
    <t xml:space="preserve">https://drive.google.com/file/d/1vQXWm3R6j_JX5ELAq8tqmcP4h57T9GWM/view?usp=drivesdk</t>
  </si>
  <si>
    <t xml:space="preserve">https://drive.google.com/file/d/1RhKFMe47J3cpOeCu-opfcgz91fGRveyt/view?usp=drivesdk</t>
  </si>
  <si>
    <t xml:space="preserve">https://drive.google.com/file/d/198PpIAmcR4quNYD9FtB15cuMescS5KKP/view?usp=drivesdk</t>
  </si>
  <si>
    <t xml:space="preserve">Номундалай</t>
  </si>
  <si>
    <t xml:space="preserve">https://drive.google.com/file/d/1ga5BBthqh6iIGDM8WU3OV2pZW7CEHgZA/view?usp=drivesdk</t>
  </si>
  <si>
    <t xml:space="preserve">https://drive.google.com/file/d/1KXqy4La7YVkBeR1mnXfPmDvFliwkJb2D/view?usp=drivesdk</t>
  </si>
  <si>
    <t xml:space="preserve">https://drive.google.com/file/d/1nKlpd_1CMicK3s402ilGGa1zGqNbAkOX/view?usp=drivesdk</t>
  </si>
  <si>
    <t xml:space="preserve">Марал</t>
  </si>
  <si>
    <t xml:space="preserve">https://drive.google.com/file/d/1DST_4btsURE97yWiD-gplMjCVoJjbTxI/view?usp=drivesdk</t>
  </si>
  <si>
    <t xml:space="preserve">https://drive.google.com/file/d/1Tnyzh0w-D1-s4eO4KHTKHaiondwrc4ro/view?usp=drivesdk</t>
  </si>
  <si>
    <t xml:space="preserve">https://drive.google.com/file/d/1Vt9fVBBK8SNNeryaino2wU1x4DJvCGkx/view?usp=drivesdk</t>
  </si>
  <si>
    <t xml:space="preserve">Наранбаяр</t>
  </si>
  <si>
    <t xml:space="preserve">https://drive.google.com/file/d/1monlEb_AT_0LZFlsyF-Pt4IdwTSZ0oGw/view?usp=drivesdk</t>
  </si>
  <si>
    <t xml:space="preserve">https://drive.google.com/file/d/1w4HYX8v6o4giuc2I4WrWcMXDbv0MrZW6/view?usp=drivesdk</t>
  </si>
  <si>
    <t xml:space="preserve">https://drive.google.com/file/d/1RMkDGZaJ_Hhtobp50Xn5hTKA9rHYFE-s/view?usp=drivesdk</t>
  </si>
  <si>
    <t xml:space="preserve">Баяржавхлан</t>
  </si>
  <si>
    <t xml:space="preserve">https://drive.google.com/file/d/1QRIpZMVf-aCGs2Cs1HjChy3AK8ivQLmi/view?usp=drivesdk</t>
  </si>
  <si>
    <t xml:space="preserve">https://drive.google.com/file/d/1wwAwhI8SiqbnWwWJZ6SM2RPxj5F2TVtB/view?usp=drivesdk</t>
  </si>
  <si>
    <t xml:space="preserve">https://drive.google.com/file/d/1PaWLjACglloF6-vVBFVq1lEv-kInOV6B/view?usp=drivesdk</t>
  </si>
  <si>
    <t xml:space="preserve">Баянбат</t>
  </si>
  <si>
    <t xml:space="preserve">https://drive.google.com/file/d/1N7IX0Dn9oEqcy9JhtRlNywqUcUjwhHX7/view?usp=drivesdk</t>
  </si>
  <si>
    <t xml:space="preserve">https://drive.google.com/file/d/1tRNeNWPePQx5PeSmurtPIAaRop4BRfvC/view?usp=drivesdk</t>
  </si>
  <si>
    <t xml:space="preserve">https://drive.google.com/file/d/13mM246MSB8kTySX3wLtPKCdKZFG3sxlr/view?usp=drivesdk</t>
  </si>
  <si>
    <t xml:space="preserve">Нямцэцэг</t>
  </si>
  <si>
    <t xml:space="preserve">https://drive.google.com/file/d/1BDmUdJT_kBA1eS7-z02-3S2n2Oybkuj9/view?usp=drivesdk</t>
  </si>
  <si>
    <t xml:space="preserve">https://drive.google.com/file/d/1LBhroW4Wvzt6T_N6-Z9iPSs8BAoM26DP/view?usp=drivesdk</t>
  </si>
  <si>
    <t xml:space="preserve">https://drive.google.com/file/d/1O8euPVTvHArVlPNX7rnAP731pqZdMc5o/view?usp=drivesdk</t>
  </si>
  <si>
    <t xml:space="preserve">https://drive.google.com/file/d/1rwA3xihgZNh9O9YAK50KJoYoT8uN4Vvy/view?usp=drivesdk</t>
  </si>
  <si>
    <t xml:space="preserve">https://drive.google.com/file/d/1WL2-S7KWwsmNgxIv1UfTeCRKTkanqSZV/view?usp=drivesdk</t>
  </si>
  <si>
    <t xml:space="preserve">https://drive.google.com/file/d/1xJrAcZiSpN8VfuvKsFnobZk6sr5a4n81/view?usp=drivesdk</t>
  </si>
  <si>
    <t xml:space="preserve">https://drive.google.com/file/d/1IhE5sKnNckMSr4kUpHN5Jvie2NHMe55a/view?usp=drivesdk</t>
  </si>
  <si>
    <t xml:space="preserve">https://drive.google.com/file/d/1v_aTxVlI3GLHQgY3r0rWXjVn73LGYMdT/view?usp=drivesdk</t>
  </si>
  <si>
    <t xml:space="preserve">https://drive.google.com/file/d/1pCSozqfdBQ3WT6_Vl1vf7FcDEYllYcax/view?usp=drivesdk</t>
  </si>
  <si>
    <t xml:space="preserve">https://drive.google.com/file/d/1-iBZ8iHM_Rc-sDtK-BaX-KkBy-Rc6kHh/view?usp=drivesdk</t>
  </si>
  <si>
    <t xml:space="preserve">https://drive.google.com/file/d/1kkAuVFUxZs3Ko1wwSaR2z24nmDjmx-fD/view?usp=drivesdk</t>
  </si>
  <si>
    <t xml:space="preserve">Мөнх-Үжин</t>
  </si>
  <si>
    <t xml:space="preserve">https://drive.google.com/file/d/1u1Mmr9PIk3ur60PeMs6RpYT8_8q0ajFg/view?usp=drivesdk</t>
  </si>
  <si>
    <t xml:space="preserve">https://drive.google.com/file/d/1W_4AFAiFMnc4XK7ZpljLpQHkHsscY29_/view?usp=drivesdk</t>
  </si>
  <si>
    <t xml:space="preserve">https://drive.google.com/file/d/1yxPw35_2TbVTKDrkISthVYQkEgF1OX4E/view?usp=drivesdk</t>
  </si>
  <si>
    <t xml:space="preserve">Номин-Эрдэнэ</t>
  </si>
  <si>
    <t xml:space="preserve">https://drive.google.com/file/d/1TS87HyjfhEKAGkV1rLBb0GZCw9O1kj5n/view?usp=drivesdk</t>
  </si>
  <si>
    <t xml:space="preserve">https://drive.google.com/file/d/1rneWLK-KIPtSE6Pz_aX-J4YCuyrPc83Y/view?usp=drivesdk</t>
  </si>
  <si>
    <t xml:space="preserve">https://drive.google.com/file/d/1KchufPUKrjrLLoAcGhLv8jO2SYaQ5zaT/view?usp=drivesdk</t>
  </si>
  <si>
    <t xml:space="preserve">Болормаа</t>
  </si>
  <si>
    <t xml:space="preserve">https://drive.google.com/file/d/1MC2VZMwERNAOgChWh-QWvWBo5kGx3AHG/view?usp=drivesdk</t>
  </si>
  <si>
    <t xml:space="preserve">https://drive.google.com/file/d/1BNiVVQIHdjwc6DyczMEtGTrwAHhHyVHK/view?usp=drivesdk</t>
  </si>
  <si>
    <t xml:space="preserve">https://drive.google.com/file/d/1uGylT1Dc7Y7hWLRqAM7eXUiWs-oSB8Xv/view?usp=drivesdk</t>
  </si>
  <si>
    <t xml:space="preserve">Цэнгүүн</t>
  </si>
  <si>
    <t xml:space="preserve">https://drive.google.com/file/d/1ADKcm9hQc4UF6eulOERevAEJa_8LpRbP/view?usp=drivesdk</t>
  </si>
  <si>
    <t xml:space="preserve">https://drive.google.com/file/d/1yFmeXLQmXhX9skUvYtpkFEY8-JdXXMPG/view?usp=drivesdk</t>
  </si>
  <si>
    <t xml:space="preserve">https://drive.google.com/file/d/1DCB9JaIEKkEjfsEmMB5PNCMHWShuCOG_/view?usp=drivesdk</t>
  </si>
  <si>
    <t xml:space="preserve">Түмэнжаргал</t>
  </si>
  <si>
    <t xml:space="preserve">https://drive.google.com/file/d/1IQgfVelIKe6lpWbsWAkRlEIdcYch-YYN/view?usp=drivesdk</t>
  </si>
  <si>
    <t xml:space="preserve">https://drive.google.com/file/d/1E1VElBcJ5OdOB8vCr1hYmGgvpiUN6shA/view?usp=drivesdk</t>
  </si>
  <si>
    <t xml:space="preserve">https://drive.google.com/file/d/1bp7ykyVeCJ06vxMRMIlUvSCzVTkn4gJs/view?usp=drivesdk</t>
  </si>
  <si>
    <t xml:space="preserve">Тамир</t>
  </si>
  <si>
    <t xml:space="preserve">https://drive.google.com/file/d/17OVHkb5lsTens0h3sdGMxFg6UsJ1l_bm/view?usp=drivesdk</t>
  </si>
  <si>
    <t xml:space="preserve">https://drive.google.com/file/d/186tKLS169lbDZp5cBbmYYNSreA7rW7QG/view?usp=drivesdk</t>
  </si>
  <si>
    <t xml:space="preserve">https://drive.google.com/file/d/1D82sMWC4o-y1YWiT4Ls-gkwnlJNWtBTd/view?usp=drivesdk</t>
  </si>
  <si>
    <t xml:space="preserve">https://drive.google.com/file/d/1MKjGPtS9_-YGeMjuf8SesiysHq4rlDH5/view?usp=drivesdk</t>
  </si>
  <si>
    <t xml:space="preserve">https://drive.google.com/file/d/1obBIg1JLKUNMDpmWaRnPlOo--pyKwtF-/view?usp=drivesdk</t>
  </si>
  <si>
    <t xml:space="preserve">https://drive.google.com/file/d/1Gz-ag-FBvYA9eeH2vqG18zgeebnwrxJ1/view?usp=drivesdk</t>
  </si>
  <si>
    <t xml:space="preserve">https://drive.google.com/file/d/1PcltE8ojKffIRB8XCUxt8hQHyADW8p54/view?usp=drivesdk</t>
  </si>
  <si>
    <t xml:space="preserve">https://drive.google.com/file/d/1pAFcpt6AoiEm9cxqgWVyu1luGFeHfJcO/view?usp=drivesdk</t>
  </si>
  <si>
    <t xml:space="preserve">Баялагмаа</t>
  </si>
  <si>
    <t xml:space="preserve">https://drive.google.com/file/d/1e0LAGnUG6OBuOFHYTNw0nWl--bs7Nug5/view?usp=drivesdk</t>
  </si>
  <si>
    <t xml:space="preserve">https://drive.google.com/file/d/1ruMUrqM3jGTo5BbKpf5OcCWF1n0CJWXP/view?usp=drivesdk</t>
  </si>
  <si>
    <t xml:space="preserve">https://drive.google.com/file/d/1dGrA6qqSizTc81mIaau_wBtE6I8jfSaf/view?usp=drivesdk</t>
  </si>
  <si>
    <t xml:space="preserve">https://drive.google.com/file/d/1iZ2QM4ulRmMGpxdrJMWtsabpQf3bBRXh/view?usp=drivesdk</t>
  </si>
  <si>
    <t xml:space="preserve">https://drive.google.com/file/d/1gU2YWKVzOxoVpynNZqJHkXV-rryDSSzm/view?usp=drivesdk</t>
  </si>
  <si>
    <t xml:space="preserve">https://drive.google.com/file/d/1UtLFd0Wn9P6U5yD_tgDgh5s5i613Mxru/view?usp=drivesdk</t>
  </si>
  <si>
    <t xml:space="preserve">https://drive.google.com/file/d/11vH7dNqil5rBfxfrObV6b1gIsEzoCJDC/view?usp=drivesdk</t>
  </si>
  <si>
    <t xml:space="preserve">Бахшашти</t>
  </si>
  <si>
    <t xml:space="preserve">https://drive.google.com/file/d/17Ng2P3BZXlGJTxLA_mrSXdLOFMB298t6/view?usp=drivesdk</t>
  </si>
  <si>
    <t xml:space="preserve">https://drive.google.com/file/d/1nny3sHz6YcTtF49VANPduO2iUkpo9jjc/view?usp=drivesdk</t>
  </si>
  <si>
    <t xml:space="preserve">https://drive.google.com/file/d/12imvTrOkvspyJ96bD7Fgol14jvj9tF3r/view?usp=drivesdk</t>
  </si>
  <si>
    <t xml:space="preserve">Азжаргал</t>
  </si>
  <si>
    <t xml:space="preserve">https://drive.google.com/file/d/118i7Vy0-laFOvb3_YX8tI2Xrxw3JMK6n/view?usp=drivesdk</t>
  </si>
  <si>
    <t xml:space="preserve">https://drive.google.com/file/d/1A28cfBfrETk_tZASelACc80P4ZZhDr0e/view?usp=drivesdk</t>
  </si>
  <si>
    <t xml:space="preserve">https://drive.google.com/file/d/1o8l53mbxnvg1Xqa7hJVonJ1I1TenFtqP/view?usp=drivesdk</t>
  </si>
  <si>
    <t xml:space="preserve">Энх-Анир</t>
  </si>
  <si>
    <t xml:space="preserve">https://drive.google.com/file/d/1opCibKlUFUgYI3esCBAqV0F68e0spvzR/view?usp=drivesdk</t>
  </si>
  <si>
    <t xml:space="preserve">https://drive.google.com/file/d/1SLZZC0O1FC2VC4l_jliSwlZHVRRDPD4Q/view?usp=drivesdk</t>
  </si>
  <si>
    <t xml:space="preserve">https://drive.google.com/file/d/1TmVOA_j1PSPVyV3MaYoKXdTGsyMTmeZh/view?usp=drivesdk</t>
  </si>
  <si>
    <t xml:space="preserve">https://drive.google.com/file/d/1HvGsdPCRh43rkIoU6XvnrJqpLlbMa5WO/view?usp=drivesdk</t>
  </si>
  <si>
    <t xml:space="preserve">Буянтогтох</t>
  </si>
  <si>
    <t xml:space="preserve">https://drive.google.com/file/d/1jx91Z3YuTFueSQP3ViDel2-JFhXS0DMz/view?usp=drivesdk</t>
  </si>
  <si>
    <t xml:space="preserve">https://drive.google.com/file/d/1rIBrpjpOd-x_28U2bYs3tl7fpz0rUoi3/view?usp=drivesdk</t>
  </si>
  <si>
    <t xml:space="preserve">https://drive.google.com/file/d/19EeZB3B8xB5dI8Dy--outYg0lvIdU6jX/view?usp=drivesdk</t>
  </si>
  <si>
    <t xml:space="preserve">https://drive.google.com/file/d/1JJdc70FPdya4ZXGj8nVaE8N_Giw8OqcS/view?usp=drivesdk</t>
  </si>
  <si>
    <t xml:space="preserve">https://drive.google.com/file/d/1SB4TaV0pFOdECOHwcOGG48nFhlnZ98FJ/view?usp=drivesdk</t>
  </si>
  <si>
    <t xml:space="preserve">https://drive.google.com/file/d/148-bumVwi9kfv8q8jh8Ur1UJuuz7K97O/view?usp=drivesdk</t>
  </si>
  <si>
    <t xml:space="preserve">Ганзаяа</t>
  </si>
  <si>
    <t xml:space="preserve">https://drive.google.com/file/d/1912yTEs4WNOqgm-IY-2O320XxULwO-Wn/view?usp=drivesdk</t>
  </si>
  <si>
    <t xml:space="preserve">https://drive.google.com/file/d/1gFyU3t0kANHfFUv-ubK8_eGj5kfHu48K/view?usp=drivesdk</t>
  </si>
  <si>
    <t xml:space="preserve">https://drive.google.com/file/d/1QuyJ0_6EnqrJL0jkLdPxTBSZYTuD9P9F/view?usp=drivesdk</t>
  </si>
  <si>
    <t xml:space="preserve">https://drive.google.com/file/d/1UTvXU9n4Y-yGp4BwuP4_RFfwFyaOxx8C/view?usp=drivesdk</t>
  </si>
  <si>
    <t xml:space="preserve">https://drive.google.com/file/d/1vMqhOd8aoFBUhTNWcrkfUNXjD9FH1Rwl/view?usp=drivesdk</t>
  </si>
  <si>
    <t xml:space="preserve">https://drive.google.com/file/d/1IBusWQC_8p80lMH0uD-_JKJbNZeMPaP5/view?usp=drivesdk</t>
  </si>
  <si>
    <t xml:space="preserve">https://drive.google.com/file/d/1LucdyhZDlmU057dGs8zPVZ851fuQrqb0/view?usp=drivesdk</t>
  </si>
  <si>
    <t xml:space="preserve">https://drive.google.com/file/d/10pRlpfa8hOWXA5ACavL0A-0kZSdJKrfb/view?usp=drivesdk</t>
  </si>
  <si>
    <t xml:space="preserve">Намуунзаяа</t>
  </si>
  <si>
    <t xml:space="preserve">Аминзаяа</t>
  </si>
  <si>
    <t xml:space="preserve">https://drive.google.com/file/d/1hkxdseUuEYzuchtZ3pBM6SieJYtBIIAW/view?usp=drivesdk</t>
  </si>
  <si>
    <t xml:space="preserve">https://drive.google.com/file/d/1enVL_fXpGkwV9Q4AM4ZwwSj9Rq_bohCN/view?usp=drivesdk</t>
  </si>
  <si>
    <t xml:space="preserve">https://drive.google.com/file/d/1_hZiCUs9HkmWhF8TTbWJCx20jSBvkpIS/view?usp=drivesdk</t>
  </si>
  <si>
    <t xml:space="preserve">https://drive.google.com/file/d/1S3HTa5rAvzv4k76wNOS_O7vVZAGg1Nw0/view?usp=drivesdk</t>
  </si>
  <si>
    <t xml:space="preserve">Нурбулан</t>
  </si>
  <si>
    <t xml:space="preserve">https://drive.google.com/file/d/1pEbOQOGDcusC9kF4PxHzEQwiUxRTblEN/view?usp=drivesdk</t>
  </si>
  <si>
    <t xml:space="preserve">https://drive.google.com/file/d/1D9d-jTyLSaiedNVwjQ3VsaYoOzWGMkdU/view?usp=drivesdk</t>
  </si>
  <si>
    <t xml:space="preserve">https://drive.google.com/file/d/1SqajHUl_C2yqUpS6H6cBkZWI-UsZeogk/view?usp=drivesdk</t>
  </si>
  <si>
    <t xml:space="preserve">https://drive.google.com/file/d/1wAsHy89GBMmbNbE5HgcFp_oX1claEodo/view?usp=drivesdk</t>
  </si>
  <si>
    <t xml:space="preserve">Ариунзаяа</t>
  </si>
  <si>
    <t xml:space="preserve">https://drive.google.com/file/d/1d9-bMCqTAjgvpJe4Y2CQ5V0COb4C8tI1/view?usp=drivesdk</t>
  </si>
  <si>
    <t xml:space="preserve">https://drive.google.com/file/d/1ftURJbUhqAD0r5xi_JP-0WKvtm1HdaOI/view?usp=drivesdk</t>
  </si>
  <si>
    <t xml:space="preserve">https://drive.google.com/file/d/1tYfXVq7d0BAgmcw58IG5w4nGcdCwnFdW/view?usp=drivesdk</t>
  </si>
  <si>
    <t xml:space="preserve">Лхагвадорж</t>
  </si>
  <si>
    <t xml:space="preserve">https://drive.google.com/file/d/1_lA6C0F60gdT6qUaxaQyTCtpkXss1gOp/view?usp=drivesdk</t>
  </si>
  <si>
    <t xml:space="preserve">https://drive.google.com/file/d/16hA1xMSor7-LfGzVSEtq0xxRa0JHYD8C/view?usp=drivesdk</t>
  </si>
  <si>
    <t xml:space="preserve">https://drive.google.com/file/d/1cVHEcq6_hU2eUYpCeL8KoojCtU7w35HK/view?usp=drivesdk</t>
  </si>
  <si>
    <t xml:space="preserve">https://drive.google.com/file/d/1ao3dMKyoOErzJ9BZ5aFg_KLSoDlyRQxo/view?usp=drivesdk</t>
  </si>
  <si>
    <t xml:space="preserve">https://drive.google.com/file/d/126olD4ONekjjp6M2HrqY9EKZDd58T2Iz/view?usp=drivesdk</t>
  </si>
  <si>
    <t xml:space="preserve">Мөнх-Амар</t>
  </si>
  <si>
    <t xml:space="preserve">https://drive.google.com/file/d/1xIetJMVSs2bpd3Sg_Othsn1Q-nmoE411/view?usp=drivesdk</t>
  </si>
  <si>
    <t xml:space="preserve">https://drive.google.com/file/d/1k9Kd6nv5_KLewFw5ViOUdRYAGJZmjlKj/view?usp=drivesdk</t>
  </si>
  <si>
    <t xml:space="preserve">https://drive.google.com/file/d/1JRqLNP_x28niIJyVxt6ZgW9xl77lTJI8/view?usp=drivesdk</t>
  </si>
  <si>
    <t xml:space="preserve">https://drive.google.com/file/d/1dPBdi5KID3n2lUcqGqwfHbuvCBHuqJOH/view?usp=drivesdk</t>
  </si>
  <si>
    <t xml:space="preserve">Алтанхуяг</t>
  </si>
  <si>
    <t xml:space="preserve">https://drive.google.com/file/d/1SVrMhJaR2kn7u4nGLVlq9jdMulXlSQSs/view?usp=drivesdk</t>
  </si>
  <si>
    <t xml:space="preserve">https://drive.google.com/file/d/1ouZDrKd6S6P5UNcL3VJoJkZXXRo2d8fP/view?usp=drivesdk</t>
  </si>
  <si>
    <t xml:space="preserve">https://drive.google.com/file/d/1OcHt-13eHnjCMOntiDGzkGWjEQAZQYfy/view?usp=drivesdk</t>
  </si>
  <si>
    <t xml:space="preserve">Одмаа</t>
  </si>
  <si>
    <t xml:space="preserve">https://drive.google.com/file/d/1t0my085jQNqdAzHtZlMyQQjL-mXGF83J/view?usp=drivesdk</t>
  </si>
  <si>
    <t xml:space="preserve">https://drive.google.com/file/d/1lQFteNfFByrHhpo5JO2oQe6XFfmn-v65/view?usp=drivesdk</t>
  </si>
  <si>
    <t xml:space="preserve">https://drive.google.com/file/d/1s5p0BweN70mQNAthv0-v9rl_PgUbjHbz/view?usp=drivesdk</t>
  </si>
  <si>
    <t xml:space="preserve">https://drive.google.com/file/d/1H2YHLXq7z15CXx6VjhzOU9dwdI_BnXEW/view?usp=drivesdk</t>
  </si>
  <si>
    <t xml:space="preserve">Сувд-Эрдэнэ</t>
  </si>
  <si>
    <t xml:space="preserve">https://drive.google.com/file/d/1M-siiZpRydUdcrGDmvPHN2_vLA87a1cj/view?usp=drivesdk</t>
  </si>
  <si>
    <t xml:space="preserve">https://drive.google.com/file/d/1AzEaN_1wetrg7BarDIW_ep_Q9TYVk5x9/view?usp=drivesdk</t>
  </si>
  <si>
    <t xml:space="preserve">Өнөржаргал</t>
  </si>
  <si>
    <t xml:space="preserve">https://drive.google.com/file/d/1RPtRgmfUEy8kaNRBiBO90rIizzAqW_RU/view?usp=drivesdk</t>
  </si>
  <si>
    <t xml:space="preserve">https://drive.google.com/file/d/1RZn_yn2wNUfHOotc_Mx3WASGsHAuhxCf/view?usp=drivesdk</t>
  </si>
  <si>
    <t xml:space="preserve">https://drive.google.com/file/d/1jKl1IjGBqX0dqOAzVg9iCH41yu9hkjw5/view?usp=drivesdk</t>
  </si>
  <si>
    <t xml:space="preserve">https://drive.google.com/file/d/1swfNqtE0E3uAtZFxihPM7TC3mOL6SLPP/view?usp=drivesdk</t>
  </si>
  <si>
    <t xml:space="preserve">Отгонболор</t>
  </si>
  <si>
    <t xml:space="preserve">https://drive.google.com/file/d/1r791JvRnVjOEp7rC_thxjKWi3SLBy6XO/view?usp=drivesdk</t>
  </si>
  <si>
    <t xml:space="preserve">https://drive.google.com/file/d/1dY2Bva8I6fPFahQ-MUxmNAAFgq1NByVo/view?usp=drivesdk</t>
  </si>
  <si>
    <t xml:space="preserve">https://drive.google.com/file/d/1vO3fcxja4HspAajCedaJ2NVakvqvkQKy/view?usp=drivesdk</t>
  </si>
  <si>
    <t xml:space="preserve">Төгсжаргал</t>
  </si>
  <si>
    <t xml:space="preserve">https://drive.google.com/file/d/1MyUp0lu2kAbfU1cmu-n6if7F1cVnJbZk/view?usp=drivesdk</t>
  </si>
  <si>
    <t xml:space="preserve">https://drive.google.com/file/d/1S-IyZ9EvuWeQCRa4_Jlf81jKF1q-WVrI/view?usp=drivesdk</t>
  </si>
  <si>
    <t xml:space="preserve">Энэрэл</t>
  </si>
  <si>
    <t xml:space="preserve">https://drive.google.com/file/d/1SLLD9Bxp2QEIcl9P4qb3kWxUjDINjPim/view?usp=drivesdk</t>
  </si>
  <si>
    <t xml:space="preserve">https://drive.google.com/file/d/1cW5PJZFlI1lmDIQTGQ64Gm29fPrVoIar/view?usp=drivesdk</t>
  </si>
  <si>
    <t xml:space="preserve">https://drive.google.com/file/d/1wyK3uKuzYJ3yfzYkpq12ghj4Lts7o_Rq/view?usp=drivesdk</t>
  </si>
  <si>
    <t xml:space="preserve">Бадамцэцэг</t>
  </si>
  <si>
    <t xml:space="preserve">https://drive.google.com/file/d/16_qBZnXFIByIW3_O8rM4uMlQzdtZTSZU/view?usp=drivesdk</t>
  </si>
  <si>
    <t xml:space="preserve">https://drive.google.com/file/d/1Gtr2ECFdH9-klH-siZ61uHvlZoDjyMx5/view?usp=drivesdk</t>
  </si>
  <si>
    <t xml:space="preserve">https://drive.google.com/file/d/102JvpfDQypuOgz9lU_af4NDa7Ks0LbSC/view?usp=drivesdk</t>
  </si>
  <si>
    <t xml:space="preserve">https://drive.google.com/file/d/1rMkfdhY3UPCG6zOuQlaKaTyenFelT7Xz/view?usp=drivesdk</t>
  </si>
  <si>
    <t xml:space="preserve">Ялгуунсар</t>
  </si>
  <si>
    <t xml:space="preserve">https://drive.google.com/file/d/1LITAmnOJsTPNgDhQe7XLZQZPpBA9-rc2/view?usp=drivesdk</t>
  </si>
  <si>
    <t xml:space="preserve">https://drive.google.com/file/d/17ZCZnlDJZ6eJfTtzOTx_-35_jyqE80c5/view?usp=drivesdk</t>
  </si>
  <si>
    <t xml:space="preserve">https://drive.google.com/file/d/1BeqJWPTq8uGWc_mtfQ1d5pRm034aGNIz/view?usp=drivesdk</t>
  </si>
  <si>
    <t xml:space="preserve">https://drive.google.com/file/d/1uF35u4GCb13Xxdbe-ZYvGAgqps_TWoT_/view?usp=drivesdk</t>
  </si>
  <si>
    <t xml:space="preserve">Аньс</t>
  </si>
  <si>
    <t xml:space="preserve">https://drive.google.com/file/d/1g6eHNIrGRYSGX_Nv4fWCq6uHGEyNDQys/view?usp=drivesdk</t>
  </si>
  <si>
    <t xml:space="preserve">https://drive.google.com/file/d/12z7fEDelrCWBrRDxN9jD6bfVVDnBdFW2/view?usp=drivesdk</t>
  </si>
  <si>
    <t xml:space="preserve">https://drive.google.com/file/d/1P1C-yEHRm9lZR2nTwLakt_411b8wBnRT/view?usp=drivesdk</t>
  </si>
  <si>
    <t xml:space="preserve">https://drive.google.com/file/d/1icEmvJ-5EY6kkUK7lMcA0CvQPeyNGQk7/view?usp=drivesdk</t>
  </si>
  <si>
    <t xml:space="preserve">Гүлнур</t>
  </si>
  <si>
    <t xml:space="preserve">https://drive.google.com/file/d/15UpumuLiZL4znR8nkMq99lGrY1PxfFbK/view?usp=drivesdk</t>
  </si>
  <si>
    <t xml:space="preserve">Хонгорзул</t>
  </si>
  <si>
    <t xml:space="preserve">https://drive.google.com/file/d/11GQYSO-bx5P0Ppmx9vq69JVSpU0RtUHE/view?usp=drivesdk</t>
  </si>
  <si>
    <t xml:space="preserve">https://drive.google.com/file/d/1wGzebfIecQsr3VhGE3aUmWAxrL6HRDFp/view?usp=drivesdk</t>
  </si>
  <si>
    <t xml:space="preserve">Мичидмаа</t>
  </si>
  <si>
    <t xml:space="preserve">https://drive.google.com/file/d/1YOF6Gc2cIaDAhfSaHXNzPOOq4riBLoxC/view?usp=drivesdk</t>
  </si>
  <si>
    <t xml:space="preserve">https://drive.google.com/file/d/1ZW4T5b2V_kdsILdQGxG8HubYaekqfzjV/view?usp=drivesdk</t>
  </si>
  <si>
    <t xml:space="preserve">https://drive.google.com/file/d/1BNYv3_SH_WtVlnnVnGt7ivgKkyu2LCz3/view?usp=drivesdk</t>
  </si>
  <si>
    <t xml:space="preserve">Энхжин</t>
  </si>
  <si>
    <t xml:space="preserve">https://drive.google.com/file/d/1-3KLOo9uVBGGRmaxs9U_Ao7sypDhHoi3/view?usp=drivesdk</t>
  </si>
  <si>
    <t xml:space="preserve">https://drive.google.com/file/d/1o5UFmXRkA82lA8mPwMPinuiC1d3uF1Hz/view?usp=drivesdk</t>
  </si>
  <si>
    <t xml:space="preserve">https://drive.google.com/file/d/1wOcCEqHUg6SV5Qo-96s1Bl3PvGUCBC0C/view?usp=drivesdk</t>
  </si>
  <si>
    <t xml:space="preserve">https://drive.google.com/file/d/1jtOcmHXg7yCVz_7O6h5aYuKzMShIrd-v/view?usp=drivesdk</t>
  </si>
  <si>
    <t xml:space="preserve">Ариунцэцэг</t>
  </si>
  <si>
    <t xml:space="preserve">https://drive.google.com/file/d/1dUEKHr1J6XzAjrlclp40pMKhnQccNbhP/view?usp=drivesdk</t>
  </si>
  <si>
    <t xml:space="preserve">https://drive.google.com/file/d/1bM-Y2fxQxBl13cGk_R3NeJo6TXgQXIoj/view?usp=drivesdk</t>
  </si>
  <si>
    <t xml:space="preserve">https://drive.google.com/file/d/1cuQlf2L0gzHrZQBGX47nvyi8t17eJYuG/view?usp=drivesdk</t>
  </si>
  <si>
    <t xml:space="preserve">https://drive.google.com/file/d/1NA4nlDKQ1XubahrjLTc8fBWczh-jtmmY/view?usp=drivesdk</t>
  </si>
  <si>
    <t xml:space="preserve">https://drive.google.com/file/d/151eaziXYr1acIesn2t2B8biFe0XhLMNK/view?usp=drivesdk</t>
  </si>
  <si>
    <t xml:space="preserve">https://drive.google.com/file/d/1PuX5yOgehDnlmCYm5rhuFrrnoP-cuLIs/view?usp=drivesdk</t>
  </si>
  <si>
    <t xml:space="preserve">https://drive.google.com/file/d/1iZNYjwdpeArWrwhh76l9-EtNGOvUCV2e/view?usp=drivesdk</t>
  </si>
  <si>
    <t xml:space="preserve">https://drive.google.com/file/d/1YF-2u-BYNNexSKrEQB1O6JeLeB-unJWz/view?usp=drivesdk</t>
  </si>
  <si>
    <t xml:space="preserve">https://drive.google.com/file/d/1XPJl0egSnRbWii2v7Av9guZ7yq-xRR_m/view?usp=drivesdk</t>
  </si>
  <si>
    <t xml:space="preserve">https://drive.google.com/file/d/19sY9V6rbqvjaAN08Ymof41apwy9ibHsL/view?usp=drivesdk</t>
  </si>
  <si>
    <t xml:space="preserve">https://drive.google.com/file/d/1RTo_F7gglrg1YaIY1UcdAlSw2QJc6rPy/view?usp=drivesdk</t>
  </si>
  <si>
    <t xml:space="preserve">https://drive.google.com/file/d/1RNBJFod8suiB0dbcSIehlwwHUyvN0AKj/view?usp=drivesdk</t>
  </si>
  <si>
    <t xml:space="preserve">https://drive.google.com/file/d/13sEUq7OdGoi2kV6Ii1m_VgIbKNAA2tO7/view?usp=drivesdk</t>
  </si>
  <si>
    <t xml:space="preserve">https://drive.google.com/file/d/1HHF73GNjQMW1btivkx-DmcnZNmwaciIb/view?usp=drivesdk</t>
  </si>
  <si>
    <t xml:space="preserve">https://drive.google.com/file/d/184p1DYuOnLPjO-rBrFX0JstK9DINyeBl/view?usp=drivesdk</t>
  </si>
  <si>
    <t xml:space="preserve">https://drive.google.com/file/d/1OHxWRj1LXc45MuY3Evd2VHHRvpK6j4Er/view?usp=drivesdk</t>
  </si>
  <si>
    <t xml:space="preserve">Багжанар</t>
  </si>
  <si>
    <t xml:space="preserve">https://drive.google.com/file/d/1ojSZ7ypabYAorLVx89_C7VXOPXLvRLLU/view?usp=drivesdk</t>
  </si>
  <si>
    <t xml:space="preserve">Тэмүүжин</t>
  </si>
  <si>
    <t xml:space="preserve">https://drive.google.com/file/d/1T6D3Olt4ST2_dGJXYtzuaZCx_6s7QDEM/view?usp=drivesdk</t>
  </si>
  <si>
    <t xml:space="preserve">https://drive.google.com/file/d/1KwwfEV5Mathz-q8ie5Lpx5UJvJe_lOFi/view?usp=drivesdk</t>
  </si>
  <si>
    <t xml:space="preserve">Зулаа</t>
  </si>
  <si>
    <t xml:space="preserve">https://drive.google.com/file/d/10tGQAOP9o4zf5c0X4aAlpjl0I500lSdX/view?usp=drivesdk</t>
  </si>
  <si>
    <t xml:space="preserve">https://drive.google.com/file/d/1W2lzDSpKzdaQTNILXpgqR8e-sj4p_GC7/view?usp=drivesdk</t>
  </si>
  <si>
    <t xml:space="preserve">https://drive.google.com/file/d/114crIuij3jN9OLHc26UMm_YUIaU-84Wt/view?usp=drivesdk</t>
  </si>
  <si>
    <t xml:space="preserve">Энхтогтох</t>
  </si>
  <si>
    <t xml:space="preserve">https://drive.google.com/file/d/1TaQ8ERM7BFSs9xnDrEsKKMHDYt657XmU/view?usp=drivesdk</t>
  </si>
  <si>
    <t xml:space="preserve">Маралаа</t>
  </si>
  <si>
    <t xml:space="preserve">https://drive.google.com/file/d/18R3b5zVTuQkJ7-uicW5TsAmKHYvpR61N/view?usp=drivesdk</t>
  </si>
  <si>
    <t xml:space="preserve">Фарида</t>
  </si>
  <si>
    <t xml:space="preserve">https://drive.google.com/file/d/13IGVF-BagckC1X2qLYj_v614hs21wEpo/view?usp=drivesdk</t>
  </si>
  <si>
    <t xml:space="preserve">https://drive.google.com/file/d/1uTHKYKTVnU8X4H4zUVnMRiPYoLYth6Ok/view?usp=drivesdk</t>
  </si>
  <si>
    <t xml:space="preserve">Анужаргал</t>
  </si>
  <si>
    <t xml:space="preserve">https://drive.google.com/file/d/1-NBwPSSQvxen1GepPtGDyGz3yssVmgxG/view?usp=drivesdk</t>
  </si>
  <si>
    <t xml:space="preserve">Мөнх-Оргил</t>
  </si>
  <si>
    <t xml:space="preserve">https://drive.google.com/file/d/1ATEPZ2TZWNbDR0d17X1XtC61RVgt5VgF/view?usp=drivesdk</t>
  </si>
  <si>
    <t xml:space="preserve">https://drive.google.com/file/d/1PQ14XD6BEBA1WNlfMQXDw07K1NUt5Ag5/view?usp=drivesdk</t>
  </si>
  <si>
    <t xml:space="preserve">https://drive.google.com/file/d/1R4znWVe04CmmsBSEjMnoGqYLv2hhlXnA/view?usp=drivesdk</t>
  </si>
  <si>
    <t xml:space="preserve">https://drive.google.com/file/d/1BONtbdDTT7FkTC9kd541mFzAHNauKzWs/view?usp=drivesdk</t>
  </si>
  <si>
    <t xml:space="preserve">Маргад</t>
  </si>
  <si>
    <t xml:space="preserve">https://drive.google.com/file/d/1Wc0wjd_Wq1hmNxMZvtsCBqiZxurGUSwS/view?usp=drivesdk</t>
  </si>
  <si>
    <t xml:space="preserve">https://drive.google.com/file/d/1n6rmXEE1seCrTNqGtvMlUxhGXLhfEJvQ/view?usp=drivesdk</t>
  </si>
  <si>
    <t xml:space="preserve">https://drive.google.com/file/d/1DfqyPmwAW6YIPyNbRH0_D3STF6uxx4Ur/view?usp=drivesdk</t>
  </si>
  <si>
    <t xml:space="preserve">https://drive.google.com/file/d/1x5QVEWRBPWctffkrafkqCs_p9bQb21rY/view?usp=drivesdk</t>
  </si>
  <si>
    <t xml:space="preserve">Мөнгөншагай</t>
  </si>
  <si>
    <t xml:space="preserve">https://drive.google.com/file/d/1vy3dkFVkK9Smqp9hoxPr7o8SomqyZ6LE/view?usp=drivesdk</t>
  </si>
  <si>
    <t xml:space="preserve">https://drive.google.com/file/d/1-lLcaJJ3t1p0WCS5tbS2CZAr0mPGOfoe/view?usp=drivesdk</t>
  </si>
  <si>
    <t xml:space="preserve">https://drive.google.com/file/d/1cBppetxD8Qsfsf14YHyBxTD0JO8SJa5Q/view?usp=drivesdk</t>
  </si>
  <si>
    <t xml:space="preserve">https://drive.google.com/file/d/1Gs9b0TCjjMil4yN6l8yocmhkBy6QiTcz/view?usp=drivesdk</t>
  </si>
  <si>
    <t xml:space="preserve">https://drive.google.com/file/d/1HAEOXr9w4K-e9v3yEVY1icsr4AeN4_Of/view?usp=drivesdk</t>
  </si>
  <si>
    <t xml:space="preserve">https://drive.google.com/file/d/1G6Crq6DRJYilnSx-p5_7tZREP2ONKnd2/view?usp=drivesdk</t>
  </si>
  <si>
    <t xml:space="preserve">https://drive.google.com/file/d/1vRdjxSqjCyJZaGFp_HFyd5hG-D0C4JR1/view?usp=drivesdk</t>
  </si>
  <si>
    <t xml:space="preserve">Жавхлант</t>
  </si>
  <si>
    <t xml:space="preserve">https://drive.google.com/file/d/1ba3-MYHjKHQf5Po8u17zxMhdWVzX3yFf/view?usp=drivesdk</t>
  </si>
  <si>
    <t xml:space="preserve">https://drive.google.com/file/d/1_b9Md0kAsqUDizY0qm3X3CPvzQEAY-p4/view?usp=drivesdk</t>
  </si>
  <si>
    <t xml:space="preserve">https://drive.google.com/file/d/1kG-tEFhBR1fTVB2iN-ZEFkLAem7KgF76/view?usp=drivesdk</t>
  </si>
  <si>
    <t xml:space="preserve">https://drive.google.com/file/d/1o6GbTuqs921U7XtiPqtMBl1H78lDDxIf/view?usp=drivesdk</t>
  </si>
  <si>
    <t xml:space="preserve">https://drive.google.com/file/d/1P4gmm9id3xAooxCpRUkvkzq2CeNnetX5/view?usp=drivesdk</t>
  </si>
  <si>
    <t xml:space="preserve">Дашцэрэн</t>
  </si>
  <si>
    <t xml:space="preserve">https://drive.google.com/file/d/1MxKDZLhcngL5No-5v5Nf7PsjHg7SrcgI/view?usp=drivesdk</t>
  </si>
  <si>
    <t xml:space="preserve">https://drive.google.com/file/d/10tZ-jPlH9XXPU_dBVw9h1KYk0Bcpoaes/view?usp=drivesdk</t>
  </si>
  <si>
    <t xml:space="preserve">https://drive.google.com/file/d/1kgCFDN9L-qRWfiIZO321OH86uX4ssddE/view?usp=drivesdk</t>
  </si>
  <si>
    <t xml:space="preserve">Адьшаа</t>
  </si>
  <si>
    <t xml:space="preserve">https://drive.google.com/file/d/1B95WrowhGy2wOqzlGi8R3DUOrIGSKvsE/view?usp=drivesdk</t>
  </si>
  <si>
    <t xml:space="preserve">https://drive.google.com/file/d/1GCnKivWXpeoYSBVZfmlzSyRCmmSrO8mR/view?usp=drivesdk</t>
  </si>
  <si>
    <t xml:space="preserve">https://drive.google.com/file/d/1VdVmxKwsDVe3ggvM8HHule8MNYp1h_7P/view?usp=drivesdk</t>
  </si>
  <si>
    <t xml:space="preserve">https://drive.google.com/file/d/1t2E9chjv4DAQV-uzYGudybGjX_dDy6mw/view?usp=drivesdk</t>
  </si>
  <si>
    <t xml:space="preserve">Цэрэндонров</t>
  </si>
  <si>
    <t xml:space="preserve">https://drive.google.com/file/d/1S8a1g9lEnG-UNN2b4lDjS6uGux_jQXW4/view?usp=drivesdk</t>
  </si>
  <si>
    <t xml:space="preserve">https://drive.google.com/file/d/1vU-D64e8p3gvY2G8OI3HLTDm9dz997OY/view?usp=drivesdk</t>
  </si>
  <si>
    <t xml:space="preserve">https://drive.google.com/file/d/1PEdvnCkLlUGJchkx_rCCssvFkKk-mmpP/view?usp=drivesdk</t>
  </si>
  <si>
    <t xml:space="preserve">https://drive.google.com/file/d/1ZBxI1tSb58GZbFMvgld1MR80qtAhCQs3/view?usp=drivesdk</t>
  </si>
  <si>
    <t xml:space="preserve">https://drive.google.com/file/d/1kUikGVQ5LVnQ0rKaVlMcEXXzubGNk_r4/view?usp=drivesdk</t>
  </si>
  <si>
    <t xml:space="preserve">Баянбуян</t>
  </si>
  <si>
    <t xml:space="preserve">https://drive.google.com/file/d/1luiiRj3SYGHKUz0FpCPFBjC2pe_GEGYE/view?usp=drivesdk</t>
  </si>
  <si>
    <t xml:space="preserve">https://drive.google.com/file/d/1xXY1DY05UcIIXwx11IN1nTK1BHfJr3IK/view?usp=drivesdk</t>
  </si>
  <si>
    <t xml:space="preserve">https://drive.google.com/file/d/1K4zlBQvYd9db2tJ0M315OOeYU0GMBNQg/view?usp=drivesdk</t>
  </si>
  <si>
    <t xml:space="preserve">https://drive.google.com/file/d/1PE8wxlJ_rNjRRFKLS0pluLR5VcMwPBwX/view?usp=drivesdk</t>
  </si>
  <si>
    <t xml:space="preserve">https://drive.google.com/file/d/1lVuIYMu7Xec9gum1mQd5Y7oQP8JAtM8D/view?usp=drivesdk</t>
  </si>
  <si>
    <t xml:space="preserve">https://drive.google.com/file/d/1Rtpq8-pLvT6mEZsAs6HZLDn7to6MNdVB/view?usp=drivesdk</t>
  </si>
  <si>
    <t xml:space="preserve">Лхагважаргал</t>
  </si>
  <si>
    <t xml:space="preserve">https://drive.google.com/file/d/1Cy610pyKl6wNYkOO-Ku4r6mqs9c8PAvn/view?usp=drivesdk</t>
  </si>
  <si>
    <t xml:space="preserve">https://drive.google.com/file/d/1bAMILx7rbp3jV22lYo6drVD5ddIdr_2f/view?usp=drivesdk</t>
  </si>
  <si>
    <t xml:space="preserve">https://drive.google.com/file/d/1Qdz5RX1DSLx0oCScSHCDtNMdG-jGev0X/view?usp=drivesdk</t>
  </si>
  <si>
    <t xml:space="preserve">Түвшинтөгс</t>
  </si>
  <si>
    <t xml:space="preserve">https://drive.google.com/file/d/1lKFjRO508MCkvvPokmPw5T_9rQQUaido/view?usp=drivesdk</t>
  </si>
  <si>
    <t xml:space="preserve">https://drive.google.com/file/d/13yZY8HxyEudOM-S2LjnspXOfo3Nz4gEl/view?usp=drivesdk</t>
  </si>
  <si>
    <t xml:space="preserve">Ариунжаргал</t>
  </si>
  <si>
    <t xml:space="preserve">https://drive.google.com/file/d/1PIQ7bZ64PnWV77vNhctjQXseG7EkKtlH/view?usp=drivesdk</t>
  </si>
  <si>
    <t xml:space="preserve">https://drive.google.com/file/d/1WqRCOP8f-tzPjHp6FtxkRGvJIPDiLSLy/view?usp=drivesdk</t>
  </si>
  <si>
    <t xml:space="preserve">https://drive.google.com/file/d/15g-7I8hxQvxrMMhT7-fwmtVniR1HaBqS/view?usp=drivesdk</t>
  </si>
  <si>
    <t xml:space="preserve">Тогтохжаргал</t>
  </si>
  <si>
    <t xml:space="preserve">https://drive.google.com/file/d/1gY9VF_HOO-dgZPiWHOJlCs7jRHDbZrd1/view?usp=drivesdk</t>
  </si>
  <si>
    <t xml:space="preserve">https://drive.google.com/file/d/1FamPTRONmhZieGNvZaFCuS088TvtYemU/view?usp=drivesdk</t>
  </si>
  <si>
    <t xml:space="preserve">Номин</t>
  </si>
  <si>
    <t xml:space="preserve">https://drive.google.com/file/d/1jfWk1rvhRhM2h2yBPbov7SrtkJVqfX-f/view?usp=drivesdk</t>
  </si>
  <si>
    <t xml:space="preserve">https://drive.google.com/file/d/1QVWam82pm3DpRaMCsrGL_VhkorDhNhnU/view?usp=drivesdk</t>
  </si>
  <si>
    <t xml:space="preserve">Тэргэл</t>
  </si>
  <si>
    <t xml:space="preserve">https://drive.google.com/file/d/1c3En2jxg0UJeOVKMQYVd2iBwNxQ1T8za/view?usp=drivesdk</t>
  </si>
  <si>
    <t xml:space="preserve">https://drive.google.com/file/d/1qNgJNBPZP0Mgv4uwSZZQet1ZjPpuRpAV/view?usp=drivesdk</t>
  </si>
  <si>
    <t xml:space="preserve">https://drive.google.com/file/d/1Z9gajJhMnPAnBM-KazRx0lRIO5R3vMVw/view?usp=drivesdk</t>
  </si>
  <si>
    <t xml:space="preserve">https://drive.google.com/file/d/1E1LVsOz1n1o72Y8W7RJb7ZtaWcCyOsRM/view?usp=drivesdk</t>
  </si>
  <si>
    <t xml:space="preserve">https://drive.google.com/file/d/1kdXMk1geM-cJMmgtlASVwMBD4CW6bwPu/view?usp=drivesdk</t>
  </si>
  <si>
    <t xml:space="preserve">https://drive.google.com/file/d/1ZHzPl6Ga9-3Jj0quZ2i8S4wsRjpv_hXS/view?usp=drivesdk</t>
  </si>
  <si>
    <t xml:space="preserve">https://drive.google.com/file/d/1IXE5KKe_XBdGKbUAHbToJdO5EHPh1AS3/view?usp=drivesdk</t>
  </si>
  <si>
    <t xml:space="preserve">https://drive.google.com/file/d/1BHDH7aAG2ncfP5YMdvVc2lpsY7lQ8jeM/view?usp=drivesdk</t>
  </si>
  <si>
    <t xml:space="preserve">https://drive.google.com/file/d/1eL6DClf2nGDwwdTQCB6JRPd6DP2XXE8Y/view?usp=drivesdk</t>
  </si>
  <si>
    <t xml:space="preserve">https://drive.google.com/file/d/18DDN5n42FXTqcfW--DCGMwsxGpDNqLCh/view?usp=drivesdk</t>
  </si>
  <si>
    <t xml:space="preserve">Келбахыт</t>
  </si>
  <si>
    <t xml:space="preserve">https://drive.google.com/file/d/1qIDB4Q9pIZoP_8_Y82LI4jBCQKRkbj5J/view?usp=drivesdk</t>
  </si>
  <si>
    <t xml:space="preserve">https://drive.google.com/file/d/1tjINLwN8mKfVPX411Ig9xow-6e4JsHJp/view?usp=drivesdk</t>
  </si>
  <si>
    <t xml:space="preserve">https://drive.google.com/file/d/1H4qI35hWwyuwCfKidlJfNVoJnd8WjHAx/view?usp=drivesdk</t>
  </si>
  <si>
    <t xml:space="preserve">https://drive.google.com/file/d/1RKJ0HIcVvBqOZsucRvvct69N7cDlNyVv/view?usp=drivesdk</t>
  </si>
  <si>
    <t xml:space="preserve">Амармэнд</t>
  </si>
  <si>
    <t xml:space="preserve">https://drive.google.com/file/d/1EpLY-1p9wFdp298-Jv7MM4T_JvHyoxS0/view?usp=drivesdk</t>
  </si>
  <si>
    <t xml:space="preserve">https://drive.google.com/file/d/1TyO6wcJ9TaOGBeElWOQ0qAyzKKmvCxx7/view?usp=drivesdk</t>
  </si>
  <si>
    <t xml:space="preserve">https://drive.google.com/file/d/1tZaMOiUj9n4_W4WcFAOxB0hgl_iWsFG3/view?usp=drivesdk</t>
  </si>
  <si>
    <t xml:space="preserve">Цэнгүүжин</t>
  </si>
  <si>
    <t xml:space="preserve">https://drive.google.com/file/d/1mOLY7-j49Gi2Y8hxU3Gp6sLJyxo1qhQg/view?usp=drivesdk</t>
  </si>
  <si>
    <t xml:space="preserve">https://drive.google.com/file/d/1RfLwWhs1S9F6FTb3BCN4YwYruXZ4AInB/view?usp=drivesdk</t>
  </si>
  <si>
    <t xml:space="preserve">https://drive.google.com/file/d/1Rv95Fu2rhkVvs0_LUVrj_ucl6DKK18c4/view?usp=drivesdk</t>
  </si>
  <si>
    <t xml:space="preserve">Азбаяр</t>
  </si>
  <si>
    <t xml:space="preserve">https://drive.google.com/file/d/1iH_tcJMQoqBocPY9lg5sHYZN-vsve9SM/view?usp=drivesdk</t>
  </si>
  <si>
    <t xml:space="preserve">https://drive.google.com/file/d/1ute6ysQgO0-aBd7uO1gzFAQQ32IYt0-F/view?usp=drivesdk</t>
  </si>
  <si>
    <t xml:space="preserve">https://drive.google.com/file/d/1kPZ4J8afkZEhg0-tQ94EaZUn0NezkOI6/view?usp=drivesdk</t>
  </si>
  <si>
    <t xml:space="preserve">https://drive.google.com/file/d/1HgQmjtR2P-4GhpHB7xOMNTLaQeVQb7V2/view?usp=drivesdk</t>
  </si>
  <si>
    <t xml:space="preserve">https://drive.google.com/file/d/1LvRcHsscjlFvOPiGDKbAfGBYaXpxZaEV/view?usp=drivesdk</t>
  </si>
  <si>
    <t xml:space="preserve">https://drive.google.com/file/d/1FVPDW-fG87PiD0VmdPfX8rlbzG16l0Xq/view?usp=drivesdk</t>
  </si>
  <si>
    <t xml:space="preserve">Санчирболд</t>
  </si>
  <si>
    <t xml:space="preserve">https://drive.google.com/file/d/1mq7O3llfq_ZGqfp0YBoZEV6SbSzIalHm/view?usp=drivesdk</t>
  </si>
  <si>
    <t xml:space="preserve">Нандин-Эрдэнэ</t>
  </si>
  <si>
    <t xml:space="preserve">https://drive.google.com/file/d/1cCxb-_angEGcVKT5QOglETTgjE93PHc1/view?usp=drivesdk</t>
  </si>
  <si>
    <t xml:space="preserve">https://drive.google.com/file/d/19wJLYCCiFxLundf8Q5WFLLhXB9xxeBjX/view?usp=drivesdk</t>
  </si>
  <si>
    <t xml:space="preserve">https://drive.google.com/file/d/1-N66V44sOh7rWQ5z0NdwdLCz7uL6rtUR/view?usp=drivesdk</t>
  </si>
  <si>
    <t xml:space="preserve">https://drive.google.com/file/d/1MpOXnLxOTnAxKV-6q07IxDhf6ZC1E4c2/view?usp=drivesdk</t>
  </si>
  <si>
    <t xml:space="preserve">https://drive.google.com/file/d/1GwgshzBABOxf9sd_C1AhtO3Hkyf7HngW/view?usp=drivesdk</t>
  </si>
  <si>
    <t xml:space="preserve">https://drive.google.com/file/d/18mL_pzCo7lz-QWc9UehPTaKhFD4KWATN/view?usp=drivesdk</t>
  </si>
  <si>
    <t xml:space="preserve">https://drive.google.com/file/d/1SOPc3-ufTvqZZzMwVwelSuMpQnUMV3AN/view?usp=drivesdk</t>
  </si>
  <si>
    <t xml:space="preserve">https://drive.google.com/file/d/1aHZrNs3NVFa_-RQV6iPy7CozYJW59_lI/view?usp=drivesdk</t>
  </si>
  <si>
    <t xml:space="preserve">Саруул</t>
  </si>
  <si>
    <t xml:space="preserve">https://drive.google.com/file/d/1jtOTp42zvlAot--NK013VgW4JRVUbULH/view?usp=drivesdk</t>
  </si>
  <si>
    <t xml:space="preserve">https://drive.google.com/file/d/1MiYWt4nhtcaWmjQA3yuTg9_6QAQ1ZVX3/view?usp=drivesdk</t>
  </si>
  <si>
    <t xml:space="preserve">https://drive.google.com/file/d/1erqgInc85Q5xPMmBPx0M1lF4vy9ljqGD/view?usp=drivesdk</t>
  </si>
  <si>
    <t xml:space="preserve">https://drive.google.com/file/d/1AMl3oXZCi-iTRa_UPxH3vBI-iKB66jIp/view?usp=drivesdk</t>
  </si>
  <si>
    <t xml:space="preserve">https://drive.google.com/file/d/1JqirA9DQysRk8jTgZg2MNgXXPZ7E5BVP/view?usp=drivesdk</t>
  </si>
  <si>
    <t xml:space="preserve">https://drive.google.com/file/d/1JsVT5MgtvqFksbF4JHscpsZjKkZhjaKH/view?usp=drivesdk</t>
  </si>
  <si>
    <t xml:space="preserve">https://drive.google.com/file/d/1cAgD1CrhxwiLE2h-JmkqPIX-TxfJ5-qy/view?usp=drivesdk</t>
  </si>
  <si>
    <t xml:space="preserve">Хишигжаргал</t>
  </si>
  <si>
    <t xml:space="preserve">https://drive.google.com/file/d/1Vl4y_xdv2YXoglLIqja9heSbCbgrFli-/view?usp=drivesdk</t>
  </si>
  <si>
    <t xml:space="preserve">https://drive.google.com/file/d/1izxTwMNfV3fWGT86xuRgQ9PBj1-Vfr_l/view?usp=drivesdk</t>
  </si>
  <si>
    <t xml:space="preserve">Цэлмүүннаран</t>
  </si>
  <si>
    <t xml:space="preserve">https://drive.google.com/file/d/1vpcdPq7ZWEatZ-_oJrAPh4GZOi1wrYel/view?usp=drivesdk</t>
  </si>
  <si>
    <t xml:space="preserve">https://drive.google.com/file/d/1SMU-WjD8thqN8AuhuWPQu4yTuGYY5aQz/view?usp=drivesdk</t>
  </si>
  <si>
    <t xml:space="preserve">https://drive.google.com/file/d/12nFUHpeRQIpo9EkkbQdiUR7aNE7rXzwx/view?usp=drivesdk</t>
  </si>
  <si>
    <t xml:space="preserve">https://drive.google.com/file/d/1pxkFpAVR9pSA0Ku4UUVxtnf8zpgRuFlj/view?usp=drivesdk</t>
  </si>
  <si>
    <t xml:space="preserve">https://drive.google.com/file/d/1soId_lvFtCul9ESEO9QTIiyBsbYFnGI5/view?usp=drivesdk</t>
  </si>
  <si>
    <t xml:space="preserve">Цэцэн</t>
  </si>
  <si>
    <t xml:space="preserve">https://drive.google.com/file/d/1KrSVdoUuBXoTj8KPotMf87s9SOpiXAtp/view?usp=drivesdk</t>
  </si>
  <si>
    <t xml:space="preserve">https://drive.google.com/file/d/1YAqYdO0nepfwxAiI6YsoVQaDx4Y6hf2x/view?usp=drivesdk</t>
  </si>
  <si>
    <t xml:space="preserve">Нуршаш</t>
  </si>
  <si>
    <t xml:space="preserve">https://drive.google.com/file/d/15AxcF8JYkdSuplcw-fN53RKhH0_IlYI2/view?usp=drivesdk</t>
  </si>
  <si>
    <t xml:space="preserve">Цэлмүүн</t>
  </si>
  <si>
    <t xml:space="preserve">https://drive.google.com/file/d/1W0Se4ifjuidu-OgEDZrAdEbQiqNoIUs0/view?usp=drivesdk</t>
  </si>
  <si>
    <t xml:space="preserve">Тэнүүннаран</t>
  </si>
  <si>
    <t xml:space="preserve">https://drive.google.com/file/d/12hYCqj_yj3lPLwl3OCu8_k_5zlecryVX/view?usp=drivesdk</t>
  </si>
  <si>
    <t xml:space="preserve">Батсүлд</t>
  </si>
  <si>
    <t xml:space="preserve">https://drive.google.com/file/d/1KYAghFnyqMq1WLxy4R869R170qnJduEq/view?usp=drivesdk</t>
  </si>
  <si>
    <t xml:space="preserve">Мөрөн</t>
  </si>
  <si>
    <t xml:space="preserve">E(9-Р АНГИ) II-I</t>
  </si>
  <si>
    <t xml:space="preserve">https://drive.google.com/file/d/15CtbxtaiSvJfd3jjxhAeqiXNxzfa_XsP/view?usp=drivesdk</t>
  </si>
  <si>
    <t xml:space="preserve">https://drive.google.com/file/d/1uTQiKWUZ_UuQg9XU4grE37GdPPGNpmgJ/view?usp=drivesdk</t>
  </si>
  <si>
    <t xml:space="preserve">https://drive.google.com/file/d/1LsLczcfgK13I9xqSktA2OMoeN_HEx6or/view?usp=drivesdk</t>
  </si>
  <si>
    <t xml:space="preserve">https://drive.google.com/file/d/1vnLobZwe3ZZdfdDbC3ETtLE9_EBM-t58/view?usp=drivesdk</t>
  </si>
  <si>
    <t xml:space="preserve">https://drive.google.com/file/d/1m1KGJeBJcx5e9KgVAcG4lV_hAArCgkxB/view?usp=drivesdk</t>
  </si>
  <si>
    <t xml:space="preserve">https://drive.google.com/file/d/1E8-_tly271l8B79lH6Pub8f1V3ub7JJQ/view?usp=drivesdk</t>
  </si>
  <si>
    <t xml:space="preserve">https://drive.google.com/file/d/1EkC4KLNz6QUgqTa4DAPyUHYfLxFxF4oA/view?usp=drivesdk</t>
  </si>
  <si>
    <t xml:space="preserve">Баттогтох</t>
  </si>
  <si>
    <t xml:space="preserve">https://drive.google.com/file/d/1k33oNA5KISoIoYQAV5eld3p5ISP898KP/view?usp=drivesdk</t>
  </si>
  <si>
    <t xml:space="preserve">https://drive.google.com/file/d/1DU4w8Q8g-naR5H2-ad9jRKM7Xd7mA9By/view?usp=drivesdk</t>
  </si>
  <si>
    <t xml:space="preserve">https://drive.google.com/file/d/1MfWo47fGNr8f8_zF5RCElWwiNCxkMyDQ/view?usp=drivesdk</t>
  </si>
  <si>
    <t xml:space="preserve">Баяржаргал</t>
  </si>
  <si>
    <t xml:space="preserve">https://drive.google.com/file/d/1bZ0EYOpaLJMxOsvZ3h0GbUuoseeuysBj/view?usp=drivesdk</t>
  </si>
  <si>
    <t xml:space="preserve">Батбаяр</t>
  </si>
  <si>
    <t xml:space="preserve">https://drive.google.com/file/d/1Dhd3lcXVqPS1w1ou1rlfeP7aT7cdJJCW/view?usp=drivesdk</t>
  </si>
  <si>
    <t xml:space="preserve">Тэргил</t>
  </si>
  <si>
    <t xml:space="preserve">https://drive.google.com/file/d/1_qOt3Vtk-iE0DaBnCzBz7XbLH7mKUpN-/view?usp=drivesdk</t>
  </si>
  <si>
    <t xml:space="preserve">Сакен</t>
  </si>
  <si>
    <t xml:space="preserve">https://drive.google.com/file/d/1u0kNQGnzbesCMBsWQg4_qp_v-tEZSTzu/view?usp=drivesdk</t>
  </si>
  <si>
    <t xml:space="preserve">https://drive.google.com/file/d/1_vtEaj0xQckQunXQA7U-c13An_yfjG1A/view?usp=drivesdk</t>
  </si>
  <si>
    <t xml:space="preserve">https://drive.google.com/file/d/1PLsKafUYor4bdZiAJHcTyTk1afyZOOo1/view?usp=drivesdk</t>
  </si>
  <si>
    <t xml:space="preserve">https://drive.google.com/file/d/1PTs_DjSpz2MWxvuj-KEBMoMpdlkL6Zj-/view?usp=drivesdk</t>
  </si>
  <si>
    <t xml:space="preserve">Санчир</t>
  </si>
  <si>
    <t xml:space="preserve">https://drive.google.com/file/d/1YLXUc8cjOSM7vV4qu7Jvw38KUkS4m4D7/view?usp=drivesdk</t>
  </si>
  <si>
    <t xml:space="preserve">https://drive.google.com/file/d/1Wum6KeJud60Y7zRQUo1BD9YQ4TWND8kI/view?usp=drivesdk</t>
  </si>
  <si>
    <t xml:space="preserve">https://drive.google.com/file/d/1wPJPW9Bwsd5UIG4ATDxxjGAcGMInFaaW/view?usp=drivesdk</t>
  </si>
  <si>
    <t xml:space="preserve">Өлзий-Орших</t>
  </si>
  <si>
    <t xml:space="preserve">https://drive.google.com/file/d/1XbF5B50cBg50EIyDTKQixGWdUZfJZ4d-/view?usp=drivesdk</t>
  </si>
  <si>
    <t xml:space="preserve">https://drive.google.com/file/d/1Loxqjic7_Mjdo4R1tFteyhvJ7jYNvsNA/view?usp=drivesdk</t>
  </si>
  <si>
    <t xml:space="preserve">https://drive.google.com/file/d/1v3R3O_yXuZLtd4N_5NiR6ZiOUmAX20Hp/view?usp=drivesdk</t>
  </si>
  <si>
    <t xml:space="preserve">https://drive.google.com/file/d/1Jy_IBh0TdNCiC4NPeDY_N7skF3M2z5He/view?usp=drivesdk</t>
  </si>
  <si>
    <t xml:space="preserve">https://drive.google.com/file/d/1JFu2QgcXxAoUPEPFTMqyu3lb8aHKZt5R/view?usp=drivesdk</t>
  </si>
  <si>
    <t xml:space="preserve">https://drive.google.com/file/d/1zPMTSS-hnxfs8FgDgbTQTXgkgiWSIpc5/view?usp=drivesdk</t>
  </si>
  <si>
    <t xml:space="preserve">Алтангэрэл</t>
  </si>
  <si>
    <t xml:space="preserve">https://drive.google.com/file/d/16AfQ2lL7stHth59Pp4Qh5fA7vcdtVxEE/view?usp=drivesdk</t>
  </si>
  <si>
    <t xml:space="preserve">https://drive.google.com/file/d/1RI_h9HrzXcpdBwEOBC6CVyIRz-CWYxtE/view?usp=drivesdk</t>
  </si>
  <si>
    <t xml:space="preserve">https://drive.google.com/file/d/1u-biHRBvOso5vahAt_hqc4tz7z9cMKkI/view?usp=drivesdk</t>
  </si>
  <si>
    <t xml:space="preserve">Дүүрэнжаргал</t>
  </si>
  <si>
    <t xml:space="preserve">https://drive.google.com/file/d/18XdUEBAPMZczyBm5pUkkRmy2FZWszqo-/view?usp=drivesdk</t>
  </si>
  <si>
    <t xml:space="preserve">https://drive.google.com/file/d/1h87gb74tqWHgVnoLvyXRruX-3FLCCNzi/view?usp=drivesdk</t>
  </si>
  <si>
    <t xml:space="preserve">https://drive.google.com/file/d/1lUCd1tGuq3XEhljBMcEY6GUFWogmrq_3/view?usp=drivesdk</t>
  </si>
  <si>
    <t xml:space="preserve">Бямба-Очир</t>
  </si>
  <si>
    <t xml:space="preserve">https://drive.google.com/file/d/1lI19SzhRGReguTBYPwDvY3Buzrkvv1Jy/view?usp=drivesdk</t>
  </si>
  <si>
    <t xml:space="preserve">https://drive.google.com/file/d/11MQgHulNvCbjzkY6IOls-Mi-V6_OFXrG/view?usp=drivesdk</t>
  </si>
  <si>
    <t xml:space="preserve">https://drive.google.com/file/d/107gj_F_LqJelgZm5VV8hjR-mVynfeTak/view?usp=drivesdk</t>
  </si>
  <si>
    <t xml:space="preserve">https://drive.google.com/file/d/14o7Xow1ITbvV-wXSOZAUCEPK6k2uVJeM/view?usp=drivesdk</t>
  </si>
  <si>
    <t xml:space="preserve">Соёмбо</t>
  </si>
  <si>
    <t xml:space="preserve">https://drive.google.com/file/d/1BtZsA9ZaVXRemqTt9weHvxyiXbsi6qhI/view?usp=drivesdk</t>
  </si>
  <si>
    <t xml:space="preserve">https://drive.google.com/file/d/1XuZ8J2yIbNJdbqh0B6cctctT07NEtQ0j/view?usp=drivesdk</t>
  </si>
  <si>
    <t xml:space="preserve">https://drive.google.com/file/d/1V4CrxICNgzGZPw12BNOx_GUdBMC4EZjn/view?usp=drivesdk</t>
  </si>
  <si>
    <t xml:space="preserve">Анхбаяр</t>
  </si>
  <si>
    <t xml:space="preserve">https://drive.google.com/file/d/1Y1TKkRkLoYpHf0gKqNOOjH5PWIeaeX_k/view?usp=drivesdk</t>
  </si>
  <si>
    <t xml:space="preserve">https://drive.google.com/file/d/1_b_Rhe7P3NcRQnSmoXsWKx5XaybwcWZH/view?usp=drivesdk</t>
  </si>
  <si>
    <t xml:space="preserve">https://drive.google.com/file/d/1vCH89swGyrZF1EDo5am4BGKCxX6slOe-/view?usp=drivesdk</t>
  </si>
  <si>
    <t xml:space="preserve">https://drive.google.com/file/d/1KqXhF5VdKrCvpRzuWUBPo2J6iWggCsMK/view?usp=drivesdk</t>
  </si>
  <si>
    <t xml:space="preserve">https://drive.google.com/file/d/1EkQ9sgsVn5BTG1rtTGstwdHuwSTQb396/view?usp=drivesdk</t>
  </si>
  <si>
    <t xml:space="preserve">Амартүвшин</t>
  </si>
  <si>
    <t xml:space="preserve">https://drive.google.com/file/d/10ZMWtjoGKfNzwF9FHENyULxYQ9lk-tT2/view?usp=drivesdk</t>
  </si>
  <si>
    <t xml:space="preserve">https://drive.google.com/file/d/1KHMYrF-H3KL8gZVUuTS9zJLEjn_xVsf7/view?usp=drivesdk</t>
  </si>
  <si>
    <t xml:space="preserve">https://drive.google.com/file/d/16MIPvmwOi0uJ-hJvn5C4JIi3Rl34asOd/view?usp=drivesdk</t>
  </si>
  <si>
    <t xml:space="preserve">Батмэнд</t>
  </si>
  <si>
    <t xml:space="preserve">https://drive.google.com/file/d/1PM1IHpXk-s9Lxufh1CkbA7FyfhOMtZQc/view?usp=drivesdk</t>
  </si>
  <si>
    <t xml:space="preserve">https://drive.google.com/file/d/1uvvElu5Ss6MIAa_WuBnNk1x3PUQc4lq0/view?usp=drivesdk</t>
  </si>
  <si>
    <t xml:space="preserve">Мягмарнаран</t>
  </si>
  <si>
    <t xml:space="preserve">https://drive.google.com/file/d/1icXsKTI62074mpL9lwwBxNKapagxKvvl/view?usp=drivesdk</t>
  </si>
  <si>
    <t xml:space="preserve">Мягмарпагдан</t>
  </si>
  <si>
    <t xml:space="preserve">https://drive.google.com/file/d/15T577v3XVklThpo1jT51172PJhJyrh2E/view?usp=drivesdk</t>
  </si>
  <si>
    <t xml:space="preserve">https://drive.google.com/file/d/1q_9tGEUuN52UEnSyCDHejslHCR4gdsKN/view?usp=drivesdk</t>
  </si>
  <si>
    <t xml:space="preserve">https://drive.google.com/file/d/1CY0WunX-QbjGsKtwkab3wQ13sk0J4r_H/view?usp=drivesdk</t>
  </si>
  <si>
    <t xml:space="preserve">https://drive.google.com/file/d/19GH5Or6xHyzxxpuh0Cmpti9rZrTgJyO7/view?usp=drivesdk</t>
  </si>
  <si>
    <t xml:space="preserve">https://drive.google.com/file/d/1ZZqv37BedKAejFEBAcEzVU5JPEETbU_v/view?usp=drivesdk</t>
  </si>
  <si>
    <t xml:space="preserve">Төгрөгнаран</t>
  </si>
  <si>
    <t xml:space="preserve">https://drive.google.com/file/d/1CxqhqId37RibXopQv9AM5IkR6zeqspNx/view?usp=drivesdk</t>
  </si>
  <si>
    <t xml:space="preserve">https://drive.google.com/file/d/142F4ccrDGwMhtba8Vh3ySOBdpxW5PHrY/view?usp=drivesdk</t>
  </si>
  <si>
    <t xml:space="preserve">Баттөгөлдөр</t>
  </si>
  <si>
    <t xml:space="preserve">https://drive.google.com/file/d/1lTUFmayJGEhsrHtcUKWhwEbTp29CXLo9/view?usp=drivesdk</t>
  </si>
  <si>
    <t xml:space="preserve">https://drive.google.com/file/d/1G-ht4dDh-V2bVGe5frRpxU3Gybvtvwja/view?usp=drivesdk</t>
  </si>
  <si>
    <t xml:space="preserve">https://drive.google.com/file/d/1GZbk0zFAQRg4kzG-ZcEuEkMCHdv_P7U1/view?usp=drivesdk</t>
  </si>
  <si>
    <t xml:space="preserve">https://drive.google.com/file/d/1zBSGUkp5mVFVeB0lCChZA9voUr3yAl-g/view?usp=drivesdk</t>
  </si>
  <si>
    <t xml:space="preserve">https://drive.google.com/file/d/1_JEwHdbeuiK95dqR58xvAs8dMQ0FypZ5/view?usp=drivesdk</t>
  </si>
  <si>
    <t xml:space="preserve">Алтынбек</t>
  </si>
  <si>
    <t xml:space="preserve">https://drive.google.com/file/d/1hLsyKxocVxYewDQKpmnEqd6zteeQbTsN/view?usp=drivesdk</t>
  </si>
  <si>
    <t xml:space="preserve">https://drive.google.com/file/d/1lvrn3fn4VsqirJRnzJRGakXLJbTWCTNj/view?usp=drivesdk</t>
  </si>
  <si>
    <t xml:space="preserve">Алтан-Од</t>
  </si>
  <si>
    <t xml:space="preserve">https://drive.google.com/file/d/1yNQ_5W8tC_qJDREXXw8yhJi_pvQpfAxX/view?usp=drivesdk</t>
  </si>
  <si>
    <t xml:space="preserve">https://drive.google.com/file/d/1BvqVmAIR_OFDkBkUgBVL4T_0E21j360_/view?usp=drivesdk</t>
  </si>
  <si>
    <t xml:space="preserve">https://drive.google.com/file/d/1ENegCBXnghClPXcThc2djqS__WNUriqa/view?usp=drivesdk</t>
  </si>
  <si>
    <t xml:space="preserve">https://drive.google.com/file/d/1ofYX-fyj_mOwaa8orSsZ112cQCA4Xz5O/view?usp=drivesdk</t>
  </si>
  <si>
    <t xml:space="preserve">F(11-Р АНГИ) II-I </t>
  </si>
  <si>
    <t xml:space="preserve">https://drive.google.com/file/d/1tnUdjMcpFqq0SBwdDghSS6Y-Zhj-OjZq/view?usp=drivesdk</t>
  </si>
  <si>
    <t xml:space="preserve">Хишигбаатар</t>
  </si>
  <si>
    <t xml:space="preserve">https://drive.google.com/file/d/1Anu2cmLML2YAJ5EkD-2IClzU-izmquey/view?usp=drivesdk</t>
  </si>
  <si>
    <t xml:space="preserve">https://drive.google.com/file/d/1HKcWa0TL27IBWpBqrgz26PgeufOLFOz7/view?usp=drivesdk</t>
  </si>
  <si>
    <t xml:space="preserve">https://drive.google.com/file/d/1pBiJusNXDljG6sCEnMx-V1wdaq4pvXna/view?usp=drivesdk</t>
  </si>
  <si>
    <t xml:space="preserve">Энх-Ундрал</t>
  </si>
  <si>
    <t xml:space="preserve">https://drive.google.com/file/d/1GpNDDgiBtvSXKF8wXJZ6F4dHPvVZ8UGG/view?usp=drivesdk</t>
  </si>
  <si>
    <t xml:space="preserve">Батбилэг</t>
  </si>
  <si>
    <t xml:space="preserve">https://drive.google.com/file/d/1oo3yMIyHM3M7mHmRKBAZ9ZbwK_iAlfXr/view?usp=drivesdk</t>
  </si>
  <si>
    <t xml:space="preserve">https://drive.google.com/file/d/1MEGmt6uwlBvrqve3enaFZATzx1epyDH4/view?usp=drivesdk</t>
  </si>
  <si>
    <t xml:space="preserve">https://drive.google.com/file/d/1sAJ8QncNpM2fWKlxvCEHHau3-7qeeO9_/view?usp=drivesdk</t>
  </si>
  <si>
    <t xml:space="preserve">https://drive.google.com/file/d/1tV77zcYByuS-xmgSNYaRr-5JqbokkDRZ/view?usp=drivesdk</t>
  </si>
  <si>
    <t xml:space="preserve">Эрдэнэжаргал</t>
  </si>
  <si>
    <t xml:space="preserve">https://drive.google.com/file/d/1AFlMIJBYO4g6rXo3fmdZvRYB2_UPP8Xc/view?usp=drivesdk</t>
  </si>
  <si>
    <t xml:space="preserve">Амгаланбаяр</t>
  </si>
  <si>
    <t xml:space="preserve">https://drive.google.com/file/d/1rFpNl5_YWOIST2OusI9M7-82S9QdIeWs/view?usp=drivesdk</t>
  </si>
  <si>
    <t xml:space="preserve">Мөнх-ирээдүй</t>
  </si>
  <si>
    <t xml:space="preserve">https://drive.google.com/file/d/1G9g1Z49M45PnD1Bkut9ajFklnzdwDkeE/view?usp=drivesdk</t>
  </si>
  <si>
    <t xml:space="preserve">https://drive.google.com/file/d/1TzZeVmDWu-HwrxuQDrLYQs_zvTxm-YBf/view?usp=drivesdk</t>
  </si>
  <si>
    <t xml:space="preserve">https://drive.google.com/file/d/1NBGONNyA2NzfAvV12eQb1PjjhbiGM1xl/view?usp=drivesdk</t>
  </si>
  <si>
    <t xml:space="preserve">Жанцанноров</t>
  </si>
  <si>
    <t xml:space="preserve">https://drive.google.com/file/d/1U2nWvu-78SAMAm-kQx0aNgFwn5ZDxs3S/view?usp=drivesdk</t>
  </si>
  <si>
    <t xml:space="preserve">https://drive.google.com/file/d/1qaQXLlTX6JgnHxFsciqSVyNsoYOQWZbl/view?usp=drivesdk</t>
  </si>
  <si>
    <t xml:space="preserve">https://drive.google.com/file/d/1oUvgzV2WaooK16hhYt_Wo0Pht590CrT3/view?usp=drivesdk</t>
  </si>
  <si>
    <t xml:space="preserve">https://drive.google.com/file/d/1c9oeSMndih_JXQwob_VxppKunnLZm-A4/view?usp=drivesdk</t>
  </si>
  <si>
    <t xml:space="preserve">Энхмандах</t>
  </si>
  <si>
    <t xml:space="preserve">https://drive.google.com/file/d/1L10QzOzNge6Xy1tKx_IDIuxYGWULX-gx/view?usp=drivesdk</t>
  </si>
  <si>
    <t xml:space="preserve">https://drive.google.com/file/d/1E_zh5P3MS-HdHKftro1lQETPTG26Z5D6/view?usp=drivesdk</t>
  </si>
  <si>
    <t xml:space="preserve">Алтан-Очир</t>
  </si>
  <si>
    <t xml:space="preserve">https://drive.google.com/file/d/1Fww5uPqthqfZSTDQ5zNRV4VXowyiJXn8/view?usp=drivesdk</t>
  </si>
  <si>
    <t xml:space="preserve">https://drive.google.com/file/d/18pRrg1GqOShR85Z1-FB_j9QBGq8Geux8/view?usp=drivesdk</t>
  </si>
  <si>
    <t xml:space="preserve">https://drive.google.com/file/d/1G7UN9ZZO_2f7d_Cs_LATUSI9WfPscfg9/view?usp=drivesdk</t>
  </si>
  <si>
    <t xml:space="preserve">Төртогтох</t>
  </si>
  <si>
    <t xml:space="preserve">https://drive.google.com/file/d/1ec_jkdIpQ9e3BL-V2VkUle7WAIgDX_ra/view?usp=drivesdk</t>
  </si>
  <si>
    <t xml:space="preserve">Болортуяа</t>
  </si>
  <si>
    <t xml:space="preserve">https://drive.google.com/file/d/1ksTywo8n2zcJ0T9JAb1Km6GeEt6Fl6CD/view?usp=drivesdk</t>
  </si>
  <si>
    <t xml:space="preserve">Ардах</t>
  </si>
  <si>
    <t xml:space="preserve">https://drive.google.com/file/d/1gW4gwk7BJZaM6tz1INqyloCjDKCNdukm/view?usp=drivesdk</t>
  </si>
  <si>
    <t xml:space="preserve">https://drive.google.com/file/d/1NXvIXsV5PrCjzsIjvDFNOJCCuumM01u3/view?usp=drivesdk</t>
  </si>
  <si>
    <t xml:space="preserve">https://drive.google.com/file/d/1LJhdYVR-nyUCVgoH72NHqytcE6VM3xt4/view?usp=drivesdk</t>
  </si>
  <si>
    <t xml:space="preserve">Нямсайхан</t>
  </si>
  <si>
    <t xml:space="preserve">https://drive.google.com/file/d/10gFJzRV6R9HW8OVHV-8FMuAksbENXKxA/view?usp=drivesdk</t>
  </si>
  <si>
    <t xml:space="preserve">https://drive.google.com/file/d/1JHeTkDL0Qm_gZxQm5NA6FcWus-E5a8tB/view?usp=drivesdk</t>
  </si>
  <si>
    <t xml:space="preserve">https://drive.google.com/file/d/1UsE_Qq1ZlKVBq_37jKbrg8m0BrgdECUl/view?usp=drivesdk</t>
  </si>
  <si>
    <t xml:space="preserve">https://drive.google.com/file/d/1CYpNvucVLodWkelQeQi8rhojXemesVtC/view?usp=drivesdk</t>
  </si>
  <si>
    <t xml:space="preserve">https://drive.google.com/file/d/13ZeicHQuon1N6sIj18433Hkdo8X-Idhp/view?usp=drivesdk</t>
  </si>
  <si>
    <t xml:space="preserve">https://drive.google.com/file/d/1csaRdIJpiHDh2GbQzW8PMg3Wtb4m4a_w/view?usp=drivesdk</t>
  </si>
  <si>
    <t xml:space="preserve">Батсүмбэр</t>
  </si>
  <si>
    <t xml:space="preserve">https://drive.google.com/file/d/12Ss0UNZUWIjjzaETWHvYhE3rGGaoHrAi/view?usp=drivesdk</t>
  </si>
  <si>
    <t xml:space="preserve">https://drive.google.com/file/d/11R_n2HBcPj0LcbikS0Y4Px83_lNvHnTk/view?usp=drivesdk</t>
  </si>
  <si>
    <t xml:space="preserve">https://drive.google.com/file/d/1pcVKYrGnT7ujQa7QQfG46d8Vo0u5Utpk/view?usp=drivesdk</t>
  </si>
  <si>
    <t xml:space="preserve">https://drive.google.com/file/d/19V3tMU9A3gd_Gr339NSAXG8d1PM1Vjad/view?usp=drivesdk</t>
  </si>
  <si>
    <t xml:space="preserve">https://drive.google.com/file/d/13MCPLBX0-q5WWlGD5pvJu878mzk7PtGE/view?usp=drivesdk</t>
  </si>
  <si>
    <t xml:space="preserve">https://drive.google.com/file/d/1y7bGkCJUde39iZxpCSCETN5lNWb3hXDc/view?usp=drivesdk</t>
  </si>
  <si>
    <t xml:space="preserve">Баасандулам</t>
  </si>
  <si>
    <t xml:space="preserve">https://drive.google.com/file/d/1ZwtJ5BA-Uv6fykIDa4GszHV9pST4T-d0/view?usp=drivesdk</t>
  </si>
  <si>
    <t xml:space="preserve">https://drive.google.com/file/d/1OdOTtdytqUwVpuJOy3P1ZwzpK01_gUFr/view?usp=drivesdk</t>
  </si>
  <si>
    <t xml:space="preserve">https://drive.google.com/file/d/1niiY-3tAQmCYu5b1kMlP7szexj8EG9D3/view?usp=drivesdk</t>
  </si>
  <si>
    <t xml:space="preserve">Баянмөнх</t>
  </si>
  <si>
    <t xml:space="preserve">https://drive.google.com/file/d/1Ww0XK-pY_Mx2OC7GR-Z-G4BXIbE0pCli/view?usp=drivesdk</t>
  </si>
  <si>
    <t xml:space="preserve">https://drive.google.com/file/d/1lv3RkVT8KeYWVEntQFVcwsk8FK1cq2dC/view?usp=drivesdk</t>
  </si>
  <si>
    <t xml:space="preserve">https://drive.google.com/file/d/1AMet25YLsOSk8OH81qo2waET4Q3SqP8M/view?usp=drivesdk</t>
  </si>
  <si>
    <t xml:space="preserve">Намуунбайгаль</t>
  </si>
  <si>
    <t xml:space="preserve">https://drive.google.com/file/d/1lZfumh3SjSmOWdFGzCrMP5pwB5Lwa4lD/view?usp=drivesdk</t>
  </si>
  <si>
    <t xml:space="preserve">https://drive.google.com/file/d/1wlK9XnKfmnuIVPp4uVMmTiDs3P9lWzLS/view?usp=drivesdk</t>
  </si>
  <si>
    <t xml:space="preserve">https://drive.google.com/file/d/1gNne1z92E8lpjUxk4ur8Wqfee0qr5l_W/view?usp=drivesdk</t>
  </si>
  <si>
    <t xml:space="preserve">Ганзориг</t>
  </si>
  <si>
    <t xml:space="preserve">https://drive.google.com/file/d/1FCuoQio0GLpofPktV1ByV1wIf3z0uazb/view?usp=drivesdk</t>
  </si>
  <si>
    <t xml:space="preserve">https://drive.google.com/file/d/1qo8kMYWi5p3jUUEu8Z7XtlDtuHR3ap5K/view?usp=drivesdk</t>
  </si>
  <si>
    <t xml:space="preserve">https://drive.google.com/file/d/1BTZPVlOKb6kDgUfeirEt9Q1pHvsf_4TH/view?usp=drivesdk</t>
  </si>
  <si>
    <t xml:space="preserve">Дашням</t>
  </si>
  <si>
    <t xml:space="preserve">https://drive.google.com/file/d/1HluCkFQ6f1Ya5O-U7y-BeIwiCo1NHKDZ/view?usp=drivesdk</t>
  </si>
  <si>
    <t xml:space="preserve">https://drive.google.com/file/d/14wOlcrZgQn22ixCCCMSHHYbH1Sxc_E8E/view?usp=drivesdk</t>
  </si>
  <si>
    <t xml:space="preserve">Буяннэмэх</t>
  </si>
  <si>
    <t xml:space="preserve">Билэгжаргал</t>
  </si>
  <si>
    <t xml:space="preserve">https://drive.google.com/file/d/1kYH3VEUdMg8CKdnPmMAv7c7cmHQK6jMf/view?usp=drivesdk</t>
  </si>
  <si>
    <t xml:space="preserve">https://drive.google.com/file/d/1z3kye5qxljHLcSV1UYnz5WIqvaih6t5x/view?usp=drivesdk</t>
  </si>
  <si>
    <t xml:space="preserve">https://drive.google.com/file/d/1Cc5i8lRznC05gFyEYwWuAKbdg7CtNKRJ/view?usp=drivesdk</t>
  </si>
  <si>
    <t xml:space="preserve">https://drive.google.com/file/d/1cDe-X5SgQbz5s57mHDG-YMYop1mEFwsu/view?usp=drivesdk</t>
  </si>
  <si>
    <t xml:space="preserve">https://drive.google.com/file/d/199yUztWUCmTRUSjiOzACA5jqWg-k2efR/view?usp=drivesdk</t>
  </si>
  <si>
    <t xml:space="preserve">https://drive.google.com/file/d/1qhUNeFhj_q1PN3RfvxsHkSoHuBOz-X1O/view?usp=drivesdk</t>
  </si>
  <si>
    <t xml:space="preserve">https://drive.google.com/file/d/1zDG2N6Pwd1n4m5kA_sjBWn_Aq9Tzzwcn/view?usp=drivesdk</t>
  </si>
  <si>
    <t xml:space="preserve">https://drive.google.com/file/d/1lsd_Bse9Cxg6YhQeOVsPZjcQ6IbPcYhy/view?usp=drivesdk</t>
  </si>
  <si>
    <t xml:space="preserve">Мөнхмишээл</t>
  </si>
  <si>
    <t xml:space="preserve">F(12-Р АНГИ) II-I</t>
  </si>
  <si>
    <t xml:space="preserve">https://drive.google.com/file/d/1BNKOyAlA7KsJW1zcarKihQvaggPMZG3W/view?usp=drivesdk</t>
  </si>
  <si>
    <t xml:space="preserve">https://drive.google.com/file/d/1S8dfUWaKsot4ZCXz-Ksaftg-9tMSYxu7/view?usp=drivesdk</t>
  </si>
  <si>
    <t xml:space="preserve">https://drive.google.com/file/d/1fTNCn9SHphJgqWTyoI1rL5oo2D3Xk5NE/view?usp=drivesdk</t>
  </si>
  <si>
    <t xml:space="preserve">https://drive.google.com/file/d/17BHL2YYjEyzwov6rB3lNlsHelCdaCYE4/view?usp=drivesdk</t>
  </si>
  <si>
    <t xml:space="preserve">Баянцэцэг</t>
  </si>
  <si>
    <t xml:space="preserve">https://drive.google.com/file/d/1DmO8ms8AVbW_EkYLfVyV9FBtmwa-HPCN/view?usp=drivesdk</t>
  </si>
  <si>
    <t xml:space="preserve">https://drive.google.com/file/d/1eUWjABPKrWxmwiB2Ud5LKsNgoROj1cPE/view?usp=drivesdk</t>
  </si>
  <si>
    <t xml:space="preserve">https://drive.google.com/file/d/1AKuJQ2Zv7fLSAbUfxZqtMotkga8OqYAP/view?usp=drivesdk</t>
  </si>
  <si>
    <t xml:space="preserve">https://drive.google.com/file/d/1cqJ-drvLnJivgGG-8c5WMLMQxCEVTTmn/view?usp=drivesdk</t>
  </si>
  <si>
    <t xml:space="preserve">https://drive.google.com/file/d/1uOu-aCOuv9yuvES7MvK_qn2z_zmIvWs6/view?usp=drivesdk</t>
  </si>
  <si>
    <t xml:space="preserve">Бадар-Ууган</t>
  </si>
  <si>
    <t xml:space="preserve">https://drive.google.com/file/d/1bMtc-eGsZMujyobvub6oEFnOxOy8s1fr/view?usp=drivesdk</t>
  </si>
  <si>
    <t xml:space="preserve">https://drive.google.com/file/d/1UIfIlNb1PigCYgVPite_zWXMxST_cXRD/view?usp=drivesdk</t>
  </si>
  <si>
    <t xml:space="preserve">Номинсувд</t>
  </si>
  <si>
    <t xml:space="preserve">https://drive.google.com/file/d/121pFvuGAr-8BiPysJ-UW7e4Hxwr9hZcC/view?usp=drivesdk</t>
  </si>
  <si>
    <t xml:space="preserve">https://drive.google.com/file/d/1xX7-g7m9ZtbI7DzNUba9_LyeBDPiiAuC/view?usp=drivesdk</t>
  </si>
  <si>
    <t xml:space="preserve">https://drive.google.com/file/d/1JEYKlbe6O4hGchmP8Udj90unmGQ5dlBa/view?usp=drivesdk</t>
  </si>
  <si>
    <t xml:space="preserve">Оюунболор</t>
  </si>
  <si>
    <t xml:space="preserve">https://drive.google.com/file/d/1zuv9cmf53_Y0my3dsdFbFPtTXL_9MrkA/view?usp=drivesdk</t>
  </si>
  <si>
    <t xml:space="preserve">https://drive.google.com/file/d/17wkhrgBMk6n3A-EUHJd2KXbEqMkwk8th/view?usp=drivesdk</t>
  </si>
  <si>
    <t xml:space="preserve">https://drive.google.com/file/d/19ZDTKMwm84E-Zyo_j7teDI8pOOxwcu4a/view?usp=drivesdk</t>
  </si>
  <si>
    <t xml:space="preserve">Билгүүн</t>
  </si>
  <si>
    <t xml:space="preserve">https://drive.google.com/file/d/194z6pvKS1XyFV71k-lj-V2CZ41m44eOs/view?usp=drivesdk</t>
  </si>
  <si>
    <t xml:space="preserve">https://drive.google.com/file/d/1RpfBe0AgAGaWxsJ3io5zZOBSKSGSoBiv/view?usp=drivesdk</t>
  </si>
  <si>
    <t xml:space="preserve">https://drive.google.com/file/d/18i9n1Bjd2b_Yl2j41UBBzdB17F1uSO3V/view?usp=drivesdk</t>
  </si>
  <si>
    <t xml:space="preserve">https://drive.google.com/file/d/1HlvZupRd1gi2oYd_9Fq46CfWXyZUd1CZ/view?usp=drivesdk</t>
  </si>
  <si>
    <t xml:space="preserve">Болд-Эрдэнэ</t>
  </si>
  <si>
    <t xml:space="preserve">https://drive.google.com/file/d/1FjN6f1D_JWG2ouNmxi_ZnGwg8FHjfuic/view?usp=drivesdk</t>
  </si>
  <si>
    <t xml:space="preserve">https://drive.google.com/file/d/1efAOZVOIoP5AoaCcTfjJXlgmB8bmkGtP/view?usp=drivesdk</t>
  </si>
  <si>
    <t xml:space="preserve">Төрболд</t>
  </si>
  <si>
    <t xml:space="preserve">https://drive.google.com/file/d/1ufjJXAtXkJoMyB47Bo-xSNylUcpU3vHA/view?usp=drivesdk</t>
  </si>
  <si>
    <t xml:space="preserve">https://drive.google.com/file/d/1p96EXE1Fw7pxpAGDQF9w8IpcTErA1lD9/view?usp=drivesdk</t>
  </si>
  <si>
    <t xml:space="preserve">Содбилэг</t>
  </si>
  <si>
    <t xml:space="preserve">https://drive.google.com/file/d/1zhOKGxzKHdFFhR1BwOIPxo6PX5GClYki/view?usp=drivesdk</t>
  </si>
  <si>
    <t xml:space="preserve">https://drive.google.com/file/d/1fP6kERGX8w6PYkuogF7ftpoWghLtA1DX/view?usp=drivesdk</t>
  </si>
  <si>
    <t xml:space="preserve">https://drive.google.com/file/d/1zGUrNI7X_0S9JiSEMuFNEZ7gFOYq_Vi4/view?usp=drivesdk</t>
  </si>
  <si>
    <t xml:space="preserve">https://drive.google.com/file/d/17LaEYN4Yp_HhQnZSUy7GDiIFnim7MPl1/view?usp=drivesdk</t>
  </si>
  <si>
    <t xml:space="preserve">https://drive.google.com/file/d/1UUYwVD-xHF7SdBOm3BPxuJEL_O3xlK12/view?usp=drivesdk</t>
  </si>
  <si>
    <t xml:space="preserve">https://drive.google.com/file/d/14OUOmyexRMD3V2WZ7wG3EJMiXtdCcITY/view?usp=drivesdk</t>
  </si>
  <si>
    <t xml:space="preserve">https://drive.google.com/file/d/1XAfmKdF6St59fZ3ojief1f4ECFofa9v3/view?usp=drivesdk</t>
  </si>
  <si>
    <t xml:space="preserve">Даваацэцэг</t>
  </si>
  <si>
    <t xml:space="preserve">https://drive.google.com/file/d/1_KFMOBKaEW9NT6z2PC0y2r1DBpVcP4pc/view?usp=drivesdk</t>
  </si>
  <si>
    <t xml:space="preserve">https://drive.google.com/file/d/1mztbH_3cig2TQq0MkVLY8t_XaQcAwFPE/view?usp=drivesdk</t>
  </si>
  <si>
    <t xml:space="preserve">https://drive.google.com/file/d/14jb36yZrhclSP6EPSgX4zLOJrm5LJ-CE/view?usp=drivesdk</t>
  </si>
  <si>
    <t xml:space="preserve">Амаржаргал</t>
  </si>
  <si>
    <t xml:space="preserve">https://drive.google.com/file/d/14d2_-mSy8lTOghqylynbWdKnOyoq2AbP/view?usp=drivesdk</t>
  </si>
  <si>
    <t xml:space="preserve">Энхсайхан</t>
  </si>
  <si>
    <t xml:space="preserve">https://drive.google.com/file/d/1_6DB6A3PIlNRkvY-DqjpDrP3_fdL37hy/view?usp=drivesdk</t>
  </si>
  <si>
    <t xml:space="preserve">https://drive.google.com/file/d/1FUBQuWZscoNYhtfws9iCtAVVTfOHboRQ/view?usp=drivesdk</t>
  </si>
  <si>
    <t xml:space="preserve">https://drive.google.com/file/d/1fqWJS75yIgX0I1NBivn8bZbW4ZjUdqfF/view?usp=drivesdk</t>
  </si>
  <si>
    <t xml:space="preserve">https://drive.google.com/file/d/1DCYfCh4JCfFFKwY_9ASzuFrLJYNpkpUC/view?usp=drivesdk</t>
  </si>
  <si>
    <t xml:space="preserve">Эрдэнэхонгор</t>
  </si>
  <si>
    <t xml:space="preserve">https://drive.google.com/file/d/1SxTbK3ZSLm9oE3iKeefY0_XaS0_RnpFp/view?usp=drivesdk</t>
  </si>
  <si>
    <t xml:space="preserve">https://drive.google.com/file/d/1-wZsLKoW9MRAIhzQw3z6i7cbG1ivxy1o/view?usp=drivesdk</t>
  </si>
  <si>
    <t xml:space="preserve">https://drive.google.com/file/d/1_YL8ltY1wcv0TkHBJzZnBQw8zs85ZwRF/view?usp=drivesdk</t>
  </si>
  <si>
    <t xml:space="preserve">Эрхэмбилэг</t>
  </si>
  <si>
    <t xml:space="preserve">https://drive.google.com/file/d/1tCfknQPK1YHcRraIllLe-0tCMT9kKYmm/view?usp=drivesdk</t>
  </si>
  <si>
    <t xml:space="preserve">https://drive.google.com/file/d/1odX6sXYcwp5KDmyo-l1ozp_QGsIfRhNa/view?usp=drivesdk</t>
  </si>
  <si>
    <t xml:space="preserve">https://drive.google.com/file/d/196lycX2TjsMdZbXQjoZSNowRM_t-gRC9/view?usp=drivesdk</t>
  </si>
  <si>
    <t xml:space="preserve">Буд-Эрдэнэ</t>
  </si>
  <si>
    <t xml:space="preserve">https://drive.google.com/file/d/1CUtZg1AD0vJsZ6IGbhtiXaqQb0kgt9ee/view?usp=drivesdk</t>
  </si>
  <si>
    <t xml:space="preserve">https://drive.google.com/file/d/18uvTTOyy7uXV1hLdF731ErngHOIZNt8t/view?usp=drivesdk</t>
  </si>
  <si>
    <t xml:space="preserve">https://drive.google.com/file/d/1GA7zaWyf90aop2K571weqASOKZVKzjWO/view?usp=drivesdk</t>
  </si>
  <si>
    <t xml:space="preserve">Тулга</t>
  </si>
  <si>
    <t xml:space="preserve">https://drive.google.com/file/d/1dI29wxluGoEXdxyVjhWKipJIaC7EYhGG/view?usp=drivesdk</t>
  </si>
  <si>
    <t xml:space="preserve">Лаура</t>
  </si>
  <si>
    <t xml:space="preserve">https://drive.google.com/file/d/1xk1Gm-la_IKM3Fv5BZ7tp44BpzUg___F/view?usp=drivesdk</t>
  </si>
  <si>
    <t xml:space="preserve">https://drive.google.com/file/d/1zMxNUkfAxEwLFvpgYgI7dmosi8nawboW/view?usp=drivesdk</t>
  </si>
  <si>
    <t xml:space="preserve">https://drive.google.com/file/d/1sm2iBqaonoJY0denDzJ31naDf3H3DSk0/view?usp=drivesdk</t>
  </si>
  <si>
    <t xml:space="preserve">Нямхүү</t>
  </si>
  <si>
    <t xml:space="preserve">https://drive.google.com/file/d/1vRD3Uek_KspdzoI2Bf8zfVbaQLjjvlD_/view?usp=drivesdk</t>
  </si>
  <si>
    <t xml:space="preserve">https://drive.google.com/file/d/14LyB5PNBZqLa-HFKhKHlBEE3Zg18DM2d/view?usp=drivesdk</t>
  </si>
  <si>
    <t xml:space="preserve">https://drive.google.com/file/d/14-NZvDar8h9DcIQmLXCUL7x2Pvi1qDLZ/view?usp=drivesdk</t>
  </si>
  <si>
    <t xml:space="preserve">Ганхуяг</t>
  </si>
  <si>
    <t xml:space="preserve">https://drive.google.com/file/d/1NZDjqPR0KIkZS2GV_0n4wluoEBhv8_6u/view?usp=drivesdk</t>
  </si>
  <si>
    <t xml:space="preserve">Нарантуяа</t>
  </si>
  <si>
    <t xml:space="preserve">https://drive.google.com/file/d/1hujaeRW2QsVHN6K0iYaVFCXgvatwt3EF/view?usp=drivesdk</t>
  </si>
  <si>
    <t xml:space="preserve">https://drive.google.com/file/d/1XeI4vfrbTXrz27dgIIzol-obQ-zU1dKN/view?usp=drivesdk</t>
  </si>
  <si>
    <t xml:space="preserve">https://drive.google.com/file/d/1uDK2D77MDI1ppgGYxdc-YAYq34FWCv2-/view?usp=drivesdk</t>
  </si>
  <si>
    <t xml:space="preserve">Энхсүлд</t>
  </si>
  <si>
    <t xml:space="preserve">https://drive.google.com/file/d/15k9G4xx-3FqQRoLiXahhW_SfBM71Kmuf/view?usp=drivesdk</t>
  </si>
  <si>
    <t xml:space="preserve">Сарангэрэл</t>
  </si>
  <si>
    <t xml:space="preserve">https://drive.google.com/file/d/1JsWpEpLwEHsIgFT30QNw6G_FAm9_6Ycq/view?usp=drivesdk</t>
  </si>
  <si>
    <t xml:space="preserve">https://drive.google.com/file/d/12Nrbhaj4Y1EsnYRMkzqbCi4pefYFRZ4T/view?usp=drivesdk</t>
  </si>
  <si>
    <t xml:space="preserve">https://drive.google.com/file/d/1DVUGZYey6sXN3SjjzJ6XMb6SDzDClZM_/view?usp=drivesdk</t>
  </si>
  <si>
    <t xml:space="preserve">Нандинчимэг</t>
  </si>
  <si>
    <t xml:space="preserve">https://drive.google.com/file/d/1f0gKh27jRcQdzxlvDDbLISqnRkXLjzwu/view?usp=drivesdk</t>
  </si>
  <si>
    <t xml:space="preserve">Хүрэлсүх</t>
  </si>
  <si>
    <t xml:space="preserve">https://drive.google.com/file/d/1hZi-qvrSNCVbJLlW6jjqKptzwzcdtfjU/view?usp=drivesdk</t>
  </si>
  <si>
    <t xml:space="preserve">https://drive.google.com/file/d/1KFhZ6nSlVlgzK3r9aQBRAzBxQPraGaMv/view?usp=drivesdk</t>
  </si>
  <si>
    <t xml:space="preserve">https://drive.google.com/file/d/1c43uM9DBxkgeipPy3RSKsumICMzwNwgA/view?usp=drivesdk</t>
  </si>
  <si>
    <t xml:space="preserve">https://drive.google.com/file/d/1yHjewCat100BKGReM3Pf7K2hDLKq2moo/view?usp=drivesdk</t>
  </si>
  <si>
    <t xml:space="preserve">Ганболд</t>
  </si>
  <si>
    <t xml:space="preserve">https://drive.google.com/file/d/1449VNBl8sHF6lRawh98Gp_SFHEdofMCF/view?usp=drivesdk</t>
  </si>
  <si>
    <t xml:space="preserve">https://drive.google.com/file/d/1aO6Q3nhZXi5iduLo-jS6OXr-WSbZz3A6/view?usp=drivesdk</t>
  </si>
  <si>
    <t xml:space="preserve">https://drive.google.com/file/d/1u2_6h8LoEotYs0qTjJCl2d8ZMvZDANam/view?usp=drivesdk</t>
  </si>
  <si>
    <t xml:space="preserve">https://drive.google.com/file/d/1PIu9cT6toC-fpfVI8sgcEFcbDi7beRAL/view?usp=drivesdk</t>
  </si>
  <si>
    <t xml:space="preserve">Отгонбаатар</t>
  </si>
  <si>
    <t xml:space="preserve">https://drive.google.com/file/d/1E06t8SBOrg27cOQYif_2NNa7C4QXgCDE/view?usp=drivesdk</t>
  </si>
  <si>
    <t xml:space="preserve">https://drive.google.com/file/d/1vw0R4DsUyS2cwdNaLqGt0BO1KpO3pzXF/view?usp=drivesdk</t>
  </si>
  <si>
    <t xml:space="preserve">Маралжингоо</t>
  </si>
  <si>
    <t xml:space="preserve">https://drive.google.com/file/d/1kCy8vPU_66qkv-DKGuKuneXK95ISDAu4/view?usp=drivesdk</t>
  </si>
  <si>
    <t xml:space="preserve">https://drive.google.com/file/d/1X9UfJYQi91XliSdKVU9MHf8Pko-PkPkJ/view?usp=drivesdk</t>
  </si>
  <si>
    <t xml:space="preserve">https://drive.google.com/file/d/1C2W5uI5-fhxOEgDM0d5WF_jT3VY5xCLd/view?usp=drivesdk</t>
  </si>
  <si>
    <t xml:space="preserve">https://drive.google.com/file/d/1FMbhYcyrW23gj6i7F2n-EOR6ennBQKv7/view?usp=drivesdk</t>
  </si>
  <si>
    <t xml:space="preserve">https://drive.google.com/file/d/1stx8PREUG7B6TOLj359VF53-Po12_qYQ/view?usp=drivesdk</t>
  </si>
  <si>
    <t xml:space="preserve">Отгонцэцэг</t>
  </si>
  <si>
    <t xml:space="preserve">S</t>
  </si>
  <si>
    <t xml:space="preserve">https://drive.google.com/file/d/1smpC0ZWYGWUZdqAY-4gZkf5wRQRVlZa5/view?usp=drivesdk</t>
  </si>
  <si>
    <t xml:space="preserve">https://drive.google.com/file/d/1iAnf-puddszOT8KZz2ZkWfeJw30geL-K/view?usp=drivesdk</t>
  </si>
  <si>
    <t xml:space="preserve">https://drive.google.com/file/d/13fvgVg9DZgATYxE9lEl6WRpDvclLF5yy/view?usp=drivesdk</t>
  </si>
  <si>
    <t xml:space="preserve">https://drive.google.com/file/d/1ReD91EgIYpbNqEb30szeHmOLi0WwWQ5-/view?usp=drivesdk</t>
  </si>
  <si>
    <t xml:space="preserve">Нарандулам</t>
  </si>
  <si>
    <t xml:space="preserve">https://drive.google.com/file/d/1rk7iU1FFgdDhrGMRUTq1J5bSwq_fjEKl/view?usp=drivesdk</t>
  </si>
  <si>
    <t xml:space="preserve">https://drive.google.com/file/d/15sRmmZKHtmE4v-u2xB1uHLolW0Y8p-ZT/view?usp=drivesdk</t>
  </si>
  <si>
    <t xml:space="preserve">https://drive.google.com/file/d/1YMmanCG5X_L45n35HZL_tE63V9Ydchvq/view?usp=drivesdk</t>
  </si>
  <si>
    <t xml:space="preserve">https://drive.google.com/file/d/1V0G6sQj-exkDPaNKPaG0-lQxLyG8TITT/view?usp=drivesdk</t>
  </si>
  <si>
    <t xml:space="preserve">Цоггэрэл</t>
  </si>
  <si>
    <t xml:space="preserve">https://drive.google.com/file/d/1CXJFoKlSyGs46yRtJQlFl9-FMq85Haoj/view?usp=drivesdk</t>
  </si>
  <si>
    <t xml:space="preserve">https://drive.google.com/file/d/1cVVT7jOs5kBISMs5Z1HWqCkHr91aIsms/view?usp=drivesdk</t>
  </si>
  <si>
    <t xml:space="preserve">https://drive.google.com/file/d/1Hk36Hm8vCgH0-ZF81BBCmhUBOJ63eSJK/view?usp=drivesdk</t>
  </si>
  <si>
    <t xml:space="preserve">https://drive.google.com/file/d/1oqjb62C8K19vVPwEy7P3-Ao-e0xrGEAf/view?usp=drivesdk</t>
  </si>
  <si>
    <t xml:space="preserve">Ариунтуул</t>
  </si>
  <si>
    <t xml:space="preserve">https://drive.google.com/file/d/1R0nYF38IlJ6DIFm0BykLH6NRXq_GxKC1/view?usp=drivesdk</t>
  </si>
  <si>
    <t xml:space="preserve">https://drive.google.com/file/d/1svjbI7eQ8fe8sx4PLeNUulvV2-urdYaQ/view?usp=drivesdk</t>
  </si>
  <si>
    <t xml:space="preserve">https://drive.google.com/file/d/1G841t2dsQ_hZSNCKKDlOnGSGCsa4fiXn/view?usp=drivesdk</t>
  </si>
  <si>
    <t xml:space="preserve">https://drive.google.com/file/d/1-XQAB5hhW49CyXs3aiX02aumPtmK0gGc/view?usp=drivesdk</t>
  </si>
  <si>
    <t xml:space="preserve">Энхцэцэг</t>
  </si>
  <si>
    <t xml:space="preserve">https://drive.google.com/file/d/15_EH1MbSyb6QQRUVQl5OZTx5eYycee4u/view?usp=drivesdk</t>
  </si>
  <si>
    <t xml:space="preserve">https://drive.google.com/file/d/1afnE5fUxWEMLU2dEtUZlJLTt-XRbVxDn/view?usp=drivesdk</t>
  </si>
  <si>
    <t xml:space="preserve">https://drive.google.com/file/d/1njb8MkNGZvhSiKhD8yj6-MakvJQux6Jm/view?usp=drivesdk</t>
  </si>
  <si>
    <t xml:space="preserve">https://drive.google.com/file/d/1HNwlKnY-WLFdyw6gyrySdD0QfQc6HqY0/view?usp=drivesdk</t>
  </si>
  <si>
    <t xml:space="preserve">Цэцэгжаргал </t>
  </si>
  <si>
    <t xml:space="preserve">https://drive.google.com/file/d/1FK25pAn17bA6j3hKPoLYhtQYCzmjRYlV/view?usp=drivesdk</t>
  </si>
  <si>
    <t xml:space="preserve">https://drive.google.com/file/d/1gYBMx15oUvt1telLnYn6ttONo9UsQbNB/view?usp=drivesdk</t>
  </si>
  <si>
    <t xml:space="preserve">https://drive.google.com/file/d/1OFMs3REg_ZFzmqsMYmQYl50VN4agVEbV/view?usp=drivesdk</t>
  </si>
  <si>
    <t xml:space="preserve">https://drive.google.com/file/d/1w0wRkjuMEAhch7vx8E_Bf0v4y0ylAyk6/view?usp=drivesdk</t>
  </si>
  <si>
    <t xml:space="preserve">Янжинхорол</t>
  </si>
  <si>
    <t xml:space="preserve">https://drive.google.com/file/d/12y_tmVrIIJglqGHYK6QWMN5cjljStQXb/view?usp=drivesdk</t>
  </si>
  <si>
    <t xml:space="preserve">https://drive.google.com/file/d/1z5tjhYCM4IwWJcvCZYGolLenKEnNzjeE/view?usp=drivesdk</t>
  </si>
  <si>
    <t xml:space="preserve">https://drive.google.com/file/d/1dehbaaSDBxyr6m7Rz13lQBy5MJbXSTpF/view?usp=drivesdk</t>
  </si>
  <si>
    <t xml:space="preserve">https://drive.google.com/file/d/1gsc40ZyfjQTOb4Cwx3wSalR1uuBlsI8u/view?usp=drivesdk</t>
  </si>
  <si>
    <t xml:space="preserve">Цэрэнпил</t>
  </si>
  <si>
    <t xml:space="preserve">https://drive.google.com/file/d/1tQQY9R4KLTsI0E4RMCJnnkw1W6w5BK9w/view?usp=drivesdk</t>
  </si>
  <si>
    <t xml:space="preserve">https://drive.google.com/file/d/1kEsT4AupKemPsq33SSpoB4obIFrxR9rb/view?usp=drivesdk</t>
  </si>
  <si>
    <t xml:space="preserve">https://drive.google.com/file/d/1RDglwhT28NsVyEDOmNYHoIEgEm21f4zC/view?usp=drivesdk</t>
  </si>
  <si>
    <t xml:space="preserve">https://drive.google.com/file/d/1URw_9Oq9WCkQjEkr50JuXxF_wjXxhOi9/view?usp=drivesdk</t>
  </si>
  <si>
    <t xml:space="preserve">Соёлмаа</t>
  </si>
  <si>
    <t xml:space="preserve">https://drive.google.com/file/d/1buuD_7CjXj-LzvHHHDFRvoTeaByJ8Nlo/view?usp=drivesdk</t>
  </si>
  <si>
    <t xml:space="preserve">https://drive.google.com/file/d/1muZ8DoN-qp4IzmkwKmaevfeLq1bfGbqK/view?usp=drivesdk</t>
  </si>
  <si>
    <t xml:space="preserve">https://drive.google.com/file/d/1sMPFfBxtXXiTtQIFqMfa2Ylp9ybfGA_-/view?usp=drivesdk</t>
  </si>
  <si>
    <t xml:space="preserve">https://drive.google.com/file/d/1VF3NqDysYucqK_pnVEbkCPGHvmriimNc/view?usp=drivesdk</t>
  </si>
  <si>
    <t xml:space="preserve">Ариунаа</t>
  </si>
  <si>
    <t xml:space="preserve">https://drive.google.com/file/d/1h8G9cSlQXZrZJ1WWU6cU4_Ozg51yzRwK/view?usp=drivesdk</t>
  </si>
  <si>
    <t xml:space="preserve">https://drive.google.com/file/d/12I140GX4jNlPKcECA2SrCMQI6dI6aCQG/view?usp=drivesdk</t>
  </si>
  <si>
    <t xml:space="preserve">https://drive.google.com/file/d/1XfLtzVARhmXWVrjZPFNXMVE8jx8q32gQ/view?usp=drivesdk</t>
  </si>
  <si>
    <t xml:space="preserve">https://drive.google.com/file/d/1yTp7pyot4nX9tqgHoT4_ToTjDq06AouZ/view?usp=drivesdk</t>
  </si>
  <si>
    <t xml:space="preserve">https://drive.google.com/file/d/1QYuPkZgpviqha0462bZGx0aJv3xT1-_f/view?usp=drivesdk</t>
  </si>
  <si>
    <t xml:space="preserve">https://drive.google.com/file/d/1fJUAVeaF6CZbT4FR4CMP4gXDgmAhtzPh/view?usp=drivesdk</t>
  </si>
  <si>
    <t xml:space="preserve">https://drive.google.com/file/d/1gOeovizrSbpzd9RBq5N-_cpg1no8bJ9n/view?usp=drivesdk</t>
  </si>
  <si>
    <t xml:space="preserve">https://drive.google.com/file/d/1IEqb2800F3Pjk7GxON3fOOUmwiDlYe63/view?usp=drivesdk</t>
  </si>
  <si>
    <t xml:space="preserve">Бямбахүү</t>
  </si>
  <si>
    <t xml:space="preserve">https://drive.google.com/file/d/18TSUN5C44Sm_uQFoGeXkZ956XfDBTqiQ/view?usp=drivesdk</t>
  </si>
  <si>
    <t xml:space="preserve">https://drive.google.com/file/d/1brgHQ_fpvMggE5PzOEhFR9DGoSrIjLTf/view?usp=drivesdk</t>
  </si>
  <si>
    <t xml:space="preserve">https://drive.google.com/file/d/1aUv1SKdUbDQeerJ68vZFlkLc1MmoKgtI/view?usp=drivesdk</t>
  </si>
  <si>
    <t xml:space="preserve">https://drive.google.com/file/d/1Kdi8KOIeMpNr-tDqUy4OmwN3edHHyHL5/view?usp=drivesdk</t>
  </si>
  <si>
    <t xml:space="preserve">Даваажаргал</t>
  </si>
  <si>
    <t xml:space="preserve">https://drive.google.com/file/d/19amSdUgB3GtiYINNLKM9L_9l1JuNrxEi/view?usp=drivesdk</t>
  </si>
  <si>
    <t xml:space="preserve">https://drive.google.com/file/d/16ZjO8wBq9TEYSzQGOD9b6UUgCNuFDjjS/view?usp=drivesdk</t>
  </si>
  <si>
    <t xml:space="preserve">https://drive.google.com/file/d/1mI1V_-6fifjPWDRnrhXfRXepBztcHhtw/view?usp=drivesdk</t>
  </si>
  <si>
    <t xml:space="preserve">https://drive.google.com/file/d/1b6MqMK33fWd4EgDppDtwnaiyFKYJHZFC/view?usp=drivesdk</t>
  </si>
  <si>
    <t xml:space="preserve">https://drive.google.com/file/d/1SnWgjUeaO1oL5y0juViZ10ATPBvkYhjo/view?usp=drivesdk</t>
  </si>
  <si>
    <t xml:space="preserve">https://drive.google.com/file/d/11r63SQcwLMKKgmk2kxl_XAac0oQ7oyqC/view?usp=drivesdk</t>
  </si>
  <si>
    <t xml:space="preserve">https://drive.google.com/file/d/1w4gRB-P0JB-FuzJ2E92P-2PnPcSabe-4/view?usp=drivesdk</t>
  </si>
  <si>
    <t xml:space="preserve">https://drive.google.com/file/d/176r6v1sai2C43jjmQc8UlE3IgJXHys8U/view?usp=drivesdk</t>
  </si>
  <si>
    <t xml:space="preserve">Алимаа</t>
  </si>
  <si>
    <t xml:space="preserve">https://drive.google.com/file/d/1yzGtbtbIpuO3m3fFj5nvxgjW8kIkzfAd/view?usp=drivesdk</t>
  </si>
  <si>
    <t xml:space="preserve">https://drive.google.com/file/d/1wRDOVkH6axPjfma6yuM2EKwVvE3r4g25/view?usp=drivesdk</t>
  </si>
  <si>
    <t xml:space="preserve">https://drive.google.com/file/d/1-GgFTgCV-bhh-1EdiaGTxGZbhxiYiLM2/view?usp=drivesdk</t>
  </si>
  <si>
    <t xml:space="preserve">https://drive.google.com/file/d/1ntguzcSvAX58enlAchVpN15gk-yQBzqk/view?usp=drivesdk</t>
  </si>
  <si>
    <t xml:space="preserve">Ууганбаяр </t>
  </si>
  <si>
    <t xml:space="preserve">https://drive.google.com/file/d/1VksmXCOUWbogIYRMwGkl0X3gNnQN1XaB/view?usp=drivesdk</t>
  </si>
  <si>
    <t xml:space="preserve">https://drive.google.com/file/d/1efDwMGjrxmUp_nxNx5d1kmhN0E2KdHbC/view?usp=drivesdk</t>
  </si>
  <si>
    <t xml:space="preserve">https://drive.google.com/file/d/1VUV4JONFyHbJLaHDmZnF7usPS29b_5NH/view?usp=drivesdk</t>
  </si>
  <si>
    <t xml:space="preserve">https://drive.google.com/file/d/1VOf84rxNYTjKcaw132P-W6Xnu23XIN7U/view?usp=drivesdk</t>
  </si>
  <si>
    <t xml:space="preserve">Мягмартөмөр</t>
  </si>
  <si>
    <t xml:space="preserve">https://drive.google.com/file/d/1SQlsfA0dGALmno1Nn_3b8nyazXRgXyxw/view?usp=drivesdk</t>
  </si>
  <si>
    <t xml:space="preserve">https://drive.google.com/file/d/14M_jkFCX7ldKKeVK7MGpf4QvPmTI61XC/view?usp=drivesdk</t>
  </si>
  <si>
    <t xml:space="preserve">https://drive.google.com/file/d/1wIeH1FsIS-zC3WlRWn1o-PBfcRfMDZeQ/view?usp=drivesdk</t>
  </si>
  <si>
    <t xml:space="preserve">https://drive.google.com/file/d/1LJZI8X1p85uHXdSXTa4-_vr9YuHX2DJ7/view?usp=drivesdk</t>
  </si>
  <si>
    <t xml:space="preserve">Тунгалаг</t>
  </si>
  <si>
    <t xml:space="preserve">https://drive.google.com/file/d/1Df2Szk1UqQJwCrnM1D1CXPlCV9LZrv_B/view?usp=drivesdk</t>
  </si>
  <si>
    <t xml:space="preserve">https://drive.google.com/file/d/1R6KWwEZfBrIzHNt1aww8ZFx4hmWKhmkg/view?usp=drivesdk</t>
  </si>
  <si>
    <t xml:space="preserve">https://drive.google.com/file/d/1yG-U3raW1ldDj2JE-On5ZUDNvWEHEAi2/view?usp=drivesdk</t>
  </si>
  <si>
    <t xml:space="preserve">Баярзаяа</t>
  </si>
  <si>
    <t xml:space="preserve">https://drive.google.com/file/d/1ut4X5hmfeY_Ie5SvtkkYxZ9jOqe378Vd/view?usp=drivesdk</t>
  </si>
  <si>
    <t xml:space="preserve">https://drive.google.com/file/d/1SWyBJ35fuO2wz_2be6s_6K7dIMYOH1l8/view?usp=drivesdk</t>
  </si>
  <si>
    <t xml:space="preserve">https://drive.google.com/file/d/1esLfQPb0XAIYsji8Wh8MRKdjXHlu5x1t/view?usp=drivesdk</t>
  </si>
  <si>
    <t xml:space="preserve">https://drive.google.com/file/d/16ZiAPeFvOvCJ6l2CG4qoQduU6tt6egPw/view?usp=drivesdk</t>
  </si>
  <si>
    <t xml:space="preserve">Золжаргал</t>
  </si>
  <si>
    <t xml:space="preserve">https://drive.google.com/file/d/1E0n7htNG94TWgCOK0_KAKUxZRpgDEnuS/view?usp=drivesdk</t>
  </si>
  <si>
    <t xml:space="preserve">https://drive.google.com/file/d/1zpb4u8a6AZgQP9qKH0-WbRV03MmpLFE9/view?usp=drivesdk</t>
  </si>
  <si>
    <t xml:space="preserve">https://drive.google.com/file/d/16F0eJfkONIquYdIQyUi6__yyP9QAscDl/view?usp=drivesdk</t>
  </si>
  <si>
    <t xml:space="preserve">https://drive.google.com/file/d/1sDEbm2mjA_vR7KQH2Lji64K-4cyiNoXE/view?usp=drivesdk</t>
  </si>
  <si>
    <t xml:space="preserve">Билэгсайхан</t>
  </si>
  <si>
    <t xml:space="preserve">https://drive.google.com/file/d/1RAhgJToNLix74xCokEawjckJKlQxJOIW/view?usp=drivesdk</t>
  </si>
  <si>
    <t xml:space="preserve">https://drive.google.com/file/d/1CTNRSSJr7VxcaV3Pl87zM8S7nmzqAWIC/view?usp=drivesdk</t>
  </si>
  <si>
    <t xml:space="preserve">https://drive.google.com/file/d/1UOrHD8pagbcDG_WP8mCitoCIlG4GSCsi/view?usp=drivesdk</t>
  </si>
  <si>
    <t xml:space="preserve">https://drive.google.com/file/d/1oEVzcQ2By1REL1alEh-zNmWizk-csmjU/view?usp=drivesdk</t>
  </si>
  <si>
    <t xml:space="preserve">Ганцацрал</t>
  </si>
  <si>
    <t xml:space="preserve">https://drive.google.com/file/d/1EV3dFQlQlHcSCZdD80J1hqk46YC68Z0l/view?usp=drivesdk</t>
  </si>
  <si>
    <t xml:space="preserve">https://drive.google.com/file/d/1yfVEg4T9pu6nOuABqX4RzCouxknx9cD9/view?usp=drivesdk</t>
  </si>
  <si>
    <t xml:space="preserve">https://drive.google.com/file/d/1IqFIB2sBZ139POEuGGGJFte6brhZwhk5/view?usp=drivesdk</t>
  </si>
  <si>
    <t xml:space="preserve">Алтантуяа</t>
  </si>
  <si>
    <t xml:space="preserve">https://drive.google.com/file/d/1xlwfAQ8bvHoe3AAb_IHYOFA9kIbza80p/view?usp=drivesdk</t>
  </si>
  <si>
    <t xml:space="preserve">https://drive.google.com/file/d/1ZJuq1chyvfMcy49IHmiG_YB-y55HWRui/view?usp=drivesdk</t>
  </si>
  <si>
    <t xml:space="preserve">https://drive.google.com/file/d/1ITCxW4ChJ5RWRChKr8DtFMMlys_HKzgs/view?usp=drivesdk</t>
  </si>
  <si>
    <t xml:space="preserve">Отгонсүрэн</t>
  </si>
  <si>
    <t xml:space="preserve">https://drive.google.com/file/d/1W5xjt_TeMJT7s7ex19xaLBTbhhHKFx0-/view?usp=drivesdk</t>
  </si>
  <si>
    <t xml:space="preserve">https://drive.google.com/file/d/1igMIw2gamcWyiQ1KY2oTDr5rAqahwAkk/view?usp=drivesdk</t>
  </si>
  <si>
    <t xml:space="preserve">https://drive.google.com/file/d/1pQaWanPQ2L5D4Ymj6gnuyUV24HsBYnJK/view?usp=drivesdk</t>
  </si>
  <si>
    <t xml:space="preserve">https://drive.google.com/file/d/14_spcPMagdrrzHfyELGNQ3dcH52j9TS2/view?usp=drivesdk</t>
  </si>
  <si>
    <t xml:space="preserve">https://drive.google.com/file/d/1UXJwZzcnNJsXDqWHZ14e6ZVQ1siz4CVf/view?usp=drivesdk</t>
  </si>
  <si>
    <t xml:space="preserve">https://drive.google.com/file/d/1S-qWmnFQGUFrdutfsZroJn35zG4p2dFs/view?usp=drivesdk</t>
  </si>
  <si>
    <t xml:space="preserve">https://drive.google.com/file/d/1Lr1sbQf77ucY5B9m4RoqXNrCnFLMO6GJ/view?usp=drivesdk</t>
  </si>
  <si>
    <t xml:space="preserve">Ундралзаяа </t>
  </si>
  <si>
    <t xml:space="preserve">https://drive.google.com/file/d/10onsQD71yQyA2pg0jnaV2ya8mj-8PVx4/view?usp=drivesdk</t>
  </si>
  <si>
    <t xml:space="preserve">https://drive.google.com/file/d/15AH-IBqmFJFZ2TSRsF_3QlaNsN6B9FBi/view?usp=drivesdk</t>
  </si>
  <si>
    <t xml:space="preserve">https://drive.google.com/file/d/19OrRlzlSdIniYKXDAdw-KdhNt4bYgP4O/view?usp=drivesdk</t>
  </si>
  <si>
    <t xml:space="preserve">https://drive.google.com/file/d/1K9VlqcoVJVmUQZc_wQCKL3-8tC4zlH10/view?usp=drivesdk</t>
  </si>
  <si>
    <t xml:space="preserve">Бахатгүл</t>
  </si>
  <si>
    <t xml:space="preserve">https://drive.google.com/file/d/1ECC4dQDePOucSVVrOIb23i7BZs5DPf_a/view?usp=drivesdk</t>
  </si>
  <si>
    <t xml:space="preserve">https://drive.google.com/file/d/1ZPjanrnL2TkAPfQ8x74OlV65Mb8j8rae/view?usp=drivesdk</t>
  </si>
  <si>
    <t xml:space="preserve">https://drive.google.com/file/d/1ztPgYmcJrA1FN4YJ1CTd3xfKgnCEPa4H/view?usp=drivesdk</t>
  </si>
  <si>
    <t xml:space="preserve">https://drive.google.com/file/d/18WtMhJw1D3FmFwT6QqcWmCNyNAtXmp-n/view?usp=drivesdk</t>
  </si>
  <si>
    <t xml:space="preserve">Отгонбаяр</t>
  </si>
  <si>
    <t xml:space="preserve">https://drive.google.com/file/d/1o5bCvyA2Fj-tbx--yV-SDykEQ3F1LxGi/view?usp=drivesdk</t>
  </si>
  <si>
    <t xml:space="preserve">https://drive.google.com/file/d/1QkozD-L435dmzLpmAyeeyMWaeCRWe0IZ/view?usp=drivesdk</t>
  </si>
  <si>
    <t xml:space="preserve">https://drive.google.com/file/d/1l5PZ898zIOuU8aDwaBPmn119aS2M0oem/view?usp=drivesdk</t>
  </si>
  <si>
    <t xml:space="preserve">Жанаргүл</t>
  </si>
  <si>
    <t xml:space="preserve">https://drive.google.com/file/d/1qJyPsjzRJXDAyBa-7RFdZRZzJzlVrPHR/view?usp=drivesdk</t>
  </si>
  <si>
    <t xml:space="preserve">https://drive.google.com/file/d/1VrGbUEoMuyC6oSFQwtdp5p_tcxbo-qY_/view?usp=drivesdk</t>
  </si>
  <si>
    <t xml:space="preserve">https://drive.google.com/file/d/15cHiW4ivf1ztn21U7y_KKhDZwfjIZ22C/view?usp=drivesdk</t>
  </si>
  <si>
    <t xml:space="preserve">https://drive.google.com/file/d/1A7NL-XjUytfC40QuhYC3CP_6nMwStwat/view?usp=drivesdk</t>
  </si>
  <si>
    <t xml:space="preserve">https://drive.google.com/file/d/1xUzzKOkhfngMBaiNNrn88sZVI-Vk7GeV/view?usp=drivesdk</t>
  </si>
  <si>
    <t xml:space="preserve">https://drive.google.com/file/d/1E3y51tScjfw3IfR1o4F2ci0d7v50mdWd/view?usp=drivesdk</t>
  </si>
  <si>
    <t xml:space="preserve">https://drive.google.com/file/d/1Xy04WP4gYwCCK3pqjakyn87AlNGGxvF4/view?usp=drivesdk</t>
  </si>
  <si>
    <t xml:space="preserve">https://drive.google.com/file/d/1EF1jG1BngzfS5WvnFRLVHlG0GgZUbl7N/view?usp=drivesdk</t>
  </si>
  <si>
    <t xml:space="preserve">Бадамзаяа</t>
  </si>
  <si>
    <t xml:space="preserve">https://drive.google.com/file/d/1uj20gR354pu6lQM2z08O7hsm5-8aIuXN/view?usp=drivesdk</t>
  </si>
  <si>
    <t xml:space="preserve">https://drive.google.com/file/d/1Y4WLXjucZg0xE4i-9si7layyZkB4Bs6Z/view?usp=drivesdk</t>
  </si>
  <si>
    <t xml:space="preserve">https://drive.google.com/file/d/1wdkIFvWo556_acQzAnCt1SDi-IGsWYjw/view?usp=drivesdk</t>
  </si>
  <si>
    <t xml:space="preserve">https://drive.google.com/file/d/1Bx-Gncj0Y0-xXlUvoNUuN2_ac8fSH4-G/view?usp=drivesdk</t>
  </si>
  <si>
    <t xml:space="preserve">https://drive.google.com/file/d/18r3thyJs-7hQfP-Q16xWbb1hOu5Z2ByH/view?usp=drivesdk</t>
  </si>
  <si>
    <t xml:space="preserve">https://drive.google.com/file/d/1nv5XOmqlPQsXsbmBLn2KAugW2UUz4KQV/view?usp=drivesdk</t>
  </si>
  <si>
    <t xml:space="preserve">Алтанчимэг</t>
  </si>
  <si>
    <t xml:space="preserve">https://drive.google.com/file/d/1rEr-4oeBhzieZrIV0rhzTKZ7WEHJN2eg/view?usp=drivesdk</t>
  </si>
  <si>
    <t xml:space="preserve">https://drive.google.com/file/d/1eoEnngl2LHtmpop67GdDtm4I7hWg9kXG/view?usp=drivesdk</t>
  </si>
  <si>
    <t xml:space="preserve">https://drive.google.com/file/d/1WpljIQZX96q7jehlqkHkIQ5BoE9YKPIO/view?usp=drivesdk</t>
  </si>
  <si>
    <t xml:space="preserve">https://drive.google.com/file/d/1_nOlPsX3AOMpIumy4Yl5w7_lwqG3lspp/view?usp=drivesdk</t>
  </si>
  <si>
    <t xml:space="preserve">Гэрэлцэцэг</t>
  </si>
  <si>
    <t xml:space="preserve">https://drive.google.com/file/d/1CpAMqpB2MnwIoO0uVSQ4bWTGQb6fuRJt/view?usp=drivesdk</t>
  </si>
  <si>
    <t xml:space="preserve">https://drive.google.com/file/d/1ocjvZEuTlY9Uvk7mNp5GWuS1d8KUH8In/view?usp=drivesdk</t>
  </si>
  <si>
    <t xml:space="preserve">https://drive.google.com/file/d/1HdvGKhEaf50SgjCNqK3eDGX7ytYXT3Ft/view?usp=drivesdk</t>
  </si>
  <si>
    <t xml:space="preserve">https://drive.google.com/file/d/1yF_n79GaAHpiGVfkXzcwI8Tj2UhlRBYA/view?usp=drivesdk</t>
  </si>
  <si>
    <t xml:space="preserve">Бадамсүрэнхор</t>
  </si>
  <si>
    <t xml:space="preserve">https://drive.google.com/file/d/107efS1IeCW-hAi6Mux3CTSXvoa6D-QNR/view?usp=drivesdk</t>
  </si>
  <si>
    <t xml:space="preserve">https://drive.google.com/file/d/1qMNjDp3qOAC8tmQ4w0YQOImuIuqJYPIs/view?usp=drivesdk</t>
  </si>
  <si>
    <t xml:space="preserve">Отгонтуул</t>
  </si>
  <si>
    <t xml:space="preserve">https://drive.google.com/file/d/127LmZFInBMU3Humjbs8bSpStfcoCYWIi/view?usp=drivesdk</t>
  </si>
  <si>
    <t xml:space="preserve">https://drive.google.com/file/d/1X8O9RFF1h1GSzajWz7yMu3pC1YV9bCzA/view?usp=drivesdk</t>
  </si>
  <si>
    <t xml:space="preserve">Баяр-Угтах</t>
  </si>
  <si>
    <t xml:space="preserve">https://drive.google.com/file/d/10eXQ9bzZ2IwXOBlKmWQHcjBqK4J-4-g-/view?usp=drivesdk</t>
  </si>
  <si>
    <t xml:space="preserve">https://drive.google.com/file/d/1EM1siaoX-EbQjLKAlqU6gZ4vdi9WcwUM/view?usp=drivesdk</t>
  </si>
  <si>
    <t xml:space="preserve">https://drive.google.com/file/d/1-pgim-1xXqsp5vQYgQzS3TTqhS_XRFJV/view?usp=drivesdk</t>
  </si>
  <si>
    <t xml:space="preserve">https://drive.google.com/file/d/1ZSm1C90TFm5N3jvyQ_q6eTfLPcfVxHZy/view?usp=drivesdk</t>
  </si>
  <si>
    <t xml:space="preserve">https://drive.google.com/file/d/1xKdwWy5sViJ8-EeuUmFMwm9Mp3Ib5YZi/view?usp=drivesdk</t>
  </si>
  <si>
    <t xml:space="preserve">https://drive.google.com/file/d/1GCbLcQJesK9yrEllhDh7DcOaKtnSKOs_/view?usp=drivesdk</t>
  </si>
  <si>
    <t xml:space="preserve">https://drive.google.com/file/d/1SVeVqfOY2k556QI4-u5F36mDzLC2C45B/view?usp=drivesdk</t>
  </si>
  <si>
    <t xml:space="preserve">Цэвэлмаа</t>
  </si>
  <si>
    <t xml:space="preserve">https://drive.google.com/file/d/1Lv60O9uAiwO2-vy6DFE58JgXUg6YitQK/view?usp=drivesdk</t>
  </si>
  <si>
    <t xml:space="preserve">Сугарням</t>
  </si>
  <si>
    <t xml:space="preserve">https://drive.google.com/file/d/1MaXxvHYUySVTQe-YNthNWN4K0vcyIDEA/view?usp=drivesdk</t>
  </si>
  <si>
    <t xml:space="preserve">https://drive.google.com/file/d/16b8VRzcrKSNROZgEm4lPsEOECzBpTLAn/view?usp=drivesdk</t>
  </si>
  <si>
    <t xml:space="preserve">https://drive.google.com/file/d/1IGluykln0hSdCfYEHTVSJzINZvvBiJbl/view?usp=drivesdk</t>
  </si>
  <si>
    <t xml:space="preserve">Жаргалмаа</t>
  </si>
  <si>
    <t xml:space="preserve">https://drive.google.com/file/d/1T6t2dhALIqcfpFqz_RK6--iHoCzhZ0pK/view?usp=drivesdk</t>
  </si>
  <si>
    <t xml:space="preserve">https://drive.google.com/file/d/1BHWAN4KNhbI33qod3DVbE8LioKN77EyW/view?usp=drivesdk</t>
  </si>
  <si>
    <t xml:space="preserve">https://drive.google.com/file/d/1Ilfn66IY0SIfNmhQHIZE4uYFvjuw51Pn/view?usp=drivesdk</t>
  </si>
  <si>
    <t xml:space="preserve">https://drive.google.com/file/d/1uzo0eh2S1GkK8YQKlZVp9UMGjUKMK1Ac/view?usp=drivesdk</t>
  </si>
  <si>
    <t xml:space="preserve">Уран-Өлзий</t>
  </si>
  <si>
    <t xml:space="preserve">https://drive.google.com/file/d/1b2xovyNLp3CixMRWd-5xbQPpW6sYKakP/view?usp=drivesdk</t>
  </si>
  <si>
    <t xml:space="preserve">https://drive.google.com/file/d/1ZJOI-FJbF1Qe9Ylu5YrmqNYUKUStENJM/view?usp=drivesdk</t>
  </si>
  <si>
    <t xml:space="preserve">https://drive.google.com/file/d/1hYxTUj-lSewUp7GW-6_ZLXLGv8OTN86Z/view?usp=drivesdk</t>
  </si>
  <si>
    <t xml:space="preserve">Батчимэг</t>
  </si>
  <si>
    <t xml:space="preserve">https://drive.google.com/file/d/18ZS3JIWc9AHNzzfxdnJ_pGTQ0COAVVvB/view?usp=drivesdk</t>
  </si>
  <si>
    <t xml:space="preserve">https://drive.google.com/file/d/1jw00vlu0R8a_DTuUJcmQI2Ll_fKYsnR2/view?usp=drivesdk</t>
  </si>
  <si>
    <t xml:space="preserve">https://drive.google.com/file/d/1tmzLZhEOMT4P_COZf4X7pD0Nz3E-mTvg/view?usp=drivesdk</t>
  </si>
  <si>
    <t xml:space="preserve">https://drive.google.com/file/d/1wFI7Zh8N85PRzFumijMu7ROIxUO4HuXi/view?usp=drivesdk</t>
  </si>
  <si>
    <t xml:space="preserve">Ризагүл</t>
  </si>
  <si>
    <t xml:space="preserve">https://drive.google.com/file/d/1WrRsh6R1LdjHFqDy2_Rnmty9cvHV9Njr/view?usp=drivesdk</t>
  </si>
  <si>
    <t xml:space="preserve">https://drive.google.com/file/d/1INCtwSg8sQUxg0LjzwOiKvy93EWWfTVE/view?usp=drivesdk</t>
  </si>
  <si>
    <t xml:space="preserve">https://drive.google.com/file/d/1VWly9H79ZLYvOB9TA_5xUzCUJlOvUDPy/view?usp=drivesdk</t>
  </si>
  <si>
    <t xml:space="preserve">Бекежан</t>
  </si>
  <si>
    <t xml:space="preserve">T</t>
  </si>
  <si>
    <t xml:space="preserve">https://drive.google.com/file/d/1rySbEtOTFS7Mw2eOuJuEgxwmEUm1ze4x/view?usp=drivesdk</t>
  </si>
  <si>
    <t xml:space="preserve">https://drive.google.com/file/d/19fEhwMWQqiNLbl8dLSUIex2-gLx9QPkj/view?usp=drivesdk</t>
  </si>
  <si>
    <t xml:space="preserve">https://drive.google.com/file/d/1PF4G7H2JIaf8bMYIcblthijhWSua6CCE/view?usp=drivesdk</t>
  </si>
  <si>
    <t xml:space="preserve"> Бямбарагчаа</t>
  </si>
  <si>
    <t xml:space="preserve">https://drive.google.com/file/d/1rBdI5Ag1NLQMsCH7SmI0Z3oV1gLQovMX/view?usp=drivesdk</t>
  </si>
  <si>
    <t xml:space="preserve">https://drive.google.com/file/d/1ZglI6HQkIDSHfAHRomaq7ETGqn0kd-_M/view?usp=drivesdk</t>
  </si>
  <si>
    <t xml:space="preserve">https://drive.google.com/file/d/1C83otnIl_P5Nwp8quD__i69mN-xvEbzQ/view?usp=drivesdk</t>
  </si>
  <si>
    <t xml:space="preserve">Ганбаяр</t>
  </si>
  <si>
    <t xml:space="preserve">https://drive.google.com/file/d/1nvvgc6TMH7WcY7kqaapR_5-Ask4ruT7H/view?usp=drivesdk</t>
  </si>
  <si>
    <t xml:space="preserve">https://drive.google.com/file/d/1pysc6fMtX7Vid5IiosVIMl8KAXBv0bgc/view?usp=drivesdk</t>
  </si>
  <si>
    <t xml:space="preserve">https://drive.google.com/file/d/1LUcYAtItt9GAYUzMOBRzVc8jONPehZqM/view?usp=drivesdk</t>
  </si>
  <si>
    <t xml:space="preserve">https://drive.google.com/file/d/19VaXwBG-qk02D7df4Cvy_nLaGRys7a3K/view?usp=drivesdk</t>
  </si>
  <si>
    <t xml:space="preserve">Баасанжаргал</t>
  </si>
  <si>
    <t xml:space="preserve">https://drive.google.com/file/d/1yKLS_f0vJtxkOUmQehxgCQRwYtbr5uPw/view?usp=drivesdk</t>
  </si>
  <si>
    <t xml:space="preserve">https://drive.google.com/file/d/1gCpeuocYNjlJh_z3hjhTKF5nW5YMh8IL/view?usp=drivesdk</t>
  </si>
  <si>
    <t xml:space="preserve">Арман</t>
  </si>
  <si>
    <t xml:space="preserve">https://drive.google.com/file/d/13CKOaa8KSs87nlPGqV-SEPZZh6llOILO/view?usp=drivesdk</t>
  </si>
  <si>
    <t xml:space="preserve">https://drive.google.com/file/d/1KXLCrgxs2Xu4blm-IN159f8UR7c55Xf5/view?usp=drivesdk</t>
  </si>
  <si>
    <t xml:space="preserve">https://drive.google.com/file/d/1_WGm5kUU5d7WDBSObbl6ImwJWQjVG6HG/view?usp=drivesdk</t>
  </si>
  <si>
    <t xml:space="preserve">Ербулан</t>
  </si>
  <si>
    <t xml:space="preserve">https://drive.google.com/file/d/1mb5jD6Vukc6q6uKQEFuqy7pxyWmtiNuF/view?usp=drivesdk</t>
  </si>
  <si>
    <t xml:space="preserve">https://drive.google.com/file/d/1L_AUcH2ASepuW6PBteCYOeRCxPK328zD/view?usp=drivesdk</t>
  </si>
  <si>
    <t xml:space="preserve">https://drive.google.com/file/d/1ND6gKjOV_QaQz5OHa4ythQiTop6SG_AK/view?usp=drivesdk</t>
  </si>
  <si>
    <t xml:space="preserve">Цэнгэлмаа</t>
  </si>
  <si>
    <t xml:space="preserve">https://drive.google.com/file/d/1ZFlPpspZoWbSike-DLk-Xrx0aKk4L2bd/view?usp=drivesdk</t>
  </si>
  <si>
    <t xml:space="preserve">https://drive.google.com/file/d/1BIBomGvYikxWmkMiJ_g_6p-hetlH_5tP/view?usp=drivesdk</t>
  </si>
  <si>
    <t xml:space="preserve">https://drive.google.com/file/d/1YSYb-RG2ql6XaiFdySZ-7nzVXSPBYkHX/view?usp=drivesdk</t>
  </si>
  <si>
    <t xml:space="preserve">https://drive.google.com/file/d/1Nhc6M4h1mnZ9R1vVQCdPt5NyZGIC09Hb/view?usp=drivesdk</t>
  </si>
  <si>
    <t xml:space="preserve">Анхцооз</t>
  </si>
  <si>
    <t xml:space="preserve">https://drive.google.com/file/d/1y8no7jpz2Qkg8R6U-qjyasK7jsrdTxOx/view?usp=drivesdk</t>
  </si>
  <si>
    <t xml:space="preserve">https://drive.google.com/file/d/1i5Aovuhd62ksHkGY7L1t37KWL4WNDSzQ/view?usp=drivesdk</t>
  </si>
  <si>
    <t xml:space="preserve">Онгорбай</t>
  </si>
  <si>
    <t xml:space="preserve">https://drive.google.com/file/d/13E6eiyaOGX6TpMCyT3fxY9S5jPmCAWED/view?usp=drivesdk</t>
  </si>
  <si>
    <t xml:space="preserve">https://drive.google.com/file/d/1Ux4u5NaTEjgnC-Y3jGO_SQ-Nkqrh8ieF/view?usp=drivesdk</t>
  </si>
  <si>
    <t xml:space="preserve">https://drive.google.com/file/d/1TRNnUn8D-UGLJJe-JzkcswwZJe18MJKO/view?usp=drivesdk</t>
  </si>
  <si>
    <t xml:space="preserve">Хишигсүрэн</t>
  </si>
  <si>
    <t xml:space="preserve">https://drive.google.com/file/d/1rUvQ1PQ5E9cLyEaip0bdhIOElWEgP8LF/view?usp=drivesdk</t>
  </si>
  <si>
    <t xml:space="preserve">https://drive.google.com/file/d/14JlujivcOFYZMQim5_FtNocnI8AkF4um/view?usp=drivesdk</t>
  </si>
  <si>
    <t xml:space="preserve">Ганцэцэг</t>
  </si>
  <si>
    <t xml:space="preserve">https://drive.google.com/file/d/12o7Ue8ATkYnIpaASNXZMsUrc6KplcgOe/view?usp=drivesdk</t>
  </si>
  <si>
    <t xml:space="preserve">https://drive.google.com/file/d/1ROvW9jhxUdmPM81cd-5Dr-_4K8SgxcgQ/view?usp=drivesdk</t>
  </si>
  <si>
    <t xml:space="preserve">https://drive.google.com/file/d/1ouYVQCcziSYfZDB-WrgNNYCAl-wMvrig/view?usp=drivesdk</t>
  </si>
  <si>
    <t xml:space="preserve">https://drive.google.com/file/d/1b9maSG4WSXg-Tg-oMied6iYmB9OO-_gY/view?usp=drivesdk</t>
  </si>
  <si>
    <t xml:space="preserve">Намхайцэрэн</t>
  </si>
  <si>
    <t xml:space="preserve">https://drive.google.com/file/d/1jJKtImzEOlBj64qt7ujjoGse94rHxe06/view?usp=drivesdk</t>
  </si>
  <si>
    <t xml:space="preserve">https://drive.google.com/file/d/1vqyRsw1dwAaVIIvAa4SyeRoomP1qdLY3/view?usp=drivesdk</t>
  </si>
  <si>
    <t xml:space="preserve">Уянга</t>
  </si>
  <si>
    <t xml:space="preserve">https://drive.google.com/file/d/1xrTR1ecOsJcDQYNVRYWmdI9oIXWdEQzd/view?usp=drivesdk</t>
  </si>
  <si>
    <t xml:space="preserve">https://drive.google.com/file/d/1Ia6O73LHBWD3GtDMveD7YBPb8uiqLbTZ/view?usp=drivesdk</t>
  </si>
  <si>
    <t xml:space="preserve">https://drive.google.com/file/d/1pSs5lebmRIcqd-8FSvHeqhItSQQ8Hiu5/view?usp=drivesdk</t>
  </si>
  <si>
    <t xml:space="preserve">https://drive.google.com/file/d/1zKDXxEXb8qxZVT0jDjMtIREOgdSkjpna/view?usp=drivesdk</t>
  </si>
  <si>
    <t xml:space="preserve">https://drive.google.com/file/d/1kPOgm8nNlXmbiJ1VN69Ksx3GknkYqc0O/view?usp=drivesdk</t>
  </si>
  <si>
    <t xml:space="preserve">https://drive.google.com/file/d/1tpHeC_VLDgea3A6ManjHt9lQuAWUYXEN/view?usp=drivesdk</t>
  </si>
  <si>
    <t xml:space="preserve">Болдбаатар</t>
  </si>
  <si>
    <t xml:space="preserve">https://drive.google.com/file/d/12VdsIMKLwLFWMckHNKXTGoR0BMzrmhd0/view?usp=drivesdk</t>
  </si>
  <si>
    <t xml:space="preserve">https://drive.google.com/file/d/1It63m_hYOoKHvp4dq7uUd3R-kCJruEk9/view?usp=drivesdk</t>
  </si>
  <si>
    <t xml:space="preserve">https://drive.google.com/file/d/1ELOV6dSIA-aziirlMAV36ILw9YtZrQBx/view?usp=drivesdk</t>
  </si>
  <si>
    <t xml:space="preserve">Наранцацрал</t>
  </si>
  <si>
    <t xml:space="preserve">https://drive.google.com/file/d/1RRQVGgfUXbyFc94y1MdK4d2sTxRBbg6f/view?usp=drivesdk</t>
  </si>
  <si>
    <t xml:space="preserve">https://drive.google.com/file/d/1-7DR9heFSnYW_UnvjrxG48HH8u16Nn7H/view?usp=drivesdk</t>
  </si>
  <si>
    <t xml:space="preserve">https://drive.google.com/file/d/1HZRvA-X9PjlivI7J1tEp7SO3lGa6eked/view?usp=drivesdk</t>
  </si>
  <si>
    <t xml:space="preserve">Ансагаан</t>
  </si>
  <si>
    <t xml:space="preserve">https://drive.google.com/file/d/1AX5PxOYo_6JfmLMs0r7UhSUQJM8Gpw_7/view?usp=drivesdk</t>
  </si>
  <si>
    <t xml:space="preserve">https://drive.google.com/file/d/1L_5rceRUnXA52cSsSEZSZxHq-d6MDcu_/view?usp=drivesdk</t>
  </si>
  <si>
    <t xml:space="preserve">https://drive.google.com/file/d/1Y3HwF-v1iP-kjtRuMnSAwJDg4IIdO545/view?usp=drivesdk</t>
  </si>
  <si>
    <t xml:space="preserve">https://drive.google.com/file/d/1ojGsWkX1xlIU1L2AeuX5mb2Tv3BMLQpd/view?usp=drivesdk</t>
  </si>
  <si>
    <t xml:space="preserve">Гантогтох</t>
  </si>
  <si>
    <t xml:space="preserve">https://drive.google.com/file/d/15gC6FQyz8lYdgTGclURR9X4W-7GRRvBE/view?usp=drivesdk</t>
  </si>
  <si>
    <t xml:space="preserve">https://drive.google.com/file/d/1glC_TOadgtbUqQ0nvSXEPzhMQUWI31oy/view?usp=drivesdk</t>
  </si>
  <si>
    <t xml:space="preserve">https://drive.google.com/file/d/1yQukabKXz6mXJRUBOunnGa6i09q6rIub/view?usp=drivesdk</t>
  </si>
  <si>
    <t xml:space="preserve">Үржинбат</t>
  </si>
  <si>
    <t xml:space="preserve">https://drive.google.com/file/d/1fHJa6s5mCC7_yiFYn8mpel4NyKJjP9g3/view?usp=drivesdk</t>
  </si>
  <si>
    <t xml:space="preserve">https://drive.google.com/file/d/1CPM02t4IO-9xwGeneeSFbpWyxCLVd3wr/view?usp=drivesdk</t>
  </si>
  <si>
    <t xml:space="preserve">https://drive.google.com/file/d/1S2YEvoEErPGKkYXafdHJJ4HjcgCg0s6_/view?usp=drivesdk</t>
  </si>
  <si>
    <t xml:space="preserve">https://drive.google.com/file/d/1NdggyvuGvNj9fIxLXqEoo5EzVhxFkHd_/view?usp=drivesdk</t>
  </si>
  <si>
    <t xml:space="preserve">Отгонсүх</t>
  </si>
  <si>
    <t xml:space="preserve">https://drive.google.com/file/d/1_4IJxlm78EFhK0_Bk9yWTUGDUgTIFJvE/view?usp=drivesdk</t>
  </si>
  <si>
    <t xml:space="preserve">https://drive.google.com/file/d/1ikNKwtRJPCb1I9bEWc2xVyqBeLOIk_6f/view?usp=drivesdk</t>
  </si>
  <si>
    <t xml:space="preserve">https://drive.google.com/file/d/1OKWLSB-HYAH-jDljxg1emBGUZ5hafMto/view?usp=drivesdk</t>
  </si>
  <si>
    <t xml:space="preserve">Батхуяг</t>
  </si>
  <si>
    <t xml:space="preserve">https://drive.google.com/file/d/1Ba6SAUyg8oZV08twFGmiODcYDav87J8G/view?usp=drivesdk</t>
  </si>
  <si>
    <t xml:space="preserve">https://drive.google.com/file/d/1SRrV1qp_R0-e4vA1kuD0LD-tzveoMsIT/view?usp=drivesdk</t>
  </si>
  <si>
    <t xml:space="preserve">https://drive.google.com/file/d/1r7USJbEWQFEVVWr5Wk6ES_mgsRq90wyO/view?usp=drivesdk</t>
  </si>
  <si>
    <t xml:space="preserve">https://drive.google.com/file/d/1FNOZ5_eCn74Uzmy9MfF4cISmYq3DBpBh/view?usp=drivesdk</t>
  </si>
  <si>
    <t xml:space="preserve">Лхамсүрэн</t>
  </si>
  <si>
    <t xml:space="preserve">https://drive.google.com/file/d/10FCw5lIzjTEs9NO83KBoDd2lnEptnI4x/view?usp=drivesdk</t>
  </si>
  <si>
    <t xml:space="preserve">https://drive.google.com/file/d/1WSQ_WL0YnCmZ-KxSA1PP1T8vyh6TiQUJ/view?usp=drivesdk</t>
  </si>
  <si>
    <t xml:space="preserve">https://drive.google.com/file/d/1lHRoiYdhgxRjfEWB3eBDTKrGl3lPrhqU/view?usp=drivesdk</t>
  </si>
  <si>
    <t xml:space="preserve">https://drive.google.com/file/d/1MnbERxzYZi_o1p5kSiEQgUGyJheIIrfO/view?usp=drivesdk</t>
  </si>
  <si>
    <t xml:space="preserve">Төмөрчөдөр</t>
  </si>
  <si>
    <t xml:space="preserve">https://drive.google.com/file/d/15rfhV9Aw5XA-b7F1lmngyAJSxE0p9GfS/view?usp=drivesdk</t>
  </si>
  <si>
    <t xml:space="preserve">https://drive.google.com/file/d/11uNMeCYWwtuiqBt3-BuxToVCCCYHr6r9/view?usp=drivesdk</t>
  </si>
  <si>
    <t xml:space="preserve">https://drive.google.com/file/d/1W-cYKQAY7K6MXmwSqJ-CLoOIozxlfnZA/view?usp=drivesdk</t>
  </si>
  <si>
    <t xml:space="preserve">https://drive.google.com/file/d/1-VsJrRriSTEF_eKMzyJdgPWHjE3pMLz3/view?usp=drivesdk</t>
  </si>
  <si>
    <t xml:space="preserve">Цэгмэд</t>
  </si>
  <si>
    <t xml:space="preserve">https://drive.google.com/file/d/1WsKrIBmDlvqRE16ot-O6zXy70fGv8wSl/view?usp=drivesdk</t>
  </si>
  <si>
    <t xml:space="preserve">https://drive.google.com/file/d/15KP2NLnP66lsFEm_iAUMJZK-N7iRHFIx/view?usp=drivesdk</t>
  </si>
  <si>
    <t xml:space="preserve">Баасанжав</t>
  </si>
  <si>
    <t xml:space="preserve">https://drive.google.com/file/d/1Vh5WTPNZDfx_Bu5iYyGtbHk6Q4QyOh7a/view?usp=drivesdk</t>
  </si>
  <si>
    <t xml:space="preserve">https://drive.google.com/file/d/1XEJKVJeo0urdBPgA-1yUdrzwhSVAAASg/view?usp=drivesdk</t>
  </si>
  <si>
    <t xml:space="preserve">https://drive.google.com/file/d/1g3tmztarVCcxEuFb0hAckt3sH5qJHYlo/view?usp=drivesdk</t>
  </si>
  <si>
    <t xml:space="preserve">https://drive.google.com/file/d/1pOlmWjTUbq6IURThZWANAwQYXZFb5s8F/view?usp=drivesdk</t>
  </si>
  <si>
    <t xml:space="preserve">https://drive.google.com/file/d/1H-AQORDIAIfXh7C9FX3jymmPKPde7jMr/view?usp=drivesdk</t>
  </si>
  <si>
    <t xml:space="preserve">https://drive.google.com/file/d/1WFojztUmkIa3XHWsm6yxWmB1MwEM46VQ/view?usp=drivesdk</t>
  </si>
  <si>
    <t xml:space="preserve">https://drive.google.com/file/d/1osPo2WpAFgnhU2sGdXTemqNsdVbbj3Ra/view?usp=drivesdk</t>
  </si>
  <si>
    <t xml:space="preserve">https://drive.google.com/file/d/1gDRdeFPabG19GcoW_EfXGhZajKUrfYHu/view?usp=drivesdk</t>
  </si>
  <si>
    <t xml:space="preserve">Еркехулан</t>
  </si>
  <si>
    <t xml:space="preserve">https://drive.google.com/file/d/1tyH3_W_ucU1uSP8STjTBvRepfeXNA2C7/view?usp=drivesdk</t>
  </si>
  <si>
    <t xml:space="preserve">https://drive.google.com/file/d/1Ho-VMQIpBDE6F5c5Vock5ep60tkvJZ4_/view?usp=drivesdk</t>
  </si>
  <si>
    <t xml:space="preserve">https://drive.google.com/file/d/1M4FV-8JoqLv7xl9VfSh4jNeRb8C6rGng/view?usp=drivesdk</t>
  </si>
  <si>
    <t xml:space="preserve">https://drive.google.com/file/d/16x2aQjyIK5iYxVfLzuoLQ4JbvTxP8PYQ/view?usp=drivesdk</t>
  </si>
  <si>
    <t xml:space="preserve">https://drive.google.com/file/d/18r9FEJV_WXiLYW_8czWs70l7aF-axgWP/view?usp=drivesdk</t>
  </si>
  <si>
    <t xml:space="preserve">Алтансүх</t>
  </si>
  <si>
    <t xml:space="preserve">Т</t>
  </si>
  <si>
    <t xml:space="preserve">https://drive.google.com/file/d/1Gk5NJ4KCI-nYGz-UkTEbJAD8gib5Ylba/view?usp=drivesdk</t>
  </si>
  <si>
    <t xml:space="preserve">https://drive.google.com/file/d/1n_Befmd1OD5MTzgBvPXpdCBhFKOniUNW/view?usp=drivesdk</t>
  </si>
  <si>
    <t xml:space="preserve">https://drive.google.com/file/d/1uZoqlk-yf0Yz4BR1KgH9yLiIUh1Ccb1C/view?usp=drivesdk</t>
  </si>
  <si>
    <t xml:space="preserve">https://drive.google.com/file/d/1TGz1evnEPOaVEQiY5-IxU1FoVJguDdVR/view?usp=drivesdk</t>
  </si>
  <si>
    <t xml:space="preserve">https://drive.google.com/file/d/1Oix5vnFhPR-eSNy1wbJ1_QtR7QVcH82Y/view?usp=drivesdk</t>
  </si>
  <si>
    <t xml:space="preserve">https://drive.google.com/file/d/1aIZ13sD1_CDdynhxCNxZXWGjFUUVN7a9/view?usp=drivesdk</t>
  </si>
  <si>
    <t xml:space="preserve">https://drive.google.com/file/d/10IhBt-QBW8Q6YCicKW1tGbilSdKgRKIs/view?usp=drivesdk</t>
  </si>
  <si>
    <t xml:space="preserve">https://drive.google.com/file/d/1Xi34HlH3N5rFjsJM_Lyplo7u-WyY5ujR/view?usp=drivesdk</t>
  </si>
  <si>
    <t xml:space="preserve">https://drive.google.com/file/d/1iLTmKIm0TEPhpjFzVJKYMx0w89XdaFs_/view?usp=drivesdk</t>
  </si>
  <si>
    <t xml:space="preserve">https://drive.google.com/file/d/17HQCUFl6640pyjyICZnvVRwX0pD7WmVu/view?usp=drivesdk</t>
  </si>
  <si>
    <t xml:space="preserve">https://drive.google.com/file/d/1hmqUBNDOVV9wHRgZDXbGKalz-08D9QnO/view?usp=drivesdk</t>
  </si>
  <si>
    <t xml:space="preserve">https://drive.google.com/file/d/1GD-ExkBSVHOn3kDXROZ90Y8KInq06Wyf/view?usp=drivesdk</t>
  </si>
  <si>
    <t xml:space="preserve">https://drive.google.com/file/d/1YBXhJcHL37RYZuuYAtVnLqyu7x9ozdeb/view?usp=drivesdk</t>
  </si>
  <si>
    <t xml:space="preserve">https://drive.google.com/file/d/1NpGga28vXRgej5mcPcuM-HslI0oY3hZg/view?usp=drivesdk</t>
  </si>
  <si>
    <t xml:space="preserve">https://drive.google.com/file/d/1X4l8wypMi8SMS3eqVcZw6_ZwF4iWcIsZ/view?usp=drivesdk</t>
  </si>
  <si>
    <t xml:space="preserve">https://drive.google.com/file/d/16_uNq-DG4uJmXuwrWk4UdS3qkAroAcmf/view?usp=drivesdk</t>
  </si>
  <si>
    <t xml:space="preserve">https://drive.google.com/file/d/1gwBupHnra2xpsQZGwu_3TT1Mjw0tApt6/view?usp=drivesdk</t>
  </si>
  <si>
    <t xml:space="preserve">https://drive.google.com/file/d/16YeAp1hToyDXNh6pEhxsPMoo2sjzS8UV/view?usp=drivesdk</t>
  </si>
  <si>
    <t xml:space="preserve">https://drive.google.com/file/d/14hgziGdYOlSH27WYQJ3q9JyHfrtw2zoE/view?usp=drivesdk</t>
  </si>
  <si>
    <t xml:space="preserve">https://drive.google.com/file/d/1X19dr38FC_ODc_324j_30zWKLKbY-NGb/view?usp=drivesdk</t>
  </si>
  <si>
    <t xml:space="preserve">https://drive.google.com/file/d/1zDwFNmoVqeYVuZ7vhR0xUd-zIUG9ai_f/view?usp=drivesdk</t>
  </si>
  <si>
    <t xml:space="preserve">https://drive.google.com/file/d/1yoMPc0PZDIFGc_pqrZIm3X6iw-8fprh_/view?usp=drivesdk</t>
  </si>
  <si>
    <t xml:space="preserve">https://drive.google.com/file/d/1O8p7MSRI_dMyHzj4MuOI7Kul6wm_Vtri/view?usp=drivesdk</t>
  </si>
  <si>
    <t xml:space="preserve">https://drive.google.com/file/d/16b95llLASzz-3hbjxGP6UQp9_v5v03On/view?usp=drivesdk</t>
  </si>
  <si>
    <t xml:space="preserve">https://drive.google.com/file/d/1r1pmPu9A933OyUIGzju3P-iLmfM-DtIR/view?usp=drivesdk</t>
  </si>
  <si>
    <t xml:space="preserve">https://drive.google.com/file/d/1thSgiU28g9r9iMzX1MUMzUsPQ_J2pStK/view?usp=drivesdk</t>
  </si>
  <si>
    <t xml:space="preserve">https://drive.google.com/file/d/1QIBUHpMWGtqaB4VaKvStMLwVOqeGwjl8/view?usp=drivesdk</t>
  </si>
  <si>
    <t xml:space="preserve">https://drive.google.com/file/d/1R-E9QhXMBNv3H6ly4G6DWxgVUycT_7j0/view?usp=drivesdk</t>
  </si>
  <si>
    <t xml:space="preserve">https://drive.google.com/file/d/1JpKyEKhl4LeTOKKxS05UCz625b3bv_73/view?usp=drivesdk</t>
  </si>
  <si>
    <t xml:space="preserve">https://drive.google.com/file/d/11uPMjaPH9vQ5WpJOaQT5mU8Ve7m3QqX3/view?usp=drivesdk</t>
  </si>
  <si>
    <t xml:space="preserve">https://drive.google.com/file/d/1PMgt1BBuiFPwTcqv8yjbQvzO6jcZVRWS/view?usp=drivesdk</t>
  </si>
  <si>
    <t xml:space="preserve">https://drive.google.com/file/d/1-vuj5XKWKJ-2AjLCAnhqJI2q27G9Dodh/view?usp=drivesdk</t>
  </si>
  <si>
    <t xml:space="preserve">https://drive.google.com/file/d/1F8kb6rL7mzjFtegUYOnSi499xpz4m0Wa/view?usp=drivesdk</t>
  </si>
  <si>
    <t xml:space="preserve">https://drive.google.com/file/d/1tnQrciC-DO0o5iXGo6EEbJN6RG1h6EGe/view?usp=drivesdk</t>
  </si>
  <si>
    <t xml:space="preserve">https://drive.google.com/file/d/1dzWpuLazN92IMN3GxuGJSy8GMW-hVgtY/view?usp=drivesdk</t>
  </si>
  <si>
    <t xml:space="preserve">https://drive.google.com/file/d/1PRb7KJ9CVPGY5Q6sZyn6TLUe2MUH9KJt/view?usp=drivesdk</t>
  </si>
  <si>
    <t xml:space="preserve">https://drive.google.com/file/d/1mALvpQPfgYPCIcHoDlIiZpMQgyJ8kocX/view?usp=drivesdk</t>
  </si>
  <si>
    <t xml:space="preserve">https://drive.google.com/file/d/1cHA-_z1qkJvbNXkTaCW5nfCJHGLI7wiy/view?usp=drivesdk</t>
  </si>
  <si>
    <t xml:space="preserve">https://drive.google.com/file/d/1mfUyZGKa4cyV-LKbwZb-It6TKnKdbh6c/view?usp=drivesdk</t>
  </si>
  <si>
    <t xml:space="preserve">https://drive.google.com/file/d/14vlFZjFTQM0lKCLliXvkRupTENwO40vJ/view?usp=drivesdk</t>
  </si>
  <si>
    <t xml:space="preserve">https://drive.google.com/file/d/1S7DmyQh6efE9YneoZ8ohDfX6HufAlO2a/view?usp=drivesdk</t>
  </si>
  <si>
    <t xml:space="preserve">https://drive.google.com/file/d/1MYyW_OMpFwnFbI2L8PJkI0OF02-IR3BL/view?usp=drivesdk</t>
  </si>
  <si>
    <t xml:space="preserve">https://drive.google.com/file/d/1v7a7Tu_fMDK4suiJ3eg8l6usSmqqPhyY/view?usp=drivesdk</t>
  </si>
  <si>
    <t xml:space="preserve">https://drive.google.com/file/d/1rM2aI0ycx2nTmNiPB2iQ9kc6BeX__Tm4/view?usp=drivesdk</t>
  </si>
  <si>
    <t xml:space="preserve">https://drive.google.com/file/d/1gM77oAHcfA1lCxNvZ_vTLRr0Q_-WB0b8/view?usp=drivesdk</t>
  </si>
  <si>
    <t xml:space="preserve">https://drive.google.com/file/d/1acfiQudsbplUorea62TT9SqNbm2AuCYt/view?usp=drivesdk</t>
  </si>
  <si>
    <t xml:space="preserve">Энхмэнд</t>
  </si>
  <si>
    <t xml:space="preserve">https://drive.google.com/file/d/1YOtsmgqUR1DzV1YbMPnWrxTg80IlNPQ5/view?usp=drivesdk</t>
  </si>
  <si>
    <t xml:space="preserve">https://drive.google.com/file/d/1-ObO1QsttJf-ReyOXKMo6o2fC1xRGKyO/view?usp=drivesdk</t>
  </si>
  <si>
    <t xml:space="preserve">https://drive.google.com/file/d/1ACGJyr54eOYBpEDyOZpAEoLUHfWsI5cG/view?usp=drivesdk</t>
  </si>
  <si>
    <t xml:space="preserve">https://drive.google.com/file/d/1YhEDdTaKA9TK342HaQC3xVFpPklrnfJ1/view?usp=drivesdk</t>
  </si>
  <si>
    <t xml:space="preserve">https://drive.google.com/file/d/1g_9O0ULJYqI8RzxebnCGqHrPKsXE3Mn9/view?usp=drivesdk</t>
  </si>
  <si>
    <t xml:space="preserve">https://drive.google.com/file/d/1AWVXOwdx6nJg1Nfh1KVQN1bUX9B49utR/view?usp=drivesdk</t>
  </si>
  <si>
    <t xml:space="preserve">https://drive.google.com/file/d/1BBZR49jFns7QeaQvwZN2j2YeiQAmivX5/view?usp=drivesdk</t>
  </si>
  <si>
    <t xml:space="preserve">https://drive.google.com/file/d/1XOgTtaCzGLCDaro1yqLymfv76uAMW-PG/view?usp=drivesdk</t>
  </si>
  <si>
    <t xml:space="preserve">https://drive.google.com/file/d/1d7b0yuBeJq3SIyKbOX-b-EYMqKdma1oh/view?usp=drivesdk</t>
  </si>
  <si>
    <t xml:space="preserve">https://drive.google.com/file/d/16sdHVtmZFu4QS4GjRFOdKqBVj9sv6OX3/view?usp=drivesdk</t>
  </si>
  <si>
    <t xml:space="preserve">https://drive.google.com/file/d/1AWUuH2nrIhH8xP-VRYwQInHuEeau85T_/view?usp=drivesdk</t>
  </si>
  <si>
    <t xml:space="preserve">https://drive.google.com/file/d/15hf_cj-tfJ401chUlXnBEy0s3EcyXmOx/view?usp=drivesdk</t>
  </si>
  <si>
    <t xml:space="preserve">https://drive.google.com/file/d/1RbwubB2jLi0jrt0URcMcPdVgvmDpGgN4/view?usp=drivesdk</t>
  </si>
  <si>
    <t xml:space="preserve">https://drive.google.com/file/d/1u7B4UDvOPvlPdE0nbRzjyIL_V54Gxecd/view?usp=drivesdk</t>
  </si>
  <si>
    <t xml:space="preserve">https://drive.google.com/file/d/1hIw2n5g3NaG2KTyeBCVdFjJDq98KXz81/view?usp=drivesdk</t>
  </si>
  <si>
    <t xml:space="preserve">https://drive.google.com/file/d/14n7_INwQBwcqrvq0GJTz_DUimIGn8Adh/view?usp=drivesdk</t>
  </si>
  <si>
    <t xml:space="preserve">https://drive.google.com/file/d/10Is3pvQsPQD0EDccLT5e0RQxSd7EAfmL/view?usp=drivesdk</t>
  </si>
  <si>
    <t xml:space="preserve">https://drive.google.com/file/d/1zqsF_WdBrMcxx-QsImnbP7oybgXyn67I/view?usp=drivesdk</t>
  </si>
  <si>
    <t xml:space="preserve">https://drive.google.com/file/d/1nQb1LOXVBrwHf0PrjSp1WhydKq_SA5i9/view?usp=drivesdk</t>
  </si>
  <si>
    <t xml:space="preserve">https://drive.google.com/file/d/1Q0WfxtbOrAjELH5NbiiZBIiJbROTV0nS/view?usp=drivesdk</t>
  </si>
  <si>
    <t xml:space="preserve">https://drive.google.com/file/d/1vcG7WGv-GXVczciW9gPOxusgRwSij7CD/view?usp=drivesdk</t>
  </si>
  <si>
    <t xml:space="preserve">https://drive.google.com/file/d/1AZidsCeiZPYD4PDH8gbw2mytLGXfZR8p/view?usp=drivesdk</t>
  </si>
  <si>
    <t xml:space="preserve">https://drive.google.com/file/d/1szWvH7zOvAeBrdNrcH3SROsFbXNatu9B/view?usp=drivesdk</t>
  </si>
  <si>
    <t xml:space="preserve">https://drive.google.com/file/d/1qwh4ymwm0sS_2nZXoTk7SXVyJU8BFucX/view?usp=drivesdk</t>
  </si>
  <si>
    <t xml:space="preserve">https://drive.google.com/file/d/1de-kcd0PKtoDNwkRk64MJFUWshjmfGPI/view?usp=drivesdk</t>
  </si>
  <si>
    <t xml:space="preserve">https://drive.google.com/file/d/1bXZ3phf28dOusGd1QeZtJlYtFH-ElNhd/view?usp=drivesdk</t>
  </si>
  <si>
    <t xml:space="preserve">https://drive.google.com/file/d/11dZCxPwT_F3_r-Fl2Xz9f_37ejgjpIAq/view?usp=drivesdk</t>
  </si>
  <si>
    <t xml:space="preserve">https://drive.google.com/file/d/14XS7vjxQQIvRU2EoTJ29GrKwwZGoTpTf/view?usp=drivesdk</t>
  </si>
  <si>
    <t xml:space="preserve">https://drive.google.com/file/d/1mCahJ5rKmQrqTzkt-KFcmCKZwUxWu9hZ/view?usp=drivesdk</t>
  </si>
  <si>
    <t xml:space="preserve">https://drive.google.com/file/d/1rTsyHp9V8yPXe-Pt4sg-5zEMzaruShuK/view?usp=drivesdk</t>
  </si>
  <si>
    <t xml:space="preserve">https://drive.google.com/file/d/1VI9xz-_GjKsTeWiO7FrhdJkKbqP7tGrz/view?usp=drivesdk</t>
  </si>
  <si>
    <t xml:space="preserve">https://drive.google.com/file/d/1IlhRHfhzS9JedEKAZhUVY6AHdqFic6N4/view?usp=drivesdk</t>
  </si>
  <si>
    <t xml:space="preserve">https://drive.google.com/file/d/1iynwVSYo9hYwfOHK8JsTw5tlc5E2yTUN/view?usp=drivesdk</t>
  </si>
  <si>
    <t xml:space="preserve">https://drive.google.com/file/d/1V2vRYuiDvcOrUlmUz1x9FWCTDYPBjUT1/view?usp=drivesdk</t>
  </si>
  <si>
    <t xml:space="preserve">https://drive.google.com/file/d/102MYKNIZtcUq8m3RLgCEHZWBHOXdTBqp/view?usp=drivesdk</t>
  </si>
  <si>
    <t xml:space="preserve">https://drive.google.com/file/d/1fLjv7fKNGz3i59qm2z1RyCVFgFbufz05/view?usp=drivesdk</t>
  </si>
  <si>
    <t xml:space="preserve">https://drive.google.com/file/d/1mWuE5v0f5rrI3ZtfEQ6q41iu1HKT-i3n/view?usp=drivesdk</t>
  </si>
  <si>
    <t xml:space="preserve">https://drive.google.com/file/d/18kBvzw3TXTny3iMqWm6PryUsraL42cyZ/view?usp=drivesdk</t>
  </si>
  <si>
    <t xml:space="preserve">https://drive.google.com/file/d/1GNAWYq2nYQe4jPK3_XoYILcfz-N-CWT1/view?usp=drivesdk</t>
  </si>
  <si>
    <t xml:space="preserve">https://drive.google.com/file/d/16VOCSAx5ChhapOUHxMMI7_hbxm0CdfXm/view?usp=drivesdk</t>
  </si>
  <si>
    <t xml:space="preserve">https://drive.google.com/file/d/1VxNaxtT3ODxJESwpwZbiFNDzYayhq_2G/view?usp=drivesdk</t>
  </si>
  <si>
    <t xml:space="preserve">https://drive.google.com/file/d/1_v2uCZRaO5-HTqg18cwMIKV4GbM3KSCq/view?usp=drivesdk</t>
  </si>
  <si>
    <t xml:space="preserve">https://drive.google.com/file/d/1cYlkR-gIRRO_fpKcmqVTu4jFQ0p7NDsw/view?usp=drivesdk</t>
  </si>
  <si>
    <t xml:space="preserve">https://drive.google.com/file/d/1Jyi-ATCJNIhFjqgvcfxDAGPO1Us2FBgs/view?usp=drivesdk</t>
  </si>
  <si>
    <t xml:space="preserve">https://drive.google.com/file/d/1lr0Jku5Qv5rCNp1ZeiJHf3I8j4ef1OXh/view?usp=drivesdk</t>
  </si>
  <si>
    <t xml:space="preserve">https://drive.google.com/file/d/1F15CvBrYZ9lPGMo469qojv-1G1377lbh/view?usp=drivesdk</t>
  </si>
  <si>
    <t xml:space="preserve">https://drive.google.com/file/d/1sP1LdRmFoY1YAMyNZrxzZIEL_edGRtJD/view?usp=drivesdk</t>
  </si>
  <si>
    <t xml:space="preserve">https://drive.google.com/file/d/1GzsnhCjpPdKsIACKOa7NzjOzwuSqQYiR/view?usp=drivesdk</t>
  </si>
  <si>
    <t xml:space="preserve">https://drive.google.com/file/d/1lu3raFL5xF5uJNYV8Iwa__d54DmHhS31/view?usp=drivesdk</t>
  </si>
  <si>
    <t xml:space="preserve">https://drive.google.com/file/d/172xVS9xsd4c7klI-cd8-vg2frysoXRWb/view?usp=drivesdk</t>
  </si>
  <si>
    <t xml:space="preserve">https://drive.google.com/file/d/105JwGv7S-DBo9mwbQ7vmHBAeQZr87Yfh/view?usp=drivesdk</t>
  </si>
  <si>
    <t xml:space="preserve">https://drive.google.com/file/d/1BhvpjWR2OkhgLN5H5WX8duZudO_wdcI8/view?usp=drivesdk</t>
  </si>
  <si>
    <t xml:space="preserve">https://drive.google.com/file/d/1ugMh6HO3h1m9tdcdHUWSAzB-de1fScQX/view?usp=drivesdk</t>
  </si>
  <si>
    <t xml:space="preserve">https://drive.google.com/file/d/1q8m0_99C1ITMS43HthBPzPktSx-oJ3zl/view?usp=drivesdk</t>
  </si>
  <si>
    <t xml:space="preserve">https://drive.google.com/file/d/195gD17bxdlOHzCf5Dd9_ev3m4DtuO_D6/view?usp=drivesdk</t>
  </si>
  <si>
    <t xml:space="preserve">https://drive.google.com/file/d/1TCOtK8CzvZMnE1FDL211ldDIrjFIimLq/view?usp=drivesdk</t>
  </si>
  <si>
    <t xml:space="preserve">https://drive.google.com/file/d/1K8-QQM4-YOC2F4egx1QxzxtT4AuY3HaA/view?usp=drivesdk</t>
  </si>
  <si>
    <t xml:space="preserve">https://drive.google.com/file/d/1BeoLs1dKWiWxr06V8SFX_-U1eBzrSRTT/view?usp=drivesdk</t>
  </si>
  <si>
    <t xml:space="preserve">https://drive.google.com/file/d/1jqZNTnVohdB5KF-wOZOpTq2ZDvc5I0gq/view?usp=drivesdk</t>
  </si>
  <si>
    <t xml:space="preserve">https://drive.google.com/file/d/1kCHefsbbdal6fvpIX9wTZAm37IicNKy0/view?usp=drivesdk</t>
  </si>
  <si>
    <t xml:space="preserve">https://drive.google.com/file/d/1fLFnFLPS2kA2Asn8ZggpeGT6RQWJtiqO/view?usp=drivesdk</t>
  </si>
  <si>
    <t xml:space="preserve">https://drive.google.com/file/d/1sRwW4xq2bwA5Jwek4RUgE8fotwdbQd2n/view?usp=drivesdk</t>
  </si>
  <si>
    <t xml:space="preserve">https://drive.google.com/file/d/1VnV9Hy37Kg9y8H78BXm5dLJ_nCZIKsg7/view?usp=drivesdk</t>
  </si>
  <si>
    <t xml:space="preserve">https://drive.google.com/file/d/1SkFoaWpdn-XGarY99JoSGHc2Lwd0FNoG/view?usp=drivesdk</t>
  </si>
  <si>
    <t xml:space="preserve">https://drive.google.com/file/d/15XTE9GY-85DlPTF4iFSKR7G9GY7kUkFi/view?usp=drivesdk</t>
  </si>
  <si>
    <t xml:space="preserve">https://drive.google.com/file/d/17J2sdQ3qzXPnlxOnW73e7FjyEnttOwmi/view?usp=drivesdk</t>
  </si>
  <si>
    <t xml:space="preserve">https://drive.google.com/file/d/1ic6rOMdzxjoF1guhgQXVd20wI8BlJsZZ/view?usp=drivesdk</t>
  </si>
  <si>
    <t xml:space="preserve">https://drive.google.com/file/d/19ZK_QC1m3Qk4Y2JL1Ij3VkXllFAGzRmc/view?usp=drivesdk</t>
  </si>
  <si>
    <t xml:space="preserve">https://drive.google.com/file/d/1piss3b12krBE3VI7CZcL_iswRMKt4eDR/view?usp=drivesdk</t>
  </si>
  <si>
    <t xml:space="preserve">https://drive.google.com/file/d/1o4oVBd377-zC5LmYTB8vfZbQ1NI6C1Be/view?usp=drivesdk</t>
  </si>
  <si>
    <t xml:space="preserve">https://drive.google.com/file/d/1x2XlpHT5RIFtcfAVRvvZ2h9TcAXxHX6f/view?usp=drivesdk</t>
  </si>
  <si>
    <t xml:space="preserve">Мөнгөнтуул</t>
  </si>
  <si>
    <t xml:space="preserve">https://drive.google.com/file/d/1YBOo-Vh9URMMclkKW3WZVQ5UELCoKIT2/view?usp=drivesdk</t>
  </si>
  <si>
    <t xml:space="preserve">https://drive.google.com/file/d/1N1IoiGb2rhjqzlJVWbtJ8c1fh7Kcmn7C/view?usp=drivesdk</t>
  </si>
  <si>
    <t xml:space="preserve">https://drive.google.com/file/d/1Av_ES4nHmhLxQIskLqhL-nMqnzSyYjg0/view?usp=drivesdk</t>
  </si>
  <si>
    <t xml:space="preserve">https://drive.google.com/file/d/1FIH0ip7iJ7KfJ-nxV6XwrN3OXXD82_Um/view?usp=drivesdk</t>
  </si>
  <si>
    <t xml:space="preserve">https://drive.google.com/file/d/1k23wY1n8g6pCr-JlGbaKvZFNe2oc6fy0/view?usp=drivesdk</t>
  </si>
  <si>
    <t xml:space="preserve">https://drive.google.com/file/d/1144AAGIe9UOZppsib5hYyUgmKyRp_tXp/view?usp=drivesdk</t>
  </si>
  <si>
    <t xml:space="preserve">https://drive.google.com/file/d/1FUCGtj3IX-Ja2FKwTX0NkfB62RZ5bwZ1/view?usp=drivesdk</t>
  </si>
  <si>
    <t xml:space="preserve">https://drive.google.com/file/d/1esKuCCi9bGhx7AQnLmJ8uARK5ezCJsUO/view?usp=drivesdk</t>
  </si>
  <si>
    <t xml:space="preserve">https://drive.google.com/file/d/12UGZx1R1_iTiyFN2kFwzj5R7xB5xa9XP/view?usp=drivesdk</t>
  </si>
  <si>
    <t xml:space="preserve">https://drive.google.com/file/d/1vrTVkjH_90rdkWu5osSfC6J32_XWldV3/view?usp=drivesdk</t>
  </si>
  <si>
    <t xml:space="preserve">https://drive.google.com/file/d/1pqYFZemcwNipMOSetTs8uKnZL6z-_fdM/view?usp=drivesdk</t>
  </si>
  <si>
    <t xml:space="preserve">https://drive.google.com/file/d/1gY33q0gAp0QyU0PsyJvvuSMwa_xNptg4/view?usp=drivesdk</t>
  </si>
  <si>
    <t xml:space="preserve">https://drive.google.com/file/d/1wgtC4m1fUCS-Sgoec3j6pjIMXQifW0yI/view?usp=drivesdk</t>
  </si>
  <si>
    <t xml:space="preserve">https://drive.google.com/file/d/11zvMySE39COqb9OUs-MrBKQv6-I42NzS/view?usp=drivesdk</t>
  </si>
  <si>
    <t xml:space="preserve">https://drive.google.com/file/d/1Bm0jijlE4mnB8HPqsSw6JWXipngL4iz2/view?usp=drivesdk</t>
  </si>
  <si>
    <t xml:space="preserve">https://drive.google.com/file/d/17dP4gps3IT3OQNj9S1YeJNrlRzWXbXgV/view?usp=drivesdk</t>
  </si>
  <si>
    <t xml:space="preserve">https://drive.google.com/file/d/1hZdrl2A9QSRi-z17wy3JXjdI9qGfaypz/view?usp=drivesdk</t>
  </si>
  <si>
    <t xml:space="preserve">https://drive.google.com/file/d/1t2NGWdZP_LFWPXj1gXu_f991gjgvQmoL/view?usp=drivesdk</t>
  </si>
  <si>
    <t xml:space="preserve">https://drive.google.com/file/d/1g2bxbzCM-zaiuHLa2acNZxbz5QOCSU_c/view?usp=drivesdk</t>
  </si>
  <si>
    <t xml:space="preserve">https://drive.google.com/file/d/1Ma82tj4N8-nCiyotxTPJYOzBh2SqXqQO/view?usp=drivesdk</t>
  </si>
  <si>
    <t xml:space="preserve">https://drive.google.com/file/d/12mpWP7HZRw41vA4eau1wzBtqvgm-p-f8/view?usp=drivesdk</t>
  </si>
  <si>
    <t xml:space="preserve">https://drive.google.com/file/d/1PmsgnD-gXRezi1R1Jc6sY-PuLOSmUVnl/view?usp=drivesdk</t>
  </si>
  <si>
    <t xml:space="preserve">https://drive.google.com/file/d/1RNZyWKryYWWULb5KQXoZdElLhiIEsV36/view?usp=drivesdk</t>
  </si>
  <si>
    <t xml:space="preserve">https://drive.google.com/file/d/1CYpWv9w8zMqXP1ieTWykVKUWkDf5P0Rm/view?usp=drivesdk</t>
  </si>
  <si>
    <t xml:space="preserve">https://drive.google.com/file/d/1xZ9Unf2p5mFCbo19OZiS9eTEH15gzxpw/view?usp=drivesdk</t>
  </si>
  <si>
    <t xml:space="preserve">https://drive.google.com/file/d/1DBx9D5vrNw2a-Q3FIf_ejFUxTUJmExAv/view?usp=drivesdk</t>
  </si>
  <si>
    <t xml:space="preserve">https://drive.google.com/file/d/1ZKwCE1AuFmwaehDXNZmGWJ0xQu_LErbM/view?usp=drivesdk</t>
  </si>
  <si>
    <t xml:space="preserve">https://drive.google.com/file/d/1vEpE9PxFH5rdgBfNhE5s2MEekdlff_GQ/view?usp=drivesdk</t>
  </si>
  <si>
    <t xml:space="preserve">https://drive.google.com/file/d/1vVeaYabzDVNqhSO4MTRbz8TwDMMw0nEw/view?usp=drivesdk</t>
  </si>
  <si>
    <t xml:space="preserve">https://drive.google.com/file/d/1FrKsRoX0QTNP_e1VMIG_pZuRiQShfg-E/view?usp=drivesdk</t>
  </si>
  <si>
    <t xml:space="preserve">https://drive.google.com/file/d/1hZW3Ng05FdrODQ7Rsts5GaQBi-ZYb2rg/view?usp=drivesdk</t>
  </si>
  <si>
    <t xml:space="preserve">https://drive.google.com/file/d/18h9a7Ji-y3Hmp_LpUyZa85omfscg3Vpo/view?usp=drivesdk</t>
  </si>
  <si>
    <t xml:space="preserve">https://drive.google.com/file/d/1gW8hPWB6dGpDNLHFLLoNdSJ3J65vBPZ3/view?usp=drivesdk</t>
  </si>
  <si>
    <t xml:space="preserve">https://drive.google.com/file/d/1uIGluIXNJ4aMhyH7nO1c3p5ogcNcZlOH/view?usp=drivesdk</t>
  </si>
  <si>
    <t xml:space="preserve">https://drive.google.com/file/d/1xOyYciyIe85ZAe__kHLyIQ3uPoodvxxZ/view?usp=drivesdk</t>
  </si>
  <si>
    <t xml:space="preserve">https://drive.google.com/file/d/1AeM4Tgdm68PDKQ90UuzBYZspHrnybHzo/view?usp=drivesdk</t>
  </si>
  <si>
    <t xml:space="preserve">https://drive.google.com/file/d/1nruXBJvV64k9a_N0BaKLLGT3rAWb99uT/view?usp=drivesdk</t>
  </si>
  <si>
    <t xml:space="preserve">https://drive.google.com/file/d/1zxvdIciOOV0DLz1wcbysHtL_gD62GAyR/view?usp=drivesdk</t>
  </si>
  <si>
    <t xml:space="preserve">https://drive.google.com/file/d/1sQJIPr7u0KWdiUOndcpWlp-pRMQ5dmP4/view?usp=drivesdk</t>
  </si>
  <si>
    <t xml:space="preserve">https://drive.google.com/file/d/1gpHHF98stn_ovmfQAN9reGjc05bhkHiY/view?usp=drivesdk</t>
  </si>
  <si>
    <t xml:space="preserve">https://drive.google.com/file/d/1_nu7uS2uS0-q9ErDLKHb6xAv4G00OY-q/view?usp=drivesdk</t>
  </si>
  <si>
    <t xml:space="preserve">https://drive.google.com/file/d/1kDjkA9ZpS6_Y52GLT-5XYU0NAm8rgiMw/view?usp=drivesdk</t>
  </si>
  <si>
    <t xml:space="preserve">https://drive.google.com/file/d/1t-2FOv8ohtFRp1iByWvuuRJ9wQlGSCwp/view?usp=drivesdk</t>
  </si>
  <si>
    <t xml:space="preserve">https://drive.google.com/file/d/1-3WOhxnbmlobiTGWpV7s14WIuWoAcjkX/view?usp=drivesdk</t>
  </si>
  <si>
    <t xml:space="preserve">https://drive.google.com/file/d/17AX_T6QdXJPB61XxE_lFI5CoP5NHY_bG/view?usp=drivesdk</t>
  </si>
  <si>
    <t xml:space="preserve">https://drive.google.com/file/d/1vVScfEB4FrCBpcZCJBhMn7pY2RukralT/view?usp=drivesdk</t>
  </si>
  <si>
    <t xml:space="preserve">https://drive.google.com/file/d/1UyK3EEBY43jN4dtzr4eodKBppJx9JdTp/view?usp=drivesdk</t>
  </si>
  <si>
    <t xml:space="preserve">https://drive.google.com/file/d/1-uX9qf8Y7JhgUR0XlWo84eT-pXmT8PGQ/view?usp=drivesdk</t>
  </si>
  <si>
    <t xml:space="preserve">https://drive.google.com/file/d/1I0NOZOsevptsEXbXnMM-rZs33-Fx9kdb/view?usp=drivesdk</t>
  </si>
  <si>
    <t xml:space="preserve">https://drive.google.com/file/d/1q9DlLsVbFXu0nSswIfUdrI5omblSUPNU/view?usp=drivesdk</t>
  </si>
  <si>
    <t xml:space="preserve">https://drive.google.com/file/d/1B3BOLcK2whiMQEgT2RvuEOa65DOYAN79/view?usp=drivesdk</t>
  </si>
  <si>
    <t xml:space="preserve">https://drive.google.com/file/d/18XAB4B6V74pP71XBXsy00PbxepH-sWlw/view?usp=drivesdk</t>
  </si>
  <si>
    <t xml:space="preserve">https://drive.google.com/file/d/1hOu4PG8BbND7vr6T_UCl_ylGffgFT-KU/view?usp=drivesdk</t>
  </si>
  <si>
    <t xml:space="preserve">https://drive.google.com/file/d/1FVoppotSGy_mggipcniXO8LzqXNVp4mm/view?usp=drivesdk</t>
  </si>
  <si>
    <t xml:space="preserve">https://drive.google.com/file/d/1KdhEJAH8xZfn4BwqXjYgK-8l7-Qvip9e/view?usp=drivesdk</t>
  </si>
  <si>
    <t xml:space="preserve">https://drive.google.com/file/d/165CfjjISgNPZY_5jT8-VKamYqRyYMEKB/view?usp=drivesdk</t>
  </si>
  <si>
    <t xml:space="preserve">https://drive.google.com/file/d/11WKA0mInrWYa-VyBJwh1BDXRkEQqWsec/view?usp=drivesdk</t>
  </si>
  <si>
    <t xml:space="preserve">https://drive.google.com/file/d/1b0GrSYLcDzd1Ai6fnx9B7gBzea1-HjL7/view?usp=drivesdk</t>
  </si>
  <si>
    <t xml:space="preserve">https://drive.google.com/file/d/1R4lm3Mqn_rsx8-fQybuAnvKPZ4lQycya/view?usp=drivesdk</t>
  </si>
  <si>
    <t xml:space="preserve">https://drive.google.com/file/d/1zCm692RN9iZE-C9DtzqwhsTuZHLBqgiC/view?usp=drivesdk</t>
  </si>
  <si>
    <t xml:space="preserve">https://drive.google.com/file/d/17C1-21XSQlgpJGTpy43QsHcmRM0MRDI-/view?usp=drivesdk</t>
  </si>
  <si>
    <t xml:space="preserve">https://drive.google.com/file/d/14RGZXNUnuCqriLg2HnIZw8xnug79Gtxm/view?usp=drivesdk</t>
  </si>
  <si>
    <t xml:space="preserve">https://drive.google.com/file/d/17GllnvNgF4vHDPE11zyW4uemhmaH5nhl/view?usp=drivesdk</t>
  </si>
  <si>
    <t xml:space="preserve">https://drive.google.com/file/d/1UJJZGLi6PKI03YlrAr_IK4nEF7p2dCxj/view?usp=drivesdk</t>
  </si>
  <si>
    <t xml:space="preserve">https://drive.google.com/file/d/1Ocs_vQuHKZtVw1pSp5ENRlH75k4djOHo/view?usp=drivesdk</t>
  </si>
  <si>
    <t xml:space="preserve">https://drive.google.com/file/d/1I01oIr8_5zdvp5yMgKW5jEK_4yy8YNlb/view?usp=drivesdk</t>
  </si>
  <si>
    <t xml:space="preserve">https://drive.google.com/file/d/1ub9jYAcxcl_Zj2QqoYiAjinaBXVYH8PR/view?usp=drivesdk</t>
  </si>
  <si>
    <t xml:space="preserve">https://drive.google.com/file/d/1IeDXJwmpE7M09dyfW2f2I0Tkt9KDPf2w/view?usp=drivesdk</t>
  </si>
  <si>
    <t xml:space="preserve">https://drive.google.com/file/d/1oBio0CbKSG6duAlxHMdWrY8Pk94FB7Rx/view?usp=drivesdk</t>
  </si>
  <si>
    <t xml:space="preserve">https://drive.google.com/file/d/16mOemvziOJDp8R-yoWnLxs_t4ew3OwL4/view?usp=drivesdk</t>
  </si>
  <si>
    <t xml:space="preserve">https://drive.google.com/file/d/1aeTbowteK-Ta-_BM2ERs-URqfR1SD5ON/view?usp=drivesdk</t>
  </si>
  <si>
    <t xml:space="preserve">https://drive.google.com/file/d/1cj2pa26GbY26K9_9IVyHTgFZ7rBffmI0/view?usp=drivesdk</t>
  </si>
  <si>
    <t xml:space="preserve">https://drive.google.com/file/d/1Vc4ZFc1M8LnMvDbU5yz2wepAviJXzKAk/view?usp=drivesdk</t>
  </si>
  <si>
    <t xml:space="preserve">https://drive.google.com/file/d/10TJGQEvkfhQ70T0ERoLcH1_MHk7ttYAQ/view?usp=drivesdk</t>
  </si>
  <si>
    <t xml:space="preserve">https://drive.google.com/file/d/1cQOQncDX37CAKX_yQ7MQlCU7yms3mPQF/view?usp=drivesdk</t>
  </si>
  <si>
    <t xml:space="preserve">https://drive.google.com/file/d/18gFgLN1uj394ajkENDylYkcUUWy0rTrG/view?usp=drivesdk</t>
  </si>
  <si>
    <t xml:space="preserve">https://drive.google.com/file/d/1UL1_Zvoe-ZycPiKGaq9ORMHn3gaYxCYs/view?usp=drivesdk</t>
  </si>
  <si>
    <t xml:space="preserve">https://drive.google.com/file/d/17hOcu0xixxn5elWIYE4bfupSU2F4WYPA/view?usp=drivesdk</t>
  </si>
  <si>
    <t xml:space="preserve">https://drive.google.com/file/d/1Vy033mBp_UASbYDUyk3-J_oVcEmPao0h/view?usp=drivesdk</t>
  </si>
  <si>
    <t xml:space="preserve">https://drive.google.com/file/d/1CSTv477ATZysaRzXrgkKzjslXGytIdZo/view?usp=drivesdk</t>
  </si>
  <si>
    <t xml:space="preserve">https://drive.google.com/file/d/1yXMVy-hlv7-_2CHFAWu31tqCyBE3nn40/view?usp=drivesdk</t>
  </si>
  <si>
    <t xml:space="preserve">https://drive.google.com/file/d/1LU9BprOc67BK8O-hpR3fCPb5Tx4ctoYv/view?usp=drivesdk</t>
  </si>
  <si>
    <t xml:space="preserve">https://drive.google.com/file/d/1fFxz2cbPi_yt-VVk0tVdnPap6hUmGT8y/view?usp=drivesdk</t>
  </si>
  <si>
    <t xml:space="preserve">https://drive.google.com/file/d/12lGiSXbKo_o-FJKNJn2CK_PhonEG6XXZ/view?usp=drivesdk</t>
  </si>
  <si>
    <t xml:space="preserve">https://drive.google.com/file/d/1lIDXuhTi6n9b0vUsenbnEHUWxLv22xMI/view?usp=drivesdk</t>
  </si>
  <si>
    <t xml:space="preserve">https://drive.google.com/file/d/1V_YTbYToOdP5q2vzFwNityUCKtBBvDkI/view?usp=drivesdk</t>
  </si>
  <si>
    <t xml:space="preserve">https://drive.google.com/file/d/1cjpu7jVmk4NvRiLuXK_hY_e7aGQVhEsu/view?usp=drivesdk</t>
  </si>
  <si>
    <t xml:space="preserve">https://drive.google.com/file/d/1qvME0TyxKacf_6fJcTtXmvpMxJrfHkKv/view?usp=drivesdk</t>
  </si>
  <si>
    <t xml:space="preserve">https://drive.google.com/file/d/1_H1H_gcERxe77ODpsF8tbVKtR9Hkzaut/view?usp=drivesdk</t>
  </si>
  <si>
    <t xml:space="preserve">https://drive.google.com/file/d/1nk8uUWOGrRnksWI7eiSAKbztXlbHijeP/view?usp=drivesdk</t>
  </si>
  <si>
    <t xml:space="preserve">https://drive.google.com/file/d/1VLUqVsdL5qi1wsR3drLfcL9EgV-bwmCw/view?usp=drivesdk</t>
  </si>
  <si>
    <t xml:space="preserve">https://drive.google.com/file/d/1zy23Jp05ths2czFOhDv8D6uF5ZtkaLXq/view?usp=drivesdk</t>
  </si>
  <si>
    <t xml:space="preserve">https://drive.google.com/file/d/1IBNPaAjTp7LY2wv-mPTMlwmcyAaTLDdF/view?usp=drivesdk</t>
  </si>
  <si>
    <t xml:space="preserve">https://drive.google.com/file/d/1huN0ZXPG3b7k0d8iLUjRvLSJZxikJkwc/view?usp=drivesdk</t>
  </si>
  <si>
    <t xml:space="preserve">https://drive.google.com/file/d/1BoRNal4JcF59flk04-LsXVcSVJF4FnA3/view?usp=drivesdk</t>
  </si>
  <si>
    <t xml:space="preserve">https://drive.google.com/file/d/1qyN0A6o2zpKjvun28KPWxlvvtkH93G5o/view?usp=drivesdk</t>
  </si>
  <si>
    <t xml:space="preserve">https://drive.google.com/file/d/1UFmYqX0dOYim0Tf9xzTGD_7IY5fFE9Jf/view?usp=drivesdk</t>
  </si>
  <si>
    <t xml:space="preserve">https://drive.google.com/file/d/18fwoVLdW1lU6fT_DQMXR6feCxUcNIZCE/view?usp=drivesdk</t>
  </si>
  <si>
    <t xml:space="preserve">https://drive.google.com/file/d/1FH3PpzS-SFM2r6P9KZYuEooPaXiPj7ky/view?usp=drivesdk</t>
  </si>
  <si>
    <t xml:space="preserve">https://drive.google.com/file/d/1kKmCB4AyTAVE33_rUOMes_OLGj9_qAOB/view?usp=drivesdk</t>
  </si>
  <si>
    <t xml:space="preserve">https://drive.google.com/file/d/1MaiWfsvyrC1E1LlYIXV-L5vNS8xZZSgI/view?usp=drivesdk</t>
  </si>
  <si>
    <t xml:space="preserve">https://drive.google.com/file/d/18-Gu3FENLDqnAdK6UaKp2z70Pvq82Wr2/view?usp=drivesdk</t>
  </si>
  <si>
    <t xml:space="preserve">https://drive.google.com/file/d/18OI8VelHk6xM0eiEhTpLFFJzyqijMrdm/view?usp=drivesdk</t>
  </si>
  <si>
    <t xml:space="preserve">https://drive.google.com/file/d/11BTpfAxIZ7pr4KXOngB0ra7uqU5_2O-A/view?usp=drivesdk</t>
  </si>
  <si>
    <t xml:space="preserve">https://drive.google.com/file/d/1D7_G8EVz5GA-g7GUPRQPnx6Ar_VfrqtP/view?usp=drivesdk</t>
  </si>
  <si>
    <t xml:space="preserve">https://drive.google.com/file/d/1u4jeWwXyf6xmC7qHZrO4SkUgrsVoGX7m/view?usp=drivesdk</t>
  </si>
  <si>
    <t xml:space="preserve">https://drive.google.com/file/d/1HUOktc9IMkN_o-VerPqICgtSAE-_5ubx/view?usp=drivesdk</t>
  </si>
  <si>
    <t xml:space="preserve">https://drive.google.com/file/d/1LGO6iYm9tuSdXPXfL6Cmxb6vFnU13VWD/view?usp=drivesdk</t>
  </si>
  <si>
    <t xml:space="preserve">https://drive.google.com/file/d/1Cbfk33F0ORmvDZeGe1SsCmWlRWHlQ953/view?usp=drivesdk</t>
  </si>
  <si>
    <t xml:space="preserve">https://drive.google.com/file/d/1XAdjedPUVimsU32-z_us_MPtoW_ZQMQo/view?usp=drivesdk</t>
  </si>
  <si>
    <t xml:space="preserve">https://drive.google.com/file/d/1fwFCQZsuMUDCY4kKd4f_TPKbFjYlmFBG/view?usp=drivesdk</t>
  </si>
  <si>
    <t xml:space="preserve">https://drive.google.com/file/d/1w5TPeQwZMVhTZ3NWviqiXh1biAXbjxHk/view?usp=drivesdk</t>
  </si>
  <si>
    <t xml:space="preserve">https://drive.google.com/file/d/1H55-IqVwayd0w0kbuPYZg4_-x5P-Zr1-/view?usp=drivesdk</t>
  </si>
  <si>
    <t xml:space="preserve">https://drive.google.com/file/d/1EHbFaWNebYiFfX-PO5EmRF653OqMTPqT/view?usp=drivesdk</t>
  </si>
  <si>
    <t xml:space="preserve">https://drive.google.com/file/d/16uYPsDYJEFfev8rsdgl_K2fScEhm7pKj/view?usp=drivesdk</t>
  </si>
  <si>
    <t xml:space="preserve">https://drive.google.com/file/d/1Kor6kTGYhi74srteLoYY_kTb7LjVR9dj/view?usp=drivesdk</t>
  </si>
  <si>
    <t xml:space="preserve">Сарнай</t>
  </si>
  <si>
    <t xml:space="preserve">https://drive.google.com/file/d/1MaqlPz1vKyc-TiLIEQBe3sXKvxhfMjwl/view?usp=drivesdk</t>
  </si>
  <si>
    <t xml:space="preserve">https://drive.google.com/file/d/1W_vvnqFSswsyvgR3-6cIocNL_aZpOo7w/view?usp=drivesdk</t>
  </si>
  <si>
    <t xml:space="preserve">https://drive.google.com/file/d/1ZnIJfYUHwAcM7hEJkLmYQcer9VmGgMzf/view?usp=drivesdk</t>
  </si>
  <si>
    <t xml:space="preserve">https://drive.google.com/file/d/1STjVOOgndB7qqVn9_1mesLDNvAKmnmxy/view?usp=drivesdk</t>
  </si>
  <si>
    <t xml:space="preserve">https://drive.google.com/file/d/1X41ANWRUiwXcetn6h4q6IvaUrHgK19aZ/view?usp=drivesdk</t>
  </si>
  <si>
    <t xml:space="preserve">https://drive.google.com/file/d/1IJWfEqJg6X4FpMtCLFqSKaJNlhMyNp2Z/view?usp=drivesdk</t>
  </si>
  <si>
    <t xml:space="preserve">Дөлбадрах</t>
  </si>
  <si>
    <t xml:space="preserve">https://drive.google.com/file/d/1dS8Mwy-3sYzedLn_YNMENLIzBO1oND2H/view?usp=drivesdk</t>
  </si>
  <si>
    <t xml:space="preserve">https://drive.google.com/file/d/1khQP6hU2-dAzAiL1-C0adoLq71mYGCwy/view?usp=drivesdk</t>
  </si>
  <si>
    <t xml:space="preserve">https://drive.google.com/file/d/1p3OeT1I9wiUftBGjdklZdYsAr33BvW95/view?usp=drivesdk</t>
  </si>
  <si>
    <t xml:space="preserve">https://drive.google.com/file/d/1LvIRw5TeoqEGBqv3zMEMvXMr0UO_r_YW/view?usp=drivesdk</t>
  </si>
  <si>
    <t xml:space="preserve">https://drive.google.com/file/d/1sY40XWwX9P4NfMddJY0UVpy9cF7OLc42/view?usp=drivesdk</t>
  </si>
  <si>
    <t xml:space="preserve">https://drive.google.com/file/d/16yaAEFXxQhbSDBO4jcBDtkE3-3n7r6bY/view?usp=drivesdk</t>
  </si>
  <si>
    <t xml:space="preserve">https://drive.google.com/file/d/1XvjduTsc3V4ZRlmw-u8PCx1caWYUJaRj/view?usp=drivesdk</t>
  </si>
  <si>
    <t xml:space="preserve">https://drive.google.com/file/d/1As3YfUxvsOcylLC--4Tk8ogwKyRlcJm4/view?usp=drivesdk</t>
  </si>
  <si>
    <t xml:space="preserve">https://drive.google.com/file/d/1GdS7_G9SILzgl0pnCZQ3sOczBgsgGE6-/view?usp=drivesdk</t>
  </si>
  <si>
    <t xml:space="preserve">https://drive.google.com/file/d/1xeDj0jGQ6irZHl3iEIsArVelZNEHyeso/view?usp=drivesdk</t>
  </si>
  <si>
    <t xml:space="preserve">https://drive.google.com/file/d/17o0bCCr0P8tjsI4mj8SrXt1Bcx__SPa_/view?usp=drivesdk</t>
  </si>
  <si>
    <t xml:space="preserve">https://drive.google.com/file/d/1YnPUUSjugL670UUMGtUK2kzoVCxsB1i4/view?usp=drivesdk</t>
  </si>
  <si>
    <t xml:space="preserve">https://drive.google.com/file/d/1CwLpBGPvPGlS8AiupfzYr5WeV8bAoiah/view?usp=drivesdk</t>
  </si>
  <si>
    <t xml:space="preserve">https://drive.google.com/file/d/1Myv5a1kdvls0vBvTYRhi6riZ3iTkkxv1/view?usp=drivesdk</t>
  </si>
  <si>
    <t xml:space="preserve">https://drive.google.com/file/d/1R_izktjLRGxqJghDNxSkHWDfQg6qyWU9/view?usp=drivesdk</t>
  </si>
  <si>
    <t xml:space="preserve">https://drive.google.com/file/d/13R-Ucd6ayPAGUZnMNXz1ZVPJpjVa2Dyk/view?usp=drivesdk</t>
  </si>
  <si>
    <t xml:space="preserve">https://drive.google.com/file/d/1yYCQxRsBwkLg5DyljTBhQH2Y4hv8md3w/view?usp=drivesdk</t>
  </si>
  <si>
    <t xml:space="preserve">https://drive.google.com/file/d/1l8eoOJubdU8q0FUy04Oa-BiXeKMpuKy3/view?usp=drivesdk</t>
  </si>
  <si>
    <t xml:space="preserve">https://drive.google.com/file/d/1U3X4T8kSNOfD7jQSv3sBqsAC2wCNbI_c/view?usp=drivesdk</t>
  </si>
  <si>
    <t xml:space="preserve">https://drive.google.com/file/d/1KlOho6hW61lYMJd8SbgymSfx65LqvOA1/view?usp=drivesdk</t>
  </si>
  <si>
    <t xml:space="preserve">https://drive.google.com/file/d/1UxIVm5q9dBctidgq-Digi34-cRP95NHr/view?usp=drivesdk</t>
  </si>
  <si>
    <t xml:space="preserve">https://drive.google.com/file/d/17-QKw3MO-tqq1JxA_NqQPqvPn4F4_s2s/view?usp=drivesdk</t>
  </si>
  <si>
    <t xml:space="preserve">https://drive.google.com/file/d/1Rt6CiZIG1T2mz79CnajA5LSOugr9-aCT/view?usp=drivesdk</t>
  </si>
  <si>
    <t xml:space="preserve">https://drive.google.com/file/d/1UIS8XI6a2s8Z8FwwunlO5Vu6cNJ9Acf1/view?usp=drivesdk</t>
  </si>
  <si>
    <t xml:space="preserve">https://drive.google.com/file/d/1B5NySbiSim0VoXviYbeHD2h5unO77mO3/view?usp=drivesdk</t>
  </si>
  <si>
    <t xml:space="preserve">https://drive.google.com/file/d/1XFENCt44wdkIu_kdZkgsjwNq8eVUuacW/view?usp=drivesdk</t>
  </si>
  <si>
    <t xml:space="preserve">https://drive.google.com/file/d/1XViPp2drwviedRjn4RNJS8Nup1zuivZg/view?usp=drivesdk</t>
  </si>
  <si>
    <t xml:space="preserve">https://drive.google.com/file/d/1NAgZDIVVfnh79JyVd73nc4OY2hBN2BXR/view?usp=drivesdk</t>
  </si>
  <si>
    <t xml:space="preserve">https://drive.google.com/file/d/1ms7-MlqX-Kqusfu-3zp2P-Zgp7Xvxhau/view?usp=drivesdk</t>
  </si>
  <si>
    <t xml:space="preserve">https://drive.google.com/file/d/1RTLv8651bFCJ3kz32BjSGlFBR1EcktQ2/view?usp=drivesdk</t>
  </si>
  <si>
    <t xml:space="preserve">https://drive.google.com/file/d/1sp4rC5OaPllQC78iHEdjZYcTeH5rmvgI/view?usp=drivesdk</t>
  </si>
  <si>
    <t xml:space="preserve">https://drive.google.com/file/d/1292EEbYEaJYMO_ITVq18s40hSj4GW2Fv/view?usp=drivesdk</t>
  </si>
  <si>
    <t xml:space="preserve">https://drive.google.com/file/d/12BSP5GqKss7LYnGk2C_mBTNqsT-9foYc/view?usp=drivesdk</t>
  </si>
  <si>
    <t xml:space="preserve">https://drive.google.com/file/d/1IoxmU-Gg7OBhAmx8d5A-2vjuu8wSZMqn/view?usp=drivesdk</t>
  </si>
  <si>
    <t xml:space="preserve">https://drive.google.com/file/d/18bRb4K9Nrs1Bo-I4NsYrichF1ShdfWhP/view?usp=drivesdk</t>
  </si>
  <si>
    <t xml:space="preserve">https://drive.google.com/file/d/1q63DkGLdsGRu7_njG83pmr3snfSRsTYe/view?usp=drivesdk</t>
  </si>
  <si>
    <t xml:space="preserve">https://drive.google.com/file/d/1bvqJt80SHE7zW5e9DmNSjuBzBC2XVmdq/view?usp=drivesdk</t>
  </si>
  <si>
    <t xml:space="preserve">https://drive.google.com/file/d/1x1XZulZ-GYZpG9ix40Ur5MWZEgBusxeT/view?usp=drivesdk</t>
  </si>
  <si>
    <t xml:space="preserve">https://drive.google.com/file/d/1fLFihubRCOdo9MRiJk9T9l5i-9EQIXMb/view?usp=drivesdk</t>
  </si>
  <si>
    <t xml:space="preserve">https://drive.google.com/file/d/1Erv5vHeNKQ9EDVBcJGVfjBnFmsXZKGQN/view?usp=drivesdk</t>
  </si>
  <si>
    <t xml:space="preserve">https://drive.google.com/file/d/1W9LO6SqznloUVMX4DGQIGMy70s1eho8e/view?usp=drivesdk</t>
  </si>
  <si>
    <t xml:space="preserve">https://drive.google.com/file/d/159L6CYuTE3VTicBy_muMjlGTKFmttZlt/view?usp=drivesdk</t>
  </si>
  <si>
    <t xml:space="preserve">https://drive.google.com/file/d/1o8kJwJlQeT9giHrz_2aue-bdjOV22Zhi/view?usp=drivesdk</t>
  </si>
  <si>
    <t xml:space="preserve">https://drive.google.com/file/d/1qOZDZ3ndBoFLQNlF7VWOYy0tzReAynXI/view?usp=drivesdk</t>
  </si>
  <si>
    <t xml:space="preserve">https://drive.google.com/file/d/1ltCrSAoACdMCFLMNKdo1aRcrDc2rPEtI/view?usp=drivesdk</t>
  </si>
  <si>
    <t xml:space="preserve">https://drive.google.com/file/d/1jFjTHhnnAo6zbLi1znxG02_FNokd60Wp/view?usp=drivesdk</t>
  </si>
  <si>
    <t xml:space="preserve">https://drive.google.com/file/d/1RhLhwBKi2WFZCqotXTTZeXlRXrgcDgHK/view?usp=drivesdk</t>
  </si>
  <si>
    <t xml:space="preserve">https://drive.google.com/file/d/1823X1koejdtVPFKnkcaaffWpgJjUVqkb/view?usp=drivesdk</t>
  </si>
  <si>
    <t xml:space="preserve">https://drive.google.com/file/d/1r5Yoz8s_X_DY4xrDdQQL4qHmlDUkKfaG/view?usp=drivesdk</t>
  </si>
  <si>
    <t xml:space="preserve">https://drive.google.com/file/d/10f1n8eV_Z8ximqLVOEN3NXke0t4tgd8L/view?usp=drivesdk</t>
  </si>
  <si>
    <t xml:space="preserve">https://drive.google.com/file/d/19g76gPrN5wCCeCw4sWjdXwNa5f3DH8cR/view?usp=drivesdk</t>
  </si>
  <si>
    <t xml:space="preserve">https://drive.google.com/file/d/19XHqnJEp8yr9s1XhGfgsYNtyyFZJg-of/view?usp=drivesdk</t>
  </si>
  <si>
    <t xml:space="preserve">https://drive.google.com/file/d/1bvT7OfQps9NRzuLt7FWXKqllvFZ2XyWh/view?usp=drivesdk</t>
  </si>
  <si>
    <t xml:space="preserve">https://drive.google.com/file/d/13JwhxNRTHu748LiqCFqsaoe7HIyVPkCF/view?usp=drivesdk</t>
  </si>
  <si>
    <t xml:space="preserve">https://drive.google.com/file/d/1ZkScgElZ9v1l2YNdE9sPcq6WYvUk2RTN/view?usp=drivesdk</t>
  </si>
  <si>
    <t xml:space="preserve">https://drive.google.com/file/d/1vyZuWOVpNvhOS3IxIucsMkTW5uO5XhHo/view?usp=drivesdk</t>
  </si>
  <si>
    <t xml:space="preserve">https://drive.google.com/file/d/1pLCVnaM2PaFFwVI6g5SRJf1eUrBUupwn/view?usp=drivesdk</t>
  </si>
  <si>
    <t xml:space="preserve">https://drive.google.com/file/d/1WJak2R3v3NVuuzcJKDribI-XWuPQJ8nS/view?usp=drivesdk</t>
  </si>
  <si>
    <t xml:space="preserve">https://drive.google.com/file/d/1YHTymtl5yDj4_sW21wR_iL6KUG-zTJG_/view?usp=drivesdk</t>
  </si>
  <si>
    <t xml:space="preserve">https://drive.google.com/file/d/13MrHmt5o-wpNfiYTfZESl6IvjRH-s5Tk/view?usp=drivesdk</t>
  </si>
  <si>
    <t xml:space="preserve">https://drive.google.com/file/d/1Lsi2SYUABFaZP6z2KyI9f6UCLnI9bmHI/view?usp=drivesdk</t>
  </si>
  <si>
    <t xml:space="preserve">https://drive.google.com/file/d/1e84UuKloOf9tsG4p7EbWtwyo6q4V7E8d/view?usp=drivesdk</t>
  </si>
  <si>
    <t xml:space="preserve">https://drive.google.com/file/d/1rqCQ0AffNdR7W3PptACiuITqV3pYX5Hs/view?usp=drivesdk</t>
  </si>
  <si>
    <t xml:space="preserve">https://drive.google.com/file/d/14G7LLiww3R4RsT151tb6xuVJr6CNPe9U/view?usp=drivesdk</t>
  </si>
  <si>
    <t xml:space="preserve">https://drive.google.com/file/d/1bPMXKV6e1FbU5RTeha8Qwmp1L9Hm3TsA/view?usp=drivesdk</t>
  </si>
  <si>
    <t xml:space="preserve">https://drive.google.com/file/d/1_vnzQh5OZHZC1YILlQbcYLoSmOsOVsDQ/view?usp=drivesdk</t>
  </si>
  <si>
    <t xml:space="preserve">https://drive.google.com/file/d/1Jjy91M9SandDMlHfdx68QG706y9eekSS/view?usp=drivesdk</t>
  </si>
  <si>
    <t xml:space="preserve">https://drive.google.com/file/d/1kNJOMN2zPAiHAwkIYtVA0mNaHFtPsJq0/view?usp=drivesdk</t>
  </si>
  <si>
    <t xml:space="preserve">https://drive.google.com/file/d/1tRsdwLxnPdgTDwcOA0tXPoVE_rir8Ok6/view?usp=drivesdk</t>
  </si>
  <si>
    <t xml:space="preserve">https://drive.google.com/file/d/1Go7aREaiTR-VY319uaZJUaLblWlozQg2/view?usp=drivesdk</t>
  </si>
  <si>
    <t xml:space="preserve">https://drive.google.com/file/d/1LKe6bnZIa1KqNl0hYwH9FUaVnJGVX4bM/view?usp=drivesdk</t>
  </si>
  <si>
    <t xml:space="preserve">https://drive.google.com/file/d/1W1v3mgdMUoykY1EQYai2koe3ED03Sv6L/view?usp=drivesdk</t>
  </si>
  <si>
    <t xml:space="preserve">https://drive.google.com/file/d/1k2QYMavh4IIlcaEPNPmFmT3H24bmu-X6/view?usp=drivesdk</t>
  </si>
  <si>
    <t xml:space="preserve">https://drive.google.com/file/d/1P1jdN6ZD_dm0LqoiLO-KiPjshGPwIN8o/view?usp=drivesdk</t>
  </si>
  <si>
    <t xml:space="preserve">https://drive.google.com/file/d/1dpAMPlgYN-GwdbpXjEHx39SrthVfuJ0T/view?usp=drivesdk</t>
  </si>
  <si>
    <t xml:space="preserve">https://drive.google.com/file/d/1XeloO5LacVjYvKCX_HzqXclaoXKDFu_u/view?usp=drivesdk</t>
  </si>
  <si>
    <t xml:space="preserve">https://drive.google.com/file/d/13cFMo1EiZD6Rq28d_koLc1aRZIHbXhP3/view?usp=drivesdk</t>
  </si>
  <si>
    <t xml:space="preserve">https://drive.google.com/file/d/1jZP3I5s8SNsZ9oIHLDEmQ9F0a6LcA50g/view?usp=drivesdk</t>
  </si>
  <si>
    <t xml:space="preserve">https://drive.google.com/file/d/1KpSJLPmYYgiDEyCqn1jb3m7ABMNnMqrz/view?usp=drivesdk</t>
  </si>
  <si>
    <t xml:space="preserve">https://drive.google.com/file/d/13jedB2PDSmSs_4Lavq_bdn2MZtB43Sm_/view?usp=drivesdk</t>
  </si>
  <si>
    <t xml:space="preserve">https://drive.google.com/file/d/1a6avFXYw8gAYJrRv_iLgveLOPI1C8caf/view?usp=drivesdk</t>
  </si>
  <si>
    <t xml:space="preserve">https://drive.google.com/file/d/1nQWg4d5fUHEUDZvefUrjiIY2SDA0y7jD/view?usp=drivesdk</t>
  </si>
  <si>
    <t xml:space="preserve">https://drive.google.com/file/d/1NGhhuCUEwo7W2-1ZXF7UgCd-esidG7qk/view?usp=drivesdk</t>
  </si>
  <si>
    <t xml:space="preserve">https://drive.google.com/file/d/1X6-8eXDINmnt1lhmL_mFcjOYPTtGs0fR/view?usp=drivesdk</t>
  </si>
  <si>
    <t xml:space="preserve">https://drive.google.com/file/d/1kxZX0ueiAPX1rdxcZQtT9mspWw5unrWO/view?usp=drivesdk</t>
  </si>
  <si>
    <t xml:space="preserve">https://drive.google.com/file/d/1UIYy7PxMLblxE_amIUuuo08V0ZkDiEF5/view?usp=drivesdk</t>
  </si>
  <si>
    <t xml:space="preserve">https://drive.google.com/file/d/1ReD3m5mKgMTqEPNyhuQxxpM0BeNw4kPf/view?usp=drivesdk</t>
  </si>
  <si>
    <t xml:space="preserve">https://drive.google.com/file/d/1iOfUsUvHDPfwKoGU9vjJ2_6pGGQtcNok/view?usp=drivesdk</t>
  </si>
  <si>
    <t xml:space="preserve">https://drive.google.com/file/d/1h54ZbWLA72AjLioGPBT-I8hr1GbXOhXN/view?usp=drivesdk</t>
  </si>
  <si>
    <t xml:space="preserve">https://drive.google.com/file/d/1K6DJColOs8GPwPbsSfP3lp2SiNl3Z-Hu/view?usp=drivesdk</t>
  </si>
  <si>
    <t xml:space="preserve">https://drive.google.com/file/d/1ikQiJRjo_DZXzpz8O34MI2GBnlaYvp5J/view?usp=drivesdk</t>
  </si>
  <si>
    <t xml:space="preserve">https://drive.google.com/file/d/1KjYkm5XJ2ATIjJHZtwEO68xpmbK2YTzO/view?usp=drivesdk</t>
  </si>
  <si>
    <t xml:space="preserve">https://drive.google.com/file/d/1_JXoKTEQA67LQpC5a3s2Pun8aqLCwJgm/view?usp=drivesdk</t>
  </si>
  <si>
    <t xml:space="preserve">https://drive.google.com/file/d/1-M_xZAeMGMYpn7eThB_WCkFkeJqlJ_F7/view?usp=drivesdk</t>
  </si>
  <si>
    <t xml:space="preserve">https://drive.google.com/file/d/1t2--MDwhkLbDP2MFyXNUiZzTzp5XQuC_/view?usp=drivesdk</t>
  </si>
  <si>
    <t xml:space="preserve">https://drive.google.com/file/d/1B4gtd1lIJ-viulm5RPm84CCEM2dQAmDA/view?usp=drivesdk</t>
  </si>
  <si>
    <t xml:space="preserve">https://drive.google.com/file/d/13o-_fetv56JzShbGAhaSCa6v5tVXCNIv/view?usp=drivesdk</t>
  </si>
  <si>
    <t xml:space="preserve">https://drive.google.com/file/d/1zZ7CGg5MvDsz5A9SAF5biDPulIwM-Zpm/view?usp=drivesdk</t>
  </si>
  <si>
    <t xml:space="preserve">https://drive.google.com/file/d/1HE2dmWdG_hWcJ-WFI1baaYEjN_VX0d7W/view?usp=drivesdk</t>
  </si>
  <si>
    <t xml:space="preserve">https://drive.google.com/file/d/1Wjv_48Xu6yc_Im-nlc8ar-5BoNK2sqzU/view?usp=drivesdk</t>
  </si>
  <si>
    <t xml:space="preserve">https://drive.google.com/file/d/13CiH5TkhVwnhgGPpqTIR8Kx8E_XViSEd/view?usp=drivesdk</t>
  </si>
  <si>
    <t xml:space="preserve">https://drive.google.com/file/d/1_PXgz8PCyfDUCsL-7FUCf7Y3CphrF1v_/view?usp=drivesdk</t>
  </si>
  <si>
    <t xml:space="preserve">https://drive.google.com/file/d/1lmPhEsfe8md1cSUDy1QEQKHp7N90XiVI/view?usp=drivesdk</t>
  </si>
  <si>
    <t xml:space="preserve">https://drive.google.com/file/d/1b_qQ9TBSkUjfitG6UWIjRn-rgJ1qNaQq/view?usp=drivesdk</t>
  </si>
  <si>
    <t xml:space="preserve">https://drive.google.com/file/d/17n0ezbq4T-G1RH3eteU7HSJgbjwpPoyM/view?usp=drivesdk</t>
  </si>
  <si>
    <t xml:space="preserve">https://drive.google.com/file/d/1r8a4syXN-Ml_fVlFi3uDSQtpaSVjwp4P/view?usp=drivesdk</t>
  </si>
  <si>
    <t xml:space="preserve">https://drive.google.com/file/d/1A8GCvcXX2AWt78xFjz2FW_TjsEIjMfSJ/view?usp=drivesdk</t>
  </si>
  <si>
    <t xml:space="preserve">https://drive.google.com/file/d/1BQI6si16_fk-lVLVLpF18XDuiKQaEs1P/view?usp=drivesdk</t>
  </si>
  <si>
    <t xml:space="preserve">https://drive.google.com/file/d/1_VbSrtxLCi46Tqq3hNSNP9zs5WMW9JCM/view?usp=drivesdk</t>
  </si>
  <si>
    <t xml:space="preserve">https://drive.google.com/file/d/1KB6o_GXvoiLxg5IXb9KLS39hNGmQ214G/view?usp=drivesdk</t>
  </si>
  <si>
    <t xml:space="preserve">https://drive.google.com/file/d/1uH7n4jcIZMmF6AmKlfQViXBYffcr3Adb/view?usp=drivesdk</t>
  </si>
  <si>
    <t xml:space="preserve">https://drive.google.com/file/d/1XNNfw80dpnYuKnbCAbf23Ja-x6OBMvYz/view?usp=drivesdk</t>
  </si>
  <si>
    <t xml:space="preserve">https://drive.google.com/file/d/1LSP2bW27RRTYJqk8nX4X1FUI7wlctWpg/view?usp=drivesdk</t>
  </si>
  <si>
    <t xml:space="preserve">https://drive.google.com/file/d/1jlyssQQmCqUnr7lMOky0UbNdnp8PYFSW/view?usp=drivesdk</t>
  </si>
  <si>
    <t xml:space="preserve">https://drive.google.com/file/d/1k1q7M2NTe_bqE-zSPMUHMLsNJbmpxeNd/view?usp=drivesdk</t>
  </si>
  <si>
    <t xml:space="preserve">https://drive.google.com/file/d/1ZDnrQybzmvUeZhnuWwMAU9YGPZayqwD9/view?usp=drivesdk</t>
  </si>
  <si>
    <t xml:space="preserve">https://drive.google.com/file/d/16pQ8X2NorRkoy6RSmHaPvPDIkwuJtIZU/view?usp=drivesdk</t>
  </si>
  <si>
    <t xml:space="preserve">https://drive.google.com/file/d/10skfBmgAT-q3fh9RVnhLuJo6KdbGxFru/view?usp=drivesdk</t>
  </si>
  <si>
    <t xml:space="preserve">https://drive.google.com/file/d/1xdgoiqLq0Vj-GcV_FTTLjhLT2aJePEWp/view?usp=drivesdk</t>
  </si>
  <si>
    <t xml:space="preserve">https://drive.google.com/file/d/15hn_6AshNlKZ_OK6-pJGgXB7NQ9iM3HW/view?usp=drivesdk</t>
  </si>
  <si>
    <t xml:space="preserve">https://drive.google.com/file/d/1ZFcv2NPo81LOioYsWeJ9L0E4PCLbnZSt/view?usp=drivesdk</t>
  </si>
  <si>
    <t xml:space="preserve">https://drive.google.com/file/d/1QGsHO_6FNTxp3aBr3CfKorgDPj16CHdk/view?usp=drivesdk</t>
  </si>
  <si>
    <t xml:space="preserve">https://drive.google.com/file/d/1BKVaIheowOZWyzRzmbqrBTtV5UJko1QY/view?usp=drivesdk</t>
  </si>
  <si>
    <t xml:space="preserve">https://drive.google.com/file/d/1_6eV0WMGNTxQrFDVWd9rZk42ryDdNf3D/view?usp=drivesdk</t>
  </si>
  <si>
    <t xml:space="preserve">https://drive.google.com/file/d/1NEvHkym0vUCOOWVwPJAN5jcU7Te1xtgS/view?usp=drivesdk</t>
  </si>
  <si>
    <t xml:space="preserve">https://drive.google.com/file/d/1S3IihBz2EOE3GNaq4EYE6hDhm2o8VA7S/view?usp=drivesdk</t>
  </si>
  <si>
    <t xml:space="preserve">https://drive.google.com/file/d/1I5qjdppjYGS-w8gmSB6btwhjxCVHTYzw/view?usp=drivesdk</t>
  </si>
  <si>
    <t xml:space="preserve">https://drive.google.com/file/d/1yvyjAsp2Ry6LX7DekWEtKx8bixgGpBaW/view?usp=drivesdk</t>
  </si>
  <si>
    <t xml:space="preserve">https://drive.google.com/file/d/1r-bR8wxTXmMaUDiQCfTEmZByYrBCUSUE/view?usp=drivesdk</t>
  </si>
  <si>
    <t xml:space="preserve">https://drive.google.com/file/d/1VgQXN5Kp_KmPp0EAHmCWqbazWvi8NQmH/view?usp=drivesdk</t>
  </si>
  <si>
    <t xml:space="preserve">https://drive.google.com/file/d/1O5o7wyo6h11PS743Rm1eTSJA9ejSM_A9/view?usp=drivesdk</t>
  </si>
  <si>
    <t xml:space="preserve">https://drive.google.com/file/d/1RjGDIHzbbwUoWGy3tF8_axOlGEewJgpf/view?usp=drivesdk</t>
  </si>
  <si>
    <t xml:space="preserve">https://drive.google.com/file/d/1t7eegiQPIr5kKRtq_86FVnsm0dQhNZ7g/view?usp=drivesdk</t>
  </si>
  <si>
    <t xml:space="preserve">https://drive.google.com/file/d/1jq_8nwkjxoQOzmh03iUe7hyYLyyUTHv9/view?usp=drivesdk</t>
  </si>
  <si>
    <t xml:space="preserve">https://drive.google.com/file/d/1Bjwme7mzmNWwWP-STPnjznZRuTfFJIf7/view?usp=drivesdk</t>
  </si>
  <si>
    <t xml:space="preserve">https://drive.google.com/file/d/10SjA1DOVuoNBh52avdhSq1H1ysKl4GFZ/view?usp=drivesdk</t>
  </si>
  <si>
    <t xml:space="preserve">https://drive.google.com/file/d/13CUnvLQtjJRs8wXmnjBczjyD78pJw9Wy/view?usp=drivesdk</t>
  </si>
  <si>
    <t xml:space="preserve">Оюунхүү</t>
  </si>
  <si>
    <t xml:space="preserve">https://drive.google.com/file/d/10QsP_CTMX-jHcfpIn7fRQ_tuzp-tSXFv/view?usp=drivesdk</t>
  </si>
  <si>
    <t xml:space="preserve">https://drive.google.com/file/d/1HJlx2W6m5jBJFptwE95fwqIS9Qvfet1M/view?usp=drivesdk</t>
  </si>
  <si>
    <t xml:space="preserve">https://drive.google.com/file/d/1Hpj-0Mi_cNJjjm6mOgTPBOUCHwLqK6Zq/view?usp=drivesdk</t>
  </si>
  <si>
    <t xml:space="preserve">https://drive.google.com/file/d/1ymg-5n6lG96uhXaFb2H71VkfVEAIHSEv/view?usp=drivesdk</t>
  </si>
  <si>
    <t xml:space="preserve">https://drive.google.com/file/d/1fwGBIQ5pup6bME3NUnj2E5clRUDsy9G7/view?usp=drivesdk</t>
  </si>
  <si>
    <t xml:space="preserve">https://drive.google.com/file/d/1q4BVNrilSgtzBMfxXrX80AeRfZhgcK5O/view?usp=drivesdk</t>
  </si>
  <si>
    <t xml:space="preserve">https://drive.google.com/file/d/1nXKrq93wY_WCJb5MkvZY01lgSBBndrb9/view?usp=drivesdk</t>
  </si>
  <si>
    <t xml:space="preserve">https://drive.google.com/file/d/1UU5bQ6ZmsEBwx9YUta8iUs0RDzfD-8L3/view?usp=drivesdk</t>
  </si>
  <si>
    <t xml:space="preserve">https://drive.google.com/file/d/1qv57p7UFhIaC-IqjAd4NeTGkHxKfb-TO/view?usp=drivesdk</t>
  </si>
  <si>
    <t xml:space="preserve">https://drive.google.com/file/d/1TVE9Y3CypoYZx9hSF0ITGueE4XlkJBnW/view?usp=drivesdk</t>
  </si>
  <si>
    <t xml:space="preserve">https://drive.google.com/file/d/11rp_JsasrYXSDslnHkxJviw0ug474Ccb/view?usp=drivesdk</t>
  </si>
  <si>
    <t xml:space="preserve">https://drive.google.com/file/d/11LtDP09FE800uB7wpbYRrPvIdLXeeeR3/view?usp=drivesdk</t>
  </si>
  <si>
    <t xml:space="preserve">https://drive.google.com/file/d/1lOkWcrUMsGEoRreIr7PRkxwvczpeAoVL/view?usp=drivesdk</t>
  </si>
  <si>
    <t xml:space="preserve">https://drive.google.com/file/d/1RZSN17DDYiEBIOD3iAvjWewDvQrUV1Vj/view?usp=drivesdk</t>
  </si>
  <si>
    <t xml:space="preserve">https://drive.google.com/file/d/1idcVTEHWu1WARsF-5DbVqubOYoQ6zG8k/view?usp=drivesdk</t>
  </si>
  <si>
    <t xml:space="preserve">https://drive.google.com/file/d/1Faory1bMq9fKvo987V8u-RT8FsPDhMEg/view?usp=drivesdk</t>
  </si>
  <si>
    <t xml:space="preserve">https://drive.google.com/file/d/1ul0YYX7MHpJkp5mtZpaM9uT2tf_mHaRo/view?usp=drivesdk</t>
  </si>
  <si>
    <t xml:space="preserve">https://drive.google.com/file/d/1McNPiP3QEzM9RlVm1dgwCSYuzlNs7mYk/view?usp=drivesdk</t>
  </si>
  <si>
    <t xml:space="preserve">https://drive.google.com/file/d/11G6ks_7ME8lC04NjgHovj_N56r32QPpp/view?usp=drivesdk</t>
  </si>
  <si>
    <t xml:space="preserve">https://drive.google.com/file/d/1Y_9SWgZNmq7FXN8jmI7DOHnC2hj-cNVT/view?usp=drivesdk</t>
  </si>
  <si>
    <t xml:space="preserve">https://drive.google.com/file/d/10bsyzY6V6rHj4rhKaNWnKfsz-Mq1qeNT/view?usp=drivesdk</t>
  </si>
  <si>
    <t xml:space="preserve">https://drive.google.com/file/d/1fmBBiG-4QitJl-g8Nby7yp26oFb8T3km/view?usp=drivesdk</t>
  </si>
  <si>
    <t xml:space="preserve">https://drive.google.com/file/d/1ZVhVT_g9y6Maw3lIkyEAqhH4gXD348Jc/view?usp=drivesdk</t>
  </si>
  <si>
    <t xml:space="preserve">https://drive.google.com/file/d/1SfEkXiwzzxCUppeXj5BXYUotEMcGgYS-/view?usp=drivesdk</t>
  </si>
  <si>
    <t xml:space="preserve">https://drive.google.com/file/d/1u9AvxP8sbY2Xj8GQHfgkpY10HNtKz5Xc/view?usp=drivesdk</t>
  </si>
  <si>
    <t xml:space="preserve">https://drive.google.com/file/d/1sxQxOMqRdTVlxzNgq6y2lS0XhSLMCS3-/view?usp=drivesdk</t>
  </si>
  <si>
    <t xml:space="preserve">https://drive.google.com/file/d/1Ox_U4G0OfEdmhCq5Vj1Gv0pn57FuXzGl/view?usp=drivesdk</t>
  </si>
  <si>
    <t xml:space="preserve">https://drive.google.com/file/d/1gG1lOt7LQYwXefO4q1zjsceBwATxSVgj/view?usp=drivesdk</t>
  </si>
  <si>
    <t xml:space="preserve">https://drive.google.com/file/d/16HPQE4pkbflVjHyip0kozAvsAufB_mjy/view?usp=drivesdk</t>
  </si>
  <si>
    <t xml:space="preserve">https://drive.google.com/file/d/19I4MYeGB1vqSkNpbni9U9hNKmJhSDihg/view?usp=drivesdk</t>
  </si>
  <si>
    <t xml:space="preserve">https://drive.google.com/file/d/1UNrX-RNd0iLqDws96r3SiJdXtef7OBTF/view?usp=drivesdk</t>
  </si>
  <si>
    <t xml:space="preserve">https://drive.google.com/file/d/13rx4K5AV1h49AP8dtb0Ylpz_5PF5b9cT/view?usp=drivesdk</t>
  </si>
  <si>
    <t xml:space="preserve">https://drive.google.com/file/d/1rcbzrTf1rKVWFQ0MpfT61GnH40b7v7XB/view?usp=drivesdk</t>
  </si>
  <si>
    <t xml:space="preserve">https://drive.google.com/file/d/1NRnuHZo3Z9o_ZxHvMGyXkrPQcNBGbSzh/view?usp=drivesdk</t>
  </si>
  <si>
    <t xml:space="preserve">Энхбаяр</t>
  </si>
  <si>
    <t xml:space="preserve">https://drive.google.com/file/d/1-pDfWM2KpP1XdS0IPlTCMrfLySDS1OiJ/view?usp=drivesdk</t>
  </si>
  <si>
    <t xml:space="preserve">https://drive.google.com/file/d/1hHzqDSWo33tYmjUgLPVgIgsVRHl3Fobb/view?usp=drivesdk</t>
  </si>
  <si>
    <t xml:space="preserve">https://drive.google.com/file/d/1FSt1wRFcn_1cPeQkkFSgfmR7Gn7GkDXb/view?usp=drivesdk</t>
  </si>
  <si>
    <t xml:space="preserve">https://drive.google.com/file/d/1BC1nhPnOQkGtTY8iN8Ulu6-caQnJOi_L/view?usp=drivesdk</t>
  </si>
  <si>
    <t xml:space="preserve">https://drive.google.com/file/d/1aT6kLFG5IrQy5CWvMJuxznoQEF5w4tU-/view?usp=drivesdk</t>
  </si>
  <si>
    <t xml:space="preserve">https://drive.google.com/file/d/1YJlywQQA6vwHnW67MeCsmdGEoIs-UhT7/view?usp=drivesdk</t>
  </si>
  <si>
    <t xml:space="preserve">https://drive.google.com/file/d/1SvP0GErF2QIHW5Bv4yXd4R0yt8q-Uv3h/view?usp=drivesdk</t>
  </si>
  <si>
    <t xml:space="preserve">https://drive.google.com/file/d/17lRWd3RDQNhJmIkiDtH5vMi-9xfhqQ6h/view?usp=drivesdk</t>
  </si>
  <si>
    <t xml:space="preserve">https://drive.google.com/file/d/1iSiby1qAcCUkLp8E3Loq2ElctQ0KXf2S/view?usp=drivesdk</t>
  </si>
  <si>
    <t xml:space="preserve">https://drive.google.com/file/d/10l_Me-diix4617IgwEYbgWBMIeCIie1z/view?usp=drivesdk</t>
  </si>
  <si>
    <t xml:space="preserve">https://drive.google.com/file/d/1kjZbiwMuBR07ZtEnf-HfhvQxeZr1h_UI/view?usp=drivesdk</t>
  </si>
  <si>
    <t xml:space="preserve">https://drive.google.com/file/d/1_pId1dI_kEmZ7S0hnOe0TCoXQpCR5_LD/view?usp=drivesdk</t>
  </si>
  <si>
    <t xml:space="preserve">https://drive.google.com/file/d/1BtP6qcsPBfiYPXw3NFP1WZqllauGPBpE/view?usp=drivesdk</t>
  </si>
  <si>
    <t xml:space="preserve">https://drive.google.com/file/d/114xWU4qLBWelIKAaLx_sRPEIAwz263lR/view?usp=drivesdk</t>
  </si>
  <si>
    <t xml:space="preserve">https://drive.google.com/file/d/1oUDreb2gLvzDzednjRmfejlfXB5tsH0V/view?usp=drivesdk</t>
  </si>
  <si>
    <t xml:space="preserve">https://drive.google.com/file/d/1vSEfZSjJbw121p-EvFO0_jFiuJCZqosp/view?usp=drivesdk</t>
  </si>
  <si>
    <t xml:space="preserve">https://drive.google.com/file/d/1tlSsfqxTJRWvwmbVPtwpJoqRb3jlUUjh/view?usp=drivesdk</t>
  </si>
  <si>
    <t xml:space="preserve">https://drive.google.com/file/d/1HvKZXELMEUA2ceu1bnEpkWfgcH6mGRKQ/view?usp=drivesdk</t>
  </si>
  <si>
    <t xml:space="preserve">https://drive.google.com/file/d/1ir2Eq486bZYoYeAPAmUYVwd2xI_BXKCH/view?usp=drivesdk</t>
  </si>
  <si>
    <t xml:space="preserve">https://drive.google.com/file/d/1xNlAxEmdE94DwxqecsiSdQ7rMrHQi3rR/view?usp=drivesdk</t>
  </si>
  <si>
    <t xml:space="preserve">https://drive.google.com/file/d/1nKlb4IwwABzdSw3VOYIcGlN6wQqfWNWr/view?usp=drivesdk</t>
  </si>
  <si>
    <t xml:space="preserve">https://drive.google.com/file/d/1qen-Dopf6f8Dx0oB78l2fRy5Oe-L1VYi/view?usp=drivesdk</t>
  </si>
  <si>
    <t xml:space="preserve">https://drive.google.com/file/d/1pHJ6pipT_2ZhykZLBV9aAPJZg9FxEk7w/view?usp=drivesdk</t>
  </si>
  <si>
    <t xml:space="preserve">https://drive.google.com/file/d/1XNPKch4qpELrz1Gs4DuUvfM5lOhgXjOA/view?usp=drivesdk</t>
  </si>
  <si>
    <t xml:space="preserve">https://drive.google.com/file/d/1wJXjQpp_KI6fRHiDqSp80MP0j5Z93EO-/view?usp=drivesdk</t>
  </si>
  <si>
    <t xml:space="preserve">Саранчимэг</t>
  </si>
  <si>
    <t xml:space="preserve">https://drive.google.com/file/d/1H22uPPzfyaddLh8oumGJjybpOykdqqYj/view?usp=drivesdk</t>
  </si>
  <si>
    <t xml:space="preserve">https://drive.google.com/file/d/1V9HfEbMAvRxM2v7m6rU0e4-aggu7QOVH/view?usp=drivesdk</t>
  </si>
  <si>
    <t xml:space="preserve">https://drive.google.com/file/d/1pfjsXYpwfzZ2SQc9Nvl0_XsfyC5p3mLL/view?usp=drivesdk</t>
  </si>
  <si>
    <t xml:space="preserve">https://drive.google.com/file/d/1fO_oyqTkF_zAIEA8bQrQzFZuDJ3aA7ok/view?usp=drivesdk</t>
  </si>
  <si>
    <t xml:space="preserve">https://drive.google.com/file/d/1ODPiqEKtPgsf3k8dpN4k0OpaRHWNUFD_/view?usp=drivesdk</t>
  </si>
  <si>
    <t xml:space="preserve">https://drive.google.com/file/d/1vifofyRDCphlI0gFiZhXWLAExek4e2qu/view?usp=drivesdk</t>
  </si>
  <si>
    <t xml:space="preserve">https://drive.google.com/file/d/1rQi0rwGPi1Cgji9qJEJ5SrbFayFUhKvR/view?usp=drivesdk</t>
  </si>
  <si>
    <t xml:space="preserve">https://drive.google.com/file/d/1mxBnAsJRfPSBU3wiNI3C6UGvHDOkAbXZ/view?usp=drivesdk</t>
  </si>
  <si>
    <t xml:space="preserve">https://drive.google.com/file/d/1348NEeOr4EOyOFM5VgCqybG2jBs2kPCn/view?usp=drivesdk</t>
  </si>
  <si>
    <t xml:space="preserve">https://drive.google.com/file/d/1VVWgy7NcLm7uearPYbbB3c4yugl5ZlE4/view?usp=drivesdk</t>
  </si>
  <si>
    <t xml:space="preserve">https://drive.google.com/file/d/1C6h0MyZHpnCHiG1vqguJ3DTa1Pm9ERea/view?usp=drivesdk</t>
  </si>
  <si>
    <t xml:space="preserve">https://drive.google.com/file/d/158TttOirV7t42fTCBWaBUmhz1U3yPLBX/view?usp=drivesdk</t>
  </si>
  <si>
    <t xml:space="preserve">https://drive.google.com/file/d/1wr_z9Ty4jfysZZxzlyccLxo1kVJnUBmo/view?usp=drivesdk</t>
  </si>
  <si>
    <t xml:space="preserve">https://drive.google.com/file/d/11mIWbefV47QjYBoVsn8C002R_vtZeT4Q/view?usp=drivesdk</t>
  </si>
  <si>
    <t xml:space="preserve">https://drive.google.com/file/d/1jE8z0ibPlz60IKM_RyxtAhI5MlolqtNz/view?usp=drivesdk</t>
  </si>
  <si>
    <t xml:space="preserve">https://drive.google.com/file/d/1PFW6azLA80h2yBu86VQj4Uk8R_WlBWJV/view?usp=drivesdk</t>
  </si>
  <si>
    <t xml:space="preserve">https://drive.google.com/file/d/1VqjtuyKQD3g6z_oRyGa537-_x3k29mkH/view?usp=drivesdk</t>
  </si>
  <si>
    <t xml:space="preserve">https://drive.google.com/file/d/1usJGW8XMgRQJ-_z1SKlLK3WBi2EVji4L/view?usp=drivesdk</t>
  </si>
  <si>
    <t xml:space="preserve">Даваасүрэн</t>
  </si>
  <si>
    <t xml:space="preserve">https://drive.google.com/file/d/1q_GDGD659F1DewSSX7tPx79qMeuNmH1Z/view?usp=drivesdk</t>
  </si>
  <si>
    <t xml:space="preserve">https://drive.google.com/file/d/1BzVJuz_j3s6YfjfzVAF8s4uvG5Z1XbUG/view?usp=drivesdk</t>
  </si>
  <si>
    <t xml:space="preserve">https://drive.google.com/file/d/1_v_CcYUODEImTav6fY0vLDa6fG6DyEU6/view?usp=drivesdk</t>
  </si>
  <si>
    <t xml:space="preserve">https://drive.google.com/file/d/1ynwln54cUB6HI_XCbD8b6b7Pk2RLfJ84/view?usp=drivesdk</t>
  </si>
  <si>
    <t xml:space="preserve">https://drive.google.com/file/d/1OOlJUpk_gh9nHOau5yUObBB7mBjfBBUO/view?usp=drivesdk</t>
  </si>
  <si>
    <t xml:space="preserve">https://drive.google.com/file/d/1BZleMWsrkq6HJsIhuIeS0AfUrs6x4sYg/view?usp=drivesdk</t>
  </si>
  <si>
    <t xml:space="preserve">Саруултунгалаг</t>
  </si>
  <si>
    <t xml:space="preserve">https://drive.google.com/file/d/1e8ZynnNeYWPlhrd5F-zySiHGKjsOw6Ar/view?usp=drivesdk</t>
  </si>
  <si>
    <t xml:space="preserve">https://drive.google.com/file/d/1f6yUUz1BQF3wdH2xMm7P_WdsFloKFhfs/view?usp=drivesdk</t>
  </si>
  <si>
    <t xml:space="preserve">https://drive.google.com/file/d/1iNqTOnGgLVjCaife_u52Fb-ZQOXDN-DL/view?usp=drivesdk</t>
  </si>
  <si>
    <t xml:space="preserve">https://drive.google.com/file/d/1Lyqcsq1AOHgchieU6NP4VoNA1w-ZV-A2/view?usp=drivesdk</t>
  </si>
  <si>
    <t xml:space="preserve">https://drive.google.com/file/d/11Je7EEczhKsT3wWKK0atCK536Sdm7PyD/view?usp=drivesdk</t>
  </si>
  <si>
    <t xml:space="preserve">Идэрмөнх</t>
  </si>
  <si>
    <t xml:space="preserve">С(5-Р АНГИ) II-I </t>
  </si>
  <si>
    <t xml:space="preserve">https://drive.google.com/file/d/1albpZm6kY_TKOC7vi4ZdCzRRR7pMvlzg/view?usp=drivesdk</t>
  </si>
  <si>
    <t xml:space="preserve">https://drive.google.com/file/d/1mJWCBlbvCEQojmZMvXpNUzB7mImoqYmx/view?usp=drivesdk</t>
  </si>
  <si>
    <t xml:space="preserve">https://drive.google.com/file/d/1VjjsjEOkmXkxlxBabyOdciieBSJHvEs7/view?usp=drivesdk</t>
  </si>
  <si>
    <t xml:space="preserve">https://drive.google.com/file/d/1vA4mXH963wSvtcAfJYOPgoYOrbYwjOAI/view?usp=drivesdk</t>
  </si>
  <si>
    <t xml:space="preserve">https://drive.google.com/file/d/1j1H4hwIE5Un0bKgbFnEAILgcReH4qU6j/view?usp=drivesdk</t>
  </si>
  <si>
    <t xml:space="preserve">https://drive.google.com/file/d/1lNClcUTIeBolVCeUl8r90lHbQPccABry/view?usp=drivesdk</t>
  </si>
  <si>
    <t xml:space="preserve">https://drive.google.com/file/d/1gBNN_wTlKFBorvpknknfJqCx5zF7F4w4/view?usp=drivesdk</t>
  </si>
  <si>
    <t xml:space="preserve">Мөнгөнбаатар</t>
  </si>
  <si>
    <t xml:space="preserve">https://drive.google.com/file/d/1_jC-9tc_GThdy5R3x9WVcxjb90hfiDoi/view?usp=drivesdk</t>
  </si>
  <si>
    <t xml:space="preserve">https://drive.google.com/file/d/1ScDDifbTnNM_Lp5HkHD_D-h_CkADaQ3g/view?usp=drivesdk</t>
  </si>
  <si>
    <t xml:space="preserve">Энхнаран</t>
  </si>
  <si>
    <t xml:space="preserve">https://drive.google.com/file/d/1UStXAFHjgiki3p_5FxyQHkMHxfOdiVLV/view?usp=drivesdk</t>
  </si>
  <si>
    <t xml:space="preserve">https://drive.google.com/file/d/1lIL7P7QnX5dDCn7bfEQSgswxSZwNEL4p/view?usp=drivesdk</t>
  </si>
  <si>
    <t xml:space="preserve">Дөлгөөнмөрөн</t>
  </si>
  <si>
    <t xml:space="preserve">https://drive.google.com/file/d/1vKEbdITadHqfThsS28T2Ks15oaVGiQny/view?usp=drivesdk</t>
  </si>
  <si>
    <t xml:space="preserve">https://drive.google.com/file/d/1bVUT6iBIuwqMy8NoN4gTWL93thJ0ooC8/view?usp=drivesdk</t>
  </si>
  <si>
    <t xml:space="preserve">https://drive.google.com/file/d/1G21Phk_1YPuDXlY5jIHrsKkrRff05Tls/view?usp=drivesdk</t>
  </si>
  <si>
    <t xml:space="preserve">https://drive.google.com/file/d/1WimAim2XL4tYp2An2OkpS5n_BOKF6Ipe/view?usp=drivesdk</t>
  </si>
  <si>
    <t xml:space="preserve">Ану</t>
  </si>
  <si>
    <t xml:space="preserve">https://drive.google.com/file/d/1O68mttVm7-q4POtBlQHLQLMzGytfBUub/view?usp=drivesdk</t>
  </si>
  <si>
    <t xml:space="preserve">Гэрэлт-Оч</t>
  </si>
  <si>
    <t xml:space="preserve">https://drive.google.com/file/d/1gdp9XjMWNT7My_x0A8wjzYTljhTr70NU/view?usp=drivesdk</t>
  </si>
  <si>
    <t xml:space="preserve">https://drive.google.com/file/d/1YxBGDZtJ7VPVXRDOjdC9Vbq-QgF2XQUc/view?usp=drivesdk</t>
  </si>
  <si>
    <t xml:space="preserve">https://drive.google.com/file/d/1Z43m4hEG1652dexXKlJnbyqxsH3Tmq5T/view?usp=drivesdk</t>
  </si>
  <si>
    <t xml:space="preserve">https://drive.google.com/file/d/1lVDwX3yL4rjcqcKW76d0Lt44qwIvT0EK/view?usp=drivesdk</t>
  </si>
  <si>
    <t xml:space="preserve">Бямбабаяр</t>
  </si>
  <si>
    <t xml:space="preserve">https://drive.google.com/file/d/1WQW0OA3Lv8Be5P5q9q1W9zqsfsBGZYNl/view?usp=drivesdk</t>
  </si>
  <si>
    <t xml:space="preserve">https://drive.google.com/file/d/14fcAcEU4VfJylywh7ZoyXLRAceIWGpfX/view?usp=drivesdk</t>
  </si>
  <si>
    <t xml:space="preserve">https://drive.google.com/file/d/1tcS7akJacAxorHwKyStDhW6QsYLYloPG/view?usp=drivesdk</t>
  </si>
  <si>
    <t xml:space="preserve">https://drive.google.com/file/d/1W3HTyESntCuAhpl1nqll6cYxR1rZ2bJJ/view?usp=drivesdk</t>
  </si>
  <si>
    <t xml:space="preserve">https://drive.google.com/file/d/1F9i7fLl3hntT50LNAhwH6G6JPR3Y7N3G/view?usp=drivesdk</t>
  </si>
  <si>
    <t xml:space="preserve">https://drive.google.com/file/d/1tU11uQWwhnb8AlywR61RH3R-yG9umfiT/view?usp=drivesdk</t>
  </si>
  <si>
    <t xml:space="preserve">https://drive.google.com/file/d/1we53PuRkFsZ86GWnJRAwiQDW7XgMIRkK/view?usp=drivesdk</t>
  </si>
  <si>
    <t xml:space="preserve">https://drive.google.com/file/d/1wuLJ3m3Fc16tvGMdCKXRxSXeY2Klxst3/view?usp=drivesdk</t>
  </si>
  <si>
    <t xml:space="preserve">https://drive.google.com/file/d/1aDHZGrYn8cdpfpERIBjamdiJ6iIzk2I2/view?usp=drivesdk</t>
  </si>
  <si>
    <t xml:space="preserve">https://drive.google.com/file/d/1RsGahB1UngsWTOCarzvrwGs109_vCuHe/view?usp=drivesdk</t>
  </si>
  <si>
    <t xml:space="preserve">https://drive.google.com/file/d/1bISY_MrrdsDBpxhH6RpElu4BfIdWJHCS/view?usp=drivesdk</t>
  </si>
  <si>
    <t xml:space="preserve">https://drive.google.com/file/d/1bTXP14rZlv85wWyWRpYV9Y-UHqr5cqNb/view?usp=drivesdk</t>
  </si>
  <si>
    <t xml:space="preserve">Жаргалан</t>
  </si>
  <si>
    <t xml:space="preserve">https://drive.google.com/file/d/13r6J2FDY0Rs4tpm5Avv7syiIb93DpavB/view?usp=drivesdk</t>
  </si>
  <si>
    <t xml:space="preserve">Бат-Ерөөлт</t>
  </si>
  <si>
    <t xml:space="preserve">https://drive.google.com/file/d/1vmJgJjcUg0T8_2q__AsaDfpGNbjmg1pv/view?usp=drivesdk</t>
  </si>
  <si>
    <t xml:space="preserve">https://drive.google.com/file/d/1NSPhQlAnID4fcvQ_oL6wadKbBJ1vYBQ6/view?usp=drivesdk</t>
  </si>
  <si>
    <t xml:space="preserve">https://drive.google.com/file/d/1nCkpPPXIqWVyNYzcvupm5J_8sSbihSR9/view?usp=drivesdk</t>
  </si>
  <si>
    <t xml:space="preserve">https://drive.google.com/file/d/1NaPVeKSyx3-U8yNzgfEehkLmncjSlMON/view?usp=drivesdk</t>
  </si>
  <si>
    <t xml:space="preserve">Тэнүүн</t>
  </si>
  <si>
    <t xml:space="preserve">https://drive.google.com/file/d/1nwxZEMyw3N-M7AF3PL8C3oyVv11-yq_G/view?usp=drivesdk</t>
  </si>
  <si>
    <t xml:space="preserve">Гэрэлт-Од</t>
  </si>
  <si>
    <t xml:space="preserve">https://drive.google.com/file/d/1uCZCChhqhxn7Y3PY_SNRkNHQR47AwTPG/view?usp=drivesdk</t>
  </si>
  <si>
    <t xml:space="preserve">https://drive.google.com/file/d/17E8VeeTwgX6JODqEGnNb02744Rh71VCo/view?usp=drivesdk</t>
  </si>
  <si>
    <t xml:space="preserve">https://drive.google.com/file/d/1vd-FoBTZHjnXAtOhtqff4b-lLzdFT_AJ/view?usp=drivesdk</t>
  </si>
  <si>
    <t xml:space="preserve">Аминхүслэн</t>
  </si>
  <si>
    <t xml:space="preserve">https://drive.google.com/file/d/1-ILNBFr7WcbqJW-f81INt-GuBZSAh6Qm/view?usp=drivesdk</t>
  </si>
  <si>
    <t xml:space="preserve">https://drive.google.com/file/d/1m4RvJIK6qmbsDS6UxVULNwzQkcvpRbuW/view?usp=drivesdk</t>
  </si>
  <si>
    <t xml:space="preserve">https://drive.google.com/file/d/1z2T5_rx9EEQi5ep_hZ38CJzmb142Lxxp/view?usp=drivesdk</t>
  </si>
  <si>
    <t xml:space="preserve">Гэгээлэн</t>
  </si>
  <si>
    <t xml:space="preserve">https://drive.google.com/file/d/14wpuJr6vdYn-0LWqb-rZbAa4fGLwD1Zq/view?usp=drivesdk</t>
  </si>
  <si>
    <t xml:space="preserve">https://drive.google.com/file/d/11iEkrfZngxzWckSTiCsl4fQkGCxHXCqN/view?usp=drivesdk</t>
  </si>
  <si>
    <t xml:space="preserve">https://drive.google.com/file/d/1nE1AndQDtk-mlEmpMRmC20f--f44KEn0/view?usp=drivesdk</t>
  </si>
  <si>
    <t xml:space="preserve">https://drive.google.com/file/d/1LnzUKpBqWgsVnSIip9cr8lah0E0X0m1o/view?usp=drivesdk</t>
  </si>
  <si>
    <t xml:space="preserve">Балжинням</t>
  </si>
  <si>
    <t xml:space="preserve">https://drive.google.com/file/d/1JoYGKVNPFloKvctFS0lR3b6QCKg6q4Rz/view?usp=drivesdk</t>
  </si>
  <si>
    <t xml:space="preserve">https://drive.google.com/file/d/1GO_RKaDDnqOVP4CcDT456vA0MlizXJlB/view?usp=drivesdk</t>
  </si>
  <si>
    <t xml:space="preserve">https://drive.google.com/file/d/1bf6wP3-OXKogmkvKlKc270Bz9hxHOOZ4/view?usp=drivesdk</t>
  </si>
  <si>
    <t xml:space="preserve">https://drive.google.com/file/d/1M-S0EKlPjek-JEUbC1AWV7Di9Y_HauWQ/view?usp=drivesdk</t>
  </si>
  <si>
    <t xml:space="preserve">Элбэгсайхан</t>
  </si>
  <si>
    <t xml:space="preserve">https://drive.google.com/file/d/1uoSiInfxGfmrGqGc-_GbyCzuZtvRBoDp/view?usp=drivesdk</t>
  </si>
  <si>
    <t xml:space="preserve">https://drive.google.com/file/d/1Lx7LilOEELGIA_sg55-dUE-dANmQBvTV/view?usp=drivesdk</t>
  </si>
  <si>
    <t xml:space="preserve">Сүлд-Эрдэнэ</t>
  </si>
  <si>
    <t xml:space="preserve">https://drive.google.com/file/d/1vVXLaBj16sqHEvXe4Qe8COSxbEvlnRqL/view?usp=drivesdk</t>
  </si>
  <si>
    <t xml:space="preserve">Батсуурь</t>
  </si>
  <si>
    <t xml:space="preserve">https://drive.google.com/file/d/1IiHK1C6f0plYYZqnNV-oGa7BUdZEInb-/view?usp=drivesdk</t>
  </si>
  <si>
    <t xml:space="preserve">Мандахцолмон</t>
  </si>
  <si>
    <t xml:space="preserve">https://drive.google.com/file/d/1kD2Ti0B9pc-648I_6N7nZTGvNB40Ct8b/view?usp=drivesdk</t>
  </si>
  <si>
    <t xml:space="preserve">Энх-Эрдэнэ</t>
  </si>
  <si>
    <t xml:space="preserve">https://drive.google.com/file/d/1TDnuVudw6NtypYTTqDCIXGQyXdrq_fim/view?usp=drivesdk</t>
  </si>
  <si>
    <t xml:space="preserve">https://drive.google.com/file/d/1Tt8RNTbbQdKsuSbcSXzsPSrV2ek6gnFB/view?usp=drivesdk</t>
  </si>
  <si>
    <t xml:space="preserve">https://drive.google.com/file/d/1f2u8jYDPkrv1Ri4t3cAOeH263KmilSvG/view?usp=drivesdk</t>
  </si>
  <si>
    <t xml:space="preserve">https://drive.google.com/file/d/1tIvQmLT6GNTHSz5-_DIW9elZmRcu4ke8/view?usp=drivesdk</t>
  </si>
  <si>
    <t xml:space="preserve">Онон</t>
  </si>
  <si>
    <t xml:space="preserve">https://drive.google.com/file/d/1xo8-qqoVPNQJeNLd6n2oGmt-Ik5uVxQy/view?usp=drivesdk</t>
  </si>
  <si>
    <t xml:space="preserve">https://drive.google.com/file/d/1F_zgDrDPGDgnkt7Qf3AkX1Wlg8iHjinp/view?usp=drivesdk</t>
  </si>
  <si>
    <t xml:space="preserve">Төгсаялгуу</t>
  </si>
  <si>
    <t xml:space="preserve">https://drive.google.com/file/d/1qqGUa1ManAZ8UlhKwT97PnhemoXeMdGT/view?usp=drivesdk</t>
  </si>
  <si>
    <t xml:space="preserve">https://drive.google.com/file/d/1XM4fGzUlZG2chZCfOZofMdfz7OV5l1Jk/view?usp=drivesdk</t>
  </si>
  <si>
    <t xml:space="preserve">https://drive.google.com/file/d/16NEE8sQ5nsTGfnz3zZAhS_0ulUTKEz33/view?usp=drivesdk</t>
  </si>
  <si>
    <t xml:space="preserve">https://drive.google.com/file/d/1d0M9G1thcqQsHHDmc9YwAP2gBXkIxwr8/view?usp=drivesdk</t>
  </si>
  <si>
    <t xml:space="preserve">https://drive.google.com/file/d/1LoRzORr8ThW3HpcD5ynq4W-bJi7p92hF/view?usp=drivesdk</t>
  </si>
  <si>
    <t xml:space="preserve">Гансүлд.</t>
  </si>
  <si>
    <t xml:space="preserve">https://drive.google.com/file/d/1Cwcq73KkKtRHZ8JYjTcyBpA0Xvirolpm/view?usp=drivesdk</t>
  </si>
  <si>
    <t xml:space="preserve">Пүрэвсайхан</t>
  </si>
  <si>
    <t xml:space="preserve">https://drive.google.com/file/d/1dtPAQzL1IKqQ6yF1WmjulTRI-XUd6LKs/view?usp=drivesdk</t>
  </si>
  <si>
    <t xml:space="preserve">https://drive.google.com/file/d/1XwGOcgXSDiOFkclP-GumZHnptWXM6QWE/view?usp=drivesdk</t>
  </si>
  <si>
    <t xml:space="preserve">https://drive.google.com/file/d/1bOieNMJ2iVZWTV0mmhKRX1xEfU3EEp3k/view?usp=drivesdk</t>
  </si>
  <si>
    <t xml:space="preserve">https://drive.google.com/file/d/1rb0zu_ZsgRa8qm-7K4dg-jYK6MRgWMZY/view?usp=drivesdk</t>
  </si>
  <si>
    <t xml:space="preserve">https://drive.google.com/file/d/1M6v6BR5O8cpZQrv321NkIWGFZ0EkjBJ1/view?usp=drivesdk</t>
  </si>
  <si>
    <t xml:space="preserve">Өсөхбаяр</t>
  </si>
  <si>
    <t xml:space="preserve">https://drive.google.com/file/d/1JevE9cc-JNNvkPuO_Tg_NoWIfbFZUumn/view?usp=drivesdk</t>
  </si>
  <si>
    <t xml:space="preserve">https://drive.google.com/file/d/1wx8dvnNwSXAgDbxXW2FIQ5vBmCeItFCJ/view?usp=drivesdk</t>
  </si>
  <si>
    <t xml:space="preserve">https://drive.google.com/file/d/1fgJFSPOoFYmzbDEKnF_KTDTpl-OhtIg2/view?usp=drivesdk</t>
  </si>
  <si>
    <t xml:space="preserve">https://drive.google.com/file/d/1yrDXnEHcpTG2c6dgFevVInkX-GHvQgcH/view?usp=drivesdk</t>
  </si>
  <si>
    <t xml:space="preserve">Аялгуу</t>
  </si>
  <si>
    <t xml:space="preserve">https://drive.google.com/file/d/1Q_2vGq26r3C1CXn6D_CU3lEXzJUjg0NP/view?usp=drivesdk</t>
  </si>
  <si>
    <t xml:space="preserve">https://drive.google.com/file/d/19_oKXSBKsbDfQgGPG9tTyonGaTJ3zEwW/view?usp=drivesdk</t>
  </si>
  <si>
    <t xml:space="preserve">https://drive.google.com/file/d/1DdXtg52rue4v3UPD_vVlD7hxrK5_afVy/view?usp=drivesdk</t>
  </si>
  <si>
    <t xml:space="preserve">https://drive.google.com/file/d/16ivl_gI-OcsCfctDw0uIpvYTjhzt063k/view?usp=drivesdk</t>
  </si>
  <si>
    <t xml:space="preserve">https://drive.google.com/file/d/1mZSqxjDIvxzr77dSi6vBQ_y8o31XHYce/view?usp=drivesdk</t>
  </si>
  <si>
    <t xml:space="preserve">https://drive.google.com/file/d/1GUX98sQNHi-vjsBp3xYLTsGHzqUpq0Z0/view?usp=drivesdk</t>
  </si>
  <si>
    <t xml:space="preserve">Агьмарал</t>
  </si>
  <si>
    <t xml:space="preserve">https://drive.google.com/file/d/1Kx_LQMo9lXUTrvRqYgpwYT0xswHAL6q6/view?usp=drivesdk</t>
  </si>
  <si>
    <t xml:space="preserve">https://drive.google.com/file/d/1Ldbt8r6DSsmKnDmk0Q8QQlTqnUTyqXEo/view?usp=drivesdk</t>
  </si>
  <si>
    <t xml:space="preserve">https://drive.google.com/file/d/1T5wrjTtOMxOEXbjsAZ6ra1G9ACWLO65A/view?usp=drivesdk</t>
  </si>
  <si>
    <t xml:space="preserve">https://drive.google.com/file/d/11sq-ukLf4tEFvmtpBuL5gbJaBPiNJja1/view?usp=drivesdk</t>
  </si>
  <si>
    <t xml:space="preserve">https://drive.google.com/file/d/1_KaZal4Pc1u0fys8ivEDtUBAMLHX4BOP/view?usp=drivesdk</t>
  </si>
  <si>
    <t xml:space="preserve">https://drive.google.com/file/d/1iPTUTqYaOC6wxO1x-XX7_k6OK9KIO0X-/view?usp=drivesdk</t>
  </si>
  <si>
    <t xml:space="preserve">Уянга.</t>
  </si>
  <si>
    <t xml:space="preserve">https://drive.google.com/file/d/1ajqr-CfnvP2BT4qVmIny8HNrJGZYbg_H/view?usp=drivesdk</t>
  </si>
  <si>
    <t xml:space="preserve">https://drive.google.com/file/d/1WTDiVDmVO93h5foIJEpwVydvFlZOSP18/view?usp=drivesdk</t>
  </si>
  <si>
    <t xml:space="preserve">https://drive.google.com/file/d/1O5AxbLfD1_PxmALAeKsJn4SaZWpNhIui/view?usp=drivesdk</t>
  </si>
  <si>
    <t xml:space="preserve">https://drive.google.com/file/d/1dZIJe85QoqD3DHp5GfGp1aiaGkR_7ggE/view?usp=drivesdk</t>
  </si>
  <si>
    <t xml:space="preserve">Оргил</t>
  </si>
  <si>
    <t xml:space="preserve">https://drive.google.com/file/d/1QwRUqHB3GMGGqv8ABbdyK3tTG2lrmGBZ/view?usp=drivesdk</t>
  </si>
  <si>
    <t xml:space="preserve">https://drive.google.com/file/d/1s5e06TL_jCw0cGCff9ybfS8TjXm22mGq/view?usp=drivesdk</t>
  </si>
  <si>
    <t xml:space="preserve">https://drive.google.com/file/d/1Be92ceZvKgbKR3VVlaGbGWfXTNyX3Wjy/view?usp=drivesdk</t>
  </si>
  <si>
    <t xml:space="preserve">https://drive.google.com/file/d/1a5f4YCsBpB6uigJndoqFyPOMaBCPdn-2/view?usp=drivesdk</t>
  </si>
  <si>
    <t xml:space="preserve">Ган-Очир</t>
  </si>
  <si>
    <t xml:space="preserve">https://drive.google.com/file/d/1lNhU_6kRPh-CHjQ1f4A2Vtb7EBk40ilS/view?usp=drivesdk</t>
  </si>
  <si>
    <t xml:space="preserve">https://drive.google.com/file/d/1yNulzDeA_je9ISCNJU9CpEaHXikNnemo/view?usp=drivesdk</t>
  </si>
  <si>
    <t xml:space="preserve">Азбилэг</t>
  </si>
  <si>
    <t xml:space="preserve">https://drive.google.com/file/d/1_eFvGEQKj9sLWkH9YqxpjU3JevRvMT11/view?usp=drivesdk</t>
  </si>
  <si>
    <t xml:space="preserve">https://drive.google.com/file/d/1Bx368d6C49ZehYMKd6pHnUebfa8ixMMX/view?usp=drivesdk</t>
  </si>
  <si>
    <t xml:space="preserve">https://drive.google.com/file/d/1aAxFTmcrfu4_ljmE43TFInczrxyOem6d/view?usp=drivesdk</t>
  </si>
  <si>
    <t xml:space="preserve">https://drive.google.com/file/d/161M1W7rykAi8B4B1HZukDvWz6tpIsMaM/view?usp=drivesdk</t>
  </si>
  <si>
    <t xml:space="preserve">Ариунбат</t>
  </si>
  <si>
    <t xml:space="preserve">https://drive.google.com/file/d/1gLNdiX_-Vu3A53JbeOEsa5GNQ01iMf3f/view?usp=drivesdk</t>
  </si>
  <si>
    <t xml:space="preserve">https://drive.google.com/file/d/1wqgoT5UqlPgN5uesN86jRgYxOqA9-p5z/view?usp=drivesdk</t>
  </si>
  <si>
    <t xml:space="preserve">https://drive.google.com/file/d/1-Sg75IvZAXV92zMxIRfuzqS8PURt1pws/view?usp=drivesdk</t>
  </si>
  <si>
    <t xml:space="preserve">https://drive.google.com/file/d/1o8uTVwsTkwlT8r1Rzw-ExpJdxrrVL1du/view?usp=drivesdk</t>
  </si>
  <si>
    <t xml:space="preserve">Билэг-Энэрэл</t>
  </si>
  <si>
    <t xml:space="preserve">https://drive.google.com/file/d/1JErmq9Xw5A7K2ziwASfv8Ku6vcvfkSM0/view?usp=drivesdk</t>
  </si>
  <si>
    <t xml:space="preserve">https://drive.google.com/file/d/18FOeyPWP9L0NCwgiwB7LV9SvcrRR0TcF/view?usp=drivesdk</t>
  </si>
  <si>
    <t xml:space="preserve">https://drive.google.com/file/d/10yH7ENE0uJzDqHn-sJxOE_6x_5rX86VB/view?usp=drivesdk</t>
  </si>
  <si>
    <t xml:space="preserve">https://drive.google.com/file/d/1v28YqVbEEmQvcWzjQOk7Q8moY08s-KnQ/view?usp=drivesdk</t>
  </si>
  <si>
    <t xml:space="preserve">Эрхэс</t>
  </si>
  <si>
    <t xml:space="preserve">https://drive.google.com/file/d/116Ahh5ctxgd-w-EYGc2OEQeEDt778oGK/view?usp=drivesdk</t>
  </si>
  <si>
    <t xml:space="preserve">https://drive.google.com/file/d/1EUfutHj9MgeNb32c9KofRCfiYcYvpt1b/view?usp=drivesdk</t>
  </si>
  <si>
    <t xml:space="preserve">https://drive.google.com/file/d/1nhKLWrM5fxNQuxGN36aVfwU50fUWQuT5/view?usp=drivesdk</t>
  </si>
  <si>
    <t xml:space="preserve">https://drive.google.com/file/d/1egkvZN_nGl8F8YN_6i5qYmBhRf-R_wfU/view?usp=drivesdk</t>
  </si>
  <si>
    <t xml:space="preserve">Идэржавхлан</t>
  </si>
  <si>
    <t xml:space="preserve">https://drive.google.com/file/d/1vUbMlImYHnZEIe2ujuQeWxyUbPWc076a/view?usp=drivesdk</t>
  </si>
  <si>
    <t xml:space="preserve">https://drive.google.com/file/d/166ViFEx4klCAqpAZVF4xyQpxXlcWP9n0/view?usp=drivesdk</t>
  </si>
  <si>
    <t xml:space="preserve">https://drive.google.com/file/d/1hWfE4BN9YismwlKykk-7sDKGTPnDzP-g/view?usp=drivesdk</t>
  </si>
  <si>
    <t xml:space="preserve">https://drive.google.com/file/d/1RBKxXLYb65_oG5Gt9ZRSLNASlCFYDvWB/view?usp=drivesdk</t>
  </si>
  <si>
    <t xml:space="preserve">Төрболд.</t>
  </si>
  <si>
    <t xml:space="preserve">https://drive.google.com/file/d/1sSJc8VS6h-hBDg3t-l2Lz41Pa-QcBEng/view?usp=drivesdk</t>
  </si>
  <si>
    <t xml:space="preserve">https://drive.google.com/file/d/1il5L7Aci39Fj74BwZ5fILggaQ9EZNAzF/view?usp=drivesdk</t>
  </si>
  <si>
    <t xml:space="preserve">https://drive.google.com/file/d/13dJDiMDWavt_MxUlkpQsFdsvG39zW3HD/view?usp=drivesdk</t>
  </si>
  <si>
    <t xml:space="preserve">https://drive.google.com/file/d/10bOpjy21J8vquDEX5g_8GGMPMG_BQCMG/view?usp=drivesdk</t>
  </si>
  <si>
    <t xml:space="preserve">https://drive.google.com/file/d/1usMyiID57k7FBWNZ_hPht4nDWbM73mNu/view?usp=drivesdk</t>
  </si>
  <si>
    <t xml:space="preserve">https://drive.google.com/file/d/1xZCGyxC-k9Ae5WIwbMPdTDdePqkVKvdL/view?usp=drivesdk</t>
  </si>
  <si>
    <t xml:space="preserve">https://drive.google.com/file/d/1-VxKpw9QrhQx-qXKM3Kzo9wjuiAHoqR0/view?usp=drivesdk</t>
  </si>
  <si>
    <t xml:space="preserve">https://drive.google.com/file/d/1w1EcByW0Rtvc4rJk3t_II7p01-2IbHPa/view?usp=drivesdk</t>
  </si>
  <si>
    <t xml:space="preserve">https://drive.google.com/file/d/14eFW0YbYZjSpXXMQsalaC_S_6085H8-L/view?usp=drivesdk</t>
  </si>
  <si>
    <t xml:space="preserve">https://drive.google.com/file/d/1OZGKH5RP7JnuNEz5p_1rRqO_KsehKHX4/view?usp=drivesdk</t>
  </si>
  <si>
    <t xml:space="preserve">https://drive.google.com/file/d/15VVD-iUZf71tMqfEg-0JuYZtqFAtzeEv/view?usp=drivesdk</t>
  </si>
  <si>
    <t xml:space="preserve">Цэрэнтогтох</t>
  </si>
  <si>
    <t xml:space="preserve">https://drive.google.com/file/d/1Ahudnd0xoWi2JFu8aeoFNFKVa5IHNvx2/view?usp=drivesdk</t>
  </si>
  <si>
    <t xml:space="preserve">https://drive.google.com/file/d/1D-zgLhwbROMoOIztKt5J8VXUjdrUKa5o/view?usp=drivesdk</t>
  </si>
  <si>
    <t xml:space="preserve">https://drive.google.com/file/d/17lQz1xESIJfG449Oy2wKalXcaRyXrNTM/view?usp=drivesdk</t>
  </si>
  <si>
    <t xml:space="preserve">https://drive.google.com/file/d/14UhW4JYx67Sw8b5NU3TNpQcQOZQyj0io/view?usp=drivesdk</t>
  </si>
  <si>
    <t xml:space="preserve">Энхшүр</t>
  </si>
  <si>
    <t xml:space="preserve">https://drive.google.com/file/d/1M4Xe0560A8ygjRYZEF2m3l2Q92RQvWW_/view?usp=drivesdk</t>
  </si>
  <si>
    <t xml:space="preserve">https://drive.google.com/file/d/1Whe3jTntzGUisX64Dhm_rejzx20B3v3Y/view?usp=drivesdk</t>
  </si>
  <si>
    <t xml:space="preserve">https://drive.google.com/file/d/1XizNlglxBlvmGS5dNAI4mSRwGi_bFWwt/view?usp=drivesdk</t>
  </si>
  <si>
    <t xml:space="preserve">https://drive.google.com/file/d/1UPAAEHPi7-oTXm_byAe4Geo4pwWQM-fX/view?usp=drivesdk</t>
  </si>
  <si>
    <t xml:space="preserve">https://drive.google.com/file/d/1rQoTbnjEwKeNVy8J4I7psr-9G2CGxTTO/view?usp=drivesdk</t>
  </si>
  <si>
    <t xml:space="preserve">https://drive.google.com/file/d/1CE1S3UNirh9LNwany025wWFUvDkUWYIN/view?usp=drivesdk</t>
  </si>
  <si>
    <t xml:space="preserve">https://drive.google.com/file/d/1Pb8_qpNGcF5mFVO2OFVNi8UPM5teSVJI/view?usp=drivesdk</t>
  </si>
  <si>
    <t xml:space="preserve">https://drive.google.com/file/d/1CPM3Y5k6oD4nOS7DRDfYa5Zh-iKzStn9/view?usp=drivesdk</t>
  </si>
  <si>
    <t xml:space="preserve">Галцог</t>
  </si>
  <si>
    <t xml:space="preserve">https://drive.google.com/file/d/1R-GgOwkGL4b2H1eJDWEYJlfUVx45BZRs/view?usp=drivesdk</t>
  </si>
  <si>
    <t xml:space="preserve">https://drive.google.com/file/d/1lUpKeAKztzO2Z_o-sqPlC3gWpkCiH9Dw/view?usp=drivesdk</t>
  </si>
  <si>
    <t xml:space="preserve">https://drive.google.com/file/d/1HdGESfaw7ef1bBuKa6-Sdo8a-eyVXmEi/view?usp=drivesdk</t>
  </si>
  <si>
    <t xml:space="preserve">https://drive.google.com/file/d/16BBM4nM1KeWuSCnyRy9XNjBYFfnX5mnS/view?usp=drivesdk</t>
  </si>
  <si>
    <t xml:space="preserve">Золзаяа</t>
  </si>
  <si>
    <t xml:space="preserve">https://drive.google.com/file/d/1vAZQarMcOlq1TATQ1v2bl2X_RPtsg9kQ/view?usp=drivesdk</t>
  </si>
  <si>
    <t xml:space="preserve">Амгалан</t>
  </si>
  <si>
    <t xml:space="preserve">https://drive.google.com/file/d/1rDUyqAFD7NJFPuGbN2cvW0y4lpMI74Sc/view?usp=drivesdk</t>
  </si>
  <si>
    <t xml:space="preserve">Бүжинлхам</t>
  </si>
  <si>
    <t xml:space="preserve">https://drive.google.com/file/d/161ml1q8DBPz9gox15c86fhG1ys-_dHK1/view?usp=drivesdk</t>
  </si>
  <si>
    <t xml:space="preserve">https://drive.google.com/file/d/1peJJnHF6XlS8zVxVNydRr4GZP05FZyqP/view?usp=drivesdk</t>
  </si>
  <si>
    <t xml:space="preserve">https://drive.google.com/file/d/1QSe8OgXuLuo9sCUgOna_UtVU7nBqofij/view?usp=drivesdk</t>
  </si>
  <si>
    <t xml:space="preserve">https://drive.google.com/file/d/1cnkvurXH-tQ3unVHlDpHV4FMYvUUdMqj/view?usp=drivesdk</t>
  </si>
  <si>
    <t xml:space="preserve">Жанерке</t>
  </si>
  <si>
    <t xml:space="preserve">https://drive.google.com/file/d/1vGpomnEyXx8c7CFw3XVay40YpxKhRFKj/view?usp=drivesdk</t>
  </si>
  <si>
    <t xml:space="preserve">https://drive.google.com/file/d/1IoImIaM8j-oF0QpSkG5_9QnrvVq55t9S/view?usp=drivesdk</t>
  </si>
  <si>
    <t xml:space="preserve">Нямдаваа</t>
  </si>
  <si>
    <t xml:space="preserve">https://drive.google.com/file/d/18-1tr3eB72W06cipec1zV5MCGI-cE-Ip/view?usp=drivesdk</t>
  </si>
  <si>
    <t xml:space="preserve">https://drive.google.com/file/d/18cNUFDu9-6uxkXhJ5FBywrc_F1xjTIds/view?usp=drivesdk</t>
  </si>
  <si>
    <t xml:space="preserve">https://drive.google.com/file/d/1ToBnJGdUgkzww01eKB6knndrbvFk8C74/view?usp=drivesdk</t>
  </si>
  <si>
    <t xml:space="preserve">https://drive.google.com/file/d/1EGMUvDOE-Qk9FEidLQS9KwcxvwV5jV9O/view?usp=drivesdk</t>
  </si>
  <si>
    <t xml:space="preserve">https://drive.google.com/file/d/1Y9R7FFCQn146JnG49a06rlbdoTAT2Hfu/view?usp=drivesdk</t>
  </si>
  <si>
    <t xml:space="preserve">https://drive.google.com/file/d/1WddGnmAy1e6-Ux8JrMrVP2RM9dK73MwA/view?usp=drivesdk</t>
  </si>
  <si>
    <t xml:space="preserve">https://drive.google.com/file/d/1tVnqkZyLon4v3ZMg_MUT_5T6umP1xuyY/view?usp=drivesdk</t>
  </si>
  <si>
    <t xml:space="preserve">https://drive.google.com/file/d/14duE_eBTfhplNm6AxZEHXNT-B9f5DrAQ/view?usp=drivesdk</t>
  </si>
  <si>
    <t xml:space="preserve">https://drive.google.com/file/d/1_2BRtvKXLMNI168GvCAeC4M5PxgMgfCU/view?usp=drivesdk</t>
  </si>
  <si>
    <t xml:space="preserve">https://drive.google.com/file/d/13vX5iRO2Z3V2g8E6mYhOA91FZCmdmnFB/view?usp=drivesdk</t>
  </si>
  <si>
    <t xml:space="preserve">https://drive.google.com/file/d/1lYbGCvr_aFOJJZuNWXy3pxsZEObMyPnE/view?usp=drivesdk</t>
  </si>
  <si>
    <t xml:space="preserve">https://drive.google.com/file/d/1gdUYCzKRm9lRIWqqlOH9EufNG_U2IrO2/view?usp=drivesdk</t>
  </si>
  <si>
    <t xml:space="preserve">https://drive.google.com/file/d/1DHfNoyKz7XAJmcAScNEduM_ioNSv08yZ/view?usp=drivesdk</t>
  </si>
  <si>
    <t xml:space="preserve">Тэлмэнсайхан</t>
  </si>
  <si>
    <t xml:space="preserve">https://drive.google.com/file/d/1UE3YH8RliBKqQCJDFRzeGesRFHMWtYRr/view?usp=drivesdk</t>
  </si>
  <si>
    <t xml:space="preserve">https://drive.google.com/file/d/1rAGxpU9H-wHVNXNtjKfOp0VhtfyBWUIP/view?usp=drivesdk</t>
  </si>
  <si>
    <t xml:space="preserve">https://drive.google.com/file/d/1Hdr1-K978__Xmb91PDEDtzB_DvG-NY7c/view?usp=drivesdk</t>
  </si>
  <si>
    <t xml:space="preserve">https://drive.google.com/file/d/17yFByU93aYxThCXVoiA8JROCE5BFccn9/view?usp=drivesdk</t>
  </si>
  <si>
    <t xml:space="preserve">https://drive.google.com/file/d/1g3yDHM3PWzOfLm7BwJZIBvudSeIV7qxJ/view?usp=drivesdk</t>
  </si>
  <si>
    <t xml:space="preserve">https://drive.google.com/file/d/1M3CzaI6HaMDXiupfhuRfLvDxVLiX8oIg/view?usp=drivesdk</t>
  </si>
  <si>
    <t xml:space="preserve">https://drive.google.com/file/d/1vvHahUnL0EZ3t6iJ4XMsON4sIlVkxtbg/view?usp=drivesdk</t>
  </si>
  <si>
    <t xml:space="preserve">https://drive.google.com/file/d/1QYheEM2gYFMLkXffWJikxLUUajfn3SMk/view?usp=drivesdk</t>
  </si>
  <si>
    <t xml:space="preserve">Ухаалаг</t>
  </si>
  <si>
    <t xml:space="preserve">С(6-Р АНГИ) II-I</t>
  </si>
  <si>
    <t xml:space="preserve">https://drive.google.com/file/d/1u9q7QQJt4gl2fm7fS0xRUdqI-quN39Sy/view?usp=drivesdk</t>
  </si>
  <si>
    <t xml:space="preserve">https://drive.google.com/file/d/1FIetvzmMIUzwn_CtHy4J8xg1iRd_JXTF/view?usp=drivesdk</t>
  </si>
  <si>
    <t xml:space="preserve">https://drive.google.com/file/d/1npVigkPUDbn0ROFDWvdBhOY7Lcms8yf7/view?usp=drivesdk</t>
  </si>
  <si>
    <t xml:space="preserve">https://drive.google.com/file/d/1iKWW6g5kRe8MZvreSg4fKcRga5ewgFLG/view?usp=drivesdk</t>
  </si>
  <si>
    <t xml:space="preserve">Эрдэнэбаатар</t>
  </si>
  <si>
    <t xml:space="preserve">https://drive.google.com/file/d/1RzLXQBwofWHFY-6aXqkYvqYKwj1XqFuC/view?usp=drivesdk</t>
  </si>
  <si>
    <t xml:space="preserve">https://drive.google.com/file/d/1GjYr5WFh9Nv8DAM1JPL0chioUpjceNCW/view?usp=drivesdk</t>
  </si>
  <si>
    <t xml:space="preserve">https://drive.google.com/file/d/1lKtkcK3xNSsoksQXgEZ5t5Xf0bTMe3Nr/view?usp=drivesdk</t>
  </si>
  <si>
    <t xml:space="preserve">https://drive.google.com/file/d/18-DPOiu1j3qI7YDSNAs3TVtWFeUSqNMO/view?usp=drivesdk</t>
  </si>
  <si>
    <t xml:space="preserve">https://drive.google.com/file/d/1O1K78ih9HfwMgpetmfGfxMIKs_mGwBVO/view?usp=drivesdk</t>
  </si>
  <si>
    <t xml:space="preserve">https://drive.google.com/file/d/1ALjyqWsWV5Gm0XX2cngMVWbFxvBmseoi/view?usp=drivesdk</t>
  </si>
  <si>
    <t xml:space="preserve">Тогтуунхүслэн</t>
  </si>
  <si>
    <t xml:space="preserve">https://drive.google.com/file/d/1wVBlo1YA4Q6uic-QelSgitBptNn7yASi/view?usp=drivesdk</t>
  </si>
  <si>
    <t xml:space="preserve">https://drive.google.com/file/d/195i-oBlT50Td-PWpIJzhueuvNgdud63n/view?usp=drivesdk</t>
  </si>
  <si>
    <t xml:space="preserve">https://drive.google.com/file/d/14q1d7M1gXFhomvEWAZnXBKnE4nI2pKQx/view?usp=drivesdk</t>
  </si>
  <si>
    <t xml:space="preserve">https://drive.google.com/file/d/1n8t9A97vVpggHu7iA1UsPiCIGBYYqebw/view?usp=drivesdk</t>
  </si>
  <si>
    <t xml:space="preserve">https://drive.google.com/file/d/1zgLIrpU1j68tOw-2AoSqjD2zSaDxHkNY/view?usp=drivesdk</t>
  </si>
  <si>
    <t xml:space="preserve">https://drive.google.com/file/d/1-hokkF2P9ojx-3L99FXIi_GpYwWczkIb/view?usp=drivesdk</t>
  </si>
  <si>
    <t xml:space="preserve">https://drive.google.com/file/d/19hJcV-UzxNWr4WWH3XIsXWt4AXIhwC0i/view?usp=drivesdk</t>
  </si>
  <si>
    <t xml:space="preserve">https://drive.google.com/file/d/17nr827JhgcSvs750I4o0qplhZvF1dMu8/view?usp=drivesdk</t>
  </si>
  <si>
    <t xml:space="preserve">https://drive.google.com/file/d/1Fu2-b8A-BwYqp4UpozaxY3MDz0eVxkhe/view?usp=drivesdk</t>
  </si>
  <si>
    <t xml:space="preserve">Анурад</t>
  </si>
  <si>
    <t xml:space="preserve">https://drive.google.com/file/d/1MtrRLNwpUORdmZMqr00Plu4uJG7Tt0u5/view?usp=drivesdk</t>
  </si>
  <si>
    <t xml:space="preserve">https://drive.google.com/file/d/1oWMf18VGf1TB0v0ZYp_iEocn49hB3z0R/view?usp=drivesdk</t>
  </si>
  <si>
    <t xml:space="preserve">https://drive.google.com/file/d/1zOQPeOLIOyTAU-J6oql2Kk7Mf9jvfXVF/view?usp=drivesdk</t>
  </si>
  <si>
    <t xml:space="preserve">https://drive.google.com/file/d/1WypCNHLj_JcrALiJbm3f_4D55wSM62pR/view?usp=drivesdk</t>
  </si>
  <si>
    <t xml:space="preserve">https://drive.google.com/file/d/1W_xJAmF-c74YzWFVY9e73ED6lXWq8prI/view?usp=drivesdk</t>
  </si>
  <si>
    <t xml:space="preserve">https://drive.google.com/file/d/1viAl3-8c-XM09FCaOmn3Gj8f0bO_p8XM/view?usp=drivesdk</t>
  </si>
  <si>
    <t xml:space="preserve">https://drive.google.com/file/d/1jel8_K5ZyFdrBau3rYCDBUAQl2kn2jqr/view?usp=drivesdk</t>
  </si>
  <si>
    <t xml:space="preserve">https://drive.google.com/file/d/1qXm89owDXjD7ndIIOEtUs7wxUO-EvcQ9/view?usp=drivesdk</t>
  </si>
  <si>
    <t xml:space="preserve">Хулангоо</t>
  </si>
  <si>
    <t xml:space="preserve">https://drive.google.com/file/d/1H7qJg-AgeO_FHFp5YHquzx5c4aUvcBPq/view?usp=drivesdk</t>
  </si>
  <si>
    <t xml:space="preserve">https://drive.google.com/file/d/1zwudQmYkhf46132SZ_80gH89fmZ3hds3/view?usp=drivesdk</t>
  </si>
  <si>
    <t xml:space="preserve">https://drive.google.com/file/d/13_3gqppEF11uOgXKTWkO2ScYu6vYklYe/view?usp=drivesdk</t>
  </si>
  <si>
    <t xml:space="preserve">https://drive.google.com/file/d/1ELWOBboWl3YCRH15NBWVQigIr51LymzT/view?usp=drivesdk</t>
  </si>
  <si>
    <t xml:space="preserve">https://drive.google.com/file/d/1iiRmf3j2W0AExXvMgVb2zy5sRdcwyQjj/view?usp=drivesdk</t>
  </si>
  <si>
    <t xml:space="preserve">https://drive.google.com/file/d/1Yrryvbbc8Qz78YRy8lXsEGKd6ifcgsBh/view?usp=drivesdk</t>
  </si>
  <si>
    <t xml:space="preserve">https://drive.google.com/file/d/1tOYJV-sgIrnKYi7JpBgk0rWuz6kESsEs/view?usp=drivesdk</t>
  </si>
  <si>
    <t xml:space="preserve">https://drive.google.com/file/d/1YbymXEnrxE-Z-ap_PZLBgMYfTVPK5-bL/view?usp=drivesdk</t>
  </si>
  <si>
    <t xml:space="preserve">Учрал</t>
  </si>
  <si>
    <t xml:space="preserve">https://drive.google.com/file/d/130_fhBzsO3oITTk70fifq-h0C8rEVQjt/view?usp=drivesdk</t>
  </si>
  <si>
    <t xml:space="preserve">https://drive.google.com/file/d/1YdEtWzxa6At-BnONwiQqE8HL-OXaUUD9/view?usp=drivesdk</t>
  </si>
  <si>
    <t xml:space="preserve">https://drive.google.com/file/d/1Bj2gS100qoxYmzrlqEFYwTboshjKcpe8/view?usp=drivesdk</t>
  </si>
  <si>
    <t xml:space="preserve">https://drive.google.com/file/d/1Um_lVkS7kRgjvWdX-OCdeH0t3Rm34nRm/view?usp=drivesdk</t>
  </si>
  <si>
    <t xml:space="preserve">Дөлгөөнжаргал</t>
  </si>
  <si>
    <t xml:space="preserve">https://drive.google.com/file/d/1DhvlTfaT6ppvqsus98GETExqfny3iYeg/view?usp=drivesdk</t>
  </si>
  <si>
    <t xml:space="preserve">https://drive.google.com/file/d/145ZWlv76l3Mk7J3l5JDsGuDCww6LyM1d/view?usp=drivesdk</t>
  </si>
  <si>
    <t xml:space="preserve">https://drive.google.com/file/d/1frceacvEJ-VdNnT0oCz8_RcXaRgroo0b/view?usp=drivesdk</t>
  </si>
  <si>
    <t xml:space="preserve">https://drive.google.com/file/d/1YCVUdhwY_952qYt-tEIHanmOieWxkNip/view?usp=drivesdk</t>
  </si>
  <si>
    <t xml:space="preserve">https://drive.google.com/file/d/13pvejgxemsicLX8hJRXiAnefQ91xu9ma/view?usp=drivesdk</t>
  </si>
  <si>
    <t xml:space="preserve">https://drive.google.com/file/d/15MmvJNot3spNJmPeR7QztB_PTqK5VEuM/view?usp=drivesdk</t>
  </si>
  <si>
    <t xml:space="preserve">https://drive.google.com/file/d/1BvNyNuCG7_YaE4olLIXhbVv89TRKw9Ab/view?usp=drivesdk</t>
  </si>
  <si>
    <t xml:space="preserve">https://drive.google.com/file/d/13U_FXmm8ATeUuBeNYW7pJ6adGU23LiXL/view?usp=drivesdk</t>
  </si>
  <si>
    <t xml:space="preserve">Билгүүдэй</t>
  </si>
  <si>
    <t xml:space="preserve">https://drive.google.com/file/d/1lg7DZhfF5yrfzD7QhQeIb-icC70M-_Vi/view?usp=drivesdk</t>
  </si>
  <si>
    <t xml:space="preserve">https://drive.google.com/file/d/1LpTxrP1MRmBEttxaP3gpAa5Q9OV0wYkL/view?usp=drivesdk</t>
  </si>
  <si>
    <t xml:space="preserve">https://drive.google.com/file/d/1jTldY9CvP2HjCwpMUUtYxI16E6b9Zog2/view?usp=drivesdk</t>
  </si>
  <si>
    <t xml:space="preserve">https://drive.google.com/file/d/1EKfxPFydD4uCNMwYZcHu_I3sG2CXZDIe/view?usp=drivesdk</t>
  </si>
  <si>
    <t xml:space="preserve">Эрдэнэцэцэг</t>
  </si>
  <si>
    <t xml:space="preserve">https://drive.google.com/file/d/1JrzrLNHg_Frs46rzEqp9l4DE_ybPLGeS/view?usp=drivesdk</t>
  </si>
  <si>
    <t xml:space="preserve">https://drive.google.com/file/d/1I2qrDNK5sVbanfxJOKK5j23EvPs6CusO/view?usp=drivesdk</t>
  </si>
  <si>
    <t xml:space="preserve">https://drive.google.com/file/d/1ezTBr497FKdFa7gvIBlOuHGILR41OQ-P/view?usp=drivesdk</t>
  </si>
  <si>
    <t xml:space="preserve">https://drive.google.com/file/d/1umaFQvcmq-dxYuAhR8ccBr6A3ra7WQQk/view?usp=drivesdk</t>
  </si>
  <si>
    <t xml:space="preserve">Оюундарь</t>
  </si>
  <si>
    <t xml:space="preserve">https://drive.google.com/file/d/15Bo9iD6wnaKw2oCLwxMTmNjnrEKsI4IW/view?usp=drivesdk</t>
  </si>
  <si>
    <t xml:space="preserve">https://drive.google.com/file/d/15e1oO1f878HwtkDIFQtGXeqX3dDvjhYm/view?usp=drivesdk</t>
  </si>
  <si>
    <t xml:space="preserve">https://drive.google.com/file/d/13NQR2mqkz7jyYi2613rvMVEPwLBKrVkI/view?usp=drivesdk</t>
  </si>
  <si>
    <t xml:space="preserve">https://drive.google.com/file/d/1xS89WvmeNpk_hfkou_kh2k4oGf1iPIgX/view?usp=drivesdk</t>
  </si>
  <si>
    <t xml:space="preserve">https://drive.google.com/file/d/1kwNPWmxw7P5sk5wcWmiaYYbAGeObToRq/view?usp=drivesdk</t>
  </si>
  <si>
    <t xml:space="preserve">https://drive.google.com/file/d/1SV3A1hHs7RFwz22hVCjyZzR6j0dgP5Ul/view?usp=drivesdk</t>
  </si>
  <si>
    <t xml:space="preserve">https://drive.google.com/file/d/1kUmPZWnAvZ8pUrV2KaNiIx2WBybLGQjF/view?usp=drivesdk</t>
  </si>
  <si>
    <t xml:space="preserve">https://drive.google.com/file/d/1IEyEXDcFzyh6bBh9jhZTCo4ChSrmnMET/view?usp=drivesdk</t>
  </si>
  <si>
    <t xml:space="preserve">https://drive.google.com/file/d/1G30zvicfOCLW9i5MUyx0gytTK-GU8bFE/view?usp=drivesdk</t>
  </si>
  <si>
    <t xml:space="preserve">Энхбилгүүн</t>
  </si>
  <si>
    <t xml:space="preserve">https://drive.google.com/file/d/14T1IwNIkR8K-000RtaNk14SXf00ybtTF/view?usp=drivesdk</t>
  </si>
  <si>
    <t xml:space="preserve">https://drive.google.com/file/d/1hxn9--pbQ7l7zAY82peRspigEve6ePnl/view?usp=drivesdk</t>
  </si>
  <si>
    <t xml:space="preserve">https://drive.google.com/file/d/1iyyEnZzJ7L28vO63jK2rS3ZFwytw5iF6/view?usp=drivesdk</t>
  </si>
  <si>
    <t xml:space="preserve">https://drive.google.com/file/d/1f8ClGnazSGPysZuKzrQPSO6Q7YeziZWE/view?usp=drivesdk</t>
  </si>
  <si>
    <t xml:space="preserve">https://drive.google.com/file/d/1T3SjCKN37uSoMTRWx5bFQpaneNSCP90E/view?usp=drivesdk</t>
  </si>
  <si>
    <t xml:space="preserve">https://drive.google.com/file/d/1Al_zhlH5m7pHzq6ckQY23hxoIxCZdSE5/view?usp=drivesdk</t>
  </si>
  <si>
    <t xml:space="preserve">Наранбат</t>
  </si>
  <si>
    <t xml:space="preserve">https://drive.google.com/file/d/1FZKtf-hxkStsTnBXBGDisU894w5SMVl3/view?usp=drivesdk</t>
  </si>
  <si>
    <t xml:space="preserve">https://drive.google.com/file/d/1_7W1smlpEbhiuP7tXmHTHhz5O9s9PtA3/view?usp=drivesdk</t>
  </si>
  <si>
    <t xml:space="preserve">Түмэнцэцэг</t>
  </si>
  <si>
    <t xml:space="preserve">https://drive.google.com/file/d/1Fp8Sm9rhqMAERVLr_sPpCjjW129P1mam/view?usp=drivesdk</t>
  </si>
  <si>
    <t xml:space="preserve">https://drive.google.com/file/d/1zxa97WcJamaYctBGlSqDZwaWu-sNFqUL/view?usp=drivesdk</t>
  </si>
  <si>
    <t xml:space="preserve">https://drive.google.com/file/d/1bWjUAeoHNwicvAQlh6tALG9KT51tbtaY/view?usp=drivesdk</t>
  </si>
  <si>
    <t xml:space="preserve">https://drive.google.com/file/d/1n4T_rl-yFX6pOhxgxsKGZQTCavfL-HEX/view?usp=drivesdk</t>
  </si>
  <si>
    <t xml:space="preserve">Ганболор</t>
  </si>
  <si>
    <t xml:space="preserve">https://drive.google.com/file/d/1GaFF6gLcAFY-p4yKrn_lx9HGwiVFuLH7/view?usp=drivesdk</t>
  </si>
  <si>
    <t xml:space="preserve">https://drive.google.com/file/d/1oNVH-iO9zNqIqbz5vZxRzLN0nItBSYaq/view?usp=drivesdk</t>
  </si>
  <si>
    <t xml:space="preserve">https://drive.google.com/file/d/1p6PBqrZjILaOwoc9Y-XcHLB7gpFL7Cyh/view?usp=drivesdk</t>
  </si>
  <si>
    <t xml:space="preserve">https://drive.google.com/file/d/1TivYUqGB21Jy1veGHj7kWlraHa4b-wkb/view?usp=drivesdk</t>
  </si>
  <si>
    <t xml:space="preserve">Мөнхцэцэг</t>
  </si>
  <si>
    <t xml:space="preserve">https://drive.google.com/file/d/1V6j-WOkrwSDnRAIp5dGdrWyyTmC0zzVa/view?usp=drivesdk</t>
  </si>
  <si>
    <t xml:space="preserve">https://drive.google.com/file/d/1ARsio0WgvWv11XtAbN4LHtEM1zf6yIZE/view?usp=drivesdk</t>
  </si>
  <si>
    <t xml:space="preserve">https://drive.google.com/file/d/1-qh-ETI95t0vnOLwTz0HXY8ORwGLbrvU/view?usp=drivesdk</t>
  </si>
  <si>
    <t xml:space="preserve">https://drive.google.com/file/d/1o6-AzurfCtPsaulukOD7J_nOQi56WCcJ/view?usp=drivesdk</t>
  </si>
  <si>
    <t xml:space="preserve">https://drive.google.com/file/d/1b9Cv9j5r2Q0SK5um7HlGuVqjvGe5vm48/view?usp=drivesdk</t>
  </si>
  <si>
    <t xml:space="preserve">https://drive.google.com/file/d/1O30ZdZ4lXjdwQI7V3kSGW2mK1CRF4WmK/view?usp=drivesdk</t>
  </si>
  <si>
    <t xml:space="preserve">https://drive.google.com/file/d/1KNs_uuDJk8WZYiiTIPthExmz4RB3GSkg/view?usp=drivesdk</t>
  </si>
  <si>
    <t xml:space="preserve">https://drive.google.com/file/d/1FqYuA5aY7K5Nq2pFJiotBXSiPHTwSCGQ/view?usp=drivesdk</t>
  </si>
  <si>
    <t xml:space="preserve">Ундрах</t>
  </si>
  <si>
    <t xml:space="preserve">https://drive.google.com/file/d/13BTlpr09KDZ-RKD1CZT253pp3U-1V_cO/view?usp=drivesdk</t>
  </si>
  <si>
    <t xml:space="preserve">https://drive.google.com/file/d/1OUenpP3s9P1u0EXoksnuYoVIZrEg5ijl/view?usp=drivesdk</t>
  </si>
  <si>
    <t xml:space="preserve">https://drive.google.com/file/d/1Pw4AP1lVfOSEVNQWouO800EeqOeo4Va-/view?usp=drivesdk</t>
  </si>
  <si>
    <t xml:space="preserve">https://drive.google.com/file/d/1kagLZsV3qyUcdiLSjEK9mmfQZi9budWs/view?usp=drivesdk</t>
  </si>
  <si>
    <t xml:space="preserve">Өнөмөнх</t>
  </si>
  <si>
    <t xml:space="preserve">https://drive.google.com/file/d/1sa2n4J0TktDmYwG-yzZHCfDJLg5lhGBq/view?usp=drivesdk</t>
  </si>
  <si>
    <t xml:space="preserve">https://drive.google.com/file/d/1I7xp_JXzdK73y76Lp42pUxS75ic1W17F/view?usp=drivesdk</t>
  </si>
  <si>
    <t xml:space="preserve">Булгансайхан</t>
  </si>
  <si>
    <t xml:space="preserve">https://drive.google.com/file/d/15SjxJItEjF0SgM3VldhjH_-Y8WhkKCTW/view?usp=drivesdk</t>
  </si>
  <si>
    <t xml:space="preserve">https://drive.google.com/file/d/1DlAb3_CGQkN_MGYxo-DdWQTx1QlU1-Ha/view?usp=drivesdk</t>
  </si>
  <si>
    <t xml:space="preserve">https://drive.google.com/file/d/1aFX4TlQnRfiQRmZ4AAvMZkDSiJVIEscQ/view?usp=drivesdk</t>
  </si>
  <si>
    <t xml:space="preserve">https://drive.google.com/file/d/1l6W5wp9Z-8zzhaDdK7dn1HXetUxeAsMf/view?usp=drivesdk</t>
  </si>
  <si>
    <t xml:space="preserve">Жавхлантөгс</t>
  </si>
  <si>
    <t xml:space="preserve">https://drive.google.com/file/d/1ob5GSbwbcks2SnChmF1IG4b66oGExgWX/view?usp=drivesdk</t>
  </si>
  <si>
    <t xml:space="preserve">Анир-Орших</t>
  </si>
  <si>
    <t xml:space="preserve">https://drive.google.com/file/d/1Pr7iWe8IEFfIgwePYuCpJuEWeRDvyhUX/view?usp=drivesdk</t>
  </si>
  <si>
    <t xml:space="preserve">https://drive.google.com/file/d/1egAqHOjYj7HGgn6s4a0LxXQElevQr8nY/view?usp=drivesdk</t>
  </si>
  <si>
    <t xml:space="preserve">Энхжин.</t>
  </si>
  <si>
    <t xml:space="preserve">https://drive.google.com/file/d/1BbNgbspFwArdhNdqyFYQM-NjQCcgLJh3/view?usp=drivesdk</t>
  </si>
  <si>
    <t xml:space="preserve">https://drive.google.com/file/d/1EMWbfCg4KQHE38Ny4Nlm_xNAteTABZhV/view?usp=drivesdk</t>
  </si>
  <si>
    <t xml:space="preserve">Энхриймаа</t>
  </si>
  <si>
    <t xml:space="preserve">https://drive.google.com/file/d/1YyAHjU0_hEBOY93pAkk4wNqPtmu-fdJC/view?usp=drivesdk</t>
  </si>
  <si>
    <t xml:space="preserve">https://drive.google.com/file/d/1FiEwEfAdpbL3YFBiwgY969i6vuR0DqqC/view?usp=drivesdk</t>
  </si>
  <si>
    <t xml:space="preserve">https://drive.google.com/file/d/19FmmdDoa2AyXLeUC7f9Gf3ImGdb1TNG7/view?usp=drivesdk</t>
  </si>
  <si>
    <t xml:space="preserve">https://drive.google.com/file/d/1xR7Vop5iMpXybGcM18qyJvgcphsK-bOr/view?usp=drivesdk</t>
  </si>
  <si>
    <t xml:space="preserve">https://drive.google.com/file/d/10cKiYG12ykEfudRvW5n2LbJ5SQeQPym5/view?usp=drivesdk</t>
  </si>
  <si>
    <t xml:space="preserve">https://drive.google.com/file/d/1SHT-wUe0fDFWa_Ws_3qjOm5ZLxVmMMeH/view?usp=drivesdk</t>
  </si>
  <si>
    <t xml:space="preserve">https://drive.google.com/file/d/1AsToUDmV-Zjq0DXNVXU1XJZ8xpRetKbS/view?usp=drivesdk</t>
  </si>
  <si>
    <t xml:space="preserve">https://drive.google.com/file/d/1PbvkDEjrK03PLRIJ8JziP5EcPEgtgo3q/view?usp=drivesdk</t>
  </si>
  <si>
    <t xml:space="preserve">https://drive.google.com/file/d/14SVlBtN1JLhQsPAFFTQgLs2fz8_suPlK/view?usp=drivesdk</t>
  </si>
  <si>
    <t xml:space="preserve">https://drive.google.com/file/d/1utJf4xp2S6-cyfXtZOGipO3vS4Yoq9yj/view?usp=drivesdk</t>
  </si>
  <si>
    <t xml:space="preserve">https://drive.google.com/file/d/1qNy9IganJ8GvI1XBGbZZKZXsH0a921yG/view?usp=drivesdk</t>
  </si>
  <si>
    <t xml:space="preserve">https://drive.google.com/file/d/1orAW-_mMhXTGSouYQ6d-_m62dTi-GR8t/view?usp=drivesdk</t>
  </si>
  <si>
    <t xml:space="preserve">https://drive.google.com/file/d/1Q7O3u1_M2jdWil3hY3W9QFyUg7oRMfYe/view?usp=drivesdk</t>
  </si>
  <si>
    <t xml:space="preserve">https://drive.google.com/file/d/1n7U4bFxM_fKrqMcMk0UVYL1VR1tirQpF/view?usp=drivesdk</t>
  </si>
  <si>
    <t xml:space="preserve">https://drive.google.com/file/d/1EOzBBaGjcf7hX6s8O1hRJC8hm6A0Trwf/view?usp=drivesdk</t>
  </si>
  <si>
    <t xml:space="preserve">https://drive.google.com/file/d/1QGrNpg6WB13IAzsPs2pESVdILQfNP7lX/view?usp=drivesdk</t>
  </si>
  <si>
    <t xml:space="preserve">https://drive.google.com/file/d/1mIOORd2d84NokQEH0wNQQjM71D02E1uy/view?usp=drivesdk</t>
  </si>
  <si>
    <t xml:space="preserve">https://drive.google.com/file/d/1FGsGfhcAxhZuCtzvXr6AcR6eNXQDnShd/view?usp=drivesdk</t>
  </si>
  <si>
    <t xml:space="preserve">https://drive.google.com/file/d/1nwxScFDsbrJyz30ldAFLyiFX43-aLNg1/view?usp=drivesdk</t>
  </si>
  <si>
    <t xml:space="preserve">https://drive.google.com/file/d/16nNczOGXS4UG-K-7NglXTqViYl_Tl4__/view?usp=drivesdk</t>
  </si>
  <si>
    <t xml:space="preserve">https://drive.google.com/file/d/13Hu88K7D3yGWa1TSSaq4j3YGNL72WyFv/view?usp=drivesdk</t>
  </si>
  <si>
    <t xml:space="preserve">https://drive.google.com/file/d/1-OZwLyMNIuJVMaoDA7Ej0Sl8Hpr1kDHd/view?usp=drivesdk</t>
  </si>
  <si>
    <t xml:space="preserve">https://drive.google.com/file/d/1nWSodqS9Q4iSHUMRh42xzE47Euhl5CFL/view?usp=drivesdk</t>
  </si>
  <si>
    <t xml:space="preserve">Тэгш-Эрдэнэ</t>
  </si>
  <si>
    <t xml:space="preserve">https://drive.google.com/file/d/1GzTKP0Lxf3-SPvxYsDjx73UPaRupbl2-/view?usp=drivesdk</t>
  </si>
  <si>
    <t xml:space="preserve">https://drive.google.com/file/d/1VcQmN3fPQeqMZrmReIsMydP9Ats7HZsW/view?usp=drivesdk</t>
  </si>
  <si>
    <t xml:space="preserve">https://drive.google.com/file/d/1SUZaSkU0dNmnzvURLLnunuJy6FkhcCKo/view?usp=drivesdk</t>
  </si>
  <si>
    <t xml:space="preserve">https://drive.google.com/file/d/1Ld3_ktfrXMpZy6crY912N6Kta-maKJ-v/view?usp=drivesdk</t>
  </si>
  <si>
    <t xml:space="preserve">Анандзаяа</t>
  </si>
  <si>
    <t xml:space="preserve">https://drive.google.com/file/d/1vmXvS4hvWoKvCdW0tlGeAXZw-w3DdvOD/view?usp=drivesdk</t>
  </si>
  <si>
    <t xml:space="preserve">https://drive.google.com/file/d/10FQoUwzyVee_2ifK6eE_5oUZ4OmVSR6n/view?usp=drivesdk</t>
  </si>
  <si>
    <t xml:space="preserve">Ангирмаа</t>
  </si>
  <si>
    <t xml:space="preserve">https://drive.google.com/file/d/1LYot0zcYTf0tVwgNM8gUgohpbgcbQf73/view?usp=drivesdk</t>
  </si>
  <si>
    <t xml:space="preserve">https://drive.google.com/file/d/1JbfXSUT9ai6JaU62OkuQMPxDFUkeD0tU/view?usp=drivesdk</t>
  </si>
  <si>
    <t xml:space="preserve">https://drive.google.com/file/d/1yWRy6-S5cbiGBQJ1ObK43q35VuWcyP4_/view?usp=drivesdk</t>
  </si>
  <si>
    <t xml:space="preserve">https://drive.google.com/file/d/1IWVq3ikzPUatu5S50OFTYQgiZLxIf3jk/view?usp=drivesdk</t>
  </si>
  <si>
    <t xml:space="preserve">Сарангуа</t>
  </si>
  <si>
    <t xml:space="preserve">https://drive.google.com/file/d/1wlPJkimtNl3euwSRA5zS_5-RayFOu4yc/view?usp=drivesdk</t>
  </si>
  <si>
    <t xml:space="preserve">https://drive.google.com/file/d/1ymDd8d0TzNNROeRfd646yt2gm5-5-Fzv/view?usp=drivesdk</t>
  </si>
  <si>
    <t xml:space="preserve">https://drive.google.com/file/d/1qn1nJvD8pDuo9Zur6Nqq0gC9IMZ15sxE/view?usp=drivesdk</t>
  </si>
  <si>
    <t xml:space="preserve">https://drive.google.com/file/d/1edw2h-xmZ-cELrBmmqZ6VwlJDhcdpDff/view?usp=drivesdk</t>
  </si>
  <si>
    <t xml:space="preserve">Галсандаваа</t>
  </si>
  <si>
    <t xml:space="preserve">https://drive.google.com/file/d/1xv_MFKSCdCmZ3kkYVZuQGVZYLIBOtEsw/view?usp=drivesdk</t>
  </si>
  <si>
    <t xml:space="preserve">https://drive.google.com/file/d/1Yid3GKnSNZp_ECDa4eT0TdZEwRnv0IlE/view?usp=drivesdk</t>
  </si>
  <si>
    <t xml:space="preserve">https://drive.google.com/file/d/1rHVm0ADhhCkXpFg37f_0gG-oyDn7TobI/view?usp=drivesdk</t>
  </si>
  <si>
    <t xml:space="preserve">https://drive.google.com/file/d/1Ug4WRA5HCZko3RSx19jE4TtqwKLDNO8i/view?usp=drivesdk</t>
  </si>
  <si>
    <t xml:space="preserve">https://drive.google.com/file/d/17v41ij_hD3nhPc8BjFRSO2FbNABSTZTv/view?usp=drivesdk</t>
  </si>
  <si>
    <t xml:space="preserve">Очирсүлд</t>
  </si>
  <si>
    <t xml:space="preserve">https://drive.google.com/file/d/1pCDe6jXtVJgbdtWxPczqjL2QG1WaNAHm/view?usp=drivesdk</t>
  </si>
  <si>
    <t xml:space="preserve">Наранзаяа</t>
  </si>
  <si>
    <t xml:space="preserve">https://drive.google.com/file/d/1Ix--RBeM48WhMB4PbE1QRhNiYwwHXcgi/view?usp=drivesdk</t>
  </si>
  <si>
    <t xml:space="preserve">Амгаланбаатар</t>
  </si>
  <si>
    <t xml:space="preserve">https://drive.google.com/file/d/1FnsUnMeADMCw40FRNJD-dWL4vcMp4rUr/view?usp=drivesdk</t>
  </si>
  <si>
    <t xml:space="preserve">Нуртыле</t>
  </si>
  <si>
    <t xml:space="preserve">https://drive.google.com/file/d/1ZMJx-KAJC6pjblV25JIzkskaLdZSUwCL/view?usp=drivesdk</t>
  </si>
  <si>
    <t xml:space="preserve">https://drive.google.com/file/d/1CxxBc-vvThV_WSVzTgZ3WxhbR_zPWOkA/view?usp=drivesdk</t>
  </si>
  <si>
    <t xml:space="preserve">https://drive.google.com/file/d/1mN82mNxjnmYJwZuVtAJeX3BN4tnIJdiK/view?usp=drivesdk</t>
  </si>
  <si>
    <t xml:space="preserve">https://drive.google.com/file/d/1hoVB72mQSZyIv8EWcbsUpCQbDJGdQ6h2/view?usp=drivesdk</t>
  </si>
  <si>
    <t xml:space="preserve">https://drive.google.com/file/d/1FcRw14L2CLSOskL0nDDsbtR2pkEkXxA7/view?usp=drivesdk</t>
  </si>
  <si>
    <t xml:space="preserve">https://drive.google.com/file/d/1CxcvrHFLBMFBh9CWgcxiUeaWrsOxDvwf/view?usp=drivesdk</t>
  </si>
  <si>
    <t xml:space="preserve">Биндэрьяа</t>
  </si>
  <si>
    <t xml:space="preserve">https://drive.google.com/file/d/1S7YsZA9qEo7oi63oKFHTQOgEuoPub4eR/view?usp=drivesdk</t>
  </si>
  <si>
    <t xml:space="preserve">https://drive.google.com/file/d/15Dx1iZaA6OmySBQFhi45qPXvzRm5qCkw/view?usp=drivesdk</t>
  </si>
  <si>
    <t xml:space="preserve">https://drive.google.com/file/d/1tgr1tFQiBwayB4iAG2AFvMf5ws6F3Q7k/view?usp=drivesdk</t>
  </si>
  <si>
    <t xml:space="preserve">https://drive.google.com/file/d/1H-6NQ0oB87NbftEVmaWIEVljYs6qJG_D/view?usp=drivesdk</t>
  </si>
  <si>
    <t xml:space="preserve">Мөнхбилэг</t>
  </si>
  <si>
    <t xml:space="preserve">Өлзий-Учрал</t>
  </si>
  <si>
    <t xml:space="preserve">https://drive.google.com/file/d/1MPEIwF6kSKXJBqK_GlButQY5FJ6yQPEU/view?usp=drivesdk</t>
  </si>
  <si>
    <t xml:space="preserve">Ариун-Эрдэнэ</t>
  </si>
  <si>
    <t xml:space="preserve">https://drive.google.com/file/d/1WE8y-yIcXXuQqlv6pYxjSqNviPof_PMs/view?usp=drivesdk</t>
  </si>
  <si>
    <t xml:space="preserve">https://drive.google.com/file/d/1dKZvF1RC6D8vCkUmIX1T_fgRtj97Q1bv/view?usp=drivesdk</t>
  </si>
  <si>
    <t xml:space="preserve">https://drive.google.com/file/d/1RJXxBJncUhdZFRjiplf5Gpoa39gMvZb8/view?usp=drivesdk</t>
  </si>
  <si>
    <t xml:space="preserve">https://drive.google.com/file/d/1LNBcVsrZnD_kfOzjEy9idnwMT_RWSoxL/view?usp=drivesdk</t>
  </si>
  <si>
    <t xml:space="preserve">https://drive.google.com/file/d/1ValHyvxJLNX-Al_kXdmwWJNix9AhuIFY/view?usp=drivesdk</t>
  </si>
  <si>
    <t xml:space="preserve">Билгүүн-Орших</t>
  </si>
  <si>
    <t xml:space="preserve">https://drive.google.com/file/d/1RTDdmF3uBbzgKlPT9nKfP6X1blRTxJ2f/view?usp=drivesdk</t>
  </si>
  <si>
    <t xml:space="preserve">https://drive.google.com/file/d/1oHW0UcYDwpL0JZcNLNfBhQrKj9T8kS3r/view?usp=drivesdk</t>
  </si>
  <si>
    <t xml:space="preserve">https://drive.google.com/file/d/1TrSBUIVDc9ozIgcodnHvqHnZ5VGQw316/view?usp=drivesdk</t>
  </si>
  <si>
    <t xml:space="preserve">https://drive.google.com/file/d/11M6YQNGa6ODyhkUUIihA4KDgIdfq49fP/view?usp=drivesdk</t>
  </si>
  <si>
    <t xml:space="preserve">https://drive.google.com/file/d/1zS3zfUSCHL-JTB8ET5d6zh2e5yfokw57/view?usp=drivesdk</t>
  </si>
  <si>
    <t xml:space="preserve">https://drive.google.com/file/d/1Wqr7rXAuBpGTb1yUQi-kQvmjrHPwisrb/view?usp=drivesdk</t>
  </si>
  <si>
    <t xml:space="preserve">https://drive.google.com/file/d/1aK-ZSTBBF0qLn4BQAC3ENYmWaPKbRDTl/view?usp=drivesdk</t>
  </si>
  <si>
    <t xml:space="preserve">https://drive.google.com/file/d/1j39nETcWUQEbycJybzU9FUSdA2LgIkkk/view?usp=drivesdk</t>
  </si>
  <si>
    <t xml:space="preserve">https://drive.google.com/file/d/1MnGEyuHzGCIsd5XHIa2P0EQF-UXsk_Xr/view?usp=drivesdk</t>
  </si>
  <si>
    <t xml:space="preserve">https://drive.google.com/file/d/1dGnQE2PkVNnk8J67AvqRCUhartzSG2Ld/view?usp=drivesdk</t>
  </si>
  <si>
    <t xml:space="preserve">Гарьд</t>
  </si>
  <si>
    <t xml:space="preserve">https://drive.google.com/file/d/19KDGblP-aFBNGRCYg2Ki0_yb2tU-In_g/view?usp=drivesdk</t>
  </si>
  <si>
    <t xml:space="preserve">https://drive.google.com/file/d/1ucxqQQv6YIHWxLv9Om2ZxGz1sLkzSJ3d/view?usp=drivesdk</t>
  </si>
  <si>
    <t xml:space="preserve">https://drive.google.com/file/d/1KsNsnMwj2rc3ravFAVNcRuFJGDOKQx7B/view?usp=drivesdk</t>
  </si>
  <si>
    <t xml:space="preserve">https://drive.google.com/file/d/1-uGALNpdQ-Iu1blVrFv86d_Nf6ySXGp_/view?usp=drivesdk</t>
  </si>
  <si>
    <t xml:space="preserve">Баатарсайхан</t>
  </si>
  <si>
    <t xml:space="preserve">https://drive.google.com/file/d/1VQjulp1ciN0KRyH20_jXoYVY4_xRTXQ5/view?usp=drivesdk</t>
  </si>
  <si>
    <t xml:space="preserve">https://drive.google.com/file/d/1lJlGTJIvUilXPbb-iuBQfOYkdABmw3-Z/view?usp=drivesdk</t>
  </si>
  <si>
    <t xml:space="preserve">https://drive.google.com/file/d/1HePMbg_MOrb58Lf2PEv2-eMyANtKzBT-/view?usp=drivesdk</t>
  </si>
  <si>
    <t xml:space="preserve">https://drive.google.com/file/d/153o7Lnsod2Hm3C5HtefzTM-kpOz9cbYG/view?usp=drivesdk</t>
  </si>
  <si>
    <t xml:space="preserve">Төрмандах</t>
  </si>
  <si>
    <t xml:space="preserve">https://drive.google.com/file/d/1oPInDfLSSkbi1yc-VdL4Szao2-tdw291/view?usp=drivesdk</t>
  </si>
  <si>
    <t xml:space="preserve">https://drive.google.com/file/d/11dy4FDjILyzImMYs4XFY6pXMCK2xrKRm/view?usp=drivesdk</t>
  </si>
  <si>
    <t xml:space="preserve">https://drive.google.com/file/d/1JcCArAakswNjcX89jQ6xf8hJlH7qa6Pm/view?usp=drivesdk</t>
  </si>
  <si>
    <t xml:space="preserve">Оргилболд</t>
  </si>
  <si>
    <t xml:space="preserve">https://drive.google.com/file/d/1cZCGi3YKWkqDIFk7m67-AU5No_95lP33/view?usp=drivesdk</t>
  </si>
  <si>
    <t xml:space="preserve">https://drive.google.com/file/d/1DYJ8ls2xLEcPKerUNSQ75N6iDznuJHRz/view?usp=drivesdk</t>
  </si>
  <si>
    <t xml:space="preserve">https://drive.google.com/file/d/1RCfEZFYbA6ssn9CH1-zg1BxcwW0BWjPo/view?usp=drivesdk</t>
  </si>
  <si>
    <t xml:space="preserve">https://drive.google.com/file/d/1JmvXG2fC4EoJd6Y6Nyrsb7e_vbLCRSeV/view?usp=drivesdk</t>
  </si>
  <si>
    <t xml:space="preserve">https://drive.google.com/file/d/15sfX-T5KawTZ5ZTZ-Z16alCfdXpewnl3/view?usp=drivesdk</t>
  </si>
  <si>
    <t xml:space="preserve">Сайнцаг</t>
  </si>
  <si>
    <t xml:space="preserve">https://drive.google.com/file/d/1YOa17jEQQmXR5oPCRZD8377vSztnAZKA/view?usp=drivesdk</t>
  </si>
  <si>
    <t xml:space="preserve">Мөнхгал</t>
  </si>
  <si>
    <t xml:space="preserve">https://drive.google.com/file/d/1jg1miNBJZG1oalOS6HusqntFSzOivWoU/view?usp=drivesdk</t>
  </si>
  <si>
    <t xml:space="preserve">https://drive.google.com/file/d/19uGrKL34vSQ8M4hixsO_-meftrezjy5q/view?usp=drivesdk</t>
  </si>
  <si>
    <t xml:space="preserve">Мөнгөн-Эрдэнэ</t>
  </si>
  <si>
    <t xml:space="preserve">https://drive.google.com/file/d/1W1pzcq6XTbugPUjfJJXSr8Ag1eFcZ-OY/view?usp=drivesdk</t>
  </si>
  <si>
    <t xml:space="preserve">https://drive.google.com/file/d/1ZDbOTNGuGsBcCCjnERGqmXeV53JpivL3/view?usp=drivesdk</t>
  </si>
  <si>
    <t xml:space="preserve">https://drive.google.com/file/d/1oaycQOsz0NgFIvvVLvuMN5zStjmQdsVN/view?usp=drivesdk</t>
  </si>
  <si>
    <t xml:space="preserve">Мөнхзаяа</t>
  </si>
  <si>
    <t xml:space="preserve">https://drive.google.com/file/d/1zzlC-6JqVQMCI5k8WBjHk2Fq56G4sh41/view?usp=drivesdk</t>
  </si>
  <si>
    <t xml:space="preserve">Сүлд-Од</t>
  </si>
  <si>
    <t xml:space="preserve">https://drive.google.com/file/d/1mZhlmwF2ltRgjCiGCbTKrAKnIxwsjBJ4/view?usp=drivesdk</t>
  </si>
  <si>
    <t xml:space="preserve">https://drive.google.com/file/d/1QQopGWyz99AfC2kRsF0YuHYAmsGz89gC/view?usp=drivesdk</t>
  </si>
  <si>
    <t xml:space="preserve">https://drive.google.com/file/d/1s9klSWpacIJyjUkODLMHzc-pHPOahPwu/view?usp=drivesdk</t>
  </si>
  <si>
    <t xml:space="preserve">Ган-Эрдэнэ</t>
  </si>
  <si>
    <t xml:space="preserve">https://drive.google.com/file/d/1k2RaDB7CKXwlJMm_dHAKrtmiKr8WCJNf/view?usp=drivesdk</t>
  </si>
  <si>
    <t xml:space="preserve">https://drive.google.com/file/d/12OdKkAIRkYhPPU-G0ziqU0Lis0rX6ubp/view?usp=drivesdk</t>
  </si>
  <si>
    <t xml:space="preserve">https://drive.google.com/file/d/1adIaWjumtlBmPIrkYa9MHuxgBz3rh73I/view?usp=drivesdk</t>
  </si>
  <si>
    <t xml:space="preserve">https://drive.google.com/file/d/1x1lYFz6tGnkdA2Wne3OJ_CglbRyu6HY9/view?usp=drivesdk</t>
  </si>
  <si>
    <t xml:space="preserve">https://drive.google.com/file/d/1Gl6CREiI7CdP7LzHudcdSom2NY8LHVhW/view?usp=drivesdk</t>
  </si>
  <si>
    <t xml:space="preserve">https://drive.google.com/file/d/1237uP-gcNU5F4-u_7XRnO9ZZSDiZ9NiU/view?usp=drivesdk</t>
  </si>
  <si>
    <t xml:space="preserve">https://drive.google.com/file/d/1AQ5m9MiMvHXanoGcCoQ3HnyUW8cX8fDl/view?usp=drivesdk</t>
  </si>
  <si>
    <t xml:space="preserve">https://drive.google.com/file/d/1VBvwTL44x14U_GNFvaoGxReKGeBVz1sQ/view?usp=drivesdk</t>
  </si>
  <si>
    <t xml:space="preserve">https://drive.google.com/file/d/1rq0srCkDb7-f_2r20OqRaX4QmpEdxc0x/view?usp=drivesdk</t>
  </si>
  <si>
    <t xml:space="preserve">Есү</t>
  </si>
  <si>
    <t xml:space="preserve">https://drive.google.com/file/d/1OH89i2ZMMoLhUfJuNp6oFMurUZXC9pP4/view?usp=drivesdk</t>
  </si>
  <si>
    <t xml:space="preserve">https://drive.google.com/file/d/1vkQ1Ij4_ACnCL08-BVTqMHyKUDvfZizK/view?usp=drivesdk</t>
  </si>
  <si>
    <t xml:space="preserve">https://drive.google.com/file/d/1qZutIjY8geskRk4LlHxbHlIXILrJmC4D/view?usp=drivesdk</t>
  </si>
  <si>
    <t xml:space="preserve">https://drive.google.com/file/d/1GFeCV4VfZcGowDkN3KlrMwqciCvNIu3d/view?usp=drivesdk</t>
  </si>
  <si>
    <t xml:space="preserve">Үлэмжид</t>
  </si>
  <si>
    <t xml:space="preserve">https://drive.google.com/file/d/1SPdT3DlRr4hiNLzsq-yY64BhRoywlyvD/view?usp=drivesdk</t>
  </si>
  <si>
    <t xml:space="preserve">https://drive.google.com/file/d/1d0PpwmxRat7_-gzZ8kXfAd0GBGIk-0zo/view?usp=drivesdk</t>
  </si>
  <si>
    <t xml:space="preserve">https://drive.google.com/file/d/1iRZw6Dhn9yKvjCGbO7d13M9EGf81vdxS/view?usp=drivesdk</t>
  </si>
  <si>
    <t xml:space="preserve">https://drive.google.com/file/d/17j4rmzbRSpvq__Gxuk3p5ym-w1O4PXH_/view?usp=drivesdk</t>
  </si>
  <si>
    <t xml:space="preserve">https://drive.google.com/file/d/1Aw_K2rSiHfzgzcEz6D-aslnrr4-lYAk4/view?usp=drivesdk</t>
  </si>
  <si>
    <t xml:space="preserve">Сулушаш</t>
  </si>
  <si>
    <t xml:space="preserve">https://drive.google.com/file/d/1I-OdGImreG7eMIFD0BVpeiUxF4nw70sE/view?usp=drivesdk</t>
  </si>
  <si>
    <t xml:space="preserve">https://drive.google.com/file/d/1A3vvJBn0d1TRBEk1aaeRZqRfTTpXKT96/view?usp=drivesdk</t>
  </si>
  <si>
    <t xml:space="preserve">https://drive.google.com/file/d/1lNaI5Ut_Q4Uqqy-adVcCgavXE7D15qh5/view?usp=drivesdk</t>
  </si>
  <si>
    <t xml:space="preserve">https://drive.google.com/file/d/1e7vDhOEA_iRf6fBavPIl1l1Nxnd0lOyW/view?usp=drivesdk</t>
  </si>
  <si>
    <t xml:space="preserve">Батцэцэг</t>
  </si>
  <si>
    <t xml:space="preserve">https://drive.google.com/file/d/1fgfTX0KT3ylzHG9svrm3Yfx8vZwwabKz/view?usp=drivesdk</t>
  </si>
  <si>
    <t xml:space="preserve">https://drive.google.com/file/d/1avo7zEK4IiiEqQpNNg6OVlAsTzy30Syi/view?usp=drivesdk</t>
  </si>
  <si>
    <t xml:space="preserve">https://drive.google.com/file/d/1tNPANr_zNgvUVBOSzU8L3N4jf4bLYP0H/view?usp=drivesdk</t>
  </si>
  <si>
    <t xml:space="preserve">https://drive.google.com/file/d/15F7rv6NCSg4hVNeIj_AmcZZ_wbu8_i8W/view?usp=drivesdk</t>
  </si>
  <si>
    <t xml:space="preserve">https://drive.google.com/file/d/1uTHe38hQCZVvp45eAoAiihSMVOOxlKgb/view?usp=drivesdk</t>
  </si>
  <si>
    <t xml:space="preserve">https://drive.google.com/file/d/1V6NIF7Tm8DCAOQIbw_7Fi-UtsezB9MvT/view?usp=drivesdk</t>
  </si>
  <si>
    <t xml:space="preserve">https://drive.google.com/file/d/1QyDSJVcXKrJJn0PGNm98n5mizuKnHXuJ/view?usp=drivesdk</t>
  </si>
  <si>
    <t xml:space="preserve">https://drive.google.com/file/d/1iSmu-0GfEBFsiQdx0vuOO4xjY3IZclS1/view?usp=drivesdk</t>
  </si>
  <si>
    <t xml:space="preserve">Тэмүүлэн.</t>
  </si>
  <si>
    <t xml:space="preserve">https://drive.google.com/file/d/1nKiuEJ_nvl-0cg0To-NuD8PhteHivs8s/view?usp=drivesdk</t>
  </si>
  <si>
    <t xml:space="preserve">https://drive.google.com/file/d/1vupFQs7fAx2WnvqCWb2d5xi5A5rQW_yw/view?usp=drivesdk</t>
  </si>
  <si>
    <t xml:space="preserve">https://drive.google.com/file/d/1qZqClfAtIU3Ij7e7LoJN5t1wD-pxdNCI/view?usp=drivesdk</t>
  </si>
  <si>
    <t xml:space="preserve">https://drive.google.com/file/d/1yZjso4_C-PbUfbXiVP44jjgW6z-Eb-8t/view?usp=drivesdk</t>
  </si>
  <si>
    <t xml:space="preserve">Давгадорж</t>
  </si>
  <si>
    <t xml:space="preserve">https://drive.google.com/file/d/17dvL6CCv-_3ThI7ZEWcpj7oEEbLSGnKJ/view?usp=drivesdk</t>
  </si>
  <si>
    <t xml:space="preserve">https://drive.google.com/file/d/1q-aha6098Nwl-BvY_zbs008ZrhAso5fg/view?usp=drivesdk</t>
  </si>
  <si>
    <t xml:space="preserve">https://drive.google.com/file/d/1uu80-9PSbxnzxc6NS4EnxUfT0iVJLO5H/view?usp=drivesdk</t>
  </si>
  <si>
    <t xml:space="preserve">https://drive.google.com/file/d/1eNTs0gollEPO5QVowlkG2A8ujsZHpti1/view?usp=drivesdk</t>
  </si>
  <si>
    <t xml:space="preserve">https://drive.google.com/file/d/1kdDOSGeVKp_0w6hBxEYdEKSGjSs__6RN/view?usp=drivesdk</t>
  </si>
  <si>
    <t xml:space="preserve">https://drive.google.com/file/d/1qhfzNv1bc3jZACNaWJs20MjK6q10mg4v/view?usp=drivesdk</t>
  </si>
  <si>
    <t xml:space="preserve">https://drive.google.com/file/d/1tdNw7feYOPtti0JM9sA7BJ3Dqmrp4E6b/view?usp=drivesdk</t>
  </si>
  <si>
    <t xml:space="preserve">https://drive.google.com/file/d/107NrPTVWE6D7583JXhK0iCw6CfAQI7Ux/view?usp=drivesdk</t>
  </si>
  <si>
    <t xml:space="preserve">https://drive.google.com/file/d/1wWWXWTV_8ltMy8-C-Ao68oJy5fXXPQmx/view?usp=drivesdk</t>
  </si>
  <si>
    <t xml:space="preserve">https://drive.google.com/file/d/1PeCh0siw1JiKrsaSyw062McnpwwevGaJ/view?usp=drivesdk</t>
  </si>
  <si>
    <t xml:space="preserve">https://drive.google.com/file/d/1VmAq11WZdgBilJkidsfV9IxVecv8wXr3/view?usp=drivesdk</t>
  </si>
  <si>
    <t xml:space="preserve">МОНГОЛЫН МАТЕМАТИКИЙН 62-Р ОЛИМПИАД</t>
  </si>
  <si>
    <t xml:space="preserve">5 ДУГААР АНГИ</t>
  </si>
  <si>
    <t xml:space="preserve">ID</t>
  </si>
  <si>
    <t xml:space="preserve">Ангилал</t>
  </si>
  <si>
    <t xml:space="preserve">Сургууль</t>
  </si>
  <si>
    <t xml:space="preserve">Нэр</t>
  </si>
  <si>
    <t xml:space="preserve">Овог</t>
  </si>
  <si>
    <t xml:space="preserve">Анги</t>
  </si>
  <si>
    <t xml:space="preserve">Бүлэг</t>
  </si>
  <si>
    <t xml:space="preserve">Бод-1</t>
  </si>
  <si>
    <t xml:space="preserve">Бод-2</t>
  </si>
  <si>
    <t xml:space="preserve">Бод-3</t>
  </si>
  <si>
    <t xml:space="preserve">Бод-4</t>
  </si>
  <si>
    <t xml:space="preserve">НИЙТ оноо</t>
  </si>
  <si>
    <t xml:space="preserve">Эзэлсэн байр</t>
  </si>
  <si>
    <t xml:space="preserve">С(5-р анги) II-I</t>
  </si>
  <si>
    <t xml:space="preserve">Жаргалант сумын 3-р сургууль</t>
  </si>
  <si>
    <t xml:space="preserve">Төмөрхүү</t>
  </si>
  <si>
    <t xml:space="preserve">5-р анги</t>
  </si>
  <si>
    <t xml:space="preserve">в</t>
  </si>
  <si>
    <t xml:space="preserve">Жаргалант сумын Прогресс сургууль</t>
  </si>
  <si>
    <t xml:space="preserve">Энхмөнх</t>
  </si>
  <si>
    <t xml:space="preserve">б</t>
  </si>
  <si>
    <t xml:space="preserve">Жаргалант сумын 7-р сургууль</t>
  </si>
  <si>
    <t xml:space="preserve">Баянхүү</t>
  </si>
  <si>
    <t xml:space="preserve">а</t>
  </si>
  <si>
    <t xml:space="preserve">Батзориг</t>
  </si>
  <si>
    <t xml:space="preserve">Хойчбай</t>
  </si>
  <si>
    <t xml:space="preserve">Буянт сумын сургууль</t>
  </si>
  <si>
    <t xml:space="preserve">Баасандорж</t>
  </si>
  <si>
    <t xml:space="preserve">Бүрэнбат</t>
  </si>
  <si>
    <t xml:space="preserve">Эрдэнэбүрэн сумын сургууль</t>
  </si>
  <si>
    <t xml:space="preserve">Алтай сумын сургууль</t>
  </si>
  <si>
    <t xml:space="preserve">А</t>
  </si>
  <si>
    <t xml:space="preserve">Жаргалант сумын 1-р сургууль</t>
  </si>
  <si>
    <t xml:space="preserve">Жаргалант сумын Цаст-Алтай сургууль</t>
  </si>
  <si>
    <t xml:space="preserve">Энхтайван</t>
  </si>
  <si>
    <t xml:space="preserve">Даваадорж</t>
  </si>
  <si>
    <t xml:space="preserve">г</t>
  </si>
  <si>
    <t xml:space="preserve">Баттөр</t>
  </si>
  <si>
    <t xml:space="preserve">Манхан сумын сургууль</t>
  </si>
  <si>
    <t xml:space="preserve">Хүрэлбаатар</t>
  </si>
  <si>
    <t xml:space="preserve">д</t>
  </si>
  <si>
    <t xml:space="preserve">Сайнжаргал</t>
  </si>
  <si>
    <t xml:space="preserve">е</t>
  </si>
  <si>
    <t xml:space="preserve">Батбуян</t>
  </si>
  <si>
    <t xml:space="preserve">Цогбадрах</t>
  </si>
  <si>
    <t xml:space="preserve">Баярсайхан</t>
  </si>
  <si>
    <t xml:space="preserve">Батсүх</t>
  </si>
  <si>
    <t xml:space="preserve">Рэнцэнпүрэв</t>
  </si>
  <si>
    <t xml:space="preserve">Норовсамбуу</t>
  </si>
  <si>
    <t xml:space="preserve">Цогоо</t>
  </si>
  <si>
    <t xml:space="preserve">Даваажав</t>
  </si>
  <si>
    <t xml:space="preserve">Мөнхсүх</t>
  </si>
  <si>
    <t xml:space="preserve">Баясгалан</t>
  </si>
  <si>
    <t xml:space="preserve">Батхүрэл</t>
  </si>
  <si>
    <t xml:space="preserve">Батгэрэл</t>
  </si>
  <si>
    <t xml:space="preserve">Баярхүү</t>
  </si>
  <si>
    <t xml:space="preserve">Энхбаатар</t>
  </si>
  <si>
    <t xml:space="preserve">Амарсайхан</t>
  </si>
  <si>
    <t xml:space="preserve">Дуут сумын сургууль</t>
  </si>
  <si>
    <t xml:space="preserve">Хүрэлцоож</t>
  </si>
  <si>
    <t xml:space="preserve">Ариунболд</t>
  </si>
  <si>
    <t xml:space="preserve">Мөнгөнхүү</t>
  </si>
  <si>
    <t xml:space="preserve">Нямсүрэн</t>
  </si>
  <si>
    <t xml:space="preserve">Даваасүх</t>
  </si>
  <si>
    <t xml:space="preserve">Цэцэг сумын сургууль</t>
  </si>
  <si>
    <t xml:space="preserve">Болорсүх</t>
  </si>
  <si>
    <t xml:space="preserve">Чандмань сумын сургууль</t>
  </si>
  <si>
    <t xml:space="preserve">Хатанбаатар</t>
  </si>
  <si>
    <t xml:space="preserve">Булган сумын Минжит Булган сургууль</t>
  </si>
  <si>
    <t xml:space="preserve">Шинэ-Оргил</t>
  </si>
  <si>
    <t xml:space="preserve">Дарви сумын сургууль</t>
  </si>
  <si>
    <t xml:space="preserve">Цэцэгмаа</t>
  </si>
  <si>
    <t xml:space="preserve">Жаргалант сумын 2-р сургууль</t>
  </si>
  <si>
    <t xml:space="preserve">Цоожхүүгийн</t>
  </si>
  <si>
    <t xml:space="preserve">Мөнххайрхан сумын сургууль</t>
  </si>
  <si>
    <t xml:space="preserve">Сүхболд</t>
  </si>
  <si>
    <t xml:space="preserve">Мөст сумын сургууль</t>
  </si>
  <si>
    <t xml:space="preserve">Олимпиадыг авсан багш: М.Чагцал, Д.Ганцацрал, Э.Нарантуяа</t>
  </si>
  <si>
    <t xml:space="preserve">Олимпиадыгзассан багш: Ц.Бадамханд, З.Батсүлд, Х.Онгорбай, З.Бямбарагчаа</t>
  </si>
  <si>
    <t xml:space="preserve">6 ДУГААР АНГИ</t>
  </si>
  <si>
    <t xml:space="preserve">С(6-р анги) II-I</t>
  </si>
  <si>
    <t xml:space="preserve">Дорждэрэм</t>
  </si>
  <si>
    <t xml:space="preserve">6-р анги</t>
  </si>
  <si>
    <t xml:space="preserve">Хадбаатар</t>
  </si>
  <si>
    <t xml:space="preserve">Бүтэхбаяр</t>
  </si>
  <si>
    <t xml:space="preserve">Балдорж</t>
  </si>
  <si>
    <t xml:space="preserve">Сугарбаяр</t>
  </si>
  <si>
    <t xml:space="preserve">Золбаяр</t>
  </si>
  <si>
    <t xml:space="preserve">Мянгад сумын сургууль</t>
  </si>
  <si>
    <t xml:space="preserve">Мөнх-Очир</t>
  </si>
  <si>
    <t xml:space="preserve">Санжмятав</t>
  </si>
  <si>
    <t xml:space="preserve">Керекбай</t>
  </si>
  <si>
    <t xml:space="preserve">Мөнхжаргал</t>
  </si>
  <si>
    <t xml:space="preserve">Буяндэлгэр</t>
  </si>
  <si>
    <t xml:space="preserve">Нямтулга</t>
  </si>
  <si>
    <t xml:space="preserve">Есенкелсин</t>
  </si>
  <si>
    <t xml:space="preserve">Мягмар</t>
  </si>
  <si>
    <t xml:space="preserve">Жамъяндагва</t>
  </si>
  <si>
    <t xml:space="preserve">Адьяабаатар</t>
  </si>
  <si>
    <t xml:space="preserve">Тэмүүлэн</t>
  </si>
  <si>
    <t xml:space="preserve">Батжаргал</t>
  </si>
  <si>
    <t xml:space="preserve">Үенч сумын сургууль</t>
  </si>
  <si>
    <t xml:space="preserve">Ням-Очир</t>
  </si>
  <si>
    <t xml:space="preserve">Мөнхтогтох</t>
  </si>
  <si>
    <t xml:space="preserve">Отгонмягмар</t>
  </si>
  <si>
    <t xml:space="preserve">Мөнхзул</t>
  </si>
  <si>
    <t xml:space="preserve">Жаргалант сумын 6-р сургууль</t>
  </si>
  <si>
    <t xml:space="preserve">Гансүх</t>
  </si>
  <si>
    <t xml:space="preserve">Бат-Очир</t>
  </si>
  <si>
    <t xml:space="preserve">Мөнхзориг</t>
  </si>
  <si>
    <t xml:space="preserve">Балт</t>
  </si>
  <si>
    <t xml:space="preserve">Сайнбаяр</t>
  </si>
  <si>
    <t xml:space="preserve">Гэрэлбадрах</t>
  </si>
  <si>
    <t xml:space="preserve">Зэрэг сумын сургууль</t>
  </si>
  <si>
    <t xml:space="preserve">Алдар</t>
  </si>
  <si>
    <t xml:space="preserve">Доржсүрэн</t>
  </si>
  <si>
    <t xml:space="preserve">Жаргалтай</t>
  </si>
  <si>
    <t xml:space="preserve">Мягмаржав</t>
  </si>
  <si>
    <t xml:space="preserve">Жаминноров</t>
  </si>
  <si>
    <t xml:space="preserve">Батсайхан</t>
  </si>
  <si>
    <t xml:space="preserve">Сугар</t>
  </si>
  <si>
    <t xml:space="preserve">Булган сумын 1-р сургууль</t>
  </si>
  <si>
    <t xml:space="preserve">Гантөмөр</t>
  </si>
  <si>
    <t xml:space="preserve">Бөхболд</t>
  </si>
  <si>
    <t xml:space="preserve">Энхболд</t>
  </si>
  <si>
    <t xml:space="preserve">Энхцоож</t>
  </si>
  <si>
    <t xml:space="preserve">Оюунбаатар</t>
  </si>
  <si>
    <t xml:space="preserve">Энхбат</t>
  </si>
  <si>
    <t xml:space="preserve">Даваа</t>
  </si>
  <si>
    <t xml:space="preserve">Оюунболд</t>
  </si>
  <si>
    <t xml:space="preserve">Эрдэнэдалай</t>
  </si>
  <si>
    <t xml:space="preserve">Гончигсүрэн</t>
  </si>
  <si>
    <t xml:space="preserve">Мэндбаяр</t>
  </si>
  <si>
    <t xml:space="preserve">Намжилдорж</t>
  </si>
  <si>
    <t xml:space="preserve">Жамъян-Осор</t>
  </si>
  <si>
    <t xml:space="preserve">Олимпиадыгзассан багш: Ц.Бадамханд, З.Батсүлд, Б.Ганбаяр, Х.Онгорбай</t>
  </si>
  <si>
    <t xml:space="preserve">7  ДУГААР АНГИ</t>
  </si>
  <si>
    <t xml:space="preserve">D(7-р анги) II-I</t>
  </si>
  <si>
    <t xml:space="preserve">7-р анги</t>
  </si>
  <si>
    <t xml:space="preserve">Нармандах</t>
  </si>
  <si>
    <t xml:space="preserve">Ууганбаяр</t>
  </si>
  <si>
    <t xml:space="preserve">Цагаандалай</t>
  </si>
  <si>
    <t xml:space="preserve">Гантулга</t>
  </si>
  <si>
    <t xml:space="preserve">Одонхүү</t>
  </si>
  <si>
    <t xml:space="preserve">Балчиг</t>
  </si>
  <si>
    <t xml:space="preserve">Цэен-Ойдов</t>
  </si>
  <si>
    <t xml:space="preserve">Ганцогт</t>
  </si>
  <si>
    <t xml:space="preserve">Аюурзана</t>
  </si>
  <si>
    <t xml:space="preserve">Мижиддорж</t>
  </si>
  <si>
    <t xml:space="preserve">Баатаржав</t>
  </si>
  <si>
    <t xml:space="preserve">Хайртмөнх</t>
  </si>
  <si>
    <t xml:space="preserve">Ерлан</t>
  </si>
  <si>
    <t xml:space="preserve">Энхманлай</t>
  </si>
  <si>
    <t xml:space="preserve">Баярдалай</t>
  </si>
  <si>
    <t xml:space="preserve">Олзжаргал</t>
  </si>
  <si>
    <t xml:space="preserve">Ариунболор</t>
  </si>
  <si>
    <t xml:space="preserve">Магсар</t>
  </si>
  <si>
    <t xml:space="preserve">Алтанзул</t>
  </si>
  <si>
    <t xml:space="preserve">Цагаандаваа</t>
  </si>
  <si>
    <t xml:space="preserve">Батням</t>
  </si>
  <si>
    <t xml:space="preserve">Халиун</t>
  </si>
  <si>
    <t xml:space="preserve">Жаргалдалай</t>
  </si>
  <si>
    <t xml:space="preserve">Чулуунцэцэг</t>
  </si>
  <si>
    <t xml:space="preserve">Эрдэнэбилэг</t>
  </si>
  <si>
    <t xml:space="preserve">Мөнхбат</t>
  </si>
  <si>
    <t xml:space="preserve">Цэвээнжаргал</t>
  </si>
  <si>
    <t xml:space="preserve">Лхагвасүрэн</t>
  </si>
  <si>
    <t xml:space="preserve">Мөнхбаатар</t>
  </si>
  <si>
    <t xml:space="preserve">Бямбасэрж</t>
  </si>
  <si>
    <t xml:space="preserve">Нарсүмбэ</t>
  </si>
  <si>
    <t xml:space="preserve">Баатарсүрэн</t>
  </si>
  <si>
    <t xml:space="preserve">Эрдэнэ</t>
  </si>
  <si>
    <t xml:space="preserve">Сүхбаатар</t>
  </si>
  <si>
    <t xml:space="preserve">Олимпиадыг авсан багш: А.Уламбаяр, Б.Хоролсүрэн, С.Чанцалмаа</t>
  </si>
  <si>
    <t xml:space="preserve">9 ДҮГЭЭР АНГИ</t>
  </si>
  <si>
    <t xml:space="preserve">D(8-р анги) II-I</t>
  </si>
  <si>
    <t xml:space="preserve">8-р анги</t>
  </si>
  <si>
    <t xml:space="preserve">Төвсайхан</t>
  </si>
  <si>
    <t xml:space="preserve">Идэр</t>
  </si>
  <si>
    <t xml:space="preserve">Доржпүрэв</t>
  </si>
  <si>
    <t xml:space="preserve">Баттулга</t>
  </si>
  <si>
    <t xml:space="preserve">Дэлгэр</t>
  </si>
  <si>
    <t xml:space="preserve">Ганцоож</t>
  </si>
  <si>
    <t xml:space="preserve">Отгоншар</t>
  </si>
  <si>
    <t xml:space="preserve">Цэнд-Аюуш</t>
  </si>
  <si>
    <t xml:space="preserve">Айтуган</t>
  </si>
  <si>
    <t xml:space="preserve">Баяр Угтах</t>
  </si>
  <si>
    <t xml:space="preserve">Сэргэлэн</t>
  </si>
  <si>
    <t xml:space="preserve">Хуяг-Очир</t>
  </si>
  <si>
    <t xml:space="preserve">Кенжебай</t>
  </si>
  <si>
    <t xml:space="preserve">Салават</t>
  </si>
  <si>
    <t xml:space="preserve">Түмэндэмбэрэл</t>
  </si>
  <si>
    <t xml:space="preserve">Бууцагаан</t>
  </si>
  <si>
    <t xml:space="preserve">Хаярбек</t>
  </si>
  <si>
    <t xml:space="preserve">Адъяа</t>
  </si>
  <si>
    <t xml:space="preserve">Б</t>
  </si>
  <si>
    <t xml:space="preserve">Энхсувд</t>
  </si>
  <si>
    <t xml:space="preserve">Эрдэнэ-Очир</t>
  </si>
  <si>
    <t xml:space="preserve">Мөнхбадрал</t>
  </si>
  <si>
    <t xml:space="preserve">Ачлалт</t>
  </si>
  <si>
    <t xml:space="preserve">Батчулуун</t>
  </si>
  <si>
    <t xml:space="preserve">Бат-Эрдэнэ</t>
  </si>
  <si>
    <t xml:space="preserve">Цагаач</t>
  </si>
  <si>
    <t xml:space="preserve">Мөнхөө</t>
  </si>
  <si>
    <t xml:space="preserve">Батмонгол</t>
  </si>
  <si>
    <t xml:space="preserve">Баттөмөр</t>
  </si>
  <si>
    <t xml:space="preserve">Ганбат</t>
  </si>
  <si>
    <t xml:space="preserve">Барсүрэн</t>
  </si>
  <si>
    <t xml:space="preserve">Солонго</t>
  </si>
  <si>
    <t xml:space="preserve">Пүрэвтулга</t>
  </si>
  <si>
    <t xml:space="preserve">Лодой</t>
  </si>
  <si>
    <t xml:space="preserve">Пүрэвжамц</t>
  </si>
  <si>
    <t xml:space="preserve">Бод-5</t>
  </si>
  <si>
    <t xml:space="preserve">Бод-6</t>
  </si>
  <si>
    <t xml:space="preserve">E(9-р анги) II-I</t>
  </si>
  <si>
    <t xml:space="preserve">9-р анги</t>
  </si>
  <si>
    <t xml:space="preserve">Асембай</t>
  </si>
  <si>
    <t xml:space="preserve">Алтанзаяа</t>
  </si>
  <si>
    <t xml:space="preserve">Цоожхүү</t>
  </si>
  <si>
    <t xml:space="preserve">Батцоож</t>
  </si>
  <si>
    <t xml:space="preserve">Бахатбол</t>
  </si>
  <si>
    <t xml:space="preserve">Баярсанаа</t>
  </si>
  <si>
    <t xml:space="preserve">Зоригтбаатар</t>
  </si>
  <si>
    <t xml:space="preserve">Байгалмаа</t>
  </si>
  <si>
    <t xml:space="preserve">Буянжаргал</t>
  </si>
  <si>
    <t xml:space="preserve">Сэр-Од</t>
  </si>
  <si>
    <t xml:space="preserve">Бямбатулга</t>
  </si>
  <si>
    <t xml:space="preserve">Чагнаадорж</t>
  </si>
  <si>
    <t xml:space="preserve">Олимпиадыг авсан багш: Д.Чинзориг, Э.Эрдэнэсүрэн, Б.Нямжав</t>
  </si>
  <si>
    <t xml:space="preserve">Олимпиадыгзассан багш: Б.Эркехулан, Б.Анхбаяр, Анхцооз</t>
  </si>
  <si>
    <t xml:space="preserve">10 ДУГААР АНГИ</t>
  </si>
  <si>
    <t xml:space="preserve">E(10-р анги) II-I</t>
  </si>
  <si>
    <t xml:space="preserve">10-р анги</t>
  </si>
  <si>
    <t xml:space="preserve">Нямгэрэл</t>
  </si>
  <si>
    <t xml:space="preserve">Баасанхүү</t>
  </si>
  <si>
    <t xml:space="preserve">Нямдорж</t>
  </si>
  <si>
    <t xml:space="preserve">Дэлгэрдалай</t>
  </si>
  <si>
    <t xml:space="preserve">Эсенбол</t>
  </si>
  <si>
    <t xml:space="preserve">Зул</t>
  </si>
  <si>
    <t xml:space="preserve">Болд</t>
  </si>
  <si>
    <t xml:space="preserve">Галбадрах</t>
  </si>
  <si>
    <t xml:space="preserve">Айболат</t>
  </si>
  <si>
    <t xml:space="preserve">Отгонцоож</t>
  </si>
  <si>
    <t xml:space="preserve">Жаргалант сумын МУИС-ын баруун бүсийн ахлах сургууль</t>
  </si>
  <si>
    <t xml:space="preserve">Баярмагнай</t>
  </si>
  <si>
    <t xml:space="preserve">Ядамжав</t>
  </si>
  <si>
    <t xml:space="preserve">Уртнасан</t>
  </si>
  <si>
    <t xml:space="preserve">Ховд сумын сургууль</t>
  </si>
  <si>
    <t xml:space="preserve">Володя</t>
  </si>
  <si>
    <t xml:space="preserve">Оролмаа</t>
  </si>
  <si>
    <t xml:space="preserve">Баатар</t>
  </si>
  <si>
    <t xml:space="preserve">Батдорж</t>
  </si>
  <si>
    <t xml:space="preserve">Нухтархан</t>
  </si>
  <si>
    <t xml:space="preserve">Батнасан</t>
  </si>
  <si>
    <t xml:space="preserve">Болбаатар</t>
  </si>
  <si>
    <t xml:space="preserve">Өлзийбадрах</t>
  </si>
  <si>
    <t xml:space="preserve">11 ДҮГЭЭР АНГИ</t>
  </si>
  <si>
    <t xml:space="preserve">F(11-р анги) II-I</t>
  </si>
  <si>
    <t xml:space="preserve">Дандар</t>
  </si>
  <si>
    <t xml:space="preserve">11-р анги</t>
  </si>
  <si>
    <t xml:space="preserve">Төрмөнх</t>
  </si>
  <si>
    <t xml:space="preserve">Лхагва</t>
  </si>
  <si>
    <t xml:space="preserve">Цогбаяр</t>
  </si>
  <si>
    <t xml:space="preserve">Чулуунбаатар</t>
  </si>
  <si>
    <t xml:space="preserve">Энхнасан</t>
  </si>
  <si>
    <t xml:space="preserve">Өлзийжаргал</t>
  </si>
  <si>
    <t xml:space="preserve">Ханбат</t>
  </si>
  <si>
    <t xml:space="preserve">Мөнхтүвшин</t>
  </si>
  <si>
    <t xml:space="preserve">Батзаяа</t>
  </si>
  <si>
    <t xml:space="preserve">Борхүү</t>
  </si>
  <si>
    <t xml:space="preserve">Бат-Оргил</t>
  </si>
  <si>
    <t xml:space="preserve">Гансум</t>
  </si>
  <si>
    <t xml:space="preserve">Жанибек</t>
  </si>
  <si>
    <t xml:space="preserve">Владимир</t>
  </si>
  <si>
    <t xml:space="preserve">Дарамрагчаа</t>
  </si>
  <si>
    <t xml:space="preserve">Гэндэн</t>
  </si>
  <si>
    <t xml:space="preserve">Олимпиадыг авсан багш: З.Амарсанаа, Б.Мөнх-Эрдэнэ</t>
  </si>
  <si>
    <t xml:space="preserve">Олимпиадыгзассан багш: Э.Цэгмэд, Г.Отгонцэцэг</t>
  </si>
  <si>
    <t xml:space="preserve">12 ДУГААР АНГИ</t>
  </si>
  <si>
    <t xml:space="preserve">F(12-р анги) II-I</t>
  </si>
  <si>
    <t xml:space="preserve">12-р анги</t>
  </si>
  <si>
    <t xml:space="preserve">Ахит</t>
  </si>
  <si>
    <t xml:space="preserve">Цэрэнбадам</t>
  </si>
  <si>
    <t xml:space="preserve">Наянтай</t>
  </si>
  <si>
    <t xml:space="preserve">Боргил</t>
  </si>
  <si>
    <t xml:space="preserve">Цэвээндорж</t>
  </si>
  <si>
    <t xml:space="preserve">Баярсүрэн</t>
  </si>
  <si>
    <t xml:space="preserve">Бямбацогт</t>
  </si>
  <si>
    <t xml:space="preserve">Бадамсүрэн</t>
  </si>
  <si>
    <t xml:space="preserve">Амгаланбадрах</t>
  </si>
  <si>
    <t xml:space="preserve">Баттөгс</t>
  </si>
  <si>
    <t xml:space="preserve">Монголын математикийн 62-р олимпиадын дүн</t>
  </si>
  <si>
    <t xml:space="preserve">Ангилал: S(Бага ангийн багш)</t>
  </si>
  <si>
    <t xml:space="preserve">Дондов</t>
  </si>
  <si>
    <t xml:space="preserve">Бадаа</t>
  </si>
  <si>
    <t xml:space="preserve">Эрхэмбаяр</t>
  </si>
  <si>
    <t xml:space="preserve">Цэцэгжаргал</t>
  </si>
  <si>
    <t xml:space="preserve">Барсболд</t>
  </si>
  <si>
    <t xml:space="preserve">Дөргөн сумын сургууль</t>
  </si>
  <si>
    <t xml:space="preserve">Мишка</t>
  </si>
  <si>
    <t xml:space="preserve">Гангаа</t>
  </si>
  <si>
    <t xml:space="preserve">Чулуундорж</t>
  </si>
  <si>
    <t xml:space="preserve">Энхтөр</t>
  </si>
  <si>
    <t xml:space="preserve">Нацагдагва</t>
  </si>
  <si>
    <t xml:space="preserve">Цообаяр</t>
  </si>
  <si>
    <t xml:space="preserve">Рэнцэндорж</t>
  </si>
  <si>
    <t xml:space="preserve">Рийбуян</t>
  </si>
  <si>
    <t xml:space="preserve">Цогзолмаа</t>
  </si>
  <si>
    <t xml:space="preserve">Цэрэндагва</t>
  </si>
  <si>
    <t xml:space="preserve">Ундралзаяа</t>
  </si>
  <si>
    <t xml:space="preserve">Нямаа</t>
  </si>
  <si>
    <t xml:space="preserve">Баатархуяг</t>
  </si>
  <si>
    <t xml:space="preserve">Тухпи</t>
  </si>
  <si>
    <t xml:space="preserve">Нургаад</t>
  </si>
  <si>
    <t xml:space="preserve">Пүрэвдорж</t>
  </si>
  <si>
    <t xml:space="preserve">Хастани</t>
  </si>
  <si>
    <t xml:space="preserve">Батцогт</t>
  </si>
  <si>
    <t xml:space="preserve">Бат-Өлзий</t>
  </si>
  <si>
    <t xml:space="preserve">Соёл-Эрдэнэ</t>
  </si>
  <si>
    <t xml:space="preserve">Олимпиадыг авсан багш: М.Түмэнбаяр, Т.Пүрэвсүрэн</t>
  </si>
  <si>
    <t xml:space="preserve">Олимпиадыг зассан багш: Х.Лхамсүрэн, Б.Энхзаяа</t>
  </si>
  <si>
    <t xml:space="preserve">Ангилал: T(дундын багш)</t>
  </si>
  <si>
    <t xml:space="preserve">Багдат</t>
  </si>
  <si>
    <t xml:space="preserve">Эрдэнэчимэг</t>
  </si>
  <si>
    <t xml:space="preserve">Хашбаатар</t>
  </si>
  <si>
    <t xml:space="preserve">Шагдарсүрэн</t>
  </si>
  <si>
    <t xml:space="preserve">Тойлхан</t>
  </si>
  <si>
    <t xml:space="preserve">Цогтгэрэл</t>
  </si>
  <si>
    <t xml:space="preserve">Номт</t>
  </si>
  <si>
    <t xml:space="preserve">Авирмэд</t>
  </si>
  <si>
    <t xml:space="preserve">Алмахан</t>
  </si>
  <si>
    <t xml:space="preserve">Хаянхирваа</t>
  </si>
  <si>
    <t xml:space="preserve">Залуу</t>
  </si>
  <si>
    <t xml:space="preserve">Баатарчулуун</t>
  </si>
  <si>
    <t xml:space="preserve">Готов</t>
  </si>
  <si>
    <t xml:space="preserve">Дамдинсүрэн</t>
  </si>
  <si>
    <t xml:space="preserve">Нурдан</t>
  </si>
  <si>
    <t xml:space="preserve">Эрдэнэбаяр</t>
  </si>
  <si>
    <t xml:space="preserve">Төмөрбаатар</t>
  </si>
  <si>
    <t xml:space="preserve">Шүхэр</t>
  </si>
  <si>
    <t xml:space="preserve">Хамсбай</t>
  </si>
  <si>
    <t xml:space="preserve">Зогсоо</t>
  </si>
  <si>
    <t xml:space="preserve">Бямбарагчаа</t>
  </si>
  <si>
    <t xml:space="preserve">Далхаа</t>
  </si>
  <si>
    <t xml:space="preserve">Цахиуртай</t>
  </si>
  <si>
    <t xml:space="preserve">Мянган-Эрдэм төв</t>
  </si>
  <si>
    <t xml:space="preserve">Гомбожав</t>
  </si>
  <si>
    <t xml:space="preserve">Төмөрцооз</t>
  </si>
  <si>
    <t xml:space="preserve">Олимпиадыг авсан багш: С.Саранзаяа, Б.Отгонзаяа</t>
  </si>
  <si>
    <t xml:space="preserve">Олимпиадыг зассан багш: Д.Баасанжав, Н.Үржинбат</t>
  </si>
  <si>
    <t xml:space="preserve">Тоо (G)</t>
  </si>
  <si>
    <t xml:space="preserve">Бүлэг (H)</t>
  </si>
  <si>
    <t xml:space="preserve">Math&amp;2025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</si>
</sst>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1DyCmGNVTG_ivDFBkITgp5iXayINvjDm/view?usp=drivesdk" TargetMode="External"/><Relationship Id="rId2" Type="http://schemas.openxmlformats.org/officeDocument/2006/relationships/hyperlink" Target="https://drive.google.com/file/d/1HtN-xkextwP5jX3ZNHzyi7ZxRy1vfE2K/view?usp=drivesdk" TargetMode="External"/><Relationship Id="rId3" Type="http://schemas.openxmlformats.org/officeDocument/2006/relationships/hyperlink" Target="https://drive.google.com/file/d/1eZT1Q65jK3nmfGTxsd1ibuYnZhmrfHNq/view?usp=drivesdk" TargetMode="External"/><Relationship Id="rId4" Type="http://schemas.openxmlformats.org/officeDocument/2006/relationships/hyperlink" Target="https://drive.google.com/file/d/1ZU_MLXeTHxn-5eq8b2jGGm9zGDRZorXx/view?usp=drivesdk" TargetMode="External"/><Relationship Id="rId5" Type="http://schemas.openxmlformats.org/officeDocument/2006/relationships/hyperlink" Target="https://drive.google.com/file/d/107Eb0U6cyS8F8-DFrehECDfwVveJZTqu/view?usp=drivesdk" TargetMode="External"/><Relationship Id="rId6" Type="http://schemas.openxmlformats.org/officeDocument/2006/relationships/hyperlink" Target="https://drive.google.com/file/d/1Y4nh1L8uY_fRECrWcmtf1K2HeR5cuFnw/view?usp=drivesdk" TargetMode="External"/><Relationship Id="rId7" Type="http://schemas.openxmlformats.org/officeDocument/2006/relationships/hyperlink" Target="https://drive.google.com/file/d/1BPEHm6ZXHCgRfFmFRQUT6pSiB9cVuwuY/view?usp=drivesdk" TargetMode="External"/><Relationship Id="rId8" Type="http://schemas.openxmlformats.org/officeDocument/2006/relationships/hyperlink" Target="https://drive.google.com/file/d/1EWBC07aFDCDgahCeuqVgE54hrquVbSc-/view?usp=drivesdk" TargetMode="External"/><Relationship Id="rId9" Type="http://schemas.openxmlformats.org/officeDocument/2006/relationships/hyperlink" Target="https://drive.google.com/file/d/1MzglUGxXQT7PWJ1PmlnKAvUI3DZe089Y/view?usp=drivesdk" TargetMode="External"/><Relationship Id="rId10" Type="http://schemas.openxmlformats.org/officeDocument/2006/relationships/hyperlink" Target="https://drive.google.com/file/d/1oWgpZWjX25_BrcwzPD8TlAv56TVQXetw/view?usp=drivesdk" TargetMode="External"/><Relationship Id="rId11" Type="http://schemas.openxmlformats.org/officeDocument/2006/relationships/hyperlink" Target="https://drive.google.com/file/d/1YTGacUl6IeRadlsOuAiJbRqouTTvE777/view?usp=drivesdk" TargetMode="External"/><Relationship Id="rId12" Type="http://schemas.openxmlformats.org/officeDocument/2006/relationships/hyperlink" Target="https://drive.google.com/file/d/1znuL8Ylf7f3Tl07WEivm4XxmLSfVukT7/view?usp=drivesdk" TargetMode="External"/><Relationship Id="rId13" Type="http://schemas.openxmlformats.org/officeDocument/2006/relationships/hyperlink" Target="https://drive.google.com/file/d/1IPFA-ms8bEi33KUPGkQ0cFlHHp8IrZB4/view?usp=drivesdk" TargetMode="External"/><Relationship Id="rId14" Type="http://schemas.openxmlformats.org/officeDocument/2006/relationships/hyperlink" Target="https://drive.google.com/file/d/12MMwL-ynA92Sl5eW_WQNCkhCy7nOyb41/view?usp=drivesdk" TargetMode="External"/><Relationship Id="rId15" Type="http://schemas.openxmlformats.org/officeDocument/2006/relationships/hyperlink" Target="https://drive.google.com/file/d/1GVkL87DN76YIEr0KPF0U_iQmM14TmFwX/view?usp=drivesdk" TargetMode="External"/><Relationship Id="rId16" Type="http://schemas.openxmlformats.org/officeDocument/2006/relationships/hyperlink" Target="https://drive.google.com/file/d/1vkURYVCjNWV4I9-ao8QQM6X_RXH3vFqs/view?usp=drivesdk" TargetMode="External"/><Relationship Id="rId17" Type="http://schemas.openxmlformats.org/officeDocument/2006/relationships/hyperlink" Target="https://drive.google.com/file/d/12qfaI6trCToyD5w8vXP63rO7Xh5PYwwe/view?usp=drivesdk" TargetMode="External"/><Relationship Id="rId18" Type="http://schemas.openxmlformats.org/officeDocument/2006/relationships/hyperlink" Target="https://drive.google.com/file/d/18TuqNSldFtjJdgIYZoCrtbK0dMfbISSY/view?usp=drivesdk" TargetMode="External"/><Relationship Id="rId19" Type="http://schemas.openxmlformats.org/officeDocument/2006/relationships/hyperlink" Target="https://drive.google.com/file/d/15vJx6KqD4KFCL-i0Ki6OFEuxj__ymFrz/view?usp=drivesdk" TargetMode="External"/><Relationship Id="rId20" Type="http://schemas.openxmlformats.org/officeDocument/2006/relationships/hyperlink" Target="https://drive.google.com/file/d/1ku-vTjU9obw3YDh05cYCh8ITvz_SRzgj/view?usp=drivesdk" TargetMode="External"/><Relationship Id="rId21" Type="http://schemas.openxmlformats.org/officeDocument/2006/relationships/hyperlink" Target="https://drive.google.com/file/d/1blYmeVBhkTlwm2Hy51MT8MMiTNHn4AAQ/view?usp=drivesdk" TargetMode="External"/><Relationship Id="rId22" Type="http://schemas.openxmlformats.org/officeDocument/2006/relationships/hyperlink" Target="https://drive.google.com/file/d/1NPafRRwQMa3vy74bKJgh9W4ysZ-6zf9u/view?usp=drivesdk" TargetMode="External"/><Relationship Id="rId23" Type="http://schemas.openxmlformats.org/officeDocument/2006/relationships/hyperlink" Target="https://drive.google.com/file/d/1rsAa8FdDdVTxsMYhZYWdky2fwHHpQ3cG/view?usp=drivesdk" TargetMode="External"/><Relationship Id="rId24" Type="http://schemas.openxmlformats.org/officeDocument/2006/relationships/hyperlink" Target="https://drive.google.com/file/d/1IOEmhmAQboPoz1QuC3d2HuRG8qIpDYS2/view?usp=drivesdk" TargetMode="External"/><Relationship Id="rId25" Type="http://schemas.openxmlformats.org/officeDocument/2006/relationships/hyperlink" Target="https://drive.google.com/file/d/1o2IKPy73RKFglyzNf5U-hNOckpsZAIQx/view?usp=drivesdk" TargetMode="External"/><Relationship Id="rId26" Type="http://schemas.openxmlformats.org/officeDocument/2006/relationships/hyperlink" Target="https://drive.google.com/file/d/1Oml4Q7sOyqZRh-2a7pW2nfUwv312SXaT/view?usp=drivesdk" TargetMode="External"/><Relationship Id="rId27" Type="http://schemas.openxmlformats.org/officeDocument/2006/relationships/hyperlink" Target="https://drive.google.com/file/d/1HtRThoTc_QWkE7Fmx-Gzffzoq4Y-zxE9/view?usp=drivesdk" TargetMode="External"/><Relationship Id="rId28" Type="http://schemas.openxmlformats.org/officeDocument/2006/relationships/hyperlink" Target="https://drive.google.com/file/d/1cDF0pLBKDffctIX50Exf3tAXe1V6RKjC/view?usp=drivesdk" TargetMode="External"/><Relationship Id="rId29" Type="http://schemas.openxmlformats.org/officeDocument/2006/relationships/hyperlink" Target="https://drive.google.com/file/d/1TXx3yi1X3M7MyfsNVTS4fxDfj-qWxuxl/view?usp=drivesdk" TargetMode="External"/><Relationship Id="rId30" Type="http://schemas.openxmlformats.org/officeDocument/2006/relationships/hyperlink" Target="https://drive.google.com/file/d/1dnqUkA8vLB29qo7iNkaMq_XGPY8ISr2i/view?usp=drivesdk" TargetMode="External"/><Relationship Id="rId31" Type="http://schemas.openxmlformats.org/officeDocument/2006/relationships/hyperlink" Target="https://drive.google.com/file/d/1n9fUjJBhhPhk9J0T9e8J1mLwwScn0Lao/view?usp=drivesdk" TargetMode="External"/><Relationship Id="rId32" Type="http://schemas.openxmlformats.org/officeDocument/2006/relationships/hyperlink" Target="https://drive.google.com/file/d/1PFLtk2_7h275wEnzgLcNElT4h_MUNC7N/view?usp=drivesdk" TargetMode="External"/><Relationship Id="rId33" Type="http://schemas.openxmlformats.org/officeDocument/2006/relationships/hyperlink" Target="https://drive.google.com/file/d/1i85GIcMvPscivRLONpOQQQyDClC9N7ar/view?usp=drivesdk" TargetMode="External"/><Relationship Id="rId34" Type="http://schemas.openxmlformats.org/officeDocument/2006/relationships/hyperlink" Target="https://drive.google.com/file/d/1uSswBPaqjWZJrccSXjK2yFxMFd8cMK6s/view?usp=drivesdk" TargetMode="External"/><Relationship Id="rId35" Type="http://schemas.openxmlformats.org/officeDocument/2006/relationships/hyperlink" Target="https://drive.google.com/file/d/1elDhD-OY-t6BPbY0x11nsmTSUfwYdHQg/view?usp=drivesdk" TargetMode="External"/><Relationship Id="rId36" Type="http://schemas.openxmlformats.org/officeDocument/2006/relationships/hyperlink" Target="https://drive.google.com/file/d/1S5EpKPtg4Hqcr9mnPkH2xe8JZUOZyZAY/view?usp=drivesdk" TargetMode="External"/><Relationship Id="rId37" Type="http://schemas.openxmlformats.org/officeDocument/2006/relationships/hyperlink" Target="https://drive.google.com/file/d/1zA2spbK8YEwBB-tjf4AKfLpgHUhITEZ-/view?usp=drivesdk" TargetMode="External"/><Relationship Id="rId38" Type="http://schemas.openxmlformats.org/officeDocument/2006/relationships/hyperlink" Target="https://drive.google.com/file/d/1XS_SQalBk-Y7KuQxz1z2i-mmADKdqCQe/view?usp=drivesdk" TargetMode="External"/><Relationship Id="rId39" Type="http://schemas.openxmlformats.org/officeDocument/2006/relationships/hyperlink" Target="https://drive.google.com/file/d/12Owkhne6KSMexCmQKDOBjwNfkiCy4Jjw/view?usp=drivesdk" TargetMode="External"/><Relationship Id="rId40" Type="http://schemas.openxmlformats.org/officeDocument/2006/relationships/hyperlink" Target="https://drive.google.com/file/d/1b90E__hlfp5mUOBcK9H2_UcwQZ74WNJB/view?usp=drivesdk" TargetMode="External"/><Relationship Id="rId41" Type="http://schemas.openxmlformats.org/officeDocument/2006/relationships/hyperlink" Target="https://drive.google.com/file/d/1lJYQcwyloEVXF3XAP9Og5UqzYRYGoTUc/view?usp=drivesdk" TargetMode="External"/><Relationship Id="rId42" Type="http://schemas.openxmlformats.org/officeDocument/2006/relationships/hyperlink" Target="https://drive.google.com/file/d/1ugMOpblkWYJkokPFQyvtUHVIWywsxB4f/view?usp=drivesdk" TargetMode="External"/><Relationship Id="rId43" Type="http://schemas.openxmlformats.org/officeDocument/2006/relationships/hyperlink" Target="https://drive.google.com/file/d/1Bp9lBvMoUICePULZ7rxotKNnzKGOl1i0/view?usp=drivesdk" TargetMode="External"/><Relationship Id="rId44" Type="http://schemas.openxmlformats.org/officeDocument/2006/relationships/hyperlink" Target="https://drive.google.com/file/d/1g8DR91c5UC4As_NSl4CvrDCshzxH2ijC/view?usp=drivesdk" TargetMode="External"/><Relationship Id="rId45" Type="http://schemas.openxmlformats.org/officeDocument/2006/relationships/hyperlink" Target="https://drive.google.com/file/d/1jkg5PSPWcyyN06tiuKFaf2yqZAIQp9-v/view?usp=drivesdk" TargetMode="External"/><Relationship Id="rId46" Type="http://schemas.openxmlformats.org/officeDocument/2006/relationships/hyperlink" Target="https://drive.google.com/file/d/1VCZBPprNaCMdUpYEwnG8xByTRFQbLVJ3/view?usp=drivesdk" TargetMode="External"/><Relationship Id="rId47" Type="http://schemas.openxmlformats.org/officeDocument/2006/relationships/hyperlink" Target="https://drive.google.com/file/d/1Zpz-sQly7pSuEgCgHtfUn8_TdUdqd8dU/view?usp=drivesdk" TargetMode="External"/><Relationship Id="rId48" Type="http://schemas.openxmlformats.org/officeDocument/2006/relationships/hyperlink" Target="https://drive.google.com/file/d/146BjmAS3wqExeBAgvZEPxzOZ4vbi7-m1/view?usp=drivesdk" TargetMode="External"/><Relationship Id="rId49" Type="http://schemas.openxmlformats.org/officeDocument/2006/relationships/hyperlink" Target="https://drive.google.com/file/d/1OCYiVQPA-KRI19PjyXagY2mlx0gKxq_i/view?usp=drivesdk" TargetMode="External"/><Relationship Id="rId50" Type="http://schemas.openxmlformats.org/officeDocument/2006/relationships/hyperlink" Target="https://drive.google.com/file/d/19Tki1n01ji0F6Kk2c4JrYlQwojtmfvW4/view?usp=drivesdk" TargetMode="External"/><Relationship Id="rId51" Type="http://schemas.openxmlformats.org/officeDocument/2006/relationships/hyperlink" Target="https://drive.google.com/file/d/1h99HWDSBxO6GeXeXW4UznspzEiVXF-4l/view?usp=drivesdk" TargetMode="External"/><Relationship Id="rId52" Type="http://schemas.openxmlformats.org/officeDocument/2006/relationships/hyperlink" Target="https://drive.google.com/file/d/1Zka1HBvZjh7KWe3VCARggz-TnAlFRUJm/view?usp=drivesdk" TargetMode="External"/><Relationship Id="rId53" Type="http://schemas.openxmlformats.org/officeDocument/2006/relationships/hyperlink" Target="https://drive.google.com/file/d/1d2F-2vL5lY5Vb38HlP9Vwqbq7NXKSGwd/view?usp=drivesdk" TargetMode="External"/><Relationship Id="rId54" Type="http://schemas.openxmlformats.org/officeDocument/2006/relationships/hyperlink" Target="https://drive.google.com/file/d/1rYcSocIQ3zaNOiebP_iZQ3hEgIPnqqu3/view?usp=drivesdk" TargetMode="External"/><Relationship Id="rId55" Type="http://schemas.openxmlformats.org/officeDocument/2006/relationships/hyperlink" Target="https://drive.google.com/file/d/1jLoSjYiNrDKYs45mw7Q8MUNPiImYvudJ/view?usp=drivesdk" TargetMode="External"/><Relationship Id="rId56" Type="http://schemas.openxmlformats.org/officeDocument/2006/relationships/hyperlink" Target="https://drive.google.com/file/d/16pCLv7_bSQhA-g71MCzi7h57KcqXM_Iy/view?usp=drivesdk" TargetMode="External"/><Relationship Id="rId57" Type="http://schemas.openxmlformats.org/officeDocument/2006/relationships/hyperlink" Target="https://drive.google.com/file/d/1J4kxPjXYWPOEM26jawngwzrJddMC9P3K/view?usp=drivesdk" TargetMode="External"/><Relationship Id="rId58" Type="http://schemas.openxmlformats.org/officeDocument/2006/relationships/hyperlink" Target="https://drive.google.com/file/d/1jeaFCCUxj5D0DBbmP5p9K0NylgEeBXb1/view?usp=drivesdk" TargetMode="External"/><Relationship Id="rId59" Type="http://schemas.openxmlformats.org/officeDocument/2006/relationships/hyperlink" Target="https://drive.google.com/file/d/1NECfY3EXgdUmmqmVuDiJEd11saT-owKb/view?usp=drivesdk" TargetMode="External"/><Relationship Id="rId60" Type="http://schemas.openxmlformats.org/officeDocument/2006/relationships/hyperlink" Target="https://drive.google.com/file/d/10AmW4F_lWiCtCWfI-fdkBvboITpyKurg/view?usp=drivesdk" TargetMode="External"/><Relationship Id="rId61" Type="http://schemas.openxmlformats.org/officeDocument/2006/relationships/hyperlink" Target="https://drive.google.com/file/d/1Ryun7BTGNZhmt6TXZUEo2ipdYDdS7zcB/view?usp=drivesdk" TargetMode="External"/><Relationship Id="rId62" Type="http://schemas.openxmlformats.org/officeDocument/2006/relationships/hyperlink" Target="https://drive.google.com/file/d/1usFDPjQ0bx7KwtGjfYFQX4FLK_UeFdcG/view?usp=drivesdk" TargetMode="External"/><Relationship Id="rId63" Type="http://schemas.openxmlformats.org/officeDocument/2006/relationships/hyperlink" Target="https://drive.google.com/file/d/1dygbDv7m2JxOi7dmATTAKF5UDfz6-hEV/view?usp=drivesdk" TargetMode="External"/><Relationship Id="rId64" Type="http://schemas.openxmlformats.org/officeDocument/2006/relationships/hyperlink" Target="https://drive.google.com/file/d/1wrFhVsZVWjDZuMTgPKD_FeLvJB-26npy/view?usp=drivesdk" TargetMode="External"/><Relationship Id="rId65" Type="http://schemas.openxmlformats.org/officeDocument/2006/relationships/hyperlink" Target="https://drive.google.com/file/d/1KYf5DKIs_zflhqSGEP0uiRvny7yITpXZ/view?usp=drivesdk" TargetMode="External"/><Relationship Id="rId66" Type="http://schemas.openxmlformats.org/officeDocument/2006/relationships/hyperlink" Target="https://drive.google.com/file/d/1AGsbmUxGBHIpaiJIzAOIjP2AgtRPpo10/view?usp=drivesdk" TargetMode="External"/><Relationship Id="rId67" Type="http://schemas.openxmlformats.org/officeDocument/2006/relationships/hyperlink" Target="https://drive.google.com/file/d/1fAtbDu1KiwFYDzwzWuovrCrEc6OIwt2j/view?usp=drivesdk" TargetMode="External"/><Relationship Id="rId68" Type="http://schemas.openxmlformats.org/officeDocument/2006/relationships/hyperlink" Target="https://drive.google.com/file/d/1xmi8HhEne-XSPV5_75Caz64anAPFntsy/view?usp=drivesdk" TargetMode="External"/><Relationship Id="rId69" Type="http://schemas.openxmlformats.org/officeDocument/2006/relationships/hyperlink" Target="https://drive.google.com/file/d/1xDDhi1B8xB-1mjCfTIVqpIe23wqclHDR/view?usp=drivesdk" TargetMode="External"/><Relationship Id="rId70" Type="http://schemas.openxmlformats.org/officeDocument/2006/relationships/hyperlink" Target="https://drive.google.com/file/d/19_ghNUg5_rBAGX8a3AAjwR-DOwFkImKl/view?usp=drivesdk" TargetMode="External"/><Relationship Id="rId71" Type="http://schemas.openxmlformats.org/officeDocument/2006/relationships/hyperlink" Target="https://drive.google.com/file/d/17MCY7DnwacUgqS9nnO_5FrzIWrlA0Bes/view?usp=drivesdk" TargetMode="External"/><Relationship Id="rId72" Type="http://schemas.openxmlformats.org/officeDocument/2006/relationships/hyperlink" Target="https://drive.google.com/file/d/1oZ_IEv-WTRqxq0-7nnoaZnnoCE6s1fJc/view?usp=drivesdk" TargetMode="External"/><Relationship Id="rId73" Type="http://schemas.openxmlformats.org/officeDocument/2006/relationships/hyperlink" Target="https://drive.google.com/file/d/1OCgakN8BZBLd7h0QdRD2rq-WCabwPTSd/view?usp=drivesdk" TargetMode="External"/><Relationship Id="rId74" Type="http://schemas.openxmlformats.org/officeDocument/2006/relationships/hyperlink" Target="https://drive.google.com/file/d/1vnss1A3B0MzRWtypVz4W77iTaoKIJsuH/view?usp=drivesdk" TargetMode="External"/><Relationship Id="rId75" Type="http://schemas.openxmlformats.org/officeDocument/2006/relationships/hyperlink" Target="https://drive.google.com/file/d/1CEue2-2gqriODsNjhQFskdeCKugWxIic/view?usp=drivesdk" TargetMode="External"/><Relationship Id="rId76" Type="http://schemas.openxmlformats.org/officeDocument/2006/relationships/hyperlink" Target="https://drive.google.com/file/d/1DiQ9NiD-2SFeXpSV0jDxY5X9pW9VmTs7/view?usp=drivesdk" TargetMode="External"/><Relationship Id="rId77" Type="http://schemas.openxmlformats.org/officeDocument/2006/relationships/hyperlink" Target="https://drive.google.com/file/d/1KWOXmSPvkE_L61EGyOG8mXeVAV0veVFB/view?usp=drivesdk" TargetMode="External"/><Relationship Id="rId78" Type="http://schemas.openxmlformats.org/officeDocument/2006/relationships/hyperlink" Target="https://drive.google.com/file/d/1IgbeVKCkSLFIwjud2HgrnCIUQUPIoJM7/view?usp=drivesdk" TargetMode="External"/><Relationship Id="rId79" Type="http://schemas.openxmlformats.org/officeDocument/2006/relationships/hyperlink" Target="https://drive.google.com/file/d/1WRzunmP2eC_QdEPXjjRbnr_vMX196fT1/view?usp=drivesdk" TargetMode="External"/><Relationship Id="rId80" Type="http://schemas.openxmlformats.org/officeDocument/2006/relationships/hyperlink" Target="https://drive.google.com/file/d/1ZmvPMz6sP6rowJXp1a1g-Kv_6177_hm7/view?usp=drivesdk" TargetMode="External"/><Relationship Id="rId81" Type="http://schemas.openxmlformats.org/officeDocument/2006/relationships/hyperlink" Target="https://drive.google.com/file/d/1-Osw0Tn-YmPZXy4Yfu6YLSt8ecsr0zPk/view?usp=drivesdk" TargetMode="External"/><Relationship Id="rId82" Type="http://schemas.openxmlformats.org/officeDocument/2006/relationships/hyperlink" Target="https://drive.google.com/file/d/1TBXwGSr57m20I07r3qe32mm4sVy3Y4f7/view?usp=drivesdk" TargetMode="External"/><Relationship Id="rId83" Type="http://schemas.openxmlformats.org/officeDocument/2006/relationships/hyperlink" Target="https://drive.google.com/file/d/1rmNLwsx59Qx4W2-mByQyC3f4QTAyuSjw/view?usp=drivesdk" TargetMode="External"/><Relationship Id="rId84" Type="http://schemas.openxmlformats.org/officeDocument/2006/relationships/hyperlink" Target="https://drive.google.com/file/d/1D5u0R93iNNZJdLDOXXZoACiosKiH_x50/view?usp=drivesdk" TargetMode="External"/><Relationship Id="rId85" Type="http://schemas.openxmlformats.org/officeDocument/2006/relationships/hyperlink" Target="https://drive.google.com/file/d/10Yld1EfqOEp3zeYR7waqJUusz5P76NjD/view?usp=drivesdk" TargetMode="External"/><Relationship Id="rId86" Type="http://schemas.openxmlformats.org/officeDocument/2006/relationships/hyperlink" Target="https://drive.google.com/file/d/1Vnz8m1ONpyyVVI8OsBapI-hjY2LEhoyn/view?usp=drivesdk" TargetMode="External"/><Relationship Id="rId87" Type="http://schemas.openxmlformats.org/officeDocument/2006/relationships/hyperlink" Target="https://drive.google.com/file/d/1--d4xMXodBCFH_9fLl2K4rIG_uxVFCjr/view?usp=drivesdk" TargetMode="External"/><Relationship Id="rId88" Type="http://schemas.openxmlformats.org/officeDocument/2006/relationships/hyperlink" Target="https://drive.google.com/file/d/1Z94BP3UGA8qYLP-4jISUsqVmyic8lcsY/view?usp=drivesdk" TargetMode="External"/><Relationship Id="rId89" Type="http://schemas.openxmlformats.org/officeDocument/2006/relationships/hyperlink" Target="https://drive.google.com/file/d/1c01n9iGXwRQlmJCq1vL7tEhMy_RZ2CD7/view?usp=drivesdk" TargetMode="External"/><Relationship Id="rId90" Type="http://schemas.openxmlformats.org/officeDocument/2006/relationships/hyperlink" Target="https://drive.google.com/file/d/1DZpJ29fJdG-cLNZKT1YQjbEy2Tep1J6Z/view?usp=drivesdk" TargetMode="External"/><Relationship Id="rId91" Type="http://schemas.openxmlformats.org/officeDocument/2006/relationships/hyperlink" Target="https://drive.google.com/file/d/1abV_IEfeUOoUFjw8legxMWgyY_Oz7ZbN/view?usp=drivesdk" TargetMode="External"/><Relationship Id="rId92" Type="http://schemas.openxmlformats.org/officeDocument/2006/relationships/hyperlink" Target="https://drive.google.com/file/d/1KLAlYwJ4YVKSzA-0m4P7CkaVBixc3es4/view?usp=drivesdk" TargetMode="External"/><Relationship Id="rId93" Type="http://schemas.openxmlformats.org/officeDocument/2006/relationships/hyperlink" Target="https://drive.google.com/file/d/1NMbYP9jTl5oHJpR9rByoLWIj7IGuOwJZ/view?usp=drivesdk" TargetMode="External"/><Relationship Id="rId94" Type="http://schemas.openxmlformats.org/officeDocument/2006/relationships/hyperlink" Target="https://drive.google.com/file/d/1mJXbYdt71KGqCmdXiJY4xzxD-KL0FiOt/view?usp=drivesdk" TargetMode="External"/><Relationship Id="rId95" Type="http://schemas.openxmlformats.org/officeDocument/2006/relationships/hyperlink" Target="https://drive.google.com/file/d/1QSXcqD4tjrkP1Myh0NPMZXRx6c3-2ya4/view?usp=drivesdk" TargetMode="External"/><Relationship Id="rId96" Type="http://schemas.openxmlformats.org/officeDocument/2006/relationships/hyperlink" Target="https://drive.google.com/file/d/1ISP0-XXiWrc0x7q8IO1rm7Y7bZ8JskY1/view?usp=drivesdk" TargetMode="External"/><Relationship Id="rId97" Type="http://schemas.openxmlformats.org/officeDocument/2006/relationships/hyperlink" Target="https://drive.google.com/file/d/1KihAV4QbUYvjtEsIskinRr9Rr6gA29he/view?usp=drivesdk" TargetMode="External"/><Relationship Id="rId98" Type="http://schemas.openxmlformats.org/officeDocument/2006/relationships/hyperlink" Target="https://drive.google.com/file/d/12f_fDKG5R8VXoS-zgdQ8rAM2QsDAeH_J/view?usp=drivesdk" TargetMode="External"/><Relationship Id="rId99" Type="http://schemas.openxmlformats.org/officeDocument/2006/relationships/hyperlink" Target="https://drive.google.com/file/d/10wMg9NgDzALkcHieCPg6D2_26nuEw9px/view?usp=drivesdk" TargetMode="External"/><Relationship Id="rId100" Type="http://schemas.openxmlformats.org/officeDocument/2006/relationships/hyperlink" Target="https://drive.google.com/file/d/1H46UyJ-qhljzlujWzwA-I97cpafozqLp/view?usp=drivesdk" TargetMode="External"/><Relationship Id="rId101" Type="http://schemas.openxmlformats.org/officeDocument/2006/relationships/hyperlink" Target="https://drive.google.com/file/d/1dVL6Eunm-sQgfY9nCOOhqvIZ6pNacN-i/view?usp=drivesdk" TargetMode="External"/><Relationship Id="rId102" Type="http://schemas.openxmlformats.org/officeDocument/2006/relationships/hyperlink" Target="https://drive.google.com/file/d/1iag5WOefLxiqnbcOUNeySMoMsOGBbxeU/view?usp=drivesdk" TargetMode="External"/><Relationship Id="rId103" Type="http://schemas.openxmlformats.org/officeDocument/2006/relationships/hyperlink" Target="https://drive.google.com/file/d/13rYBSXWAhmE1_631Azr9hqu6HZN7CHuI/view?usp=drivesdk" TargetMode="External"/><Relationship Id="rId104" Type="http://schemas.openxmlformats.org/officeDocument/2006/relationships/hyperlink" Target="https://drive.google.com/file/d/13XjOrduQbcpf4O7cugGiVh9LLK4RhoQF/view?usp=drivesdk" TargetMode="External"/><Relationship Id="rId105" Type="http://schemas.openxmlformats.org/officeDocument/2006/relationships/hyperlink" Target="https://drive.google.com/file/d/1rqtC_Nlr9WMX5dxzyddAQv1lrvdqggiS/view?usp=drivesdk" TargetMode="External"/><Relationship Id="rId106" Type="http://schemas.openxmlformats.org/officeDocument/2006/relationships/hyperlink" Target="https://drive.google.com/file/d/1hvj6PIno1wY0A5gqZXIZCPc2PfG-Uc88/view?usp=drivesdk" TargetMode="External"/><Relationship Id="rId107" Type="http://schemas.openxmlformats.org/officeDocument/2006/relationships/hyperlink" Target="https://drive.google.com/file/d/146Dga4JtEmU--yax25VopTz38LXUsWlQ/view?usp=drivesdk" TargetMode="External"/><Relationship Id="rId108" Type="http://schemas.openxmlformats.org/officeDocument/2006/relationships/hyperlink" Target="https://drive.google.com/file/d/1tyKENWgYb_3AMbVukMF6hSspD0wdn2f3/view?usp=drivesdk" TargetMode="External"/><Relationship Id="rId109" Type="http://schemas.openxmlformats.org/officeDocument/2006/relationships/hyperlink" Target="https://drive.google.com/file/d/1FS-AoUqjhNS9c0-YJ1DiXQ4bC_SMsfUi/view?usp=drivesdk" TargetMode="External"/><Relationship Id="rId110" Type="http://schemas.openxmlformats.org/officeDocument/2006/relationships/hyperlink" Target="https://drive.google.com/file/d/1MFJ7LNMD5IBQWrZ_6l-tdkK_SftCOF5i/view?usp=drivesdk" TargetMode="External"/><Relationship Id="rId111" Type="http://schemas.openxmlformats.org/officeDocument/2006/relationships/hyperlink" Target="https://drive.google.com/file/d/1K8AHOgQV3jYxdYXf7nK6sIabx_DEtbd7/view?usp=drivesdk" TargetMode="External"/><Relationship Id="rId112" Type="http://schemas.openxmlformats.org/officeDocument/2006/relationships/hyperlink" Target="https://drive.google.com/file/d/11Jw71eSPwkx7Bf13Ypyx3jL4nasOkG10/view?usp=drivesdk" TargetMode="External"/><Relationship Id="rId113" Type="http://schemas.openxmlformats.org/officeDocument/2006/relationships/hyperlink" Target="https://drive.google.com/file/d/1KUz_mc222xmN5rNgyIVvh5teRBB-qYRm/view?usp=drivesdk" TargetMode="External"/><Relationship Id="rId114" Type="http://schemas.openxmlformats.org/officeDocument/2006/relationships/hyperlink" Target="https://drive.google.com/file/d/1eNJ2lDZuSWDvgud6yN1DQ4gpQ0Xta4QB/view?usp=drivesdk" TargetMode="External"/><Relationship Id="rId115" Type="http://schemas.openxmlformats.org/officeDocument/2006/relationships/hyperlink" Target="https://drive.google.com/file/d/1xiNsCcvKI7XGtTYGUWS4A0Ez5L0fAB1s/view?usp=drivesdk" TargetMode="External"/><Relationship Id="rId116" Type="http://schemas.openxmlformats.org/officeDocument/2006/relationships/hyperlink" Target="https://drive.google.com/file/d/1AKw71qER-2oDQ_KMx7KJv4jShwLxK-16/view?usp=drivesdk" TargetMode="External"/><Relationship Id="rId117" Type="http://schemas.openxmlformats.org/officeDocument/2006/relationships/hyperlink" Target="https://drive.google.com/file/d/1Gu3KXm-BxaGTFi_oj6vaMmtOZnjeZLLH/view?usp=drivesdk" TargetMode="External"/><Relationship Id="rId118" Type="http://schemas.openxmlformats.org/officeDocument/2006/relationships/hyperlink" Target="https://drive.google.com/file/d/1y_bgGyglXoKBfeczbclwjzh9OFDf6uG4/view?usp=drivesdk" TargetMode="External"/><Relationship Id="rId119" Type="http://schemas.openxmlformats.org/officeDocument/2006/relationships/hyperlink" Target="https://drive.google.com/file/d/1t9UzzA7b1AwAjPsQ0XUCgmh1ImyaK5xz/view?usp=drivesdk" TargetMode="External"/><Relationship Id="rId120" Type="http://schemas.openxmlformats.org/officeDocument/2006/relationships/hyperlink" Target="https://drive.google.com/file/d/1ED_5OHzGASD8-jLv_sCsxj0QJH2HZAKN/view?usp=drivesdk" TargetMode="External"/><Relationship Id="rId121" Type="http://schemas.openxmlformats.org/officeDocument/2006/relationships/hyperlink" Target="https://drive.google.com/file/d/1n4Ihd7hQpWnx69XXs_lF3IFPx7U-CL9T/view?usp=drivesdk" TargetMode="External"/><Relationship Id="rId122" Type="http://schemas.openxmlformats.org/officeDocument/2006/relationships/hyperlink" Target="https://drive.google.com/file/d/12Ct-H0eDTmGzJIhjBJY6NeggTPqdNvfZ/view?usp=drivesdk" TargetMode="External"/><Relationship Id="rId123" Type="http://schemas.openxmlformats.org/officeDocument/2006/relationships/hyperlink" Target="https://drive.google.com/file/d/1_ea7AitcrJ2RSR4VEi_q1q8M6PenHzu7/view?usp=drivesdk" TargetMode="External"/><Relationship Id="rId124" Type="http://schemas.openxmlformats.org/officeDocument/2006/relationships/hyperlink" Target="https://drive.google.com/file/d/1M27LDkBMiBHRjiHuTBI18dOW8sMmrFkv/view?usp=drivesdk" TargetMode="External"/><Relationship Id="rId125" Type="http://schemas.openxmlformats.org/officeDocument/2006/relationships/hyperlink" Target="https://drive.google.com/file/d/1OXP0J8t3jObJ-lGRTwuv_HnuL8gjBXHj/view?usp=drivesdk" TargetMode="External"/><Relationship Id="rId126" Type="http://schemas.openxmlformats.org/officeDocument/2006/relationships/hyperlink" Target="https://drive.google.com/file/d/1hOhm6uS9KZc41ow1ZnGTSQoxsMDltSTU/view?usp=drivesdk" TargetMode="External"/><Relationship Id="rId127" Type="http://schemas.openxmlformats.org/officeDocument/2006/relationships/hyperlink" Target="https://drive.google.com/file/d/1shwbzTplHls8GXEZtSL5dpwbetbvbnEO/view?usp=drivesdk" TargetMode="External"/><Relationship Id="rId128" Type="http://schemas.openxmlformats.org/officeDocument/2006/relationships/hyperlink" Target="https://drive.google.com/file/d/1fabroA3mXvTWT-4rf8JqyAmeo2Sb3UcY/view?usp=drivesdk" TargetMode="External"/><Relationship Id="rId129" Type="http://schemas.openxmlformats.org/officeDocument/2006/relationships/hyperlink" Target="https://drive.google.com/file/d/12oFrpKcauDnSpY2IPiB5o3TpHwmqeWKu/view?usp=drivesdk" TargetMode="External"/><Relationship Id="rId130" Type="http://schemas.openxmlformats.org/officeDocument/2006/relationships/hyperlink" Target="https://drive.google.com/file/d/1O51dFTMGSEto5v_snqVRKfOrr1WbgPqz/view?usp=drivesdk" TargetMode="External"/><Relationship Id="rId131" Type="http://schemas.openxmlformats.org/officeDocument/2006/relationships/hyperlink" Target="https://drive.google.com/file/d/1-wv2zFFFBUF4XiOxdEbC6-WADab8sx2W/view?usp=drivesdk" TargetMode="External"/><Relationship Id="rId132" Type="http://schemas.openxmlformats.org/officeDocument/2006/relationships/hyperlink" Target="https://drive.google.com/file/d/1Pnct-jROeQEN0XwN9X02aaENH38zoS48/view?usp=drivesdk" TargetMode="External"/><Relationship Id="rId133" Type="http://schemas.openxmlformats.org/officeDocument/2006/relationships/hyperlink" Target="https://drive.google.com/file/d/18KS0Rv71909PM6wVDP5zj408x-Fw2eU5/view?usp=drivesdk" TargetMode="External"/><Relationship Id="rId134" Type="http://schemas.openxmlformats.org/officeDocument/2006/relationships/hyperlink" Target="https://drive.google.com/file/d/1w-crruHoUsvabo1rkHsbNYgXDOjZpA_I/view?usp=drivesdk" TargetMode="External"/><Relationship Id="rId135" Type="http://schemas.openxmlformats.org/officeDocument/2006/relationships/hyperlink" Target="https://drive.google.com/file/d/18HfvBH_KhwnW_3AVDe2XIQ9Q0O0aj5fs/view?usp=drivesdk" TargetMode="External"/><Relationship Id="rId136" Type="http://schemas.openxmlformats.org/officeDocument/2006/relationships/hyperlink" Target="https://drive.google.com/file/d/1XUAeZ7BC0vm5fdMOc3BYbEGAzFR7jSLB/view?usp=drivesdk" TargetMode="External"/><Relationship Id="rId137" Type="http://schemas.openxmlformats.org/officeDocument/2006/relationships/hyperlink" Target="https://drive.google.com/file/d/1CP8Up5bvOPm7yByAIgn7UQ_WtjCmwOyM/view?usp=drivesdk" TargetMode="External"/><Relationship Id="rId138" Type="http://schemas.openxmlformats.org/officeDocument/2006/relationships/hyperlink" Target="https://drive.google.com/file/d/1uZFdncf9IscB6-c_bdy6FzbcjeTP_RII/view?usp=drivesdk" TargetMode="External"/><Relationship Id="rId139" Type="http://schemas.openxmlformats.org/officeDocument/2006/relationships/hyperlink" Target="https://drive.google.com/file/d/18gnObGo-HIfCNQIZdsTHYZTpJITDOh_I/view?usp=drivesdk" TargetMode="External"/><Relationship Id="rId140" Type="http://schemas.openxmlformats.org/officeDocument/2006/relationships/hyperlink" Target="https://drive.google.com/file/d/1lBIxnRN1bBbtmZYfokv-cNqLVTVEyV0E/view?usp=drivesdk" TargetMode="External"/><Relationship Id="rId141" Type="http://schemas.openxmlformats.org/officeDocument/2006/relationships/hyperlink" Target="https://drive.google.com/file/d/1UyLTmhYkiOkKU_UCjN8YyNMyZ5hTUXwK/view?usp=drivesdk" TargetMode="External"/><Relationship Id="rId142" Type="http://schemas.openxmlformats.org/officeDocument/2006/relationships/hyperlink" Target="https://drive.google.com/file/d/1BJ5GP_xBpS4684RS9-SkV2ha_lUanbx3/view?usp=drivesdk" TargetMode="External"/><Relationship Id="rId143" Type="http://schemas.openxmlformats.org/officeDocument/2006/relationships/hyperlink" Target="https://drive.google.com/file/d/1p9Se1PIpzu2QBsyfDd8qNEIbShK9WN1t/view?usp=drivesdk" TargetMode="External"/><Relationship Id="rId144" Type="http://schemas.openxmlformats.org/officeDocument/2006/relationships/hyperlink" Target="https://drive.google.com/file/d/10qVbKHZBcYO_vJ7iWYZyaNfYHrczHpgF/view?usp=drivesdk" TargetMode="External"/><Relationship Id="rId145" Type="http://schemas.openxmlformats.org/officeDocument/2006/relationships/hyperlink" Target="https://drive.google.com/file/d/1NVkJxyajBsnaKph4DC4Ae8kLzL7aglVH/view?usp=drivesdk" TargetMode="External"/><Relationship Id="rId146" Type="http://schemas.openxmlformats.org/officeDocument/2006/relationships/hyperlink" Target="https://drive.google.com/file/d/1ETpAXwtavsNHCMVLvgBj3QP3CXrfq1ij/view?usp=drivesdk" TargetMode="External"/><Relationship Id="rId147" Type="http://schemas.openxmlformats.org/officeDocument/2006/relationships/hyperlink" Target="https://drive.google.com/file/d/1hAoPqmVwp07lI8CuajZXH1Lo7l1sXCaB/view?usp=drivesdk" TargetMode="External"/><Relationship Id="rId148" Type="http://schemas.openxmlformats.org/officeDocument/2006/relationships/hyperlink" Target="https://drive.google.com/file/d/1tT-zLt-6q3OkvRbvqibSQnv5G9cmDy77/view?usp=drivesdk" TargetMode="External"/><Relationship Id="rId149" Type="http://schemas.openxmlformats.org/officeDocument/2006/relationships/hyperlink" Target="https://drive.google.com/file/d/1rJUADVHsc0fOgGUEl0yavJkfyyqf8Q5M/view?usp=drivesdk" TargetMode="External"/><Relationship Id="rId150" Type="http://schemas.openxmlformats.org/officeDocument/2006/relationships/hyperlink" Target="https://drive.google.com/file/d/1lOX9-Xv825EQaSjiQ3m55GI2soZM8UmQ/view?usp=drivesdk" TargetMode="External"/><Relationship Id="rId151" Type="http://schemas.openxmlformats.org/officeDocument/2006/relationships/hyperlink" Target="https://drive.google.com/file/d/1FSS9bMwF-W7RhRdXfxeJ1M0FhwpsEYJ5/view?usp=drivesdk" TargetMode="External"/><Relationship Id="rId152" Type="http://schemas.openxmlformats.org/officeDocument/2006/relationships/hyperlink" Target="https://drive.google.com/file/d/1PFjzRZzmBeQE8TUhNn1im0NJIPjc5CV5/view?usp=drivesdk" TargetMode="External"/><Relationship Id="rId153" Type="http://schemas.openxmlformats.org/officeDocument/2006/relationships/hyperlink" Target="https://drive.google.com/file/d/1fIUjlS_y3Zubf5q4W7MsQWn9664k-syk/view?usp=drivesdk" TargetMode="External"/><Relationship Id="rId154" Type="http://schemas.openxmlformats.org/officeDocument/2006/relationships/hyperlink" Target="https://drive.google.com/file/d/18ePMci0q1WNpVojBHksvBPyD_N-oY6fC/view?usp=drivesdk" TargetMode="External"/><Relationship Id="rId155" Type="http://schemas.openxmlformats.org/officeDocument/2006/relationships/hyperlink" Target="https://drive.google.com/file/d/1zcHsipFLfTZUbgHvcrLzVm63P4epFJAA/view?usp=drivesdk" TargetMode="External"/><Relationship Id="rId156" Type="http://schemas.openxmlformats.org/officeDocument/2006/relationships/hyperlink" Target="https://drive.google.com/file/d/1UbqLU1WNxGcGGsIdJ2796TKnPcyFMVU4/view?usp=drivesdk" TargetMode="External"/><Relationship Id="rId157" Type="http://schemas.openxmlformats.org/officeDocument/2006/relationships/hyperlink" Target="https://drive.google.com/file/d/1m4LSkqq2tqLfG6kfJp6w1_F8IknwE10j/view?usp=drivesdk" TargetMode="External"/><Relationship Id="rId158" Type="http://schemas.openxmlformats.org/officeDocument/2006/relationships/hyperlink" Target="https://drive.google.com/file/d/1zkbu6H3iXg1cjAQSLtHxLIjBAVTuLqdq/view?usp=drivesdk" TargetMode="External"/><Relationship Id="rId159" Type="http://schemas.openxmlformats.org/officeDocument/2006/relationships/hyperlink" Target="https://drive.google.com/file/d/1MaO81CnsVpacQGC8-ASGzYsAK3DAl2ri/view?usp=drivesdk" TargetMode="External"/><Relationship Id="rId160" Type="http://schemas.openxmlformats.org/officeDocument/2006/relationships/hyperlink" Target="https://drive.google.com/file/d/1kpfUZWJssYprHQBTdCqkUg-F819MNBpU/view?usp=drivesdk" TargetMode="External"/><Relationship Id="rId161" Type="http://schemas.openxmlformats.org/officeDocument/2006/relationships/hyperlink" Target="https://drive.google.com/file/d/14fjho6RrhMIOoYnBGwq9_wgXXGchaF-m/view?usp=drivesdk" TargetMode="External"/><Relationship Id="rId162" Type="http://schemas.openxmlformats.org/officeDocument/2006/relationships/hyperlink" Target="https://drive.google.com/file/d/13MKYO61P6jYkgOir5iH9h59byEG9miVV/view?usp=drivesdk" TargetMode="External"/><Relationship Id="rId163" Type="http://schemas.openxmlformats.org/officeDocument/2006/relationships/hyperlink" Target="https://drive.google.com/file/d/1wH9uMb4KSYpuv1awKtAp3QXmvGe0V4GZ/view?usp=drivesdk" TargetMode="External"/><Relationship Id="rId164" Type="http://schemas.openxmlformats.org/officeDocument/2006/relationships/hyperlink" Target="https://drive.google.com/file/d/1GhdBSYQDL40GDsjWogYwBwbe___Al0OM/view?usp=drivesdk" TargetMode="External"/><Relationship Id="rId165" Type="http://schemas.openxmlformats.org/officeDocument/2006/relationships/hyperlink" Target="https://drive.google.com/file/d/1eFQua7TBToKKRn_1W6IZgKNrbeblhzYs/view?usp=drivesdk" TargetMode="External"/><Relationship Id="rId166" Type="http://schemas.openxmlformats.org/officeDocument/2006/relationships/hyperlink" Target="https://drive.google.com/file/d/1wv1O8CGH1P9CCZm9PboeIy5FbNKzitJw/view?usp=drivesdk" TargetMode="External"/><Relationship Id="rId167" Type="http://schemas.openxmlformats.org/officeDocument/2006/relationships/hyperlink" Target="https://drive.google.com/file/d/1Ol9QF9zq1UwtdNzxb2tgk68E2t3wNlJu/view?usp=drivesdk" TargetMode="External"/><Relationship Id="rId168" Type="http://schemas.openxmlformats.org/officeDocument/2006/relationships/hyperlink" Target="https://drive.google.com/file/d/10TiNhqxSqsiUwc5kpRc7OJ4Z1i9fyvk8/view?usp=drivesdk" TargetMode="External"/><Relationship Id="rId169" Type="http://schemas.openxmlformats.org/officeDocument/2006/relationships/hyperlink" Target="https://drive.google.com/file/d/1LT09QoEOVlV9HUAg-zMxtbJRrRTpBlGn/view?usp=drivesdk" TargetMode="External"/><Relationship Id="rId170" Type="http://schemas.openxmlformats.org/officeDocument/2006/relationships/hyperlink" Target="https://drive.google.com/file/d/1DO4g_VSkSGQFmkS82mPxVmgRV7Quek5s/view?usp=drivesdk" TargetMode="External"/><Relationship Id="rId171" Type="http://schemas.openxmlformats.org/officeDocument/2006/relationships/hyperlink" Target="https://drive.google.com/file/d/1fH_A2OvwE3F2DcAlWAwWgK8rPsRDElH2/view?usp=drivesdk" TargetMode="External"/><Relationship Id="rId172" Type="http://schemas.openxmlformats.org/officeDocument/2006/relationships/hyperlink" Target="https://drive.google.com/file/d/1iF0hY6HJlD4TUo95iKZK7BXt5NGdpRck/view?usp=drivesdk" TargetMode="External"/><Relationship Id="rId173" Type="http://schemas.openxmlformats.org/officeDocument/2006/relationships/hyperlink" Target="https://drive.google.com/file/d/1FVzNNc93cdrvbHyttTY7IQxtRsazrJHg/view?usp=drivesdk" TargetMode="External"/><Relationship Id="rId174" Type="http://schemas.openxmlformats.org/officeDocument/2006/relationships/hyperlink" Target="https://drive.google.com/file/d/1LRz6IvLhqH9fuI95S5zCdyyhp855n68Z/view?usp=drivesdk" TargetMode="External"/><Relationship Id="rId175" Type="http://schemas.openxmlformats.org/officeDocument/2006/relationships/hyperlink" Target="https://drive.google.com/file/d/1vqP69IXS5P6VAIbmLT8ZYYtLVF2oUkkE/view?usp=drivesdk" TargetMode="External"/><Relationship Id="rId176" Type="http://schemas.openxmlformats.org/officeDocument/2006/relationships/hyperlink" Target="https://drive.google.com/file/d/1KG3n_JAIcRG8WGj8SawdUqup6FcGL6uq/view?usp=drivesdk" TargetMode="External"/><Relationship Id="rId177" Type="http://schemas.openxmlformats.org/officeDocument/2006/relationships/hyperlink" Target="https://drive.google.com/file/d/12a2pH11DEr5aCX9LV4nOb3PqDq5bNzbZ/view?usp=drivesdk" TargetMode="External"/><Relationship Id="rId178" Type="http://schemas.openxmlformats.org/officeDocument/2006/relationships/hyperlink" Target="https://drive.google.com/file/d/1V4FasFvh43lkvwHvkQFqox_iXQdVhWbm/view?usp=drivesdk" TargetMode="External"/><Relationship Id="rId179" Type="http://schemas.openxmlformats.org/officeDocument/2006/relationships/hyperlink" Target="https://drive.google.com/file/d/1abJ9sKuB854PttaHNdCaryIFqRUq4LMb/view?usp=drivesdk" TargetMode="External"/><Relationship Id="rId180" Type="http://schemas.openxmlformats.org/officeDocument/2006/relationships/hyperlink" Target="https://drive.google.com/file/d/1Wh5GAtQotcE6-vafUqkVxIKTiqxiRDL4/view?usp=drivesdk" TargetMode="External"/><Relationship Id="rId181" Type="http://schemas.openxmlformats.org/officeDocument/2006/relationships/hyperlink" Target="https://drive.google.com/file/d/1Su9zmPMlhYnp-w1v17fyHkgMvTrVNfPL/view?usp=drivesdk" TargetMode="External"/><Relationship Id="rId182" Type="http://schemas.openxmlformats.org/officeDocument/2006/relationships/hyperlink" Target="https://drive.google.com/file/d/1vQXWm3R6j_JX5ELAq8tqmcP4h57T9GWM/view?usp=drivesdk" TargetMode="External"/><Relationship Id="rId183" Type="http://schemas.openxmlformats.org/officeDocument/2006/relationships/hyperlink" Target="https://drive.google.com/file/d/1RhKFMe47J3cpOeCu-opfcgz91fGRveyt/view?usp=drivesdk" TargetMode="External"/><Relationship Id="rId184" Type="http://schemas.openxmlformats.org/officeDocument/2006/relationships/hyperlink" Target="https://drive.google.com/file/d/198PpIAmcR4quNYD9FtB15cuMescS5KKP/view?usp=drivesdk" TargetMode="External"/><Relationship Id="rId185" Type="http://schemas.openxmlformats.org/officeDocument/2006/relationships/hyperlink" Target="https://drive.google.com/file/d/1ga5BBthqh6iIGDM8WU3OV2pZW7CEHgZA/view?usp=drivesdk" TargetMode="External"/><Relationship Id="rId186" Type="http://schemas.openxmlformats.org/officeDocument/2006/relationships/hyperlink" Target="https://drive.google.com/file/d/1KXqy4La7YVkBeR1mnXfPmDvFliwkJb2D/view?usp=drivesdk" TargetMode="External"/><Relationship Id="rId187" Type="http://schemas.openxmlformats.org/officeDocument/2006/relationships/hyperlink" Target="https://drive.google.com/file/d/1nKlpd_1CMicK3s402ilGGa1zGqNbAkOX/view?usp=drivesdk" TargetMode="External"/><Relationship Id="rId188" Type="http://schemas.openxmlformats.org/officeDocument/2006/relationships/hyperlink" Target="https://drive.google.com/file/d/1DST_4btsURE97yWiD-gplMjCVoJjbTxI/view?usp=drivesdk" TargetMode="External"/><Relationship Id="rId189" Type="http://schemas.openxmlformats.org/officeDocument/2006/relationships/hyperlink" Target="https://drive.google.com/file/d/1Tnyzh0w-D1-s4eO4KHTKHaiondwrc4ro/view?usp=drivesdk" TargetMode="External"/><Relationship Id="rId190" Type="http://schemas.openxmlformats.org/officeDocument/2006/relationships/hyperlink" Target="https://drive.google.com/file/d/1Vt9fVBBK8SNNeryaino2wU1x4DJvCGkx/view?usp=drivesdk" TargetMode="External"/><Relationship Id="rId191" Type="http://schemas.openxmlformats.org/officeDocument/2006/relationships/hyperlink" Target="https://drive.google.com/file/d/1monlEb_AT_0LZFlsyF-Pt4IdwTSZ0oGw/view?usp=drivesdk" TargetMode="External"/><Relationship Id="rId192" Type="http://schemas.openxmlformats.org/officeDocument/2006/relationships/hyperlink" Target="https://drive.google.com/file/d/1w4HYX8v6o4giuc2I4WrWcMXDbv0MrZW6/view?usp=drivesdk" TargetMode="External"/><Relationship Id="rId193" Type="http://schemas.openxmlformats.org/officeDocument/2006/relationships/hyperlink" Target="https://drive.google.com/file/d/1RMkDGZaJ_Hhtobp50Xn5hTKA9rHYFE-s/view?usp=drivesdk" TargetMode="External"/><Relationship Id="rId194" Type="http://schemas.openxmlformats.org/officeDocument/2006/relationships/hyperlink" Target="https://drive.google.com/file/d/1QRIpZMVf-aCGs2Cs1HjChy3AK8ivQLmi/view?usp=drivesdk" TargetMode="External"/><Relationship Id="rId195" Type="http://schemas.openxmlformats.org/officeDocument/2006/relationships/hyperlink" Target="https://drive.google.com/file/d/1wwAwhI8SiqbnWwWJZ6SM2RPxj5F2TVtB/view?usp=drivesdk" TargetMode="External"/><Relationship Id="rId196" Type="http://schemas.openxmlformats.org/officeDocument/2006/relationships/hyperlink" Target="https://drive.google.com/file/d/1PaWLjACglloF6-vVBFVq1lEv-kInOV6B/view?usp=drivesdk" TargetMode="External"/><Relationship Id="rId197" Type="http://schemas.openxmlformats.org/officeDocument/2006/relationships/hyperlink" Target="https://drive.google.com/file/d/1N7IX0Dn9oEqcy9JhtRlNywqUcUjwhHX7/view?usp=drivesdk" TargetMode="External"/><Relationship Id="rId198" Type="http://schemas.openxmlformats.org/officeDocument/2006/relationships/hyperlink" Target="https://drive.google.com/file/d/1tRNeNWPePQx5PeSmurtPIAaRop4BRfvC/view?usp=drivesdk" TargetMode="External"/><Relationship Id="rId199" Type="http://schemas.openxmlformats.org/officeDocument/2006/relationships/hyperlink" Target="https://drive.google.com/file/d/13mM246MSB8kTySX3wLtPKCdKZFG3sxlr/view?usp=drivesdk" TargetMode="External"/><Relationship Id="rId200" Type="http://schemas.openxmlformats.org/officeDocument/2006/relationships/hyperlink" Target="https://drive.google.com/file/d/1BDmUdJT_kBA1eS7-z02-3S2n2Oybkuj9/view?usp=drivesdk" TargetMode="External"/><Relationship Id="rId201" Type="http://schemas.openxmlformats.org/officeDocument/2006/relationships/hyperlink" Target="https://drive.google.com/file/d/1LBhroW4Wvzt6T_N6-Z9iPSs8BAoM26DP/view?usp=drivesdk" TargetMode="External"/><Relationship Id="rId202" Type="http://schemas.openxmlformats.org/officeDocument/2006/relationships/hyperlink" Target="https://drive.google.com/file/d/1O8euPVTvHArVlPNX7rnAP731pqZdMc5o/view?usp=drivesdk" TargetMode="External"/><Relationship Id="rId203" Type="http://schemas.openxmlformats.org/officeDocument/2006/relationships/hyperlink" Target="https://drive.google.com/file/d/1rwA3xihgZNh9O9YAK50KJoYoT8uN4Vvy/view?usp=drivesdk" TargetMode="External"/><Relationship Id="rId204" Type="http://schemas.openxmlformats.org/officeDocument/2006/relationships/hyperlink" Target="https://drive.google.com/file/d/1WL2-S7KWwsmNgxIv1UfTeCRKTkanqSZV/view?usp=drivesdk" TargetMode="External"/><Relationship Id="rId205" Type="http://schemas.openxmlformats.org/officeDocument/2006/relationships/hyperlink" Target="https://drive.google.com/file/d/1xJrAcZiSpN8VfuvKsFnobZk6sr5a4n81/view?usp=drivesdk" TargetMode="External"/><Relationship Id="rId206" Type="http://schemas.openxmlformats.org/officeDocument/2006/relationships/hyperlink" Target="https://drive.google.com/file/d/1IhE5sKnNckMSr4kUpHN5Jvie2NHMe55a/view?usp=drivesdk" TargetMode="External"/><Relationship Id="rId207" Type="http://schemas.openxmlformats.org/officeDocument/2006/relationships/hyperlink" Target="https://drive.google.com/file/d/1v_aTxVlI3GLHQgY3r0rWXjVn73LGYMdT/view?usp=drivesdk" TargetMode="External"/><Relationship Id="rId208" Type="http://schemas.openxmlformats.org/officeDocument/2006/relationships/hyperlink" Target="https://drive.google.com/file/d/1pCSozqfdBQ3WT6_Vl1vf7FcDEYllYcax/view?usp=drivesdk" TargetMode="External"/><Relationship Id="rId209" Type="http://schemas.openxmlformats.org/officeDocument/2006/relationships/hyperlink" Target="https://drive.google.com/file/d/1-iBZ8iHM_Rc-sDtK-BaX-KkBy-Rc6kHh/view?usp=drivesdk" TargetMode="External"/><Relationship Id="rId210" Type="http://schemas.openxmlformats.org/officeDocument/2006/relationships/hyperlink" Target="https://drive.google.com/file/d/1kkAuVFUxZs3Ko1wwSaR2z24nmDjmx-fD/view?usp=drivesdk" TargetMode="External"/><Relationship Id="rId211" Type="http://schemas.openxmlformats.org/officeDocument/2006/relationships/hyperlink" Target="https://drive.google.com/file/d/1u1Mmr9PIk3ur60PeMs6RpYT8_8q0ajFg/view?usp=drivesdk" TargetMode="External"/><Relationship Id="rId212" Type="http://schemas.openxmlformats.org/officeDocument/2006/relationships/hyperlink" Target="https://drive.google.com/file/d/1W_4AFAiFMnc4XK7ZpljLpQHkHsscY29_/view?usp=drivesdk" TargetMode="External"/><Relationship Id="rId213" Type="http://schemas.openxmlformats.org/officeDocument/2006/relationships/hyperlink" Target="https://drive.google.com/file/d/1yxPw35_2TbVTKDrkISthVYQkEgF1OX4E/view?usp=drivesdk" TargetMode="External"/><Relationship Id="rId214" Type="http://schemas.openxmlformats.org/officeDocument/2006/relationships/hyperlink" Target="https://drive.google.com/file/d/1TS87HyjfhEKAGkV1rLBb0GZCw9O1kj5n/view?usp=drivesdk" TargetMode="External"/><Relationship Id="rId215" Type="http://schemas.openxmlformats.org/officeDocument/2006/relationships/hyperlink" Target="https://drive.google.com/file/d/1rneWLK-KIPtSE6Pz_aX-J4YCuyrPc83Y/view?usp=drivesdk" TargetMode="External"/><Relationship Id="rId216" Type="http://schemas.openxmlformats.org/officeDocument/2006/relationships/hyperlink" Target="https://drive.google.com/file/d/1KchufPUKrjrLLoAcGhLv8jO2SYaQ5zaT/view?usp=drivesdk" TargetMode="External"/><Relationship Id="rId217" Type="http://schemas.openxmlformats.org/officeDocument/2006/relationships/hyperlink" Target="https://drive.google.com/file/d/1MC2VZMwERNAOgChWh-QWvWBo5kGx3AHG/view?usp=drivesdk" TargetMode="External"/><Relationship Id="rId218" Type="http://schemas.openxmlformats.org/officeDocument/2006/relationships/hyperlink" Target="https://drive.google.com/file/d/1BNiVVQIHdjwc6DyczMEtGTrwAHhHyVHK/view?usp=drivesdk" TargetMode="External"/><Relationship Id="rId219" Type="http://schemas.openxmlformats.org/officeDocument/2006/relationships/hyperlink" Target="https://drive.google.com/file/d/1uGylT1Dc7Y7hWLRqAM7eXUiWs-oSB8Xv/view?usp=drivesdk" TargetMode="External"/><Relationship Id="rId220" Type="http://schemas.openxmlformats.org/officeDocument/2006/relationships/hyperlink" Target="https://drive.google.com/file/d/1ADKcm9hQc4UF6eulOERevAEJa_8LpRbP/view?usp=drivesdk" TargetMode="External"/><Relationship Id="rId221" Type="http://schemas.openxmlformats.org/officeDocument/2006/relationships/hyperlink" Target="https://drive.google.com/file/d/1yFmeXLQmXhX9skUvYtpkFEY8-JdXXMPG/view?usp=drivesdk" TargetMode="External"/><Relationship Id="rId222" Type="http://schemas.openxmlformats.org/officeDocument/2006/relationships/hyperlink" Target="https://drive.google.com/file/d/1DCB9JaIEKkEjfsEmMB5PNCMHWShuCOG_/view?usp=drivesdk" TargetMode="External"/><Relationship Id="rId223" Type="http://schemas.openxmlformats.org/officeDocument/2006/relationships/hyperlink" Target="https://drive.google.com/file/d/1IQgfVelIKe6lpWbsWAkRlEIdcYch-YYN/view?usp=drivesdk" TargetMode="External"/><Relationship Id="rId224" Type="http://schemas.openxmlformats.org/officeDocument/2006/relationships/hyperlink" Target="https://drive.google.com/file/d/1E1VElBcJ5OdOB8vCr1hYmGgvpiUN6shA/view?usp=drivesdk" TargetMode="External"/><Relationship Id="rId225" Type="http://schemas.openxmlformats.org/officeDocument/2006/relationships/hyperlink" Target="https://drive.google.com/file/d/1bp7ykyVeCJ06vxMRMIlUvSCzVTkn4gJs/view?usp=drivesdk" TargetMode="External"/><Relationship Id="rId226" Type="http://schemas.openxmlformats.org/officeDocument/2006/relationships/hyperlink" Target="https://drive.google.com/file/d/17OVHkb5lsTens0h3sdGMxFg6UsJ1l_bm/view?usp=drivesdk" TargetMode="External"/><Relationship Id="rId227" Type="http://schemas.openxmlformats.org/officeDocument/2006/relationships/hyperlink" Target="https://drive.google.com/file/d/186tKLS169lbDZp5cBbmYYNSreA7rW7QG/view?usp=drivesdk" TargetMode="External"/><Relationship Id="rId228" Type="http://schemas.openxmlformats.org/officeDocument/2006/relationships/hyperlink" Target="https://drive.google.com/file/d/1D82sMWC4o-y1YWiT4Ls-gkwnlJNWtBTd/view?usp=drivesdk" TargetMode="External"/><Relationship Id="rId229" Type="http://schemas.openxmlformats.org/officeDocument/2006/relationships/hyperlink" Target="https://drive.google.com/file/d/1MKjGPtS9_-YGeMjuf8SesiysHq4rlDH5/view?usp=drivesdk" TargetMode="External"/><Relationship Id="rId230" Type="http://schemas.openxmlformats.org/officeDocument/2006/relationships/hyperlink" Target="https://drive.google.com/file/d/1obBIg1JLKUNMDpmWaRnPlOo--pyKwtF-/view?usp=drivesdk" TargetMode="External"/><Relationship Id="rId231" Type="http://schemas.openxmlformats.org/officeDocument/2006/relationships/hyperlink" Target="https://drive.google.com/file/d/1Gz-ag-FBvYA9eeH2vqG18zgeebnwrxJ1/view?usp=drivesdk" TargetMode="External"/><Relationship Id="rId232" Type="http://schemas.openxmlformats.org/officeDocument/2006/relationships/hyperlink" Target="https://drive.google.com/file/d/1PcltE8ojKffIRB8XCUxt8hQHyADW8p54/view?usp=drivesdk" TargetMode="External"/><Relationship Id="rId233" Type="http://schemas.openxmlformats.org/officeDocument/2006/relationships/hyperlink" Target="https://drive.google.com/file/d/1pAFcpt6AoiEm9cxqgWVyu1luGFeHfJcO/view?usp=drivesdk" TargetMode="External"/><Relationship Id="rId234" Type="http://schemas.openxmlformats.org/officeDocument/2006/relationships/hyperlink" Target="https://drive.google.com/file/d/1e0LAGnUG6OBuOFHYTNw0nWl--bs7Nug5/view?usp=drivesdk" TargetMode="External"/><Relationship Id="rId235" Type="http://schemas.openxmlformats.org/officeDocument/2006/relationships/hyperlink" Target="https://drive.google.com/file/d/1ruMUrqM3jGTo5BbKpf5OcCWF1n0CJWXP/view?usp=drivesdk" TargetMode="External"/><Relationship Id="rId236" Type="http://schemas.openxmlformats.org/officeDocument/2006/relationships/hyperlink" Target="https://drive.google.com/file/d/1dGrA6qqSizTc81mIaau_wBtE6I8jfSaf/view?usp=drivesdk" TargetMode="External"/><Relationship Id="rId237" Type="http://schemas.openxmlformats.org/officeDocument/2006/relationships/hyperlink" Target="https://drive.google.com/file/d/1iZ2QM4ulRmMGpxdrJMWtsabpQf3bBRXh/view?usp=drivesdk" TargetMode="External"/><Relationship Id="rId238" Type="http://schemas.openxmlformats.org/officeDocument/2006/relationships/hyperlink" Target="https://drive.google.com/file/d/1gU2YWKVzOxoVpynNZqJHkXV-rryDSSzm/view?usp=drivesdk" TargetMode="External"/><Relationship Id="rId239" Type="http://schemas.openxmlformats.org/officeDocument/2006/relationships/hyperlink" Target="https://drive.google.com/file/d/1UtLFd0Wn9P6U5yD_tgDgh5s5i613Mxru/view?usp=drivesdk" TargetMode="External"/><Relationship Id="rId240" Type="http://schemas.openxmlformats.org/officeDocument/2006/relationships/hyperlink" Target="https://drive.google.com/file/d/11vH7dNqil5rBfxfrObV6b1gIsEzoCJDC/view?usp=drivesdk" TargetMode="External"/><Relationship Id="rId241" Type="http://schemas.openxmlformats.org/officeDocument/2006/relationships/hyperlink" Target="https://drive.google.com/file/d/17Ng2P3BZXlGJTxLA_mrSXdLOFMB298t6/view?usp=drivesdk" TargetMode="External"/><Relationship Id="rId242" Type="http://schemas.openxmlformats.org/officeDocument/2006/relationships/hyperlink" Target="https://drive.google.com/file/d/1nny3sHz6YcTtF49VANPduO2iUkpo9jjc/view?usp=drivesdk" TargetMode="External"/><Relationship Id="rId243" Type="http://schemas.openxmlformats.org/officeDocument/2006/relationships/hyperlink" Target="https://drive.google.com/file/d/12imvTrOkvspyJ96bD7Fgol14jvj9tF3r/view?usp=drivesdk" TargetMode="External"/><Relationship Id="rId244" Type="http://schemas.openxmlformats.org/officeDocument/2006/relationships/hyperlink" Target="https://drive.google.com/file/d/118i7Vy0-laFOvb3_YX8tI2Xrxw3JMK6n/view?usp=drivesdk" TargetMode="External"/><Relationship Id="rId245" Type="http://schemas.openxmlformats.org/officeDocument/2006/relationships/hyperlink" Target="https://drive.google.com/file/d/1A28cfBfrETk_tZASelACc80P4ZZhDr0e/view?usp=drivesdk" TargetMode="External"/><Relationship Id="rId246" Type="http://schemas.openxmlformats.org/officeDocument/2006/relationships/hyperlink" Target="https://drive.google.com/file/d/1o8l53mbxnvg1Xqa7hJVonJ1I1TenFtqP/view?usp=drivesdk" TargetMode="External"/><Relationship Id="rId247" Type="http://schemas.openxmlformats.org/officeDocument/2006/relationships/hyperlink" Target="https://drive.google.com/file/d/1opCibKlUFUgYI3esCBAqV0F68e0spvzR/view?usp=drivesdk" TargetMode="External"/><Relationship Id="rId248" Type="http://schemas.openxmlformats.org/officeDocument/2006/relationships/hyperlink" Target="https://drive.google.com/file/d/1SLZZC0O1FC2VC4l_jliSwlZHVRRDPD4Q/view?usp=drivesdk" TargetMode="External"/><Relationship Id="rId249" Type="http://schemas.openxmlformats.org/officeDocument/2006/relationships/hyperlink" Target="https://drive.google.com/file/d/1TmVOA_j1PSPVyV3MaYoKXdTGsyMTmeZh/view?usp=drivesdk" TargetMode="External"/><Relationship Id="rId250" Type="http://schemas.openxmlformats.org/officeDocument/2006/relationships/hyperlink" Target="https://drive.google.com/file/d/1HvGsdPCRh43rkIoU6XvnrJqpLlbMa5WO/view?usp=drivesdk" TargetMode="External"/><Relationship Id="rId251" Type="http://schemas.openxmlformats.org/officeDocument/2006/relationships/hyperlink" Target="https://drive.google.com/file/d/1jx91Z3YuTFueSQP3ViDel2-JFhXS0DMz/view?usp=drivesdk" TargetMode="External"/><Relationship Id="rId252" Type="http://schemas.openxmlformats.org/officeDocument/2006/relationships/hyperlink" Target="https://drive.google.com/file/d/1rIBrpjpOd-x_28U2bYs3tl7fpz0rUoi3/view?usp=drivesdk" TargetMode="External"/><Relationship Id="rId253" Type="http://schemas.openxmlformats.org/officeDocument/2006/relationships/hyperlink" Target="https://drive.google.com/file/d/19EeZB3B8xB5dI8Dy--outYg0lvIdU6jX/view?usp=drivesdk" TargetMode="External"/><Relationship Id="rId254" Type="http://schemas.openxmlformats.org/officeDocument/2006/relationships/hyperlink" Target="https://drive.google.com/file/d/1JJdc70FPdya4ZXGj8nVaE8N_Giw8OqcS/view?usp=drivesdk" TargetMode="External"/><Relationship Id="rId255" Type="http://schemas.openxmlformats.org/officeDocument/2006/relationships/hyperlink" Target="https://drive.google.com/file/d/1SB4TaV0pFOdECOHwcOGG48nFhlnZ98FJ/view?usp=drivesdk" TargetMode="External"/><Relationship Id="rId256" Type="http://schemas.openxmlformats.org/officeDocument/2006/relationships/hyperlink" Target="https://drive.google.com/file/d/148-bumVwi9kfv8q8jh8Ur1UJuuz7K97O/view?usp=drivesdk" TargetMode="External"/><Relationship Id="rId257" Type="http://schemas.openxmlformats.org/officeDocument/2006/relationships/hyperlink" Target="https://drive.google.com/file/d/1912yTEs4WNOqgm-IY-2O320XxULwO-Wn/view?usp=drivesdk" TargetMode="External"/><Relationship Id="rId258" Type="http://schemas.openxmlformats.org/officeDocument/2006/relationships/hyperlink" Target="https://drive.google.com/file/d/1gFyU3t0kANHfFUv-ubK8_eGj5kfHu48K/view?usp=drivesdk" TargetMode="External"/><Relationship Id="rId259" Type="http://schemas.openxmlformats.org/officeDocument/2006/relationships/hyperlink" Target="https://drive.google.com/file/d/1QuyJ0_6EnqrJL0jkLdPxTBSZYTuD9P9F/view?usp=drivesdk" TargetMode="External"/><Relationship Id="rId260" Type="http://schemas.openxmlformats.org/officeDocument/2006/relationships/hyperlink" Target="https://drive.google.com/file/d/1UTvXU9n4Y-yGp4BwuP4_RFfwFyaOxx8C/view?usp=drivesdk" TargetMode="External"/><Relationship Id="rId261" Type="http://schemas.openxmlformats.org/officeDocument/2006/relationships/hyperlink" Target="https://drive.google.com/file/d/1vMqhOd8aoFBUhTNWcrkfUNXjD9FH1Rwl/view?usp=drivesdk" TargetMode="External"/><Relationship Id="rId262" Type="http://schemas.openxmlformats.org/officeDocument/2006/relationships/hyperlink" Target="https://drive.google.com/file/d/1IBusWQC_8p80lMH0uD-_JKJbNZeMPaP5/view?usp=drivesdk" TargetMode="External"/><Relationship Id="rId263" Type="http://schemas.openxmlformats.org/officeDocument/2006/relationships/hyperlink" Target="https://drive.google.com/file/d/1LucdyhZDlmU057dGs8zPVZ851fuQrqb0/view?usp=drivesdk" TargetMode="External"/><Relationship Id="rId264" Type="http://schemas.openxmlformats.org/officeDocument/2006/relationships/hyperlink" Target="https://drive.google.com/file/d/10pRlpfa8hOWXA5ACavL0A-0kZSdJKrfb/view?usp=drivesdk" TargetMode="External"/><Relationship Id="rId265" Type="http://schemas.openxmlformats.org/officeDocument/2006/relationships/hyperlink" Target="https://drive.google.com/file/d/1hkxdseUuEYzuchtZ3pBM6SieJYtBIIAW/view?usp=drivesdk" TargetMode="External"/><Relationship Id="rId266" Type="http://schemas.openxmlformats.org/officeDocument/2006/relationships/hyperlink" Target="https://drive.google.com/file/d/1enVL_fXpGkwV9Q4AM4ZwwSj9Rq_bohCN/view?usp=drivesdk" TargetMode="External"/><Relationship Id="rId267" Type="http://schemas.openxmlformats.org/officeDocument/2006/relationships/hyperlink" Target="https://drive.google.com/file/d/1_hZiCUs9HkmWhF8TTbWJCx20jSBvkpIS/view?usp=drivesdk" TargetMode="External"/><Relationship Id="rId268" Type="http://schemas.openxmlformats.org/officeDocument/2006/relationships/hyperlink" Target="https://drive.google.com/file/d/1S3HTa5rAvzv4k76wNOS_O7vVZAGg1Nw0/view?usp=drivesdk" TargetMode="External"/><Relationship Id="rId269" Type="http://schemas.openxmlformats.org/officeDocument/2006/relationships/hyperlink" Target="https://drive.google.com/file/d/1pEbOQOGDcusC9kF4PxHzEQwiUxRTblEN/view?usp=drivesdk" TargetMode="External"/><Relationship Id="rId270" Type="http://schemas.openxmlformats.org/officeDocument/2006/relationships/hyperlink" Target="https://drive.google.com/file/d/1D9d-jTyLSaiedNVwjQ3VsaYoOzWGMkdU/view?usp=drivesdk" TargetMode="External"/><Relationship Id="rId271" Type="http://schemas.openxmlformats.org/officeDocument/2006/relationships/hyperlink" Target="https://drive.google.com/file/d/1SqajHUl_C2yqUpS6H6cBkZWI-UsZeogk/view?usp=drivesdk" TargetMode="External"/><Relationship Id="rId272" Type="http://schemas.openxmlformats.org/officeDocument/2006/relationships/hyperlink" Target="https://drive.google.com/file/d/1wAsHy89GBMmbNbE5HgcFp_oX1claEodo/view?usp=drivesdk" TargetMode="External"/><Relationship Id="rId273" Type="http://schemas.openxmlformats.org/officeDocument/2006/relationships/hyperlink" Target="https://drive.google.com/file/d/1d9-bMCqTAjgvpJe4Y2CQ5V0COb4C8tI1/view?usp=drivesdk" TargetMode="External"/><Relationship Id="rId274" Type="http://schemas.openxmlformats.org/officeDocument/2006/relationships/hyperlink" Target="https://drive.google.com/file/d/1ftURJbUhqAD0r5xi_JP-0WKvtm1HdaOI/view?usp=drivesdk" TargetMode="External"/><Relationship Id="rId275" Type="http://schemas.openxmlformats.org/officeDocument/2006/relationships/hyperlink" Target="https://drive.google.com/file/d/1tYfXVq7d0BAgmcw58IG5w4nGcdCwnFdW/view?usp=drivesdk" TargetMode="External"/><Relationship Id="rId276" Type="http://schemas.openxmlformats.org/officeDocument/2006/relationships/hyperlink" Target="https://drive.google.com/file/d/1_lA6C0F60gdT6qUaxaQyTCtpkXss1gOp/view?usp=drivesdk" TargetMode="External"/><Relationship Id="rId277" Type="http://schemas.openxmlformats.org/officeDocument/2006/relationships/hyperlink" Target="https://drive.google.com/file/d/16hA1xMSor7-LfGzVSEtq0xxRa0JHYD8C/view?usp=drivesdk" TargetMode="External"/><Relationship Id="rId278" Type="http://schemas.openxmlformats.org/officeDocument/2006/relationships/hyperlink" Target="https://drive.google.com/file/d/1cVHEcq6_hU2eUYpCeL8KoojCtU7w35HK/view?usp=drivesdk" TargetMode="External"/><Relationship Id="rId279" Type="http://schemas.openxmlformats.org/officeDocument/2006/relationships/hyperlink" Target="https://drive.google.com/file/d/1ao3dMKyoOErzJ9BZ5aFg_KLSoDlyRQxo/view?usp=drivesdk" TargetMode="External"/><Relationship Id="rId280" Type="http://schemas.openxmlformats.org/officeDocument/2006/relationships/hyperlink" Target="https://drive.google.com/file/d/126olD4ONekjjp6M2HrqY9EKZDd58T2Iz/view?usp=drivesdk" TargetMode="External"/><Relationship Id="rId281" Type="http://schemas.openxmlformats.org/officeDocument/2006/relationships/hyperlink" Target="https://drive.google.com/file/d/1xIetJMVSs2bpd3Sg_Othsn1Q-nmoE411/view?usp=drivesdk" TargetMode="External"/><Relationship Id="rId282" Type="http://schemas.openxmlformats.org/officeDocument/2006/relationships/hyperlink" Target="https://drive.google.com/file/d/1k9Kd6nv5_KLewFw5ViOUdRYAGJZmjlKj/view?usp=drivesdk" TargetMode="External"/><Relationship Id="rId283" Type="http://schemas.openxmlformats.org/officeDocument/2006/relationships/hyperlink" Target="https://drive.google.com/file/d/1JRqLNP_x28niIJyVxt6ZgW9xl77lTJI8/view?usp=drivesdk" TargetMode="External"/><Relationship Id="rId284" Type="http://schemas.openxmlformats.org/officeDocument/2006/relationships/hyperlink" Target="https://drive.google.com/file/d/1dPBdi5KID3n2lUcqGqwfHbuvCBHuqJOH/view?usp=drivesdk" TargetMode="External"/><Relationship Id="rId285" Type="http://schemas.openxmlformats.org/officeDocument/2006/relationships/hyperlink" Target="https://drive.google.com/file/d/1SVrMhJaR2kn7u4nGLVlq9jdMulXlSQSs/view?usp=drivesdk" TargetMode="External"/><Relationship Id="rId286" Type="http://schemas.openxmlformats.org/officeDocument/2006/relationships/hyperlink" Target="https://drive.google.com/file/d/1ouZDrKd6S6P5UNcL3VJoJkZXXRo2d8fP/view?usp=drivesdk" TargetMode="External"/><Relationship Id="rId287" Type="http://schemas.openxmlformats.org/officeDocument/2006/relationships/hyperlink" Target="https://drive.google.com/file/d/1OcHt-13eHnjCMOntiDGzkGWjEQAZQYfy/view?usp=drivesdk" TargetMode="External"/><Relationship Id="rId288" Type="http://schemas.openxmlformats.org/officeDocument/2006/relationships/hyperlink" Target="https://drive.google.com/file/d/1t0my085jQNqdAzHtZlMyQQjL-mXGF83J/view?usp=drivesdk" TargetMode="External"/><Relationship Id="rId289" Type="http://schemas.openxmlformats.org/officeDocument/2006/relationships/hyperlink" Target="https://drive.google.com/file/d/1lQFteNfFByrHhpo5JO2oQe6XFfmn-v65/view?usp=drivesdk" TargetMode="External"/><Relationship Id="rId290" Type="http://schemas.openxmlformats.org/officeDocument/2006/relationships/hyperlink" Target="https://drive.google.com/file/d/1s5p0BweN70mQNAthv0-v9rl_PgUbjHbz/view?usp=drivesdk" TargetMode="External"/><Relationship Id="rId291" Type="http://schemas.openxmlformats.org/officeDocument/2006/relationships/hyperlink" Target="https://drive.google.com/file/d/1H2YHLXq7z15CXx6VjhzOU9dwdI_BnXEW/view?usp=drivesdk" TargetMode="External"/><Relationship Id="rId292" Type="http://schemas.openxmlformats.org/officeDocument/2006/relationships/hyperlink" Target="https://drive.google.com/file/d/1M-siiZpRydUdcrGDmvPHN2_vLA87a1cj/view?usp=drivesdk" TargetMode="External"/><Relationship Id="rId293" Type="http://schemas.openxmlformats.org/officeDocument/2006/relationships/hyperlink" Target="https://drive.google.com/file/d/1AzEaN_1wetrg7BarDIW_ep_Q9TYVk5x9/view?usp=drivesdk" TargetMode="External"/><Relationship Id="rId294" Type="http://schemas.openxmlformats.org/officeDocument/2006/relationships/hyperlink" Target="https://drive.google.com/file/d/1RPtRgmfUEy8kaNRBiBO90rIizzAqW_RU/view?usp=drivesdk" TargetMode="External"/><Relationship Id="rId295" Type="http://schemas.openxmlformats.org/officeDocument/2006/relationships/hyperlink" Target="https://drive.google.com/file/d/1RZn_yn2wNUfHOotc_Mx3WASGsHAuhxCf/view?usp=drivesdk" TargetMode="External"/><Relationship Id="rId296" Type="http://schemas.openxmlformats.org/officeDocument/2006/relationships/hyperlink" Target="https://drive.google.com/file/d/1jKl1IjGBqX0dqOAzVg9iCH41yu9hkjw5/view?usp=drivesdk" TargetMode="External"/><Relationship Id="rId297" Type="http://schemas.openxmlformats.org/officeDocument/2006/relationships/hyperlink" Target="https://drive.google.com/file/d/1swfNqtE0E3uAtZFxihPM7TC3mOL6SLPP/view?usp=drivesdk" TargetMode="External"/><Relationship Id="rId298" Type="http://schemas.openxmlformats.org/officeDocument/2006/relationships/hyperlink" Target="https://drive.google.com/file/d/1r791JvRnVjOEp7rC_thxjKWi3SLBy6XO/view?usp=drivesdk" TargetMode="External"/><Relationship Id="rId299" Type="http://schemas.openxmlformats.org/officeDocument/2006/relationships/hyperlink" Target="https://drive.google.com/file/d/1dY2Bva8I6fPFahQ-MUxmNAAFgq1NByVo/view?usp=drivesdk" TargetMode="External"/><Relationship Id="rId300" Type="http://schemas.openxmlformats.org/officeDocument/2006/relationships/hyperlink" Target="https://drive.google.com/file/d/1vO3fcxja4HspAajCedaJ2NVakvqvkQKy/view?usp=drivesdk" TargetMode="External"/><Relationship Id="rId301" Type="http://schemas.openxmlformats.org/officeDocument/2006/relationships/hyperlink" Target="https://drive.google.com/file/d/1MyUp0lu2kAbfU1cmu-n6if7F1cVnJbZk/view?usp=drivesdk" TargetMode="External"/><Relationship Id="rId302" Type="http://schemas.openxmlformats.org/officeDocument/2006/relationships/hyperlink" Target="https://drive.google.com/file/d/1S-IyZ9EvuWeQCRa4_Jlf81jKF1q-WVrI/view?usp=drivesdk" TargetMode="External"/><Relationship Id="rId303" Type="http://schemas.openxmlformats.org/officeDocument/2006/relationships/hyperlink" Target="https://drive.google.com/file/d/1SLLD9Bxp2QEIcl9P4qb3kWxUjDINjPim/view?usp=drivesdk" TargetMode="External"/><Relationship Id="rId304" Type="http://schemas.openxmlformats.org/officeDocument/2006/relationships/hyperlink" Target="https://drive.google.com/file/d/1cW5PJZFlI1lmDIQTGQ64Gm29fPrVoIar/view?usp=drivesdk" TargetMode="External"/><Relationship Id="rId305" Type="http://schemas.openxmlformats.org/officeDocument/2006/relationships/hyperlink" Target="https://drive.google.com/file/d/1wyK3uKuzYJ3yfzYkpq12ghj4Lts7o_Rq/view?usp=drivesdk" TargetMode="External"/><Relationship Id="rId306" Type="http://schemas.openxmlformats.org/officeDocument/2006/relationships/hyperlink" Target="https://drive.google.com/file/d/16_qBZnXFIByIW3_O8rM4uMlQzdtZTSZU/view?usp=drivesdk" TargetMode="External"/><Relationship Id="rId307" Type="http://schemas.openxmlformats.org/officeDocument/2006/relationships/hyperlink" Target="https://drive.google.com/file/d/1Gtr2ECFdH9-klH-siZ61uHvlZoDjyMx5/view?usp=drivesdk" TargetMode="External"/><Relationship Id="rId308" Type="http://schemas.openxmlformats.org/officeDocument/2006/relationships/hyperlink" Target="https://drive.google.com/file/d/102JvpfDQypuOgz9lU_af4NDa7Ks0LbSC/view?usp=drivesdk" TargetMode="External"/><Relationship Id="rId309" Type="http://schemas.openxmlformats.org/officeDocument/2006/relationships/hyperlink" Target="https://drive.google.com/file/d/1rMkfdhY3UPCG6zOuQlaKaTyenFelT7Xz/view?usp=drivesdk" TargetMode="External"/><Relationship Id="rId310" Type="http://schemas.openxmlformats.org/officeDocument/2006/relationships/hyperlink" Target="https://drive.google.com/file/d/1LITAmnOJsTPNgDhQe7XLZQZPpBA9-rc2/view?usp=drivesdk" TargetMode="External"/><Relationship Id="rId311" Type="http://schemas.openxmlformats.org/officeDocument/2006/relationships/hyperlink" Target="https://drive.google.com/file/d/17ZCZnlDJZ6eJfTtzOTx_-35_jyqE80c5/view?usp=drivesdk" TargetMode="External"/><Relationship Id="rId312" Type="http://schemas.openxmlformats.org/officeDocument/2006/relationships/hyperlink" Target="https://drive.google.com/file/d/1BeqJWPTq8uGWc_mtfQ1d5pRm034aGNIz/view?usp=drivesdk" TargetMode="External"/><Relationship Id="rId313" Type="http://schemas.openxmlformats.org/officeDocument/2006/relationships/hyperlink" Target="https://drive.google.com/file/d/1uF35u4GCb13Xxdbe-ZYvGAgqps_TWoT_/view?usp=drivesdk" TargetMode="External"/><Relationship Id="rId314" Type="http://schemas.openxmlformats.org/officeDocument/2006/relationships/hyperlink" Target="https://drive.google.com/file/d/1g6eHNIrGRYSGX_Nv4fWCq6uHGEyNDQys/view?usp=drivesdk" TargetMode="External"/><Relationship Id="rId315" Type="http://schemas.openxmlformats.org/officeDocument/2006/relationships/hyperlink" Target="https://drive.google.com/file/d/12z7fEDelrCWBrRDxN9jD6bfVVDnBdFW2/view?usp=drivesdk" TargetMode="External"/><Relationship Id="rId316" Type="http://schemas.openxmlformats.org/officeDocument/2006/relationships/hyperlink" Target="https://drive.google.com/file/d/1P1C-yEHRm9lZR2nTwLakt_411b8wBnRT/view?usp=drivesdk" TargetMode="External"/><Relationship Id="rId317" Type="http://schemas.openxmlformats.org/officeDocument/2006/relationships/hyperlink" Target="https://drive.google.com/file/d/1icEmvJ-5EY6kkUK7lMcA0CvQPeyNGQk7/view?usp=drivesdk" TargetMode="External"/><Relationship Id="rId318" Type="http://schemas.openxmlformats.org/officeDocument/2006/relationships/hyperlink" Target="https://drive.google.com/file/d/15UpumuLiZL4znR8nkMq99lGrY1PxfFbK/view?usp=drivesdk" TargetMode="External"/><Relationship Id="rId319" Type="http://schemas.openxmlformats.org/officeDocument/2006/relationships/hyperlink" Target="https://drive.google.com/file/d/11GQYSO-bx5P0Ppmx9vq69JVSpU0RtUHE/view?usp=drivesdk" TargetMode="External"/><Relationship Id="rId320" Type="http://schemas.openxmlformats.org/officeDocument/2006/relationships/hyperlink" Target="https://drive.google.com/file/d/1wGzebfIecQsr3VhGE3aUmWAxrL6HRDFp/view?usp=drivesdk" TargetMode="External"/><Relationship Id="rId321" Type="http://schemas.openxmlformats.org/officeDocument/2006/relationships/hyperlink" Target="https://drive.google.com/file/d/1YOF6Gc2cIaDAhfSaHXNzPOOq4riBLoxC/view?usp=drivesdk" TargetMode="External"/><Relationship Id="rId322" Type="http://schemas.openxmlformats.org/officeDocument/2006/relationships/hyperlink" Target="https://drive.google.com/file/d/1ZW4T5b2V_kdsILdQGxG8HubYaekqfzjV/view?usp=drivesdk" TargetMode="External"/><Relationship Id="rId323" Type="http://schemas.openxmlformats.org/officeDocument/2006/relationships/hyperlink" Target="https://drive.google.com/file/d/1BNYv3_SH_WtVlnnVnGt7ivgKkyu2LCz3/view?usp=drivesdk" TargetMode="External"/><Relationship Id="rId324" Type="http://schemas.openxmlformats.org/officeDocument/2006/relationships/hyperlink" Target="https://drive.google.com/file/d/1-3KLOo9uVBGGRmaxs9U_Ao7sypDhHoi3/view?usp=drivesdk" TargetMode="External"/><Relationship Id="rId325" Type="http://schemas.openxmlformats.org/officeDocument/2006/relationships/hyperlink" Target="https://drive.google.com/file/d/1o5UFmXRkA82lA8mPwMPinuiC1d3uF1Hz/view?usp=drivesdk" TargetMode="External"/><Relationship Id="rId326" Type="http://schemas.openxmlformats.org/officeDocument/2006/relationships/hyperlink" Target="https://drive.google.com/file/d/1wOcCEqHUg6SV5Qo-96s1Bl3PvGUCBC0C/view?usp=drivesdk" TargetMode="External"/><Relationship Id="rId327" Type="http://schemas.openxmlformats.org/officeDocument/2006/relationships/hyperlink" Target="https://drive.google.com/file/d/1jtOcmHXg7yCVz_7O6h5aYuKzMShIrd-v/view?usp=drivesdk" TargetMode="External"/><Relationship Id="rId328" Type="http://schemas.openxmlformats.org/officeDocument/2006/relationships/hyperlink" Target="https://drive.google.com/file/d/1dUEKHr1J6XzAjrlclp40pMKhnQccNbhP/view?usp=drivesdk" TargetMode="External"/><Relationship Id="rId329" Type="http://schemas.openxmlformats.org/officeDocument/2006/relationships/hyperlink" Target="https://drive.google.com/file/d/1bM-Y2fxQxBl13cGk_R3NeJo6TXgQXIoj/view?usp=drivesdk" TargetMode="External"/><Relationship Id="rId330" Type="http://schemas.openxmlformats.org/officeDocument/2006/relationships/hyperlink" Target="https://drive.google.com/file/d/1cuQlf2L0gzHrZQBGX47nvyi8t17eJYuG/view?usp=drivesdk" TargetMode="External"/><Relationship Id="rId331" Type="http://schemas.openxmlformats.org/officeDocument/2006/relationships/hyperlink" Target="https://drive.google.com/file/d/1NA4nlDKQ1XubahrjLTc8fBWczh-jtmmY/view?usp=drivesdk" TargetMode="External"/><Relationship Id="rId332" Type="http://schemas.openxmlformats.org/officeDocument/2006/relationships/hyperlink" Target="https://drive.google.com/file/d/151eaziXYr1acIesn2t2B8biFe0XhLMNK/view?usp=drivesdk" TargetMode="External"/><Relationship Id="rId333" Type="http://schemas.openxmlformats.org/officeDocument/2006/relationships/hyperlink" Target="https://drive.google.com/file/d/1PuX5yOgehDnlmCYm5rhuFrrnoP-cuLIs/view?usp=drivesdk" TargetMode="External"/><Relationship Id="rId334" Type="http://schemas.openxmlformats.org/officeDocument/2006/relationships/hyperlink" Target="https://drive.google.com/file/d/1iZNYjwdpeArWrwhh76l9-EtNGOvUCV2e/view?usp=drivesdk" TargetMode="External"/><Relationship Id="rId335" Type="http://schemas.openxmlformats.org/officeDocument/2006/relationships/hyperlink" Target="https://drive.google.com/file/d/1YF-2u-BYNNexSKrEQB1O6JeLeB-unJWz/view?usp=drivesdk" TargetMode="External"/><Relationship Id="rId336" Type="http://schemas.openxmlformats.org/officeDocument/2006/relationships/hyperlink" Target="https://drive.google.com/file/d/1XPJl0egSnRbWii2v7Av9guZ7yq-xRR_m/view?usp=drivesdk" TargetMode="External"/><Relationship Id="rId337" Type="http://schemas.openxmlformats.org/officeDocument/2006/relationships/hyperlink" Target="https://drive.google.com/file/d/19sY9V6rbqvjaAN08Ymof41apwy9ibHsL/view?usp=drivesdk" TargetMode="External"/><Relationship Id="rId338" Type="http://schemas.openxmlformats.org/officeDocument/2006/relationships/hyperlink" Target="https://drive.google.com/file/d/1RTo_F7gglrg1YaIY1UcdAlSw2QJc6rPy/view?usp=drivesdk" TargetMode="External"/><Relationship Id="rId339" Type="http://schemas.openxmlformats.org/officeDocument/2006/relationships/hyperlink" Target="https://drive.google.com/file/d/1RNBJFod8suiB0dbcSIehlwwHUyvN0AKj/view?usp=drivesdk" TargetMode="External"/><Relationship Id="rId340" Type="http://schemas.openxmlformats.org/officeDocument/2006/relationships/hyperlink" Target="https://drive.google.com/file/d/13sEUq7OdGoi2kV6Ii1m_VgIbKNAA2tO7/view?usp=drivesdk" TargetMode="External"/><Relationship Id="rId341" Type="http://schemas.openxmlformats.org/officeDocument/2006/relationships/hyperlink" Target="https://drive.google.com/file/d/1HHF73GNjQMW1btivkx-DmcnZNmwaciIb/view?usp=drivesdk" TargetMode="External"/><Relationship Id="rId342" Type="http://schemas.openxmlformats.org/officeDocument/2006/relationships/hyperlink" Target="https://drive.google.com/file/d/184p1DYuOnLPjO-rBrFX0JstK9DINyeBl/view?usp=drivesdk" TargetMode="External"/><Relationship Id="rId343" Type="http://schemas.openxmlformats.org/officeDocument/2006/relationships/hyperlink" Target="https://drive.google.com/file/d/1OHxWRj1LXc45MuY3Evd2VHHRvpK6j4Er/view?usp=drivesdk" TargetMode="External"/><Relationship Id="rId344" Type="http://schemas.openxmlformats.org/officeDocument/2006/relationships/hyperlink" Target="https://drive.google.com/file/d/1ojSZ7ypabYAorLVx89_C7VXOPXLvRLLU/view?usp=drivesdk" TargetMode="External"/><Relationship Id="rId345" Type="http://schemas.openxmlformats.org/officeDocument/2006/relationships/hyperlink" Target="https://drive.google.com/file/d/1T6D3Olt4ST2_dGJXYtzuaZCx_6s7QDEM/view?usp=drivesdk" TargetMode="External"/><Relationship Id="rId346" Type="http://schemas.openxmlformats.org/officeDocument/2006/relationships/hyperlink" Target="https://drive.google.com/file/d/1KwwfEV5Mathz-q8ie5Lpx5UJvJe_lOFi/view?usp=drivesdk" TargetMode="External"/><Relationship Id="rId347" Type="http://schemas.openxmlformats.org/officeDocument/2006/relationships/hyperlink" Target="https://drive.google.com/file/d/10tGQAOP9o4zf5c0X4aAlpjl0I500lSdX/view?usp=drivesdk" TargetMode="External"/><Relationship Id="rId348" Type="http://schemas.openxmlformats.org/officeDocument/2006/relationships/hyperlink" Target="https://drive.google.com/file/d/1W2lzDSpKzdaQTNILXpgqR8e-sj4p_GC7/view?usp=drivesdk" TargetMode="External"/><Relationship Id="rId349" Type="http://schemas.openxmlformats.org/officeDocument/2006/relationships/hyperlink" Target="https://drive.google.com/file/d/114crIuij3jN9OLHc26UMm_YUIaU-84Wt/view?usp=drivesdk" TargetMode="External"/><Relationship Id="rId350" Type="http://schemas.openxmlformats.org/officeDocument/2006/relationships/hyperlink" Target="https://drive.google.com/file/d/1TaQ8ERM7BFSs9xnDrEsKKMHDYt657XmU/view?usp=drivesdk" TargetMode="External"/><Relationship Id="rId351" Type="http://schemas.openxmlformats.org/officeDocument/2006/relationships/hyperlink" Target="https://drive.google.com/file/d/18R3b5zVTuQkJ7-uicW5TsAmKHYvpR61N/view?usp=drivesdk" TargetMode="External"/><Relationship Id="rId352" Type="http://schemas.openxmlformats.org/officeDocument/2006/relationships/hyperlink" Target="https://drive.google.com/file/d/13IGVF-BagckC1X2qLYj_v614hs21wEpo/view?usp=drivesdk" TargetMode="External"/><Relationship Id="rId353" Type="http://schemas.openxmlformats.org/officeDocument/2006/relationships/hyperlink" Target="https://drive.google.com/file/d/1uTHKYKTVnU8X4H4zUVnMRiPYoLYth6Ok/view?usp=drivesdk" TargetMode="External"/><Relationship Id="rId354" Type="http://schemas.openxmlformats.org/officeDocument/2006/relationships/hyperlink" Target="https://drive.google.com/file/d/1-NBwPSSQvxen1GepPtGDyGz3yssVmgxG/view?usp=drivesdk" TargetMode="External"/><Relationship Id="rId355" Type="http://schemas.openxmlformats.org/officeDocument/2006/relationships/hyperlink" Target="https://drive.google.com/file/d/1ATEPZ2TZWNbDR0d17X1XtC61RVgt5VgF/view?usp=drivesdk" TargetMode="External"/><Relationship Id="rId356" Type="http://schemas.openxmlformats.org/officeDocument/2006/relationships/hyperlink" Target="https://drive.google.com/file/d/1PQ14XD6BEBA1WNlfMQXDw07K1NUt5Ag5/view?usp=drivesdk" TargetMode="External"/><Relationship Id="rId357" Type="http://schemas.openxmlformats.org/officeDocument/2006/relationships/hyperlink" Target="https://drive.google.com/file/d/1R4znWVe04CmmsBSEjMnoGqYLv2hhlXnA/view?usp=drivesdk" TargetMode="External"/><Relationship Id="rId358" Type="http://schemas.openxmlformats.org/officeDocument/2006/relationships/hyperlink" Target="https://drive.google.com/file/d/1BONtbdDTT7FkTC9kd541mFzAHNauKzWs/view?usp=drivesdk" TargetMode="External"/><Relationship Id="rId359" Type="http://schemas.openxmlformats.org/officeDocument/2006/relationships/hyperlink" Target="https://drive.google.com/file/d/1Wc0wjd_Wq1hmNxMZvtsCBqiZxurGUSwS/view?usp=drivesdk" TargetMode="External"/><Relationship Id="rId360" Type="http://schemas.openxmlformats.org/officeDocument/2006/relationships/hyperlink" Target="https://drive.google.com/file/d/1n6rmXEE1seCrTNqGtvMlUxhGXLhfEJvQ/view?usp=drivesdk" TargetMode="External"/><Relationship Id="rId361" Type="http://schemas.openxmlformats.org/officeDocument/2006/relationships/hyperlink" Target="https://drive.google.com/file/d/1DfqyPmwAW6YIPyNbRH0_D3STF6uxx4Ur/view?usp=drivesdk" TargetMode="External"/><Relationship Id="rId362" Type="http://schemas.openxmlformats.org/officeDocument/2006/relationships/hyperlink" Target="https://drive.google.com/file/d/1x5QVEWRBPWctffkrafkqCs_p9bQb21rY/view?usp=drivesdk" TargetMode="External"/><Relationship Id="rId363" Type="http://schemas.openxmlformats.org/officeDocument/2006/relationships/hyperlink" Target="https://drive.google.com/file/d/1vy3dkFVkK9Smqp9hoxPr7o8SomqyZ6LE/view?usp=drivesdk" TargetMode="External"/><Relationship Id="rId364" Type="http://schemas.openxmlformats.org/officeDocument/2006/relationships/hyperlink" Target="https://drive.google.com/file/d/1-lLcaJJ3t1p0WCS5tbS2CZAr0mPGOfoe/view?usp=drivesdk" TargetMode="External"/><Relationship Id="rId365" Type="http://schemas.openxmlformats.org/officeDocument/2006/relationships/hyperlink" Target="https://drive.google.com/file/d/1cBppetxD8Qsfsf14YHyBxTD0JO8SJa5Q/view?usp=drivesdk" TargetMode="External"/><Relationship Id="rId366" Type="http://schemas.openxmlformats.org/officeDocument/2006/relationships/hyperlink" Target="https://drive.google.com/file/d/1Gs9b0TCjjMil4yN6l8yocmhkBy6QiTcz/view?usp=drivesdk" TargetMode="External"/><Relationship Id="rId367" Type="http://schemas.openxmlformats.org/officeDocument/2006/relationships/hyperlink" Target="https://drive.google.com/file/d/1HAEOXr9w4K-e9v3yEVY1icsr4AeN4_Of/view?usp=drivesdk" TargetMode="External"/><Relationship Id="rId368" Type="http://schemas.openxmlformats.org/officeDocument/2006/relationships/hyperlink" Target="https://drive.google.com/file/d/1G6Crq6DRJYilnSx-p5_7tZREP2ONKnd2/view?usp=drivesdk" TargetMode="External"/><Relationship Id="rId369" Type="http://schemas.openxmlformats.org/officeDocument/2006/relationships/hyperlink" Target="https://drive.google.com/file/d/1vRdjxSqjCyJZaGFp_HFyd5hG-D0C4JR1/view?usp=drivesdk" TargetMode="External"/><Relationship Id="rId370" Type="http://schemas.openxmlformats.org/officeDocument/2006/relationships/hyperlink" Target="https://drive.google.com/file/d/1ba3-MYHjKHQf5Po8u17zxMhdWVzX3yFf/view?usp=drivesdk" TargetMode="External"/><Relationship Id="rId371" Type="http://schemas.openxmlformats.org/officeDocument/2006/relationships/hyperlink" Target="https://drive.google.com/file/d/1_b9Md0kAsqUDizY0qm3X3CPvzQEAY-p4/view?usp=drivesdk" TargetMode="External"/><Relationship Id="rId372" Type="http://schemas.openxmlformats.org/officeDocument/2006/relationships/hyperlink" Target="https://drive.google.com/file/d/1kG-tEFhBR1fTVB2iN-ZEFkLAem7KgF76/view?usp=drivesdk" TargetMode="External"/><Relationship Id="rId373" Type="http://schemas.openxmlformats.org/officeDocument/2006/relationships/hyperlink" Target="https://drive.google.com/file/d/1o6GbTuqs921U7XtiPqtMBl1H78lDDxIf/view?usp=drivesdk" TargetMode="External"/><Relationship Id="rId374" Type="http://schemas.openxmlformats.org/officeDocument/2006/relationships/hyperlink" Target="https://drive.google.com/file/d/1P4gmm9id3xAooxCpRUkvkzq2CeNnetX5/view?usp=drivesdk" TargetMode="External"/><Relationship Id="rId375" Type="http://schemas.openxmlformats.org/officeDocument/2006/relationships/hyperlink" Target="https://drive.google.com/file/d/1MxKDZLhcngL5No-5v5Nf7PsjHg7SrcgI/view?usp=drivesdk" TargetMode="External"/><Relationship Id="rId376" Type="http://schemas.openxmlformats.org/officeDocument/2006/relationships/hyperlink" Target="https://drive.google.com/file/d/10tZ-jPlH9XXPU_dBVw9h1KYk0Bcpoaes/view?usp=drivesdk" TargetMode="External"/><Relationship Id="rId377" Type="http://schemas.openxmlformats.org/officeDocument/2006/relationships/hyperlink" Target="https://drive.google.com/file/d/1kgCFDN9L-qRWfiIZO321OH86uX4ssddE/view?usp=drivesdk" TargetMode="External"/><Relationship Id="rId378" Type="http://schemas.openxmlformats.org/officeDocument/2006/relationships/hyperlink" Target="https://drive.google.com/file/d/1B95WrowhGy2wOqzlGi8R3DUOrIGSKvsE/view?usp=drivesdk" TargetMode="External"/><Relationship Id="rId379" Type="http://schemas.openxmlformats.org/officeDocument/2006/relationships/hyperlink" Target="https://drive.google.com/file/d/1GCnKivWXpeoYSBVZfmlzSyRCmmSrO8mR/view?usp=drivesdk" TargetMode="External"/><Relationship Id="rId380" Type="http://schemas.openxmlformats.org/officeDocument/2006/relationships/hyperlink" Target="https://drive.google.com/file/d/1VdVmxKwsDVe3ggvM8HHule8MNYp1h_7P/view?usp=drivesdk" TargetMode="External"/><Relationship Id="rId381" Type="http://schemas.openxmlformats.org/officeDocument/2006/relationships/hyperlink" Target="https://drive.google.com/file/d/1t2E9chjv4DAQV-uzYGudybGjX_dDy6mw/view?usp=drivesdk" TargetMode="External"/><Relationship Id="rId382" Type="http://schemas.openxmlformats.org/officeDocument/2006/relationships/hyperlink" Target="https://drive.google.com/file/d/1S8a1g9lEnG-UNN2b4lDjS6uGux_jQXW4/view?usp=drivesdk" TargetMode="External"/><Relationship Id="rId383" Type="http://schemas.openxmlformats.org/officeDocument/2006/relationships/hyperlink" Target="https://drive.google.com/file/d/1vU-D64e8p3gvY2G8OI3HLTDm9dz997OY/view?usp=drivesdk" TargetMode="External"/><Relationship Id="rId384" Type="http://schemas.openxmlformats.org/officeDocument/2006/relationships/hyperlink" Target="https://drive.google.com/file/d/1PEdvnCkLlUGJchkx_rCCssvFkKk-mmpP/view?usp=drivesdk" TargetMode="External"/><Relationship Id="rId385" Type="http://schemas.openxmlformats.org/officeDocument/2006/relationships/hyperlink" Target="https://drive.google.com/file/d/1ZBxI1tSb58GZbFMvgld1MR80qtAhCQs3/view?usp=drivesdk" TargetMode="External"/><Relationship Id="rId386" Type="http://schemas.openxmlformats.org/officeDocument/2006/relationships/hyperlink" Target="https://drive.google.com/file/d/1kUikGVQ5LVnQ0rKaVlMcEXXzubGNk_r4/view?usp=drivesdk" TargetMode="External"/><Relationship Id="rId387" Type="http://schemas.openxmlformats.org/officeDocument/2006/relationships/hyperlink" Target="https://drive.google.com/file/d/1luiiRj3SYGHKUz0FpCPFBjC2pe_GEGYE/view?usp=drivesdk" TargetMode="External"/><Relationship Id="rId388" Type="http://schemas.openxmlformats.org/officeDocument/2006/relationships/hyperlink" Target="https://drive.google.com/file/d/1xXY1DY05UcIIXwx11IN1nTK1BHfJr3IK/view?usp=drivesdk" TargetMode="External"/><Relationship Id="rId389" Type="http://schemas.openxmlformats.org/officeDocument/2006/relationships/hyperlink" Target="https://drive.google.com/file/d/1K4zlBQvYd9db2tJ0M315OOeYU0GMBNQg/view?usp=drivesdk" TargetMode="External"/><Relationship Id="rId390" Type="http://schemas.openxmlformats.org/officeDocument/2006/relationships/hyperlink" Target="https://drive.google.com/file/d/1PE8wxlJ_rNjRRFKLS0pluLR5VcMwPBwX/view?usp=drivesdk" TargetMode="External"/><Relationship Id="rId391" Type="http://schemas.openxmlformats.org/officeDocument/2006/relationships/hyperlink" Target="https://drive.google.com/file/d/1lVuIYMu7Xec9gum1mQd5Y7oQP8JAtM8D/view?usp=drivesdk" TargetMode="External"/><Relationship Id="rId392" Type="http://schemas.openxmlformats.org/officeDocument/2006/relationships/hyperlink" Target="https://drive.google.com/file/d/1Rtpq8-pLvT6mEZsAs6HZLDn7to6MNdVB/view?usp=drivesdk" TargetMode="External"/><Relationship Id="rId393" Type="http://schemas.openxmlformats.org/officeDocument/2006/relationships/hyperlink" Target="https://drive.google.com/file/d/1Cy610pyKl6wNYkOO-Ku4r6mqs9c8PAvn/view?usp=drivesdk" TargetMode="External"/><Relationship Id="rId394" Type="http://schemas.openxmlformats.org/officeDocument/2006/relationships/hyperlink" Target="https://drive.google.com/file/d/1bAMILx7rbp3jV22lYo6drVD5ddIdr_2f/view?usp=drivesdk" TargetMode="External"/><Relationship Id="rId395" Type="http://schemas.openxmlformats.org/officeDocument/2006/relationships/hyperlink" Target="https://drive.google.com/file/d/1Qdz5RX1DSLx0oCScSHCDtNMdG-jGev0X/view?usp=drivesdk" TargetMode="External"/><Relationship Id="rId396" Type="http://schemas.openxmlformats.org/officeDocument/2006/relationships/hyperlink" Target="https://drive.google.com/file/d/1lKFjRO508MCkvvPokmPw5T_9rQQUaido/view?usp=drivesdk" TargetMode="External"/><Relationship Id="rId397" Type="http://schemas.openxmlformats.org/officeDocument/2006/relationships/hyperlink" Target="https://drive.google.com/file/d/13yZY8HxyEudOM-S2LjnspXOfo3Nz4gEl/view?usp=drivesdk" TargetMode="External"/><Relationship Id="rId398" Type="http://schemas.openxmlformats.org/officeDocument/2006/relationships/hyperlink" Target="https://drive.google.com/file/d/1PIQ7bZ64PnWV77vNhctjQXseG7EkKtlH/view?usp=drivesdk" TargetMode="External"/><Relationship Id="rId399" Type="http://schemas.openxmlformats.org/officeDocument/2006/relationships/hyperlink" Target="https://drive.google.com/file/d/1WqRCOP8f-tzPjHp6FtxkRGvJIPDiLSLy/view?usp=drivesdk" TargetMode="External"/><Relationship Id="rId400" Type="http://schemas.openxmlformats.org/officeDocument/2006/relationships/hyperlink" Target="https://drive.google.com/file/d/15g-7I8hxQvxrMMhT7-fwmtVniR1HaBqS/view?usp=drivesdk" TargetMode="External"/><Relationship Id="rId401" Type="http://schemas.openxmlformats.org/officeDocument/2006/relationships/hyperlink" Target="https://drive.google.com/file/d/1gY9VF_HOO-dgZPiWHOJlCs7jRHDbZrd1/view?usp=drivesdk" TargetMode="External"/><Relationship Id="rId402" Type="http://schemas.openxmlformats.org/officeDocument/2006/relationships/hyperlink" Target="https://drive.google.com/file/d/1FamPTRONmhZieGNvZaFCuS088TvtYemU/view?usp=drivesdk" TargetMode="External"/><Relationship Id="rId403" Type="http://schemas.openxmlformats.org/officeDocument/2006/relationships/hyperlink" Target="https://drive.google.com/file/d/1jfWk1rvhRhM2h2yBPbov7SrtkJVqfX-f/view?usp=drivesdk" TargetMode="External"/><Relationship Id="rId404" Type="http://schemas.openxmlformats.org/officeDocument/2006/relationships/hyperlink" Target="https://drive.google.com/file/d/1QVWam82pm3DpRaMCsrGL_VhkorDhNhnU/view?usp=drivesdk" TargetMode="External"/><Relationship Id="rId405" Type="http://schemas.openxmlformats.org/officeDocument/2006/relationships/hyperlink" Target="https://drive.google.com/file/d/1c3En2jxg0UJeOVKMQYVd2iBwNxQ1T8za/view?usp=drivesdk" TargetMode="External"/><Relationship Id="rId406" Type="http://schemas.openxmlformats.org/officeDocument/2006/relationships/hyperlink" Target="https://drive.google.com/file/d/1qNgJNBPZP0Mgv4uwSZZQet1ZjPpuRpAV/view?usp=drivesdk" TargetMode="External"/><Relationship Id="rId407" Type="http://schemas.openxmlformats.org/officeDocument/2006/relationships/hyperlink" Target="https://drive.google.com/file/d/1Z9gajJhMnPAnBM-KazRx0lRIO5R3vMVw/view?usp=drivesdk" TargetMode="External"/><Relationship Id="rId408" Type="http://schemas.openxmlformats.org/officeDocument/2006/relationships/hyperlink" Target="https://drive.google.com/file/d/1E1LVsOz1n1o72Y8W7RJb7ZtaWcCyOsRM/view?usp=drivesdk" TargetMode="External"/><Relationship Id="rId409" Type="http://schemas.openxmlformats.org/officeDocument/2006/relationships/hyperlink" Target="https://drive.google.com/file/d/1kdXMk1geM-cJMmgtlASVwMBD4CW6bwPu/view?usp=drivesdk" TargetMode="External"/><Relationship Id="rId410" Type="http://schemas.openxmlformats.org/officeDocument/2006/relationships/hyperlink" Target="https://drive.google.com/file/d/1ZHzPl6Ga9-3Jj0quZ2i8S4wsRjpv_hXS/view?usp=drivesdk" TargetMode="External"/><Relationship Id="rId411" Type="http://schemas.openxmlformats.org/officeDocument/2006/relationships/hyperlink" Target="https://drive.google.com/file/d/1IXE5KKe_XBdGKbUAHbToJdO5EHPh1AS3/view?usp=drivesdk" TargetMode="External"/><Relationship Id="rId412" Type="http://schemas.openxmlformats.org/officeDocument/2006/relationships/hyperlink" Target="https://drive.google.com/file/d/1BHDH7aAG2ncfP5YMdvVc2lpsY7lQ8jeM/view?usp=drivesdk" TargetMode="External"/><Relationship Id="rId413" Type="http://schemas.openxmlformats.org/officeDocument/2006/relationships/hyperlink" Target="https://drive.google.com/file/d/1eL6DClf2nGDwwdTQCB6JRPd6DP2XXE8Y/view?usp=drivesdk" TargetMode="External"/><Relationship Id="rId414" Type="http://schemas.openxmlformats.org/officeDocument/2006/relationships/hyperlink" Target="https://drive.google.com/file/d/18DDN5n42FXTqcfW--DCGMwsxGpDNqLCh/view?usp=drivesdk" TargetMode="External"/><Relationship Id="rId415" Type="http://schemas.openxmlformats.org/officeDocument/2006/relationships/hyperlink" Target="https://drive.google.com/file/d/1qIDB4Q9pIZoP_8_Y82LI4jBCQKRkbj5J/view?usp=drivesdk" TargetMode="External"/><Relationship Id="rId416" Type="http://schemas.openxmlformats.org/officeDocument/2006/relationships/hyperlink" Target="https://drive.google.com/file/d/1tjINLwN8mKfVPX411Ig9xow-6e4JsHJp/view?usp=drivesdk" TargetMode="External"/><Relationship Id="rId417" Type="http://schemas.openxmlformats.org/officeDocument/2006/relationships/hyperlink" Target="https://drive.google.com/file/d/1H4qI35hWwyuwCfKidlJfNVoJnd8WjHAx/view?usp=drivesdk" TargetMode="External"/><Relationship Id="rId418" Type="http://schemas.openxmlformats.org/officeDocument/2006/relationships/hyperlink" Target="https://drive.google.com/file/d/1RKJ0HIcVvBqOZsucRvvct69N7cDlNyVv/view?usp=drivesdk" TargetMode="External"/><Relationship Id="rId419" Type="http://schemas.openxmlformats.org/officeDocument/2006/relationships/hyperlink" Target="https://drive.google.com/file/d/1EpLY-1p9wFdp298-Jv7MM4T_JvHyoxS0/view?usp=drivesdk" TargetMode="External"/><Relationship Id="rId420" Type="http://schemas.openxmlformats.org/officeDocument/2006/relationships/hyperlink" Target="https://drive.google.com/file/d/1TyO6wcJ9TaOGBeElWOQ0qAyzKKmvCxx7/view?usp=drivesdk" TargetMode="External"/><Relationship Id="rId421" Type="http://schemas.openxmlformats.org/officeDocument/2006/relationships/hyperlink" Target="https://drive.google.com/file/d/1tZaMOiUj9n4_W4WcFAOxB0hgl_iWsFG3/view?usp=drivesdk" TargetMode="External"/><Relationship Id="rId422" Type="http://schemas.openxmlformats.org/officeDocument/2006/relationships/hyperlink" Target="https://drive.google.com/file/d/1mOLY7-j49Gi2Y8hxU3Gp6sLJyxo1qhQg/view?usp=drivesdk" TargetMode="External"/><Relationship Id="rId423" Type="http://schemas.openxmlformats.org/officeDocument/2006/relationships/hyperlink" Target="https://drive.google.com/file/d/1RfLwWhs1S9F6FTb3BCN4YwYruXZ4AInB/view?usp=drivesdk" TargetMode="External"/><Relationship Id="rId424" Type="http://schemas.openxmlformats.org/officeDocument/2006/relationships/hyperlink" Target="https://drive.google.com/file/d/1Rv95Fu2rhkVvs0_LUVrj_ucl6DKK18c4/view?usp=drivesdk" TargetMode="External"/><Relationship Id="rId425" Type="http://schemas.openxmlformats.org/officeDocument/2006/relationships/hyperlink" Target="https://drive.google.com/file/d/1iH_tcJMQoqBocPY9lg5sHYZN-vsve9SM/view?usp=drivesdk" TargetMode="External"/><Relationship Id="rId426" Type="http://schemas.openxmlformats.org/officeDocument/2006/relationships/hyperlink" Target="https://drive.google.com/file/d/1ute6ysQgO0-aBd7uO1gzFAQQ32IYt0-F/view?usp=drivesdk" TargetMode="External"/><Relationship Id="rId427" Type="http://schemas.openxmlformats.org/officeDocument/2006/relationships/hyperlink" Target="https://drive.google.com/file/d/1kPZ4J8afkZEhg0-tQ94EaZUn0NezkOI6/view?usp=drivesdk" TargetMode="External"/><Relationship Id="rId428" Type="http://schemas.openxmlformats.org/officeDocument/2006/relationships/hyperlink" Target="https://drive.google.com/file/d/1HgQmjtR2P-4GhpHB7xOMNTLaQeVQb7V2/view?usp=drivesdk" TargetMode="External"/><Relationship Id="rId429" Type="http://schemas.openxmlformats.org/officeDocument/2006/relationships/hyperlink" Target="https://drive.google.com/file/d/1LvRcHsscjlFvOPiGDKbAfGBYaXpxZaEV/view?usp=drivesdk" TargetMode="External"/><Relationship Id="rId430" Type="http://schemas.openxmlformats.org/officeDocument/2006/relationships/hyperlink" Target="https://drive.google.com/file/d/1FVPDW-fG87PiD0VmdPfX8rlbzG16l0Xq/view?usp=drivesdk" TargetMode="External"/><Relationship Id="rId431" Type="http://schemas.openxmlformats.org/officeDocument/2006/relationships/hyperlink" Target="https://drive.google.com/file/d/1mq7O3llfq_ZGqfp0YBoZEV6SbSzIalHm/view?usp=drivesdk" TargetMode="External"/><Relationship Id="rId432" Type="http://schemas.openxmlformats.org/officeDocument/2006/relationships/hyperlink" Target="https://drive.google.com/file/d/1cCxb-_angEGcVKT5QOglETTgjE93PHc1/view?usp=drivesdk" TargetMode="External"/><Relationship Id="rId433" Type="http://schemas.openxmlformats.org/officeDocument/2006/relationships/hyperlink" Target="https://drive.google.com/file/d/19wJLYCCiFxLundf8Q5WFLLhXB9xxeBjX/view?usp=drivesdk" TargetMode="External"/><Relationship Id="rId434" Type="http://schemas.openxmlformats.org/officeDocument/2006/relationships/hyperlink" Target="https://drive.google.com/file/d/1-N66V44sOh7rWQ5z0NdwdLCz7uL6rtUR/view?usp=drivesdk" TargetMode="External"/><Relationship Id="rId435" Type="http://schemas.openxmlformats.org/officeDocument/2006/relationships/hyperlink" Target="https://drive.google.com/file/d/1MpOXnLxOTnAxKV-6q07IxDhf6ZC1E4c2/view?usp=drivesdk" TargetMode="External"/><Relationship Id="rId436" Type="http://schemas.openxmlformats.org/officeDocument/2006/relationships/hyperlink" Target="https://drive.google.com/file/d/1GwgshzBABOxf9sd_C1AhtO3Hkyf7HngW/view?usp=drivesdk" TargetMode="External"/><Relationship Id="rId437" Type="http://schemas.openxmlformats.org/officeDocument/2006/relationships/hyperlink" Target="https://drive.google.com/file/d/18mL_pzCo7lz-QWc9UehPTaKhFD4KWATN/view?usp=drivesdk" TargetMode="External"/><Relationship Id="rId438" Type="http://schemas.openxmlformats.org/officeDocument/2006/relationships/hyperlink" Target="https://drive.google.com/file/d/1SOPc3-ufTvqZZzMwVwelSuMpQnUMV3AN/view?usp=drivesdk" TargetMode="External"/><Relationship Id="rId439" Type="http://schemas.openxmlformats.org/officeDocument/2006/relationships/hyperlink" Target="https://drive.google.com/file/d/1aHZrNs3NVFa_-RQV6iPy7CozYJW59_lI/view?usp=drivesdk" TargetMode="External"/><Relationship Id="rId440" Type="http://schemas.openxmlformats.org/officeDocument/2006/relationships/hyperlink" Target="https://drive.google.com/file/d/1jtOTp42zvlAot--NK013VgW4JRVUbULH/view?usp=drivesdk" TargetMode="External"/><Relationship Id="rId441" Type="http://schemas.openxmlformats.org/officeDocument/2006/relationships/hyperlink" Target="https://drive.google.com/file/d/1MiYWt4nhtcaWmjQA3yuTg9_6QAQ1ZVX3/view?usp=drivesdk" TargetMode="External"/><Relationship Id="rId442" Type="http://schemas.openxmlformats.org/officeDocument/2006/relationships/hyperlink" Target="https://drive.google.com/file/d/1erqgInc85Q5xPMmBPx0M1lF4vy9ljqGD/view?usp=drivesdk" TargetMode="External"/><Relationship Id="rId443" Type="http://schemas.openxmlformats.org/officeDocument/2006/relationships/hyperlink" Target="https://drive.google.com/file/d/1AMl3oXZCi-iTRa_UPxH3vBI-iKB66jIp/view?usp=drivesdk" TargetMode="External"/><Relationship Id="rId444" Type="http://schemas.openxmlformats.org/officeDocument/2006/relationships/hyperlink" Target="https://drive.google.com/file/d/1JqirA9DQysRk8jTgZg2MNgXXPZ7E5BVP/view?usp=drivesdk" TargetMode="External"/><Relationship Id="rId445" Type="http://schemas.openxmlformats.org/officeDocument/2006/relationships/hyperlink" Target="https://drive.google.com/file/d/1JsVT5MgtvqFksbF4JHscpsZjKkZhjaKH/view?usp=drivesdk" TargetMode="External"/><Relationship Id="rId446" Type="http://schemas.openxmlformats.org/officeDocument/2006/relationships/hyperlink" Target="https://drive.google.com/file/d/1cAgD1CrhxwiLE2h-JmkqPIX-TxfJ5-qy/view?usp=drivesdk" TargetMode="External"/><Relationship Id="rId447" Type="http://schemas.openxmlformats.org/officeDocument/2006/relationships/hyperlink" Target="https://drive.google.com/file/d/1Vl4y_xdv2YXoglLIqja9heSbCbgrFli-/view?usp=drivesdk" TargetMode="External"/><Relationship Id="rId448" Type="http://schemas.openxmlformats.org/officeDocument/2006/relationships/hyperlink" Target="https://drive.google.com/file/d/1izxTwMNfV3fWGT86xuRgQ9PBj1-Vfr_l/view?usp=drivesdk" TargetMode="External"/><Relationship Id="rId449" Type="http://schemas.openxmlformats.org/officeDocument/2006/relationships/hyperlink" Target="https://drive.google.com/file/d/1vpcdPq7ZWEatZ-_oJrAPh4GZOi1wrYel/view?usp=drivesdk" TargetMode="External"/><Relationship Id="rId450" Type="http://schemas.openxmlformats.org/officeDocument/2006/relationships/hyperlink" Target="https://drive.google.com/file/d/1SMU-WjD8thqN8AuhuWPQu4yTuGYY5aQz/view?usp=drivesdk" TargetMode="External"/><Relationship Id="rId451" Type="http://schemas.openxmlformats.org/officeDocument/2006/relationships/hyperlink" Target="https://drive.google.com/file/d/12nFUHpeRQIpo9EkkbQdiUR7aNE7rXzwx/view?usp=drivesdk" TargetMode="External"/><Relationship Id="rId452" Type="http://schemas.openxmlformats.org/officeDocument/2006/relationships/hyperlink" Target="https://drive.google.com/file/d/1pxkFpAVR9pSA0Ku4UUVxtnf8zpgRuFlj/view?usp=drivesdk" TargetMode="External"/><Relationship Id="rId453" Type="http://schemas.openxmlformats.org/officeDocument/2006/relationships/hyperlink" Target="https://drive.google.com/file/d/1soId_lvFtCul9ESEO9QTIiyBsbYFnGI5/view?usp=drivesdk" TargetMode="External"/><Relationship Id="rId454" Type="http://schemas.openxmlformats.org/officeDocument/2006/relationships/hyperlink" Target="https://drive.google.com/file/d/1KrSVdoUuBXoTj8KPotMf87s9SOpiXAtp/view?usp=drivesdk" TargetMode="External"/><Relationship Id="rId455" Type="http://schemas.openxmlformats.org/officeDocument/2006/relationships/hyperlink" Target="https://drive.google.com/file/d/1YAqYdO0nepfwxAiI6YsoVQaDx4Y6hf2x/view?usp=drivesdk" TargetMode="External"/><Relationship Id="rId456" Type="http://schemas.openxmlformats.org/officeDocument/2006/relationships/hyperlink" Target="https://drive.google.com/file/d/15AxcF8JYkdSuplcw-fN53RKhH0_IlYI2/view?usp=drivesdk" TargetMode="External"/><Relationship Id="rId457" Type="http://schemas.openxmlformats.org/officeDocument/2006/relationships/hyperlink" Target="https://drive.google.com/file/d/1W0Se4ifjuidu-OgEDZrAdEbQiqNoIUs0/view?usp=drivesdk" TargetMode="External"/><Relationship Id="rId458" Type="http://schemas.openxmlformats.org/officeDocument/2006/relationships/hyperlink" Target="https://drive.google.com/file/d/12hYCqj_yj3lPLwl3OCu8_k_5zlecryVX/view?usp=drivesdk" TargetMode="External"/><Relationship Id="rId459" Type="http://schemas.openxmlformats.org/officeDocument/2006/relationships/hyperlink" Target="https://drive.google.com/file/d/1KYAghFnyqMq1WLxy4R869R170qnJduEq/view?usp=drivesdk" TargetMode="External"/><Relationship Id="rId460" Type="http://schemas.openxmlformats.org/officeDocument/2006/relationships/hyperlink" Target="https://drive.google.com/file/d/15CtbxtaiSvJfd3jjxhAeqiXNxzfa_XsP/view?usp=drivesdk" TargetMode="External"/><Relationship Id="rId461" Type="http://schemas.openxmlformats.org/officeDocument/2006/relationships/hyperlink" Target="https://drive.google.com/file/d/1uTQiKWUZ_UuQg9XU4grE37GdPPGNpmgJ/view?usp=drivesdk" TargetMode="External"/><Relationship Id="rId462" Type="http://schemas.openxmlformats.org/officeDocument/2006/relationships/hyperlink" Target="https://drive.google.com/file/d/1LsLczcfgK13I9xqSktA2OMoeN_HEx6or/view?usp=drivesdk" TargetMode="External"/><Relationship Id="rId463" Type="http://schemas.openxmlformats.org/officeDocument/2006/relationships/hyperlink" Target="https://drive.google.com/file/d/1vnLobZwe3ZZdfdDbC3ETtLE9_EBM-t58/view?usp=drivesdk" TargetMode="External"/><Relationship Id="rId464" Type="http://schemas.openxmlformats.org/officeDocument/2006/relationships/hyperlink" Target="https://drive.google.com/file/d/1m1KGJeBJcx5e9KgVAcG4lV_hAArCgkxB/view?usp=drivesdk" TargetMode="External"/><Relationship Id="rId465" Type="http://schemas.openxmlformats.org/officeDocument/2006/relationships/hyperlink" Target="https://drive.google.com/file/d/1E8-_tly271l8B79lH6Pub8f1V3ub7JJQ/view?usp=drivesdk" TargetMode="External"/><Relationship Id="rId466" Type="http://schemas.openxmlformats.org/officeDocument/2006/relationships/hyperlink" Target="https://drive.google.com/file/d/1EkC4KLNz6QUgqTa4DAPyUHYfLxFxF4oA/view?usp=drivesdk" TargetMode="External"/><Relationship Id="rId467" Type="http://schemas.openxmlformats.org/officeDocument/2006/relationships/hyperlink" Target="https://drive.google.com/file/d/1k33oNA5KISoIoYQAV5eld3p5ISP898KP/view?usp=drivesdk" TargetMode="External"/><Relationship Id="rId468" Type="http://schemas.openxmlformats.org/officeDocument/2006/relationships/hyperlink" Target="https://drive.google.com/file/d/1DU4w8Q8g-naR5H2-ad9jRKM7Xd7mA9By/view?usp=drivesdk" TargetMode="External"/><Relationship Id="rId469" Type="http://schemas.openxmlformats.org/officeDocument/2006/relationships/hyperlink" Target="https://drive.google.com/file/d/1MfWo47fGNr8f8_zF5RCElWwiNCxkMyDQ/view?usp=drivesdk" TargetMode="External"/><Relationship Id="rId470" Type="http://schemas.openxmlformats.org/officeDocument/2006/relationships/hyperlink" Target="https://drive.google.com/file/d/1bZ0EYOpaLJMxOsvZ3h0GbUuoseeuysBj/view?usp=drivesdk" TargetMode="External"/><Relationship Id="rId471" Type="http://schemas.openxmlformats.org/officeDocument/2006/relationships/hyperlink" Target="https://drive.google.com/file/d/1Dhd3lcXVqPS1w1ou1rlfeP7aT7cdJJCW/view?usp=drivesdk" TargetMode="External"/><Relationship Id="rId472" Type="http://schemas.openxmlformats.org/officeDocument/2006/relationships/hyperlink" Target="https://drive.google.com/file/d/1_qOt3Vtk-iE0DaBnCzBz7XbLH7mKUpN-/view?usp=drivesdk" TargetMode="External"/><Relationship Id="rId473" Type="http://schemas.openxmlformats.org/officeDocument/2006/relationships/hyperlink" Target="https://drive.google.com/file/d/1u0kNQGnzbesCMBsWQg4_qp_v-tEZSTzu/view?usp=drivesdk" TargetMode="External"/><Relationship Id="rId474" Type="http://schemas.openxmlformats.org/officeDocument/2006/relationships/hyperlink" Target="https://drive.google.com/file/d/1_vtEaj0xQckQunXQA7U-c13An_yfjG1A/view?usp=drivesdk" TargetMode="External"/><Relationship Id="rId475" Type="http://schemas.openxmlformats.org/officeDocument/2006/relationships/hyperlink" Target="https://drive.google.com/file/d/1PLsKafUYor4bdZiAJHcTyTk1afyZOOo1/view?usp=drivesdk" TargetMode="External"/><Relationship Id="rId476" Type="http://schemas.openxmlformats.org/officeDocument/2006/relationships/hyperlink" Target="https://drive.google.com/file/d/1PTs_DjSpz2MWxvuj-KEBMoMpdlkL6Zj-/view?usp=drivesdk" TargetMode="External"/><Relationship Id="rId477" Type="http://schemas.openxmlformats.org/officeDocument/2006/relationships/hyperlink" Target="https://drive.google.com/file/d/1YLXUc8cjOSM7vV4qu7Jvw38KUkS4m4D7/view?usp=drivesdk" TargetMode="External"/><Relationship Id="rId478" Type="http://schemas.openxmlformats.org/officeDocument/2006/relationships/hyperlink" Target="https://drive.google.com/file/d/1Wum6KeJud60Y7zRQUo1BD9YQ4TWND8kI/view?usp=drivesdk" TargetMode="External"/><Relationship Id="rId479" Type="http://schemas.openxmlformats.org/officeDocument/2006/relationships/hyperlink" Target="https://drive.google.com/file/d/1wPJPW9Bwsd5UIG4ATDxxjGAcGMInFaaW/view?usp=drivesdk" TargetMode="External"/><Relationship Id="rId480" Type="http://schemas.openxmlformats.org/officeDocument/2006/relationships/hyperlink" Target="https://drive.google.com/file/d/1XbF5B50cBg50EIyDTKQixGWdUZfJZ4d-/view?usp=drivesdk" TargetMode="External"/><Relationship Id="rId481" Type="http://schemas.openxmlformats.org/officeDocument/2006/relationships/hyperlink" Target="https://drive.google.com/file/d/1Loxqjic7_Mjdo4R1tFteyhvJ7jYNvsNA/view?usp=drivesdk" TargetMode="External"/><Relationship Id="rId482" Type="http://schemas.openxmlformats.org/officeDocument/2006/relationships/hyperlink" Target="https://drive.google.com/file/d/1v3R3O_yXuZLtd4N_5NiR6ZiOUmAX20Hp/view?usp=drivesdk" TargetMode="External"/><Relationship Id="rId483" Type="http://schemas.openxmlformats.org/officeDocument/2006/relationships/hyperlink" Target="https://drive.google.com/file/d/1Jy_IBh0TdNCiC4NPeDY_N7skF3M2z5He/view?usp=drivesdk" TargetMode="External"/><Relationship Id="rId484" Type="http://schemas.openxmlformats.org/officeDocument/2006/relationships/hyperlink" Target="https://drive.google.com/file/d/1JFu2QgcXxAoUPEPFTMqyu3lb8aHKZt5R/view?usp=drivesdk" TargetMode="External"/><Relationship Id="rId485" Type="http://schemas.openxmlformats.org/officeDocument/2006/relationships/hyperlink" Target="https://drive.google.com/file/d/1zPMTSS-hnxfs8FgDgbTQTXgkgiWSIpc5/view?usp=drivesdk" TargetMode="External"/><Relationship Id="rId486" Type="http://schemas.openxmlformats.org/officeDocument/2006/relationships/hyperlink" Target="https://drive.google.com/file/d/16AfQ2lL7stHth59Pp4Qh5fA7vcdtVxEE/view?usp=drivesdk" TargetMode="External"/><Relationship Id="rId487" Type="http://schemas.openxmlformats.org/officeDocument/2006/relationships/hyperlink" Target="https://drive.google.com/file/d/1RI_h9HrzXcpdBwEOBC6CVyIRz-CWYxtE/view?usp=drivesdk" TargetMode="External"/><Relationship Id="rId488" Type="http://schemas.openxmlformats.org/officeDocument/2006/relationships/hyperlink" Target="https://drive.google.com/file/d/1u-biHRBvOso5vahAt_hqc4tz7z9cMKkI/view?usp=drivesdk" TargetMode="External"/><Relationship Id="rId489" Type="http://schemas.openxmlformats.org/officeDocument/2006/relationships/hyperlink" Target="https://drive.google.com/file/d/18XdUEBAPMZczyBm5pUkkRmy2FZWszqo-/view?usp=drivesdk" TargetMode="External"/><Relationship Id="rId490" Type="http://schemas.openxmlformats.org/officeDocument/2006/relationships/hyperlink" Target="https://drive.google.com/file/d/1h87gb74tqWHgVnoLvyXRruX-3FLCCNzi/view?usp=drivesdk" TargetMode="External"/><Relationship Id="rId491" Type="http://schemas.openxmlformats.org/officeDocument/2006/relationships/hyperlink" Target="https://drive.google.com/file/d/1lUCd1tGuq3XEhljBMcEY6GUFWogmrq_3/view?usp=drivesdk" TargetMode="External"/><Relationship Id="rId492" Type="http://schemas.openxmlformats.org/officeDocument/2006/relationships/hyperlink" Target="https://drive.google.com/file/d/1lI19SzhRGReguTBYPwDvY3Buzrkvv1Jy/view?usp=drivesdk" TargetMode="External"/><Relationship Id="rId493" Type="http://schemas.openxmlformats.org/officeDocument/2006/relationships/hyperlink" Target="https://drive.google.com/file/d/11MQgHulNvCbjzkY6IOls-Mi-V6_OFXrG/view?usp=drivesdk" TargetMode="External"/><Relationship Id="rId494" Type="http://schemas.openxmlformats.org/officeDocument/2006/relationships/hyperlink" Target="https://drive.google.com/file/d/107gj_F_LqJelgZm5VV8hjR-mVynfeTak/view?usp=drivesdk" TargetMode="External"/><Relationship Id="rId495" Type="http://schemas.openxmlformats.org/officeDocument/2006/relationships/hyperlink" Target="https://drive.google.com/file/d/14o7Xow1ITbvV-wXSOZAUCEPK6k2uVJeM/view?usp=drivesdk" TargetMode="External"/><Relationship Id="rId496" Type="http://schemas.openxmlformats.org/officeDocument/2006/relationships/hyperlink" Target="https://drive.google.com/file/d/1BtZsA9ZaVXRemqTt9weHvxyiXbsi6qhI/view?usp=drivesdk" TargetMode="External"/><Relationship Id="rId497" Type="http://schemas.openxmlformats.org/officeDocument/2006/relationships/hyperlink" Target="https://drive.google.com/file/d/1XuZ8J2yIbNJdbqh0B6cctctT07NEtQ0j/view?usp=drivesdk" TargetMode="External"/><Relationship Id="rId498" Type="http://schemas.openxmlformats.org/officeDocument/2006/relationships/hyperlink" Target="https://drive.google.com/file/d/1V4CrxICNgzGZPw12BNOx_GUdBMC4EZjn/view?usp=drivesdk" TargetMode="External"/><Relationship Id="rId499" Type="http://schemas.openxmlformats.org/officeDocument/2006/relationships/hyperlink" Target="https://drive.google.com/file/d/1Y1TKkRkLoYpHf0gKqNOOjH5PWIeaeX_k/view?usp=drivesdk" TargetMode="External"/><Relationship Id="rId500" Type="http://schemas.openxmlformats.org/officeDocument/2006/relationships/hyperlink" Target="https://drive.google.com/file/d/1_b_Rhe7P3NcRQnSmoXsWKx5XaybwcWZH/view?usp=drivesdk" TargetMode="External"/><Relationship Id="rId501" Type="http://schemas.openxmlformats.org/officeDocument/2006/relationships/hyperlink" Target="https://drive.google.com/file/d/1vCH89swGyrZF1EDo5am4BGKCxX6slOe-/view?usp=drivesdk" TargetMode="External"/><Relationship Id="rId502" Type="http://schemas.openxmlformats.org/officeDocument/2006/relationships/hyperlink" Target="https://drive.google.com/file/d/1KqXhF5VdKrCvpRzuWUBPo2J6iWggCsMK/view?usp=drivesdk" TargetMode="External"/><Relationship Id="rId503" Type="http://schemas.openxmlformats.org/officeDocument/2006/relationships/hyperlink" Target="https://drive.google.com/file/d/1EkQ9sgsVn5BTG1rtTGstwdHuwSTQb396/view?usp=drivesdk" TargetMode="External"/><Relationship Id="rId504" Type="http://schemas.openxmlformats.org/officeDocument/2006/relationships/hyperlink" Target="https://drive.google.com/file/d/10ZMWtjoGKfNzwF9FHENyULxYQ9lk-tT2/view?usp=drivesdk" TargetMode="External"/><Relationship Id="rId505" Type="http://schemas.openxmlformats.org/officeDocument/2006/relationships/hyperlink" Target="https://drive.google.com/file/d/1KHMYrF-H3KL8gZVUuTS9zJLEjn_xVsf7/view?usp=drivesdk" TargetMode="External"/><Relationship Id="rId506" Type="http://schemas.openxmlformats.org/officeDocument/2006/relationships/hyperlink" Target="https://drive.google.com/file/d/16MIPvmwOi0uJ-hJvn5C4JIi3Rl34asOd/view?usp=drivesdk" TargetMode="External"/><Relationship Id="rId507" Type="http://schemas.openxmlformats.org/officeDocument/2006/relationships/hyperlink" Target="https://drive.google.com/file/d/1PM1IHpXk-s9Lxufh1CkbA7FyfhOMtZQc/view?usp=drivesdk" TargetMode="External"/><Relationship Id="rId508" Type="http://schemas.openxmlformats.org/officeDocument/2006/relationships/hyperlink" Target="https://drive.google.com/file/d/1uvvElu5Ss6MIAa_WuBnNk1x3PUQc4lq0/view?usp=drivesdk" TargetMode="External"/><Relationship Id="rId509" Type="http://schemas.openxmlformats.org/officeDocument/2006/relationships/hyperlink" Target="https://drive.google.com/file/d/1icXsKTI62074mpL9lwwBxNKapagxKvvl/view?usp=drivesdk" TargetMode="External"/><Relationship Id="rId510" Type="http://schemas.openxmlformats.org/officeDocument/2006/relationships/hyperlink" Target="https://drive.google.com/file/d/15T577v3XVklThpo1jT51172PJhJyrh2E/view?usp=drivesdk" TargetMode="External"/><Relationship Id="rId511" Type="http://schemas.openxmlformats.org/officeDocument/2006/relationships/hyperlink" Target="https://drive.google.com/file/d/1q_9tGEUuN52UEnSyCDHejslHCR4gdsKN/view?usp=drivesdk" TargetMode="External"/><Relationship Id="rId512" Type="http://schemas.openxmlformats.org/officeDocument/2006/relationships/hyperlink" Target="https://drive.google.com/file/d/1CY0WunX-QbjGsKtwkab3wQ13sk0J4r_H/view?usp=drivesdk" TargetMode="External"/><Relationship Id="rId513" Type="http://schemas.openxmlformats.org/officeDocument/2006/relationships/hyperlink" Target="https://drive.google.com/file/d/19GH5Or6xHyzxxpuh0Cmpti9rZrTgJyO7/view?usp=drivesdk" TargetMode="External"/><Relationship Id="rId514" Type="http://schemas.openxmlformats.org/officeDocument/2006/relationships/hyperlink" Target="https://drive.google.com/file/d/1ZZqv37BedKAejFEBAcEzVU5JPEETbU_v/view?usp=drivesdk" TargetMode="External"/><Relationship Id="rId515" Type="http://schemas.openxmlformats.org/officeDocument/2006/relationships/hyperlink" Target="https://drive.google.com/file/d/1CxqhqId37RibXopQv9AM5IkR6zeqspNx/view?usp=drivesdk" TargetMode="External"/><Relationship Id="rId516" Type="http://schemas.openxmlformats.org/officeDocument/2006/relationships/hyperlink" Target="https://drive.google.com/file/d/142F4ccrDGwMhtba8Vh3ySOBdpxW5PHrY/view?usp=drivesdk" TargetMode="External"/><Relationship Id="rId517" Type="http://schemas.openxmlformats.org/officeDocument/2006/relationships/hyperlink" Target="https://drive.google.com/file/d/1lTUFmayJGEhsrHtcUKWhwEbTp29CXLo9/view?usp=drivesdk" TargetMode="External"/><Relationship Id="rId518" Type="http://schemas.openxmlformats.org/officeDocument/2006/relationships/hyperlink" Target="https://drive.google.com/file/d/1G-ht4dDh-V2bVGe5frRpxU3Gybvtvwja/view?usp=drivesdk" TargetMode="External"/><Relationship Id="rId519" Type="http://schemas.openxmlformats.org/officeDocument/2006/relationships/hyperlink" Target="https://drive.google.com/file/d/1GZbk0zFAQRg4kzG-ZcEuEkMCHdv_P7U1/view?usp=drivesdk" TargetMode="External"/><Relationship Id="rId520" Type="http://schemas.openxmlformats.org/officeDocument/2006/relationships/hyperlink" Target="https://drive.google.com/file/d/1zBSGUkp5mVFVeB0lCChZA9voUr3yAl-g/view?usp=drivesdk" TargetMode="External"/><Relationship Id="rId521" Type="http://schemas.openxmlformats.org/officeDocument/2006/relationships/hyperlink" Target="https://drive.google.com/file/d/1_JEwHdbeuiK95dqR58xvAs8dMQ0FypZ5/view?usp=drivesdk" TargetMode="External"/><Relationship Id="rId522" Type="http://schemas.openxmlformats.org/officeDocument/2006/relationships/hyperlink" Target="https://drive.google.com/file/d/1hLsyKxocVxYewDQKpmnEqd6zteeQbTsN/view?usp=drivesdk" TargetMode="External"/><Relationship Id="rId523" Type="http://schemas.openxmlformats.org/officeDocument/2006/relationships/hyperlink" Target="https://drive.google.com/file/d/1lvrn3fn4VsqirJRnzJRGakXLJbTWCTNj/view?usp=drivesdk" TargetMode="External"/><Relationship Id="rId524" Type="http://schemas.openxmlformats.org/officeDocument/2006/relationships/hyperlink" Target="https://drive.google.com/file/d/1yNQ_5W8tC_qJDREXXw8yhJi_pvQpfAxX/view?usp=drivesdk" TargetMode="External"/><Relationship Id="rId525" Type="http://schemas.openxmlformats.org/officeDocument/2006/relationships/hyperlink" Target="https://drive.google.com/file/d/1BvqVmAIR_OFDkBkUgBVL4T_0E21j360_/view?usp=drivesdk" TargetMode="External"/><Relationship Id="rId526" Type="http://schemas.openxmlformats.org/officeDocument/2006/relationships/hyperlink" Target="https://drive.google.com/file/d/1ENegCBXnghClPXcThc2djqS__WNUriqa/view?usp=drivesdk" TargetMode="External"/><Relationship Id="rId527" Type="http://schemas.openxmlformats.org/officeDocument/2006/relationships/hyperlink" Target="https://drive.google.com/file/d/1ofYX-fyj_mOwaa8orSsZ112cQCA4Xz5O/view?usp=drivesdk" TargetMode="External"/><Relationship Id="rId528" Type="http://schemas.openxmlformats.org/officeDocument/2006/relationships/hyperlink" Target="https://drive.google.com/file/d/1tnUdjMcpFqq0SBwdDghSS6Y-Zhj-OjZq/view?usp=drivesdk" TargetMode="External"/><Relationship Id="rId529" Type="http://schemas.openxmlformats.org/officeDocument/2006/relationships/hyperlink" Target="https://drive.google.com/file/d/1Anu2cmLML2YAJ5EkD-2IClzU-izmquey/view?usp=drivesdk" TargetMode="External"/><Relationship Id="rId530" Type="http://schemas.openxmlformats.org/officeDocument/2006/relationships/hyperlink" Target="https://drive.google.com/file/d/1HKcWa0TL27IBWpBqrgz26PgeufOLFOz7/view?usp=drivesdk" TargetMode="External"/><Relationship Id="rId531" Type="http://schemas.openxmlformats.org/officeDocument/2006/relationships/hyperlink" Target="https://drive.google.com/file/d/1pBiJusNXDljG6sCEnMx-V1wdaq4pvXna/view?usp=drivesdk" TargetMode="External"/><Relationship Id="rId532" Type="http://schemas.openxmlformats.org/officeDocument/2006/relationships/hyperlink" Target="https://drive.google.com/file/d/1GpNDDgiBtvSXKF8wXJZ6F4dHPvVZ8UGG/view?usp=drivesdk" TargetMode="External"/><Relationship Id="rId533" Type="http://schemas.openxmlformats.org/officeDocument/2006/relationships/hyperlink" Target="https://drive.google.com/file/d/1oo3yMIyHM3M7mHmRKBAZ9ZbwK_iAlfXr/view?usp=drivesdk" TargetMode="External"/><Relationship Id="rId534" Type="http://schemas.openxmlformats.org/officeDocument/2006/relationships/hyperlink" Target="https://drive.google.com/file/d/1MEGmt6uwlBvrqve3enaFZATzx1epyDH4/view?usp=drivesdk" TargetMode="External"/><Relationship Id="rId535" Type="http://schemas.openxmlformats.org/officeDocument/2006/relationships/hyperlink" Target="https://drive.google.com/file/d/1sAJ8QncNpM2fWKlxvCEHHau3-7qeeO9_/view?usp=drivesdk" TargetMode="External"/><Relationship Id="rId536" Type="http://schemas.openxmlformats.org/officeDocument/2006/relationships/hyperlink" Target="https://drive.google.com/file/d/1tV77zcYByuS-xmgSNYaRr-5JqbokkDRZ/view?usp=drivesdk" TargetMode="External"/><Relationship Id="rId537" Type="http://schemas.openxmlformats.org/officeDocument/2006/relationships/hyperlink" Target="https://drive.google.com/file/d/1AFlMIJBYO4g6rXo3fmdZvRYB2_UPP8Xc/view?usp=drivesdk" TargetMode="External"/><Relationship Id="rId538" Type="http://schemas.openxmlformats.org/officeDocument/2006/relationships/hyperlink" Target="https://drive.google.com/file/d/1rFpNl5_YWOIST2OusI9M7-82S9QdIeWs/view?usp=drivesdk" TargetMode="External"/><Relationship Id="rId539" Type="http://schemas.openxmlformats.org/officeDocument/2006/relationships/hyperlink" Target="https://drive.google.com/file/d/1G9g1Z49M45PnD1Bkut9ajFklnzdwDkeE/view?usp=drivesdk" TargetMode="External"/><Relationship Id="rId540" Type="http://schemas.openxmlformats.org/officeDocument/2006/relationships/hyperlink" Target="https://drive.google.com/file/d/1TzZeVmDWu-HwrxuQDrLYQs_zvTxm-YBf/view?usp=drivesdk" TargetMode="External"/><Relationship Id="rId541" Type="http://schemas.openxmlformats.org/officeDocument/2006/relationships/hyperlink" Target="https://drive.google.com/file/d/1NBGONNyA2NzfAvV12eQb1PjjhbiGM1xl/view?usp=drivesdk" TargetMode="External"/><Relationship Id="rId542" Type="http://schemas.openxmlformats.org/officeDocument/2006/relationships/hyperlink" Target="https://drive.google.com/file/d/1U2nWvu-78SAMAm-kQx0aNgFwn5ZDxs3S/view?usp=drivesdk" TargetMode="External"/><Relationship Id="rId543" Type="http://schemas.openxmlformats.org/officeDocument/2006/relationships/hyperlink" Target="https://drive.google.com/file/d/1qaQXLlTX6JgnHxFsciqSVyNsoYOQWZbl/view?usp=drivesdk" TargetMode="External"/><Relationship Id="rId544" Type="http://schemas.openxmlformats.org/officeDocument/2006/relationships/hyperlink" Target="https://drive.google.com/file/d/1oUvgzV2WaooK16hhYt_Wo0Pht590CrT3/view?usp=drivesdk" TargetMode="External"/><Relationship Id="rId545" Type="http://schemas.openxmlformats.org/officeDocument/2006/relationships/hyperlink" Target="https://drive.google.com/file/d/1c9oeSMndih_JXQwob_VxppKunnLZm-A4/view?usp=drivesdk" TargetMode="External"/><Relationship Id="rId546" Type="http://schemas.openxmlformats.org/officeDocument/2006/relationships/hyperlink" Target="https://drive.google.com/file/d/1L10QzOzNge6Xy1tKx_IDIuxYGWULX-gx/view?usp=drivesdk" TargetMode="External"/><Relationship Id="rId547" Type="http://schemas.openxmlformats.org/officeDocument/2006/relationships/hyperlink" Target="https://drive.google.com/file/d/1E_zh5P3MS-HdHKftro1lQETPTG26Z5D6/view?usp=drivesdk" TargetMode="External"/><Relationship Id="rId548" Type="http://schemas.openxmlformats.org/officeDocument/2006/relationships/hyperlink" Target="https://drive.google.com/file/d/1Fww5uPqthqfZSTDQ5zNRV4VXowyiJXn8/view?usp=drivesdk" TargetMode="External"/><Relationship Id="rId549" Type="http://schemas.openxmlformats.org/officeDocument/2006/relationships/hyperlink" Target="https://drive.google.com/file/d/18pRrg1GqOShR85Z1-FB_j9QBGq8Geux8/view?usp=drivesdk" TargetMode="External"/><Relationship Id="rId550" Type="http://schemas.openxmlformats.org/officeDocument/2006/relationships/hyperlink" Target="https://drive.google.com/file/d/1G7UN9ZZO_2f7d_Cs_LATUSI9WfPscfg9/view?usp=drivesdk" TargetMode="External"/><Relationship Id="rId551" Type="http://schemas.openxmlformats.org/officeDocument/2006/relationships/hyperlink" Target="https://drive.google.com/file/d/1ec_jkdIpQ9e3BL-V2VkUle7WAIgDX_ra/view?usp=drivesdk" TargetMode="External"/><Relationship Id="rId552" Type="http://schemas.openxmlformats.org/officeDocument/2006/relationships/hyperlink" Target="https://drive.google.com/file/d/1ksTywo8n2zcJ0T9JAb1Km6GeEt6Fl6CD/view?usp=drivesdk" TargetMode="External"/><Relationship Id="rId553" Type="http://schemas.openxmlformats.org/officeDocument/2006/relationships/hyperlink" Target="https://drive.google.com/file/d/1gW4gwk7BJZaM6tz1INqyloCjDKCNdukm/view?usp=drivesdk" TargetMode="External"/><Relationship Id="rId554" Type="http://schemas.openxmlformats.org/officeDocument/2006/relationships/hyperlink" Target="https://drive.google.com/file/d/1NXvIXsV5PrCjzsIjvDFNOJCCuumM01u3/view?usp=drivesdk" TargetMode="External"/><Relationship Id="rId555" Type="http://schemas.openxmlformats.org/officeDocument/2006/relationships/hyperlink" Target="https://drive.google.com/file/d/1LJhdYVR-nyUCVgoH72NHqytcE6VM3xt4/view?usp=drivesdk" TargetMode="External"/><Relationship Id="rId556" Type="http://schemas.openxmlformats.org/officeDocument/2006/relationships/hyperlink" Target="https://drive.google.com/file/d/10gFJzRV6R9HW8OVHV-8FMuAksbENXKxA/view?usp=drivesdk" TargetMode="External"/><Relationship Id="rId557" Type="http://schemas.openxmlformats.org/officeDocument/2006/relationships/hyperlink" Target="https://drive.google.com/file/d/1JHeTkDL0Qm_gZxQm5NA6FcWus-E5a8tB/view?usp=drivesdk" TargetMode="External"/><Relationship Id="rId558" Type="http://schemas.openxmlformats.org/officeDocument/2006/relationships/hyperlink" Target="https://drive.google.com/file/d/1UsE_Qq1ZlKVBq_37jKbrg8m0BrgdECUl/view?usp=drivesdk" TargetMode="External"/><Relationship Id="rId559" Type="http://schemas.openxmlformats.org/officeDocument/2006/relationships/hyperlink" Target="https://drive.google.com/file/d/1CYpNvucVLodWkelQeQi8rhojXemesVtC/view?usp=drivesdk" TargetMode="External"/><Relationship Id="rId560" Type="http://schemas.openxmlformats.org/officeDocument/2006/relationships/hyperlink" Target="https://drive.google.com/file/d/13ZeicHQuon1N6sIj18433Hkdo8X-Idhp/view?usp=drivesdk" TargetMode="External"/><Relationship Id="rId561" Type="http://schemas.openxmlformats.org/officeDocument/2006/relationships/hyperlink" Target="https://drive.google.com/file/d/1csaRdIJpiHDh2GbQzW8PMg3Wtb4m4a_w/view?usp=drivesdk" TargetMode="External"/><Relationship Id="rId562" Type="http://schemas.openxmlformats.org/officeDocument/2006/relationships/hyperlink" Target="https://drive.google.com/file/d/12Ss0UNZUWIjjzaETWHvYhE3rGGaoHrAi/view?usp=drivesdk" TargetMode="External"/><Relationship Id="rId563" Type="http://schemas.openxmlformats.org/officeDocument/2006/relationships/hyperlink" Target="https://drive.google.com/file/d/11R_n2HBcPj0LcbikS0Y4Px83_lNvHnTk/view?usp=drivesdk" TargetMode="External"/><Relationship Id="rId564" Type="http://schemas.openxmlformats.org/officeDocument/2006/relationships/hyperlink" Target="https://drive.google.com/file/d/1pcVKYrGnT7ujQa7QQfG46d8Vo0u5Utpk/view?usp=drivesdk" TargetMode="External"/><Relationship Id="rId565" Type="http://schemas.openxmlformats.org/officeDocument/2006/relationships/hyperlink" Target="https://drive.google.com/file/d/19V3tMU9A3gd_Gr339NSAXG8d1PM1Vjad/view?usp=drivesdk" TargetMode="External"/><Relationship Id="rId566" Type="http://schemas.openxmlformats.org/officeDocument/2006/relationships/hyperlink" Target="https://drive.google.com/file/d/13MCPLBX0-q5WWlGD5pvJu878mzk7PtGE/view?usp=drivesdk" TargetMode="External"/><Relationship Id="rId567" Type="http://schemas.openxmlformats.org/officeDocument/2006/relationships/hyperlink" Target="https://drive.google.com/file/d/1y7bGkCJUde39iZxpCSCETN5lNWb3hXDc/view?usp=drivesdk" TargetMode="External"/><Relationship Id="rId568" Type="http://schemas.openxmlformats.org/officeDocument/2006/relationships/hyperlink" Target="https://drive.google.com/file/d/1ZwtJ5BA-Uv6fykIDa4GszHV9pST4T-d0/view?usp=drivesdk" TargetMode="External"/><Relationship Id="rId569" Type="http://schemas.openxmlformats.org/officeDocument/2006/relationships/hyperlink" Target="https://drive.google.com/file/d/1OdOTtdytqUwVpuJOy3P1ZwzpK01_gUFr/view?usp=drivesdk" TargetMode="External"/><Relationship Id="rId570" Type="http://schemas.openxmlformats.org/officeDocument/2006/relationships/hyperlink" Target="https://drive.google.com/file/d/1niiY-3tAQmCYu5b1kMlP7szexj8EG9D3/view?usp=drivesdk" TargetMode="External"/><Relationship Id="rId571" Type="http://schemas.openxmlformats.org/officeDocument/2006/relationships/hyperlink" Target="https://drive.google.com/file/d/1Ww0XK-pY_Mx2OC7GR-Z-G4BXIbE0pCli/view?usp=drivesdk" TargetMode="External"/><Relationship Id="rId572" Type="http://schemas.openxmlformats.org/officeDocument/2006/relationships/hyperlink" Target="https://drive.google.com/file/d/1lv3RkVT8KeYWVEntQFVcwsk8FK1cq2dC/view?usp=drivesdk" TargetMode="External"/><Relationship Id="rId573" Type="http://schemas.openxmlformats.org/officeDocument/2006/relationships/hyperlink" Target="https://drive.google.com/file/d/1AMet25YLsOSk8OH81qo2waET4Q3SqP8M/view?usp=drivesdk" TargetMode="External"/><Relationship Id="rId574" Type="http://schemas.openxmlformats.org/officeDocument/2006/relationships/hyperlink" Target="https://drive.google.com/file/d/1lZfumh3SjSmOWdFGzCrMP5pwB5Lwa4lD/view?usp=drivesdk" TargetMode="External"/><Relationship Id="rId575" Type="http://schemas.openxmlformats.org/officeDocument/2006/relationships/hyperlink" Target="https://drive.google.com/file/d/1wlK9XnKfmnuIVPp4uVMmTiDs3P9lWzLS/view?usp=drivesdk" TargetMode="External"/><Relationship Id="rId576" Type="http://schemas.openxmlformats.org/officeDocument/2006/relationships/hyperlink" Target="https://drive.google.com/file/d/1gNne1z92E8lpjUxk4ur8Wqfee0qr5l_W/view?usp=drivesdk" TargetMode="External"/><Relationship Id="rId577" Type="http://schemas.openxmlformats.org/officeDocument/2006/relationships/hyperlink" Target="https://drive.google.com/file/d/1FCuoQio0GLpofPktV1ByV1wIf3z0uazb/view?usp=drivesdk" TargetMode="External"/><Relationship Id="rId578" Type="http://schemas.openxmlformats.org/officeDocument/2006/relationships/hyperlink" Target="https://drive.google.com/file/d/1qo8kMYWi5p3jUUEu8Z7XtlDtuHR3ap5K/view?usp=drivesdk" TargetMode="External"/><Relationship Id="rId579" Type="http://schemas.openxmlformats.org/officeDocument/2006/relationships/hyperlink" Target="https://drive.google.com/file/d/1BTZPVlOKb6kDgUfeirEt9Q1pHvsf_4TH/view?usp=drivesdk" TargetMode="External"/><Relationship Id="rId580" Type="http://schemas.openxmlformats.org/officeDocument/2006/relationships/hyperlink" Target="https://drive.google.com/file/d/1HluCkFQ6f1Ya5O-U7y-BeIwiCo1NHKDZ/view?usp=drivesdk" TargetMode="External"/><Relationship Id="rId581" Type="http://schemas.openxmlformats.org/officeDocument/2006/relationships/hyperlink" Target="https://drive.google.com/file/d/14wOlcrZgQn22ixCCCMSHHYbH1Sxc_E8E/view?usp=drivesdk" TargetMode="External"/><Relationship Id="rId582" Type="http://schemas.openxmlformats.org/officeDocument/2006/relationships/hyperlink" Target="https://drive.google.com/file/d/1kYH3VEUdMg8CKdnPmMAv7c7cmHQK6jMf/view?usp=drivesdk" TargetMode="External"/><Relationship Id="rId583" Type="http://schemas.openxmlformats.org/officeDocument/2006/relationships/hyperlink" Target="https://drive.google.com/file/d/1z3kye5qxljHLcSV1UYnz5WIqvaih6t5x/view?usp=drivesdk" TargetMode="External"/><Relationship Id="rId584" Type="http://schemas.openxmlformats.org/officeDocument/2006/relationships/hyperlink" Target="https://drive.google.com/file/d/1Cc5i8lRznC05gFyEYwWuAKbdg7CtNKRJ/view?usp=drivesdk" TargetMode="External"/><Relationship Id="rId585" Type="http://schemas.openxmlformats.org/officeDocument/2006/relationships/hyperlink" Target="https://drive.google.com/file/d/1cDe-X5SgQbz5s57mHDG-YMYop1mEFwsu/view?usp=drivesdk" TargetMode="External"/><Relationship Id="rId586" Type="http://schemas.openxmlformats.org/officeDocument/2006/relationships/hyperlink" Target="https://drive.google.com/file/d/199yUztWUCmTRUSjiOzACA5jqWg-k2efR/view?usp=drivesdk" TargetMode="External"/><Relationship Id="rId587" Type="http://schemas.openxmlformats.org/officeDocument/2006/relationships/hyperlink" Target="https://drive.google.com/file/d/1qhUNeFhj_q1PN3RfvxsHkSoHuBOz-X1O/view?usp=drivesdk" TargetMode="External"/><Relationship Id="rId588" Type="http://schemas.openxmlformats.org/officeDocument/2006/relationships/hyperlink" Target="https://drive.google.com/file/d/1zDG2N6Pwd1n4m5kA_sjBWn_Aq9Tzzwcn/view?usp=drivesdk" TargetMode="External"/><Relationship Id="rId589" Type="http://schemas.openxmlformats.org/officeDocument/2006/relationships/hyperlink" Target="https://drive.google.com/file/d/1lsd_Bse9Cxg6YhQeOVsPZjcQ6IbPcYhy/view?usp=drivesdk" TargetMode="External"/><Relationship Id="rId590" Type="http://schemas.openxmlformats.org/officeDocument/2006/relationships/hyperlink" Target="https://drive.google.com/file/d/1BNKOyAlA7KsJW1zcarKihQvaggPMZG3W/view?usp=drivesdk" TargetMode="External"/><Relationship Id="rId591" Type="http://schemas.openxmlformats.org/officeDocument/2006/relationships/hyperlink" Target="https://drive.google.com/file/d/1S8dfUWaKsot4ZCXz-Ksaftg-9tMSYxu7/view?usp=drivesdk" TargetMode="External"/><Relationship Id="rId592" Type="http://schemas.openxmlformats.org/officeDocument/2006/relationships/hyperlink" Target="https://drive.google.com/file/d/1fTNCn9SHphJgqWTyoI1rL5oo2D3Xk5NE/view?usp=drivesdk" TargetMode="External"/><Relationship Id="rId593" Type="http://schemas.openxmlformats.org/officeDocument/2006/relationships/hyperlink" Target="https://drive.google.com/file/d/17BHL2YYjEyzwov6rB3lNlsHelCdaCYE4/view?usp=drivesdk" TargetMode="External"/><Relationship Id="rId594" Type="http://schemas.openxmlformats.org/officeDocument/2006/relationships/hyperlink" Target="https://drive.google.com/file/d/1DmO8ms8AVbW_EkYLfVyV9FBtmwa-HPCN/view?usp=drivesdk" TargetMode="External"/><Relationship Id="rId595" Type="http://schemas.openxmlformats.org/officeDocument/2006/relationships/hyperlink" Target="https://drive.google.com/file/d/1eUWjABPKrWxmwiB2Ud5LKsNgoROj1cPE/view?usp=drivesdk" TargetMode="External"/><Relationship Id="rId596" Type="http://schemas.openxmlformats.org/officeDocument/2006/relationships/hyperlink" Target="https://drive.google.com/file/d/1AKuJQ2Zv7fLSAbUfxZqtMotkga8OqYAP/view?usp=drivesdk" TargetMode="External"/><Relationship Id="rId597" Type="http://schemas.openxmlformats.org/officeDocument/2006/relationships/hyperlink" Target="https://drive.google.com/file/d/1cqJ-drvLnJivgGG-8c5WMLMQxCEVTTmn/view?usp=drivesdk" TargetMode="External"/><Relationship Id="rId598" Type="http://schemas.openxmlformats.org/officeDocument/2006/relationships/hyperlink" Target="https://drive.google.com/file/d/1uOu-aCOuv9yuvES7MvK_qn2z_zmIvWs6/view?usp=drivesdk" TargetMode="External"/><Relationship Id="rId599" Type="http://schemas.openxmlformats.org/officeDocument/2006/relationships/hyperlink" Target="https://drive.google.com/file/d/1bMtc-eGsZMujyobvub6oEFnOxOy8s1fr/view?usp=drivesdk" TargetMode="External"/><Relationship Id="rId600" Type="http://schemas.openxmlformats.org/officeDocument/2006/relationships/hyperlink" Target="https://drive.google.com/file/d/1UIfIlNb1PigCYgVPite_zWXMxST_cXRD/view?usp=drivesdk" TargetMode="External"/><Relationship Id="rId601" Type="http://schemas.openxmlformats.org/officeDocument/2006/relationships/hyperlink" Target="https://drive.google.com/file/d/121pFvuGAr-8BiPysJ-UW7e4Hxwr9hZcC/view?usp=drivesdk" TargetMode="External"/><Relationship Id="rId602" Type="http://schemas.openxmlformats.org/officeDocument/2006/relationships/hyperlink" Target="https://drive.google.com/file/d/1xX7-g7m9ZtbI7DzNUba9_LyeBDPiiAuC/view?usp=drivesdk" TargetMode="External"/><Relationship Id="rId603" Type="http://schemas.openxmlformats.org/officeDocument/2006/relationships/hyperlink" Target="https://drive.google.com/file/d/1JEYKlbe6O4hGchmP8Udj90unmGQ5dlBa/view?usp=drivesdk" TargetMode="External"/><Relationship Id="rId604" Type="http://schemas.openxmlformats.org/officeDocument/2006/relationships/hyperlink" Target="https://drive.google.com/file/d/1zuv9cmf53_Y0my3dsdFbFPtTXL_9MrkA/view?usp=drivesdk" TargetMode="External"/><Relationship Id="rId605" Type="http://schemas.openxmlformats.org/officeDocument/2006/relationships/hyperlink" Target="https://drive.google.com/file/d/17wkhrgBMk6n3A-EUHJd2KXbEqMkwk8th/view?usp=drivesdk" TargetMode="External"/><Relationship Id="rId606" Type="http://schemas.openxmlformats.org/officeDocument/2006/relationships/hyperlink" Target="https://drive.google.com/file/d/19ZDTKMwm84E-Zyo_j7teDI8pOOxwcu4a/view?usp=drivesdk" TargetMode="External"/><Relationship Id="rId607" Type="http://schemas.openxmlformats.org/officeDocument/2006/relationships/hyperlink" Target="https://drive.google.com/file/d/194z6pvKS1XyFV71k-lj-V2CZ41m44eOs/view?usp=drivesdk" TargetMode="External"/><Relationship Id="rId608" Type="http://schemas.openxmlformats.org/officeDocument/2006/relationships/hyperlink" Target="https://drive.google.com/file/d/1RpfBe0AgAGaWxsJ3io5zZOBSKSGSoBiv/view?usp=drivesdk" TargetMode="External"/><Relationship Id="rId609" Type="http://schemas.openxmlformats.org/officeDocument/2006/relationships/hyperlink" Target="https://drive.google.com/file/d/18i9n1Bjd2b_Yl2j41UBBzdB17F1uSO3V/view?usp=drivesdk" TargetMode="External"/><Relationship Id="rId610" Type="http://schemas.openxmlformats.org/officeDocument/2006/relationships/hyperlink" Target="https://drive.google.com/file/d/1HlvZupRd1gi2oYd_9Fq46CfWXyZUd1CZ/view?usp=drivesdk" TargetMode="External"/><Relationship Id="rId611" Type="http://schemas.openxmlformats.org/officeDocument/2006/relationships/hyperlink" Target="https://drive.google.com/file/d/1FjN6f1D_JWG2ouNmxi_ZnGwg8FHjfuic/view?usp=drivesdk" TargetMode="External"/><Relationship Id="rId612" Type="http://schemas.openxmlformats.org/officeDocument/2006/relationships/hyperlink" Target="https://drive.google.com/file/d/1efAOZVOIoP5AoaCcTfjJXlgmB8bmkGtP/view?usp=drivesdk" TargetMode="External"/><Relationship Id="rId613" Type="http://schemas.openxmlformats.org/officeDocument/2006/relationships/hyperlink" Target="https://drive.google.com/file/d/1ufjJXAtXkJoMyB47Bo-xSNylUcpU3vHA/view?usp=drivesdk" TargetMode="External"/><Relationship Id="rId614" Type="http://schemas.openxmlformats.org/officeDocument/2006/relationships/hyperlink" Target="https://drive.google.com/file/d/1p96EXE1Fw7pxpAGDQF9w8IpcTErA1lD9/view?usp=drivesdk" TargetMode="External"/><Relationship Id="rId615" Type="http://schemas.openxmlformats.org/officeDocument/2006/relationships/hyperlink" Target="https://drive.google.com/file/d/1zhOKGxzKHdFFhR1BwOIPxo6PX5GClYki/view?usp=drivesdk" TargetMode="External"/><Relationship Id="rId616" Type="http://schemas.openxmlformats.org/officeDocument/2006/relationships/hyperlink" Target="https://drive.google.com/file/d/1fP6kERGX8w6PYkuogF7ftpoWghLtA1DX/view?usp=drivesdk" TargetMode="External"/><Relationship Id="rId617" Type="http://schemas.openxmlformats.org/officeDocument/2006/relationships/hyperlink" Target="https://drive.google.com/file/d/1zGUrNI7X_0S9JiSEMuFNEZ7gFOYq_Vi4/view?usp=drivesdk" TargetMode="External"/><Relationship Id="rId618" Type="http://schemas.openxmlformats.org/officeDocument/2006/relationships/hyperlink" Target="https://drive.google.com/file/d/17LaEYN4Yp_HhQnZSUy7GDiIFnim7MPl1/view?usp=drivesdk" TargetMode="External"/><Relationship Id="rId619" Type="http://schemas.openxmlformats.org/officeDocument/2006/relationships/hyperlink" Target="https://drive.google.com/file/d/1UUYwVD-xHF7SdBOm3BPxuJEL_O3xlK12/view?usp=drivesdk" TargetMode="External"/><Relationship Id="rId620" Type="http://schemas.openxmlformats.org/officeDocument/2006/relationships/hyperlink" Target="https://drive.google.com/file/d/14OUOmyexRMD3V2WZ7wG3EJMiXtdCcITY/view?usp=drivesdk" TargetMode="External"/><Relationship Id="rId621" Type="http://schemas.openxmlformats.org/officeDocument/2006/relationships/hyperlink" Target="https://drive.google.com/file/d/1XAfmKdF6St59fZ3ojief1f4ECFofa9v3/view?usp=drivesdk" TargetMode="External"/><Relationship Id="rId622" Type="http://schemas.openxmlformats.org/officeDocument/2006/relationships/hyperlink" Target="https://drive.google.com/file/d/1_KFMOBKaEW9NT6z2PC0y2r1DBpVcP4pc/view?usp=drivesdk" TargetMode="External"/><Relationship Id="rId623" Type="http://schemas.openxmlformats.org/officeDocument/2006/relationships/hyperlink" Target="https://drive.google.com/file/d/1mztbH_3cig2TQq0MkVLY8t_XaQcAwFPE/view?usp=drivesdk" TargetMode="External"/><Relationship Id="rId624" Type="http://schemas.openxmlformats.org/officeDocument/2006/relationships/hyperlink" Target="https://drive.google.com/file/d/14jb36yZrhclSP6EPSgX4zLOJrm5LJ-CE/view?usp=drivesdk" TargetMode="External"/><Relationship Id="rId625" Type="http://schemas.openxmlformats.org/officeDocument/2006/relationships/hyperlink" Target="https://drive.google.com/file/d/14d2_-mSy8lTOghqylynbWdKnOyoq2AbP/view?usp=drivesdk" TargetMode="External"/><Relationship Id="rId626" Type="http://schemas.openxmlformats.org/officeDocument/2006/relationships/hyperlink" Target="https://drive.google.com/file/d/1_6DB6A3PIlNRkvY-DqjpDrP3_fdL37hy/view?usp=drivesdk" TargetMode="External"/><Relationship Id="rId627" Type="http://schemas.openxmlformats.org/officeDocument/2006/relationships/hyperlink" Target="https://drive.google.com/file/d/1FUBQuWZscoNYhtfws9iCtAVVTfOHboRQ/view?usp=drivesdk" TargetMode="External"/><Relationship Id="rId628" Type="http://schemas.openxmlformats.org/officeDocument/2006/relationships/hyperlink" Target="https://drive.google.com/file/d/1fqWJS75yIgX0I1NBivn8bZbW4ZjUdqfF/view?usp=drivesdk" TargetMode="External"/><Relationship Id="rId629" Type="http://schemas.openxmlformats.org/officeDocument/2006/relationships/hyperlink" Target="https://drive.google.com/file/d/1DCYfCh4JCfFFKwY_9ASzuFrLJYNpkpUC/view?usp=drivesdk" TargetMode="External"/><Relationship Id="rId630" Type="http://schemas.openxmlformats.org/officeDocument/2006/relationships/hyperlink" Target="https://drive.google.com/file/d/1SxTbK3ZSLm9oE3iKeefY0_XaS0_RnpFp/view?usp=drivesdk" TargetMode="External"/><Relationship Id="rId631" Type="http://schemas.openxmlformats.org/officeDocument/2006/relationships/hyperlink" Target="https://drive.google.com/file/d/1-wZsLKoW9MRAIhzQw3z6i7cbG1ivxy1o/view?usp=drivesdk" TargetMode="External"/><Relationship Id="rId632" Type="http://schemas.openxmlformats.org/officeDocument/2006/relationships/hyperlink" Target="https://drive.google.com/file/d/1_YL8ltY1wcv0TkHBJzZnBQw8zs85ZwRF/view?usp=drivesdk" TargetMode="External"/><Relationship Id="rId633" Type="http://schemas.openxmlformats.org/officeDocument/2006/relationships/hyperlink" Target="https://drive.google.com/file/d/1tCfknQPK1YHcRraIllLe-0tCMT9kKYmm/view?usp=drivesdk" TargetMode="External"/><Relationship Id="rId634" Type="http://schemas.openxmlformats.org/officeDocument/2006/relationships/hyperlink" Target="https://drive.google.com/file/d/1odX6sXYcwp5KDmyo-l1ozp_QGsIfRhNa/view?usp=drivesdk" TargetMode="External"/><Relationship Id="rId635" Type="http://schemas.openxmlformats.org/officeDocument/2006/relationships/hyperlink" Target="https://drive.google.com/file/d/196lycX2TjsMdZbXQjoZSNowRM_t-gRC9/view?usp=drivesdk" TargetMode="External"/><Relationship Id="rId636" Type="http://schemas.openxmlformats.org/officeDocument/2006/relationships/hyperlink" Target="https://drive.google.com/file/d/1CUtZg1AD0vJsZ6IGbhtiXaqQb0kgt9ee/view?usp=drivesdk" TargetMode="External"/><Relationship Id="rId637" Type="http://schemas.openxmlformats.org/officeDocument/2006/relationships/hyperlink" Target="https://drive.google.com/file/d/18uvTTOyy7uXV1hLdF731ErngHOIZNt8t/view?usp=drivesdk" TargetMode="External"/><Relationship Id="rId638" Type="http://schemas.openxmlformats.org/officeDocument/2006/relationships/hyperlink" Target="https://drive.google.com/file/d/1GA7zaWyf90aop2K571weqASOKZVKzjWO/view?usp=drivesdk" TargetMode="External"/><Relationship Id="rId639" Type="http://schemas.openxmlformats.org/officeDocument/2006/relationships/hyperlink" Target="https://drive.google.com/file/d/1dI29wxluGoEXdxyVjhWKipJIaC7EYhGG/view?usp=drivesdk" TargetMode="External"/><Relationship Id="rId640" Type="http://schemas.openxmlformats.org/officeDocument/2006/relationships/hyperlink" Target="https://drive.google.com/file/d/1xk1Gm-la_IKM3Fv5BZ7tp44BpzUg___F/view?usp=drivesdk" TargetMode="External"/><Relationship Id="rId641" Type="http://schemas.openxmlformats.org/officeDocument/2006/relationships/hyperlink" Target="https://drive.google.com/file/d/1zMxNUkfAxEwLFvpgYgI7dmosi8nawboW/view?usp=drivesdk" TargetMode="External"/><Relationship Id="rId642" Type="http://schemas.openxmlformats.org/officeDocument/2006/relationships/hyperlink" Target="https://drive.google.com/file/d/1sm2iBqaonoJY0denDzJ31naDf3H3DSk0/view?usp=drivesdk" TargetMode="External"/><Relationship Id="rId643" Type="http://schemas.openxmlformats.org/officeDocument/2006/relationships/hyperlink" Target="https://drive.google.com/file/d/1vRD3Uek_KspdzoI2Bf8zfVbaQLjjvlD_/view?usp=drivesdk" TargetMode="External"/><Relationship Id="rId644" Type="http://schemas.openxmlformats.org/officeDocument/2006/relationships/hyperlink" Target="https://drive.google.com/file/d/14LyB5PNBZqLa-HFKhKHlBEE3Zg18DM2d/view?usp=drivesdk" TargetMode="External"/><Relationship Id="rId645" Type="http://schemas.openxmlformats.org/officeDocument/2006/relationships/hyperlink" Target="https://drive.google.com/file/d/14-NZvDar8h9DcIQmLXCUL7x2Pvi1qDLZ/view?usp=drivesdk" TargetMode="External"/><Relationship Id="rId646" Type="http://schemas.openxmlformats.org/officeDocument/2006/relationships/hyperlink" Target="https://drive.google.com/file/d/1NZDjqPR0KIkZS2GV_0n4wluoEBhv8_6u/view?usp=drivesdk" TargetMode="External"/><Relationship Id="rId647" Type="http://schemas.openxmlformats.org/officeDocument/2006/relationships/hyperlink" Target="https://drive.google.com/file/d/1hujaeRW2QsVHN6K0iYaVFCXgvatwt3EF/view?usp=drivesdk" TargetMode="External"/><Relationship Id="rId648" Type="http://schemas.openxmlformats.org/officeDocument/2006/relationships/hyperlink" Target="https://drive.google.com/file/d/1XeI4vfrbTXrz27dgIIzol-obQ-zU1dKN/view?usp=drivesdk" TargetMode="External"/><Relationship Id="rId649" Type="http://schemas.openxmlformats.org/officeDocument/2006/relationships/hyperlink" Target="https://drive.google.com/file/d/1uDK2D77MDI1ppgGYxdc-YAYq34FWCv2-/view?usp=drivesdk" TargetMode="External"/><Relationship Id="rId650" Type="http://schemas.openxmlformats.org/officeDocument/2006/relationships/hyperlink" Target="https://drive.google.com/file/d/15k9G4xx-3FqQRoLiXahhW_SfBM71Kmuf/view?usp=drivesdk" TargetMode="External"/><Relationship Id="rId651" Type="http://schemas.openxmlformats.org/officeDocument/2006/relationships/hyperlink" Target="https://drive.google.com/file/d/1JsWpEpLwEHsIgFT30QNw6G_FAm9_6Ycq/view?usp=drivesdk" TargetMode="External"/><Relationship Id="rId652" Type="http://schemas.openxmlformats.org/officeDocument/2006/relationships/hyperlink" Target="https://drive.google.com/file/d/12Nrbhaj4Y1EsnYRMkzqbCi4pefYFRZ4T/view?usp=drivesdk" TargetMode="External"/><Relationship Id="rId653" Type="http://schemas.openxmlformats.org/officeDocument/2006/relationships/hyperlink" Target="https://drive.google.com/file/d/1DVUGZYey6sXN3SjjzJ6XMb6SDzDClZM_/view?usp=drivesdk" TargetMode="External"/><Relationship Id="rId654" Type="http://schemas.openxmlformats.org/officeDocument/2006/relationships/hyperlink" Target="https://drive.google.com/file/d/1f0gKh27jRcQdzxlvDDbLISqnRkXLjzwu/view?usp=drivesdk" TargetMode="External"/><Relationship Id="rId655" Type="http://schemas.openxmlformats.org/officeDocument/2006/relationships/hyperlink" Target="https://drive.google.com/file/d/1hZi-qvrSNCVbJLlW6jjqKptzwzcdtfjU/view?usp=drivesdk" TargetMode="External"/><Relationship Id="rId656" Type="http://schemas.openxmlformats.org/officeDocument/2006/relationships/hyperlink" Target="https://drive.google.com/file/d/1KFhZ6nSlVlgzK3r9aQBRAzBxQPraGaMv/view?usp=drivesdk" TargetMode="External"/><Relationship Id="rId657" Type="http://schemas.openxmlformats.org/officeDocument/2006/relationships/hyperlink" Target="https://drive.google.com/file/d/1c43uM9DBxkgeipPy3RSKsumICMzwNwgA/view?usp=drivesdk" TargetMode="External"/><Relationship Id="rId658" Type="http://schemas.openxmlformats.org/officeDocument/2006/relationships/hyperlink" Target="https://drive.google.com/file/d/1yHjewCat100BKGReM3Pf7K2hDLKq2moo/view?usp=drivesdk" TargetMode="External"/><Relationship Id="rId659" Type="http://schemas.openxmlformats.org/officeDocument/2006/relationships/hyperlink" Target="https://drive.google.com/file/d/1449VNBl8sHF6lRawh98Gp_SFHEdofMCF/view?usp=drivesdk" TargetMode="External"/><Relationship Id="rId660" Type="http://schemas.openxmlformats.org/officeDocument/2006/relationships/hyperlink" Target="https://drive.google.com/file/d/1aO6Q3nhZXi5iduLo-jS6OXr-WSbZz3A6/view?usp=drivesdk" TargetMode="External"/><Relationship Id="rId661" Type="http://schemas.openxmlformats.org/officeDocument/2006/relationships/hyperlink" Target="https://drive.google.com/file/d/1u2_6h8LoEotYs0qTjJCl2d8ZMvZDANam/view?usp=drivesdk" TargetMode="External"/><Relationship Id="rId662" Type="http://schemas.openxmlformats.org/officeDocument/2006/relationships/hyperlink" Target="https://drive.google.com/file/d/1PIu9cT6toC-fpfVI8sgcEFcbDi7beRAL/view?usp=drivesdk" TargetMode="External"/><Relationship Id="rId663" Type="http://schemas.openxmlformats.org/officeDocument/2006/relationships/hyperlink" Target="https://drive.google.com/file/d/1E06t8SBOrg27cOQYif_2NNa7C4QXgCDE/view?usp=drivesdk" TargetMode="External"/><Relationship Id="rId664" Type="http://schemas.openxmlformats.org/officeDocument/2006/relationships/hyperlink" Target="https://drive.google.com/file/d/1vw0R4DsUyS2cwdNaLqGt0BO1KpO3pzXF/view?usp=drivesdk" TargetMode="External"/><Relationship Id="rId665" Type="http://schemas.openxmlformats.org/officeDocument/2006/relationships/hyperlink" Target="https://drive.google.com/file/d/1kCy8vPU_66qkv-DKGuKuneXK95ISDAu4/view?usp=drivesdk" TargetMode="External"/><Relationship Id="rId666" Type="http://schemas.openxmlformats.org/officeDocument/2006/relationships/hyperlink" Target="https://drive.google.com/file/d/1X9UfJYQi91XliSdKVU9MHf8Pko-PkPkJ/view?usp=drivesdk" TargetMode="External"/><Relationship Id="rId667" Type="http://schemas.openxmlformats.org/officeDocument/2006/relationships/hyperlink" Target="https://drive.google.com/file/d/1C2W5uI5-fhxOEgDM0d5WF_jT3VY5xCLd/view?usp=drivesdk" TargetMode="External"/><Relationship Id="rId668" Type="http://schemas.openxmlformats.org/officeDocument/2006/relationships/hyperlink" Target="https://drive.google.com/file/d/1FMbhYcyrW23gj6i7F2n-EOR6ennBQKv7/view?usp=drivesdk" TargetMode="External"/><Relationship Id="rId669" Type="http://schemas.openxmlformats.org/officeDocument/2006/relationships/hyperlink" Target="https://drive.google.com/file/d/1stx8PREUG7B6TOLj359VF53-Po12_qYQ/view?usp=drivesdk" TargetMode="External"/><Relationship Id="rId670" Type="http://schemas.openxmlformats.org/officeDocument/2006/relationships/hyperlink" Target="https://drive.google.com/file/d/1smpC0ZWYGWUZdqAY-4gZkf5wRQRVlZa5/view?usp=drivesdk" TargetMode="External"/><Relationship Id="rId671" Type="http://schemas.openxmlformats.org/officeDocument/2006/relationships/hyperlink" Target="https://drive.google.com/file/d/1iAnf-puddszOT8KZz2ZkWfeJw30geL-K/view?usp=drivesdk" TargetMode="External"/><Relationship Id="rId672" Type="http://schemas.openxmlformats.org/officeDocument/2006/relationships/hyperlink" Target="https://drive.google.com/file/d/13fvgVg9DZgATYxE9lEl6WRpDvclLF5yy/view?usp=drivesdk" TargetMode="External"/><Relationship Id="rId673" Type="http://schemas.openxmlformats.org/officeDocument/2006/relationships/hyperlink" Target="https://drive.google.com/file/d/1ReD91EgIYpbNqEb30szeHmOLi0WwWQ5-/view?usp=drivesdk" TargetMode="External"/><Relationship Id="rId674" Type="http://schemas.openxmlformats.org/officeDocument/2006/relationships/hyperlink" Target="https://drive.google.com/file/d/1rk7iU1FFgdDhrGMRUTq1J5bSwq_fjEKl/view?usp=drivesdk" TargetMode="External"/><Relationship Id="rId675" Type="http://schemas.openxmlformats.org/officeDocument/2006/relationships/hyperlink" Target="https://drive.google.com/file/d/15sRmmZKHtmE4v-u2xB1uHLolW0Y8p-ZT/view?usp=drivesdk" TargetMode="External"/><Relationship Id="rId676" Type="http://schemas.openxmlformats.org/officeDocument/2006/relationships/hyperlink" Target="https://drive.google.com/file/d/1YMmanCG5X_L45n35HZL_tE63V9Ydchvq/view?usp=drivesdk" TargetMode="External"/><Relationship Id="rId677" Type="http://schemas.openxmlformats.org/officeDocument/2006/relationships/hyperlink" Target="https://drive.google.com/file/d/1V0G6sQj-exkDPaNKPaG0-lQxLyG8TITT/view?usp=drivesdk" TargetMode="External"/><Relationship Id="rId678" Type="http://schemas.openxmlformats.org/officeDocument/2006/relationships/hyperlink" Target="https://drive.google.com/file/d/1CXJFoKlSyGs46yRtJQlFl9-FMq85Haoj/view?usp=drivesdk" TargetMode="External"/><Relationship Id="rId679" Type="http://schemas.openxmlformats.org/officeDocument/2006/relationships/hyperlink" Target="https://drive.google.com/file/d/1cVVT7jOs5kBISMs5Z1HWqCkHr91aIsms/view?usp=drivesdk" TargetMode="External"/><Relationship Id="rId680" Type="http://schemas.openxmlformats.org/officeDocument/2006/relationships/hyperlink" Target="https://drive.google.com/file/d/1Hk36Hm8vCgH0-ZF81BBCmhUBOJ63eSJK/view?usp=drivesdk" TargetMode="External"/><Relationship Id="rId681" Type="http://schemas.openxmlformats.org/officeDocument/2006/relationships/hyperlink" Target="https://drive.google.com/file/d/1oqjb62C8K19vVPwEy7P3-Ao-e0xrGEAf/view?usp=drivesdk" TargetMode="External"/><Relationship Id="rId682" Type="http://schemas.openxmlformats.org/officeDocument/2006/relationships/hyperlink" Target="https://drive.google.com/file/d/1R0nYF38IlJ6DIFm0BykLH6NRXq_GxKC1/view?usp=drivesdk" TargetMode="External"/><Relationship Id="rId683" Type="http://schemas.openxmlformats.org/officeDocument/2006/relationships/hyperlink" Target="https://drive.google.com/file/d/1svjbI7eQ8fe8sx4PLeNUulvV2-urdYaQ/view?usp=drivesdk" TargetMode="External"/><Relationship Id="rId684" Type="http://schemas.openxmlformats.org/officeDocument/2006/relationships/hyperlink" Target="https://drive.google.com/file/d/1G841t2dsQ_hZSNCKKDlOnGSGCsa4fiXn/view?usp=drivesdk" TargetMode="External"/><Relationship Id="rId685" Type="http://schemas.openxmlformats.org/officeDocument/2006/relationships/hyperlink" Target="https://drive.google.com/file/d/1-XQAB5hhW49CyXs3aiX02aumPtmK0gGc/view?usp=drivesdk" TargetMode="External"/><Relationship Id="rId686" Type="http://schemas.openxmlformats.org/officeDocument/2006/relationships/hyperlink" Target="https://drive.google.com/file/d/15_EH1MbSyb6QQRUVQl5OZTx5eYycee4u/view?usp=drivesdk" TargetMode="External"/><Relationship Id="rId687" Type="http://schemas.openxmlformats.org/officeDocument/2006/relationships/hyperlink" Target="https://drive.google.com/file/d/1afnE5fUxWEMLU2dEtUZlJLTt-XRbVxDn/view?usp=drivesdk" TargetMode="External"/><Relationship Id="rId688" Type="http://schemas.openxmlformats.org/officeDocument/2006/relationships/hyperlink" Target="https://drive.google.com/file/d/1njb8MkNGZvhSiKhD8yj6-MakvJQux6Jm/view?usp=drivesdk" TargetMode="External"/><Relationship Id="rId689" Type="http://schemas.openxmlformats.org/officeDocument/2006/relationships/hyperlink" Target="https://drive.google.com/file/d/1HNwlKnY-WLFdyw6gyrySdD0QfQc6HqY0/view?usp=drivesdk" TargetMode="External"/><Relationship Id="rId690" Type="http://schemas.openxmlformats.org/officeDocument/2006/relationships/hyperlink" Target="https://drive.google.com/file/d/1FK25pAn17bA6j3hKPoLYhtQYCzmjRYlV/view?usp=drivesdk" TargetMode="External"/><Relationship Id="rId691" Type="http://schemas.openxmlformats.org/officeDocument/2006/relationships/hyperlink" Target="https://drive.google.com/file/d/1gYBMx15oUvt1telLnYn6ttONo9UsQbNB/view?usp=drivesdk" TargetMode="External"/><Relationship Id="rId692" Type="http://schemas.openxmlformats.org/officeDocument/2006/relationships/hyperlink" Target="https://drive.google.com/file/d/1OFMs3REg_ZFzmqsMYmQYl50VN4agVEbV/view?usp=drivesdk" TargetMode="External"/><Relationship Id="rId693" Type="http://schemas.openxmlformats.org/officeDocument/2006/relationships/hyperlink" Target="https://drive.google.com/file/d/1w0wRkjuMEAhch7vx8E_Bf0v4y0ylAyk6/view?usp=drivesdk" TargetMode="External"/><Relationship Id="rId694" Type="http://schemas.openxmlformats.org/officeDocument/2006/relationships/hyperlink" Target="https://drive.google.com/file/d/12y_tmVrIIJglqGHYK6QWMN5cjljStQXb/view?usp=drivesdk" TargetMode="External"/><Relationship Id="rId695" Type="http://schemas.openxmlformats.org/officeDocument/2006/relationships/hyperlink" Target="https://drive.google.com/file/d/1z5tjhYCM4IwWJcvCZYGolLenKEnNzjeE/view?usp=drivesdk" TargetMode="External"/><Relationship Id="rId696" Type="http://schemas.openxmlformats.org/officeDocument/2006/relationships/hyperlink" Target="https://drive.google.com/file/d/1dehbaaSDBxyr6m7Rz13lQBy5MJbXSTpF/view?usp=drivesdk" TargetMode="External"/><Relationship Id="rId697" Type="http://schemas.openxmlformats.org/officeDocument/2006/relationships/hyperlink" Target="https://drive.google.com/file/d/1gsc40ZyfjQTOb4Cwx3wSalR1uuBlsI8u/view?usp=drivesdk" TargetMode="External"/><Relationship Id="rId698" Type="http://schemas.openxmlformats.org/officeDocument/2006/relationships/hyperlink" Target="https://drive.google.com/file/d/1tQQY9R4KLTsI0E4RMCJnnkw1W6w5BK9w/view?usp=drivesdk" TargetMode="External"/><Relationship Id="rId699" Type="http://schemas.openxmlformats.org/officeDocument/2006/relationships/hyperlink" Target="https://drive.google.com/file/d/1kEsT4AupKemPsq33SSpoB4obIFrxR9rb/view?usp=drivesdk" TargetMode="External"/><Relationship Id="rId700" Type="http://schemas.openxmlformats.org/officeDocument/2006/relationships/hyperlink" Target="https://drive.google.com/file/d/1RDglwhT28NsVyEDOmNYHoIEgEm21f4zC/view?usp=drivesdk" TargetMode="External"/><Relationship Id="rId701" Type="http://schemas.openxmlformats.org/officeDocument/2006/relationships/hyperlink" Target="https://drive.google.com/file/d/1URw_9Oq9WCkQjEkr50JuXxF_wjXxhOi9/view?usp=drivesdk" TargetMode="External"/><Relationship Id="rId702" Type="http://schemas.openxmlformats.org/officeDocument/2006/relationships/hyperlink" Target="https://drive.google.com/file/d/1buuD_7CjXj-LzvHHHDFRvoTeaByJ8Nlo/view?usp=drivesdk" TargetMode="External"/><Relationship Id="rId703" Type="http://schemas.openxmlformats.org/officeDocument/2006/relationships/hyperlink" Target="https://drive.google.com/file/d/1muZ8DoN-qp4IzmkwKmaevfeLq1bfGbqK/view?usp=drivesdk" TargetMode="External"/><Relationship Id="rId704" Type="http://schemas.openxmlformats.org/officeDocument/2006/relationships/hyperlink" Target="https://drive.google.com/file/d/1sMPFfBxtXXiTtQIFqMfa2Ylp9ybfGA_-/view?usp=drivesdk" TargetMode="External"/><Relationship Id="rId705" Type="http://schemas.openxmlformats.org/officeDocument/2006/relationships/hyperlink" Target="https://drive.google.com/file/d/1VF3NqDysYucqK_pnVEbkCPGHvmriimNc/view?usp=drivesdk" TargetMode="External"/><Relationship Id="rId706" Type="http://schemas.openxmlformats.org/officeDocument/2006/relationships/hyperlink" Target="https://drive.google.com/file/d/1h8G9cSlQXZrZJ1WWU6cU4_Ozg51yzRwK/view?usp=drivesdk" TargetMode="External"/><Relationship Id="rId707" Type="http://schemas.openxmlformats.org/officeDocument/2006/relationships/hyperlink" Target="https://drive.google.com/file/d/12I140GX4jNlPKcECA2SrCMQI6dI6aCQG/view?usp=drivesdk" TargetMode="External"/><Relationship Id="rId708" Type="http://schemas.openxmlformats.org/officeDocument/2006/relationships/hyperlink" Target="https://drive.google.com/file/d/1XfLtzVARhmXWVrjZPFNXMVE8jx8q32gQ/view?usp=drivesdk" TargetMode="External"/><Relationship Id="rId709" Type="http://schemas.openxmlformats.org/officeDocument/2006/relationships/hyperlink" Target="https://drive.google.com/file/d/1yTp7pyot4nX9tqgHoT4_ToTjDq06AouZ/view?usp=drivesdk" TargetMode="External"/><Relationship Id="rId710" Type="http://schemas.openxmlformats.org/officeDocument/2006/relationships/hyperlink" Target="https://drive.google.com/file/d/1QYuPkZgpviqha0462bZGx0aJv3xT1-_f/view?usp=drivesdk" TargetMode="External"/><Relationship Id="rId711" Type="http://schemas.openxmlformats.org/officeDocument/2006/relationships/hyperlink" Target="https://drive.google.com/file/d/1fJUAVeaF6CZbT4FR4CMP4gXDgmAhtzPh/view?usp=drivesdk" TargetMode="External"/><Relationship Id="rId712" Type="http://schemas.openxmlformats.org/officeDocument/2006/relationships/hyperlink" Target="https://drive.google.com/file/d/1gOeovizrSbpzd9RBq5N-_cpg1no8bJ9n/view?usp=drivesdk" TargetMode="External"/><Relationship Id="rId713" Type="http://schemas.openxmlformats.org/officeDocument/2006/relationships/hyperlink" Target="https://drive.google.com/file/d/1IEqb2800F3Pjk7GxON3fOOUmwiDlYe63/view?usp=drivesdk" TargetMode="External"/><Relationship Id="rId714" Type="http://schemas.openxmlformats.org/officeDocument/2006/relationships/hyperlink" Target="https://drive.google.com/file/d/18TSUN5C44Sm_uQFoGeXkZ956XfDBTqiQ/view?usp=drivesdk" TargetMode="External"/><Relationship Id="rId715" Type="http://schemas.openxmlformats.org/officeDocument/2006/relationships/hyperlink" Target="https://drive.google.com/file/d/1brgHQ_fpvMggE5PzOEhFR9DGoSrIjLTf/view?usp=drivesdk" TargetMode="External"/><Relationship Id="rId716" Type="http://schemas.openxmlformats.org/officeDocument/2006/relationships/hyperlink" Target="https://drive.google.com/file/d/1aUv1SKdUbDQeerJ68vZFlkLc1MmoKgtI/view?usp=drivesdk" TargetMode="External"/><Relationship Id="rId717" Type="http://schemas.openxmlformats.org/officeDocument/2006/relationships/hyperlink" Target="https://drive.google.com/file/d/1Kdi8KOIeMpNr-tDqUy4OmwN3edHHyHL5/view?usp=drivesdk" TargetMode="External"/><Relationship Id="rId718" Type="http://schemas.openxmlformats.org/officeDocument/2006/relationships/hyperlink" Target="https://drive.google.com/file/d/19amSdUgB3GtiYINNLKM9L_9l1JuNrxEi/view?usp=drivesdk" TargetMode="External"/><Relationship Id="rId719" Type="http://schemas.openxmlformats.org/officeDocument/2006/relationships/hyperlink" Target="https://drive.google.com/file/d/16ZjO8wBq9TEYSzQGOD9b6UUgCNuFDjjS/view?usp=drivesdk" TargetMode="External"/><Relationship Id="rId720" Type="http://schemas.openxmlformats.org/officeDocument/2006/relationships/hyperlink" Target="https://drive.google.com/file/d/1mI1V_-6fifjPWDRnrhXfRXepBztcHhtw/view?usp=drivesdk" TargetMode="External"/><Relationship Id="rId721" Type="http://schemas.openxmlformats.org/officeDocument/2006/relationships/hyperlink" Target="https://drive.google.com/file/d/1b6MqMK33fWd4EgDppDtwnaiyFKYJHZFC/view?usp=drivesdk" TargetMode="External"/><Relationship Id="rId722" Type="http://schemas.openxmlformats.org/officeDocument/2006/relationships/hyperlink" Target="https://drive.google.com/file/d/1SnWgjUeaO1oL5y0juViZ10ATPBvkYhjo/view?usp=drivesdk" TargetMode="External"/><Relationship Id="rId723" Type="http://schemas.openxmlformats.org/officeDocument/2006/relationships/hyperlink" Target="https://drive.google.com/file/d/11r63SQcwLMKKgmk2kxl_XAac0oQ7oyqC/view?usp=drivesdk" TargetMode="External"/><Relationship Id="rId724" Type="http://schemas.openxmlformats.org/officeDocument/2006/relationships/hyperlink" Target="https://drive.google.com/file/d/1w4gRB-P0JB-FuzJ2E92P-2PnPcSabe-4/view?usp=drivesdk" TargetMode="External"/><Relationship Id="rId725" Type="http://schemas.openxmlformats.org/officeDocument/2006/relationships/hyperlink" Target="https://drive.google.com/file/d/176r6v1sai2C43jjmQc8UlE3IgJXHys8U/view?usp=drivesdk" TargetMode="External"/><Relationship Id="rId726" Type="http://schemas.openxmlformats.org/officeDocument/2006/relationships/hyperlink" Target="https://drive.google.com/file/d/1yzGtbtbIpuO3m3fFj5nvxgjW8kIkzfAd/view?usp=drivesdk" TargetMode="External"/><Relationship Id="rId727" Type="http://schemas.openxmlformats.org/officeDocument/2006/relationships/hyperlink" Target="https://drive.google.com/file/d/1wRDOVkH6axPjfma6yuM2EKwVvE3r4g25/view?usp=drivesdk" TargetMode="External"/><Relationship Id="rId728" Type="http://schemas.openxmlformats.org/officeDocument/2006/relationships/hyperlink" Target="https://drive.google.com/file/d/1-GgFTgCV-bhh-1EdiaGTxGZbhxiYiLM2/view?usp=drivesdk" TargetMode="External"/><Relationship Id="rId729" Type="http://schemas.openxmlformats.org/officeDocument/2006/relationships/hyperlink" Target="https://drive.google.com/file/d/1ntguzcSvAX58enlAchVpN15gk-yQBzqk/view?usp=drivesdk" TargetMode="External"/><Relationship Id="rId730" Type="http://schemas.openxmlformats.org/officeDocument/2006/relationships/hyperlink" Target="https://drive.google.com/file/d/1VksmXCOUWbogIYRMwGkl0X3gNnQN1XaB/view?usp=drivesdk" TargetMode="External"/><Relationship Id="rId731" Type="http://schemas.openxmlformats.org/officeDocument/2006/relationships/hyperlink" Target="https://drive.google.com/file/d/1efDwMGjrxmUp_nxNx5d1kmhN0E2KdHbC/view?usp=drivesdk" TargetMode="External"/><Relationship Id="rId732" Type="http://schemas.openxmlformats.org/officeDocument/2006/relationships/hyperlink" Target="https://drive.google.com/file/d/1VUV4JONFyHbJLaHDmZnF7usPS29b_5NH/view?usp=drivesdk" TargetMode="External"/><Relationship Id="rId733" Type="http://schemas.openxmlformats.org/officeDocument/2006/relationships/hyperlink" Target="https://drive.google.com/file/d/1VOf84rxNYTjKcaw132P-W6Xnu23XIN7U/view?usp=drivesdk" TargetMode="External"/><Relationship Id="rId734" Type="http://schemas.openxmlformats.org/officeDocument/2006/relationships/hyperlink" Target="https://drive.google.com/file/d/1SQlsfA0dGALmno1Nn_3b8nyazXRgXyxw/view?usp=drivesdk" TargetMode="External"/><Relationship Id="rId735" Type="http://schemas.openxmlformats.org/officeDocument/2006/relationships/hyperlink" Target="https://drive.google.com/file/d/14M_jkFCX7ldKKeVK7MGpf4QvPmTI61XC/view?usp=drivesdk" TargetMode="External"/><Relationship Id="rId736" Type="http://schemas.openxmlformats.org/officeDocument/2006/relationships/hyperlink" Target="https://drive.google.com/file/d/1wIeH1FsIS-zC3WlRWn1o-PBfcRfMDZeQ/view?usp=drivesdk" TargetMode="External"/><Relationship Id="rId737" Type="http://schemas.openxmlformats.org/officeDocument/2006/relationships/hyperlink" Target="https://drive.google.com/file/d/1LJZI8X1p85uHXdSXTa4-_vr9YuHX2DJ7/view?usp=drivesdk" TargetMode="External"/><Relationship Id="rId738" Type="http://schemas.openxmlformats.org/officeDocument/2006/relationships/hyperlink" Target="https://drive.google.com/file/d/1Df2Szk1UqQJwCrnM1D1CXPlCV9LZrv_B/view?usp=drivesdk" TargetMode="External"/><Relationship Id="rId739" Type="http://schemas.openxmlformats.org/officeDocument/2006/relationships/hyperlink" Target="https://drive.google.com/file/d/1R6KWwEZfBrIzHNt1aww8ZFx4hmWKhmkg/view?usp=drivesdk" TargetMode="External"/><Relationship Id="rId740" Type="http://schemas.openxmlformats.org/officeDocument/2006/relationships/hyperlink" Target="https://drive.google.com/file/d/1yG-U3raW1ldDj2JE-On5ZUDNvWEHEAi2/view?usp=drivesdk" TargetMode="External"/><Relationship Id="rId741" Type="http://schemas.openxmlformats.org/officeDocument/2006/relationships/hyperlink" Target="https://drive.google.com/file/d/1ut4X5hmfeY_Ie5SvtkkYxZ9jOqe378Vd/view?usp=drivesdk" TargetMode="External"/><Relationship Id="rId742" Type="http://schemas.openxmlformats.org/officeDocument/2006/relationships/hyperlink" Target="https://drive.google.com/file/d/1SWyBJ35fuO2wz_2be6s_6K7dIMYOH1l8/view?usp=drivesdk" TargetMode="External"/><Relationship Id="rId743" Type="http://schemas.openxmlformats.org/officeDocument/2006/relationships/hyperlink" Target="https://drive.google.com/file/d/1esLfQPb0XAIYsji8Wh8MRKdjXHlu5x1t/view?usp=drivesdk" TargetMode="External"/><Relationship Id="rId744" Type="http://schemas.openxmlformats.org/officeDocument/2006/relationships/hyperlink" Target="https://drive.google.com/file/d/16ZiAPeFvOvCJ6l2CG4qoQduU6tt6egPw/view?usp=drivesdk" TargetMode="External"/><Relationship Id="rId745" Type="http://schemas.openxmlformats.org/officeDocument/2006/relationships/hyperlink" Target="https://drive.google.com/file/d/1E0n7htNG94TWgCOK0_KAKUxZRpgDEnuS/view?usp=drivesdk" TargetMode="External"/><Relationship Id="rId746" Type="http://schemas.openxmlformats.org/officeDocument/2006/relationships/hyperlink" Target="https://drive.google.com/file/d/1zpb4u8a6AZgQP9qKH0-WbRV03MmpLFE9/view?usp=drivesdk" TargetMode="External"/><Relationship Id="rId747" Type="http://schemas.openxmlformats.org/officeDocument/2006/relationships/hyperlink" Target="https://drive.google.com/file/d/16F0eJfkONIquYdIQyUi6__yyP9QAscDl/view?usp=drivesdk" TargetMode="External"/><Relationship Id="rId748" Type="http://schemas.openxmlformats.org/officeDocument/2006/relationships/hyperlink" Target="https://drive.google.com/file/d/1sDEbm2mjA_vR7KQH2Lji64K-4cyiNoXE/view?usp=drivesdk" TargetMode="External"/><Relationship Id="rId749" Type="http://schemas.openxmlformats.org/officeDocument/2006/relationships/hyperlink" Target="https://drive.google.com/file/d/1RAhgJToNLix74xCokEawjckJKlQxJOIW/view?usp=drivesdk" TargetMode="External"/><Relationship Id="rId750" Type="http://schemas.openxmlformats.org/officeDocument/2006/relationships/hyperlink" Target="https://drive.google.com/file/d/1CTNRSSJr7VxcaV3Pl87zM8S7nmzqAWIC/view?usp=drivesdk" TargetMode="External"/><Relationship Id="rId751" Type="http://schemas.openxmlformats.org/officeDocument/2006/relationships/hyperlink" Target="https://drive.google.com/file/d/1UOrHD8pagbcDG_WP8mCitoCIlG4GSCsi/view?usp=drivesdk" TargetMode="External"/><Relationship Id="rId752" Type="http://schemas.openxmlformats.org/officeDocument/2006/relationships/hyperlink" Target="https://drive.google.com/file/d/1oEVzcQ2By1REL1alEh-zNmWizk-csmjU/view?usp=drivesdk" TargetMode="External"/><Relationship Id="rId753" Type="http://schemas.openxmlformats.org/officeDocument/2006/relationships/hyperlink" Target="https://drive.google.com/file/d/1EV3dFQlQlHcSCZdD80J1hqk46YC68Z0l/view?usp=drivesdk" TargetMode="External"/><Relationship Id="rId754" Type="http://schemas.openxmlformats.org/officeDocument/2006/relationships/hyperlink" Target="https://drive.google.com/file/d/1yfVEg4T9pu6nOuABqX4RzCouxknx9cD9/view?usp=drivesdk" TargetMode="External"/><Relationship Id="rId755" Type="http://schemas.openxmlformats.org/officeDocument/2006/relationships/hyperlink" Target="https://drive.google.com/file/d/1IqFIB2sBZ139POEuGGGJFte6brhZwhk5/view?usp=drivesdk" TargetMode="External"/><Relationship Id="rId756" Type="http://schemas.openxmlformats.org/officeDocument/2006/relationships/hyperlink" Target="https://drive.google.com/file/d/1xlwfAQ8bvHoe3AAb_IHYOFA9kIbza80p/view?usp=drivesdk" TargetMode="External"/><Relationship Id="rId757" Type="http://schemas.openxmlformats.org/officeDocument/2006/relationships/hyperlink" Target="https://drive.google.com/file/d/1ZJuq1chyvfMcy49IHmiG_YB-y55HWRui/view?usp=drivesdk" TargetMode="External"/><Relationship Id="rId758" Type="http://schemas.openxmlformats.org/officeDocument/2006/relationships/hyperlink" Target="https://drive.google.com/file/d/1ITCxW4ChJ5RWRChKr8DtFMMlys_HKzgs/view?usp=drivesdk" TargetMode="External"/><Relationship Id="rId759" Type="http://schemas.openxmlformats.org/officeDocument/2006/relationships/hyperlink" Target="https://drive.google.com/file/d/1W5xjt_TeMJT7s7ex19xaLBTbhhHKFx0-/view?usp=drivesdk" TargetMode="External"/><Relationship Id="rId760" Type="http://schemas.openxmlformats.org/officeDocument/2006/relationships/hyperlink" Target="https://drive.google.com/file/d/1igMIw2gamcWyiQ1KY2oTDr5rAqahwAkk/view?usp=drivesdk" TargetMode="External"/><Relationship Id="rId761" Type="http://schemas.openxmlformats.org/officeDocument/2006/relationships/hyperlink" Target="https://drive.google.com/file/d/1pQaWanPQ2L5D4Ymj6gnuyUV24HsBYnJK/view?usp=drivesdk" TargetMode="External"/><Relationship Id="rId762" Type="http://schemas.openxmlformats.org/officeDocument/2006/relationships/hyperlink" Target="https://drive.google.com/file/d/14_spcPMagdrrzHfyELGNQ3dcH52j9TS2/view?usp=drivesdk" TargetMode="External"/><Relationship Id="rId763" Type="http://schemas.openxmlformats.org/officeDocument/2006/relationships/hyperlink" Target="https://drive.google.com/file/d/1UXJwZzcnNJsXDqWHZ14e6ZVQ1siz4CVf/view?usp=drivesdk" TargetMode="External"/><Relationship Id="rId764" Type="http://schemas.openxmlformats.org/officeDocument/2006/relationships/hyperlink" Target="https://drive.google.com/file/d/1S-qWmnFQGUFrdutfsZroJn35zG4p2dFs/view?usp=drivesdk" TargetMode="External"/><Relationship Id="rId765" Type="http://schemas.openxmlformats.org/officeDocument/2006/relationships/hyperlink" Target="https://drive.google.com/file/d/1Lr1sbQf77ucY5B9m4RoqXNrCnFLMO6GJ/view?usp=drivesdk" TargetMode="External"/><Relationship Id="rId766" Type="http://schemas.openxmlformats.org/officeDocument/2006/relationships/hyperlink" Target="https://drive.google.com/file/d/10onsQD71yQyA2pg0jnaV2ya8mj-8PVx4/view?usp=drivesdk" TargetMode="External"/><Relationship Id="rId767" Type="http://schemas.openxmlformats.org/officeDocument/2006/relationships/hyperlink" Target="https://drive.google.com/file/d/15AH-IBqmFJFZ2TSRsF_3QlaNsN6B9FBi/view?usp=drivesdk" TargetMode="External"/><Relationship Id="rId768" Type="http://schemas.openxmlformats.org/officeDocument/2006/relationships/hyperlink" Target="https://drive.google.com/file/d/19OrRlzlSdIniYKXDAdw-KdhNt4bYgP4O/view?usp=drivesdk" TargetMode="External"/><Relationship Id="rId769" Type="http://schemas.openxmlformats.org/officeDocument/2006/relationships/hyperlink" Target="https://drive.google.com/file/d/1K9VlqcoVJVmUQZc_wQCKL3-8tC4zlH10/view?usp=drivesdk" TargetMode="External"/><Relationship Id="rId770" Type="http://schemas.openxmlformats.org/officeDocument/2006/relationships/hyperlink" Target="https://drive.google.com/file/d/1ECC4dQDePOucSVVrOIb23i7BZs5DPf_a/view?usp=drivesdk" TargetMode="External"/><Relationship Id="rId771" Type="http://schemas.openxmlformats.org/officeDocument/2006/relationships/hyperlink" Target="https://drive.google.com/file/d/1ZPjanrnL2TkAPfQ8x74OlV65Mb8j8rae/view?usp=drivesdk" TargetMode="External"/><Relationship Id="rId772" Type="http://schemas.openxmlformats.org/officeDocument/2006/relationships/hyperlink" Target="https://drive.google.com/file/d/1ztPgYmcJrA1FN4YJ1CTd3xfKgnCEPa4H/view?usp=drivesdk" TargetMode="External"/><Relationship Id="rId773" Type="http://schemas.openxmlformats.org/officeDocument/2006/relationships/hyperlink" Target="https://drive.google.com/file/d/18WtMhJw1D3FmFwT6QqcWmCNyNAtXmp-n/view?usp=drivesdk" TargetMode="External"/><Relationship Id="rId774" Type="http://schemas.openxmlformats.org/officeDocument/2006/relationships/hyperlink" Target="https://drive.google.com/file/d/1o5bCvyA2Fj-tbx--yV-SDykEQ3F1LxGi/view?usp=drivesdk" TargetMode="External"/><Relationship Id="rId775" Type="http://schemas.openxmlformats.org/officeDocument/2006/relationships/hyperlink" Target="https://drive.google.com/file/d/1QkozD-L435dmzLpmAyeeyMWaeCRWe0IZ/view?usp=drivesdk" TargetMode="External"/><Relationship Id="rId776" Type="http://schemas.openxmlformats.org/officeDocument/2006/relationships/hyperlink" Target="https://drive.google.com/file/d/1l5PZ898zIOuU8aDwaBPmn119aS2M0oem/view?usp=drivesdk" TargetMode="External"/><Relationship Id="rId777" Type="http://schemas.openxmlformats.org/officeDocument/2006/relationships/hyperlink" Target="https://drive.google.com/file/d/1qJyPsjzRJXDAyBa-7RFdZRZzJzlVrPHR/view?usp=drivesdk" TargetMode="External"/><Relationship Id="rId778" Type="http://schemas.openxmlformats.org/officeDocument/2006/relationships/hyperlink" Target="https://drive.google.com/file/d/1VrGbUEoMuyC6oSFQwtdp5p_tcxbo-qY_/view?usp=drivesdk" TargetMode="External"/><Relationship Id="rId779" Type="http://schemas.openxmlformats.org/officeDocument/2006/relationships/hyperlink" Target="https://drive.google.com/file/d/15cHiW4ivf1ztn21U7y_KKhDZwfjIZ22C/view?usp=drivesdk" TargetMode="External"/><Relationship Id="rId780" Type="http://schemas.openxmlformats.org/officeDocument/2006/relationships/hyperlink" Target="https://drive.google.com/file/d/1A7NL-XjUytfC40QuhYC3CP_6nMwStwat/view?usp=drivesdk" TargetMode="External"/><Relationship Id="rId781" Type="http://schemas.openxmlformats.org/officeDocument/2006/relationships/hyperlink" Target="https://drive.google.com/file/d/1xUzzKOkhfngMBaiNNrn88sZVI-Vk7GeV/view?usp=drivesdk" TargetMode="External"/><Relationship Id="rId782" Type="http://schemas.openxmlformats.org/officeDocument/2006/relationships/hyperlink" Target="https://drive.google.com/file/d/1E3y51tScjfw3IfR1o4F2ci0d7v50mdWd/view?usp=drivesdk" TargetMode="External"/><Relationship Id="rId783" Type="http://schemas.openxmlformats.org/officeDocument/2006/relationships/hyperlink" Target="https://drive.google.com/file/d/1Xy04WP4gYwCCK3pqjakyn87AlNGGxvF4/view?usp=drivesdk" TargetMode="External"/><Relationship Id="rId784" Type="http://schemas.openxmlformats.org/officeDocument/2006/relationships/hyperlink" Target="https://drive.google.com/file/d/1EF1jG1BngzfS5WvnFRLVHlG0GgZUbl7N/view?usp=drivesdk" TargetMode="External"/><Relationship Id="rId785" Type="http://schemas.openxmlformats.org/officeDocument/2006/relationships/hyperlink" Target="https://drive.google.com/file/d/1uj20gR354pu6lQM2z08O7hsm5-8aIuXN/view?usp=drivesdk" TargetMode="External"/><Relationship Id="rId786" Type="http://schemas.openxmlformats.org/officeDocument/2006/relationships/hyperlink" Target="https://drive.google.com/file/d/1Y4WLXjucZg0xE4i-9si7layyZkB4Bs6Z/view?usp=drivesdk" TargetMode="External"/><Relationship Id="rId787" Type="http://schemas.openxmlformats.org/officeDocument/2006/relationships/hyperlink" Target="https://drive.google.com/file/d/1wdkIFvWo556_acQzAnCt1SDi-IGsWYjw/view?usp=drivesdk" TargetMode="External"/><Relationship Id="rId788" Type="http://schemas.openxmlformats.org/officeDocument/2006/relationships/hyperlink" Target="https://drive.google.com/file/d/1Bx-Gncj0Y0-xXlUvoNUuN2_ac8fSH4-G/view?usp=drivesdk" TargetMode="External"/><Relationship Id="rId789" Type="http://schemas.openxmlformats.org/officeDocument/2006/relationships/hyperlink" Target="https://drive.google.com/file/d/18r3thyJs-7hQfP-Q16xWbb1hOu5Z2ByH/view?usp=drivesdk" TargetMode="External"/><Relationship Id="rId790" Type="http://schemas.openxmlformats.org/officeDocument/2006/relationships/hyperlink" Target="https://drive.google.com/file/d/1nv5XOmqlPQsXsbmBLn2KAugW2UUz4KQV/view?usp=drivesdk" TargetMode="External"/><Relationship Id="rId791" Type="http://schemas.openxmlformats.org/officeDocument/2006/relationships/hyperlink" Target="https://drive.google.com/file/d/1rEr-4oeBhzieZrIV0rhzTKZ7WEHJN2eg/view?usp=drivesdk" TargetMode="External"/><Relationship Id="rId792" Type="http://schemas.openxmlformats.org/officeDocument/2006/relationships/hyperlink" Target="https://drive.google.com/file/d/1eoEnngl2LHtmpop67GdDtm4I7hWg9kXG/view?usp=drivesdk" TargetMode="External"/><Relationship Id="rId793" Type="http://schemas.openxmlformats.org/officeDocument/2006/relationships/hyperlink" Target="https://drive.google.com/file/d/1WpljIQZX96q7jehlqkHkIQ5BoE9YKPIO/view?usp=drivesdk" TargetMode="External"/><Relationship Id="rId794" Type="http://schemas.openxmlformats.org/officeDocument/2006/relationships/hyperlink" Target="https://drive.google.com/file/d/1_nOlPsX3AOMpIumy4Yl5w7_lwqG3lspp/view?usp=drivesdk" TargetMode="External"/><Relationship Id="rId795" Type="http://schemas.openxmlformats.org/officeDocument/2006/relationships/hyperlink" Target="https://drive.google.com/file/d/1CpAMqpB2MnwIoO0uVSQ4bWTGQb6fuRJt/view?usp=drivesdk" TargetMode="External"/><Relationship Id="rId796" Type="http://schemas.openxmlformats.org/officeDocument/2006/relationships/hyperlink" Target="https://drive.google.com/file/d/1ocjvZEuTlY9Uvk7mNp5GWuS1d8KUH8In/view?usp=drivesdk" TargetMode="External"/><Relationship Id="rId797" Type="http://schemas.openxmlformats.org/officeDocument/2006/relationships/hyperlink" Target="https://drive.google.com/file/d/1HdvGKhEaf50SgjCNqK3eDGX7ytYXT3Ft/view?usp=drivesdk" TargetMode="External"/><Relationship Id="rId798" Type="http://schemas.openxmlformats.org/officeDocument/2006/relationships/hyperlink" Target="https://drive.google.com/file/d/1yF_n79GaAHpiGVfkXzcwI8Tj2UhlRBYA/view?usp=drivesdk" TargetMode="External"/><Relationship Id="rId799" Type="http://schemas.openxmlformats.org/officeDocument/2006/relationships/hyperlink" Target="https://drive.google.com/file/d/107efS1IeCW-hAi6Mux3CTSXvoa6D-QNR/view?usp=drivesdk" TargetMode="External"/><Relationship Id="rId800" Type="http://schemas.openxmlformats.org/officeDocument/2006/relationships/hyperlink" Target="https://drive.google.com/file/d/1qMNjDp3qOAC8tmQ4w0YQOImuIuqJYPIs/view?usp=drivesdk" TargetMode="External"/><Relationship Id="rId801" Type="http://schemas.openxmlformats.org/officeDocument/2006/relationships/hyperlink" Target="https://drive.google.com/file/d/127LmZFInBMU3Humjbs8bSpStfcoCYWIi/view?usp=drivesdk" TargetMode="External"/><Relationship Id="rId802" Type="http://schemas.openxmlformats.org/officeDocument/2006/relationships/hyperlink" Target="https://drive.google.com/file/d/1X8O9RFF1h1GSzajWz7yMu3pC1YV9bCzA/view?usp=drivesdk" TargetMode="External"/><Relationship Id="rId803" Type="http://schemas.openxmlformats.org/officeDocument/2006/relationships/hyperlink" Target="https://drive.google.com/file/d/10eXQ9bzZ2IwXOBlKmWQHcjBqK4J-4-g-/view?usp=drivesdk" TargetMode="External"/><Relationship Id="rId804" Type="http://schemas.openxmlformats.org/officeDocument/2006/relationships/hyperlink" Target="https://drive.google.com/file/d/1EM1siaoX-EbQjLKAlqU6gZ4vdi9WcwUM/view?usp=drivesdk" TargetMode="External"/><Relationship Id="rId805" Type="http://schemas.openxmlformats.org/officeDocument/2006/relationships/hyperlink" Target="https://drive.google.com/file/d/1-pgim-1xXqsp5vQYgQzS3TTqhS_XRFJV/view?usp=drivesdk" TargetMode="External"/><Relationship Id="rId806" Type="http://schemas.openxmlformats.org/officeDocument/2006/relationships/hyperlink" Target="https://drive.google.com/file/d/1ZSm1C90TFm5N3jvyQ_q6eTfLPcfVxHZy/view?usp=drivesdk" TargetMode="External"/><Relationship Id="rId807" Type="http://schemas.openxmlformats.org/officeDocument/2006/relationships/hyperlink" Target="https://drive.google.com/file/d/1xKdwWy5sViJ8-EeuUmFMwm9Mp3Ib5YZi/view?usp=drivesdk" TargetMode="External"/><Relationship Id="rId808" Type="http://schemas.openxmlformats.org/officeDocument/2006/relationships/hyperlink" Target="https://drive.google.com/file/d/1GCbLcQJesK9yrEllhDh7DcOaKtnSKOs_/view?usp=drivesdk" TargetMode="External"/><Relationship Id="rId809" Type="http://schemas.openxmlformats.org/officeDocument/2006/relationships/hyperlink" Target="https://drive.google.com/file/d/1SVeVqfOY2k556QI4-u5F36mDzLC2C45B/view?usp=drivesdk" TargetMode="External"/><Relationship Id="rId810" Type="http://schemas.openxmlformats.org/officeDocument/2006/relationships/hyperlink" Target="https://drive.google.com/file/d/1Lv60O9uAiwO2-vy6DFE58JgXUg6YitQK/view?usp=drivesdk" TargetMode="External"/><Relationship Id="rId811" Type="http://schemas.openxmlformats.org/officeDocument/2006/relationships/hyperlink" Target="https://drive.google.com/file/d/1MaXxvHYUySVTQe-YNthNWN4K0vcyIDEA/view?usp=drivesdk" TargetMode="External"/><Relationship Id="rId812" Type="http://schemas.openxmlformats.org/officeDocument/2006/relationships/hyperlink" Target="https://drive.google.com/file/d/16b8VRzcrKSNROZgEm4lPsEOECzBpTLAn/view?usp=drivesdk" TargetMode="External"/><Relationship Id="rId813" Type="http://schemas.openxmlformats.org/officeDocument/2006/relationships/hyperlink" Target="https://drive.google.com/file/d/1IGluykln0hSdCfYEHTVSJzINZvvBiJbl/view?usp=drivesdk" TargetMode="External"/><Relationship Id="rId814" Type="http://schemas.openxmlformats.org/officeDocument/2006/relationships/hyperlink" Target="https://drive.google.com/file/d/1T6t2dhALIqcfpFqz_RK6--iHoCzhZ0pK/view?usp=drivesdk" TargetMode="External"/><Relationship Id="rId815" Type="http://schemas.openxmlformats.org/officeDocument/2006/relationships/hyperlink" Target="https://drive.google.com/file/d/1BHWAN4KNhbI33qod3DVbE8LioKN77EyW/view?usp=drivesdk" TargetMode="External"/><Relationship Id="rId816" Type="http://schemas.openxmlformats.org/officeDocument/2006/relationships/hyperlink" Target="https://drive.google.com/file/d/1Ilfn66IY0SIfNmhQHIZE4uYFvjuw51Pn/view?usp=drivesdk" TargetMode="External"/><Relationship Id="rId817" Type="http://schemas.openxmlformats.org/officeDocument/2006/relationships/hyperlink" Target="https://drive.google.com/file/d/1uzo0eh2S1GkK8YQKlZVp9UMGjUKMK1Ac/view?usp=drivesdk" TargetMode="External"/><Relationship Id="rId818" Type="http://schemas.openxmlformats.org/officeDocument/2006/relationships/hyperlink" Target="https://drive.google.com/file/d/1b2xovyNLp3CixMRWd-5xbQPpW6sYKakP/view?usp=drivesdk" TargetMode="External"/><Relationship Id="rId819" Type="http://schemas.openxmlformats.org/officeDocument/2006/relationships/hyperlink" Target="https://drive.google.com/file/d/1ZJOI-FJbF1Qe9Ylu5YrmqNYUKUStENJM/view?usp=drivesdk" TargetMode="External"/><Relationship Id="rId820" Type="http://schemas.openxmlformats.org/officeDocument/2006/relationships/hyperlink" Target="https://drive.google.com/file/d/1hYxTUj-lSewUp7GW-6_ZLXLGv8OTN86Z/view?usp=drivesdk" TargetMode="External"/><Relationship Id="rId821" Type="http://schemas.openxmlformats.org/officeDocument/2006/relationships/hyperlink" Target="https://drive.google.com/file/d/18ZS3JIWc9AHNzzfxdnJ_pGTQ0COAVVvB/view?usp=drivesdk" TargetMode="External"/><Relationship Id="rId822" Type="http://schemas.openxmlformats.org/officeDocument/2006/relationships/hyperlink" Target="https://drive.google.com/file/d/1jw00vlu0R8a_DTuUJcmQI2Ll_fKYsnR2/view?usp=drivesdk" TargetMode="External"/><Relationship Id="rId823" Type="http://schemas.openxmlformats.org/officeDocument/2006/relationships/hyperlink" Target="https://drive.google.com/file/d/1tmzLZhEOMT4P_COZf4X7pD0Nz3E-mTvg/view?usp=drivesdk" TargetMode="External"/><Relationship Id="rId824" Type="http://schemas.openxmlformats.org/officeDocument/2006/relationships/hyperlink" Target="https://drive.google.com/file/d/1wFI7Zh8N85PRzFumijMu7ROIxUO4HuXi/view?usp=drivesdk" TargetMode="External"/><Relationship Id="rId825" Type="http://schemas.openxmlformats.org/officeDocument/2006/relationships/hyperlink" Target="https://drive.google.com/file/d/1WrRsh6R1LdjHFqDy2_Rnmty9cvHV9Njr/view?usp=drivesdk" TargetMode="External"/><Relationship Id="rId826" Type="http://schemas.openxmlformats.org/officeDocument/2006/relationships/hyperlink" Target="https://drive.google.com/file/d/1INCtwSg8sQUxg0LjzwOiKvy93EWWfTVE/view?usp=drivesdk" TargetMode="External"/><Relationship Id="rId827" Type="http://schemas.openxmlformats.org/officeDocument/2006/relationships/hyperlink" Target="https://drive.google.com/file/d/1VWly9H79ZLYvOB9TA_5xUzCUJlOvUDPy/view?usp=drivesdk" TargetMode="External"/><Relationship Id="rId828" Type="http://schemas.openxmlformats.org/officeDocument/2006/relationships/hyperlink" Target="https://drive.google.com/file/d/1rySbEtOTFS7Mw2eOuJuEgxwmEUm1ze4x/view?usp=drivesdk" TargetMode="External"/><Relationship Id="rId829" Type="http://schemas.openxmlformats.org/officeDocument/2006/relationships/hyperlink" Target="https://drive.google.com/file/d/19fEhwMWQqiNLbl8dLSUIex2-gLx9QPkj/view?usp=drivesdk" TargetMode="External"/><Relationship Id="rId830" Type="http://schemas.openxmlformats.org/officeDocument/2006/relationships/hyperlink" Target="https://drive.google.com/file/d/1PF4G7H2JIaf8bMYIcblthijhWSua6CCE/view?usp=drivesdk" TargetMode="External"/><Relationship Id="rId831" Type="http://schemas.openxmlformats.org/officeDocument/2006/relationships/hyperlink" Target="https://drive.google.com/file/d/1rBdI5Ag1NLQMsCH7SmI0Z3oV1gLQovMX/view?usp=drivesdk" TargetMode="External"/><Relationship Id="rId832" Type="http://schemas.openxmlformats.org/officeDocument/2006/relationships/hyperlink" Target="https://drive.google.com/file/d/1ZglI6HQkIDSHfAHRomaq7ETGqn0kd-_M/view?usp=drivesdk" TargetMode="External"/><Relationship Id="rId833" Type="http://schemas.openxmlformats.org/officeDocument/2006/relationships/hyperlink" Target="https://drive.google.com/file/d/1C83otnIl_P5Nwp8quD__i69mN-xvEbzQ/view?usp=drivesdk" TargetMode="External"/><Relationship Id="rId834" Type="http://schemas.openxmlformats.org/officeDocument/2006/relationships/hyperlink" Target="https://drive.google.com/file/d/1nvvgc6TMH7WcY7kqaapR_5-Ask4ruT7H/view?usp=drivesdk" TargetMode="External"/><Relationship Id="rId835" Type="http://schemas.openxmlformats.org/officeDocument/2006/relationships/hyperlink" Target="https://drive.google.com/file/d/1pysc6fMtX7Vid5IiosVIMl8KAXBv0bgc/view?usp=drivesdk" TargetMode="External"/><Relationship Id="rId836" Type="http://schemas.openxmlformats.org/officeDocument/2006/relationships/hyperlink" Target="https://drive.google.com/file/d/1LUcYAtItt9GAYUzMOBRzVc8jONPehZqM/view?usp=drivesdk" TargetMode="External"/><Relationship Id="rId837" Type="http://schemas.openxmlformats.org/officeDocument/2006/relationships/hyperlink" Target="https://drive.google.com/file/d/19VaXwBG-qk02D7df4Cvy_nLaGRys7a3K/view?usp=drivesdk" TargetMode="External"/><Relationship Id="rId838" Type="http://schemas.openxmlformats.org/officeDocument/2006/relationships/hyperlink" Target="https://drive.google.com/file/d/1yKLS_f0vJtxkOUmQehxgCQRwYtbr5uPw/view?usp=drivesdk" TargetMode="External"/><Relationship Id="rId839" Type="http://schemas.openxmlformats.org/officeDocument/2006/relationships/hyperlink" Target="https://drive.google.com/file/d/1gCpeuocYNjlJh_z3hjhTKF5nW5YMh8IL/view?usp=drivesdk" TargetMode="External"/><Relationship Id="rId840" Type="http://schemas.openxmlformats.org/officeDocument/2006/relationships/hyperlink" Target="https://drive.google.com/file/d/13CKOaa8KSs87nlPGqV-SEPZZh6llOILO/view?usp=drivesdk" TargetMode="External"/><Relationship Id="rId841" Type="http://schemas.openxmlformats.org/officeDocument/2006/relationships/hyperlink" Target="https://drive.google.com/file/d/1KXLCrgxs2Xu4blm-IN159f8UR7c55Xf5/view?usp=drivesdk" TargetMode="External"/><Relationship Id="rId842" Type="http://schemas.openxmlformats.org/officeDocument/2006/relationships/hyperlink" Target="https://drive.google.com/file/d/1_WGm5kUU5d7WDBSObbl6ImwJWQjVG6HG/view?usp=drivesdk" TargetMode="External"/><Relationship Id="rId843" Type="http://schemas.openxmlformats.org/officeDocument/2006/relationships/hyperlink" Target="https://drive.google.com/file/d/1mb5jD6Vukc6q6uKQEFuqy7pxyWmtiNuF/view?usp=drivesdk" TargetMode="External"/><Relationship Id="rId844" Type="http://schemas.openxmlformats.org/officeDocument/2006/relationships/hyperlink" Target="https://drive.google.com/file/d/1L_AUcH2ASepuW6PBteCYOeRCxPK328zD/view?usp=drivesdk" TargetMode="External"/><Relationship Id="rId845" Type="http://schemas.openxmlformats.org/officeDocument/2006/relationships/hyperlink" Target="https://drive.google.com/file/d/1ND6gKjOV_QaQz5OHa4ythQiTop6SG_AK/view?usp=drivesdk" TargetMode="External"/><Relationship Id="rId846" Type="http://schemas.openxmlformats.org/officeDocument/2006/relationships/hyperlink" Target="https://drive.google.com/file/d/1ZFlPpspZoWbSike-DLk-Xrx0aKk4L2bd/view?usp=drivesdk" TargetMode="External"/><Relationship Id="rId847" Type="http://schemas.openxmlformats.org/officeDocument/2006/relationships/hyperlink" Target="https://drive.google.com/file/d/1BIBomGvYikxWmkMiJ_g_6p-hetlH_5tP/view?usp=drivesdk" TargetMode="External"/><Relationship Id="rId848" Type="http://schemas.openxmlformats.org/officeDocument/2006/relationships/hyperlink" Target="https://drive.google.com/file/d/1YSYb-RG2ql6XaiFdySZ-7nzVXSPBYkHX/view?usp=drivesdk" TargetMode="External"/><Relationship Id="rId849" Type="http://schemas.openxmlformats.org/officeDocument/2006/relationships/hyperlink" Target="https://drive.google.com/file/d/1Nhc6M4h1mnZ9R1vVQCdPt5NyZGIC09Hb/view?usp=drivesdk" TargetMode="External"/><Relationship Id="rId850" Type="http://schemas.openxmlformats.org/officeDocument/2006/relationships/hyperlink" Target="https://drive.google.com/file/d/1y8no7jpz2Qkg8R6U-qjyasK7jsrdTxOx/view?usp=drivesdk" TargetMode="External"/><Relationship Id="rId851" Type="http://schemas.openxmlformats.org/officeDocument/2006/relationships/hyperlink" Target="https://drive.google.com/file/d/1i5Aovuhd62ksHkGY7L1t37KWL4WNDSzQ/view?usp=drivesdk" TargetMode="External"/><Relationship Id="rId852" Type="http://schemas.openxmlformats.org/officeDocument/2006/relationships/hyperlink" Target="https://drive.google.com/file/d/13E6eiyaOGX6TpMCyT3fxY9S5jPmCAWED/view?usp=drivesdk" TargetMode="External"/><Relationship Id="rId853" Type="http://schemas.openxmlformats.org/officeDocument/2006/relationships/hyperlink" Target="https://drive.google.com/file/d/1Ux4u5NaTEjgnC-Y3jGO_SQ-Nkqrh8ieF/view?usp=drivesdk" TargetMode="External"/><Relationship Id="rId854" Type="http://schemas.openxmlformats.org/officeDocument/2006/relationships/hyperlink" Target="https://drive.google.com/file/d/1TRNnUn8D-UGLJJe-JzkcswwZJe18MJKO/view?usp=drivesdk" TargetMode="External"/><Relationship Id="rId855" Type="http://schemas.openxmlformats.org/officeDocument/2006/relationships/hyperlink" Target="https://drive.google.com/file/d/1rUvQ1PQ5E9cLyEaip0bdhIOElWEgP8LF/view?usp=drivesdk" TargetMode="External"/><Relationship Id="rId856" Type="http://schemas.openxmlformats.org/officeDocument/2006/relationships/hyperlink" Target="https://drive.google.com/file/d/14JlujivcOFYZMQim5_FtNocnI8AkF4um/view?usp=drivesdk" TargetMode="External"/><Relationship Id="rId857" Type="http://schemas.openxmlformats.org/officeDocument/2006/relationships/hyperlink" Target="https://drive.google.com/file/d/12o7Ue8ATkYnIpaASNXZMsUrc6KplcgOe/view?usp=drivesdk" TargetMode="External"/><Relationship Id="rId858" Type="http://schemas.openxmlformats.org/officeDocument/2006/relationships/hyperlink" Target="https://drive.google.com/file/d/1ROvW9jhxUdmPM81cd-5Dr-_4K8SgxcgQ/view?usp=drivesdk" TargetMode="External"/><Relationship Id="rId859" Type="http://schemas.openxmlformats.org/officeDocument/2006/relationships/hyperlink" Target="https://drive.google.com/file/d/1ouYVQCcziSYfZDB-WrgNNYCAl-wMvrig/view?usp=drivesdk" TargetMode="External"/><Relationship Id="rId860" Type="http://schemas.openxmlformats.org/officeDocument/2006/relationships/hyperlink" Target="https://drive.google.com/file/d/1b9maSG4WSXg-Tg-oMied6iYmB9OO-_gY/view?usp=drivesdk" TargetMode="External"/><Relationship Id="rId861" Type="http://schemas.openxmlformats.org/officeDocument/2006/relationships/hyperlink" Target="https://drive.google.com/file/d/1jJKtImzEOlBj64qt7ujjoGse94rHxe06/view?usp=drivesdk" TargetMode="External"/><Relationship Id="rId862" Type="http://schemas.openxmlformats.org/officeDocument/2006/relationships/hyperlink" Target="https://drive.google.com/file/d/1vqyRsw1dwAaVIIvAa4SyeRoomP1qdLY3/view?usp=drivesdk" TargetMode="External"/><Relationship Id="rId863" Type="http://schemas.openxmlformats.org/officeDocument/2006/relationships/hyperlink" Target="https://drive.google.com/file/d/1xrTR1ecOsJcDQYNVRYWmdI9oIXWdEQzd/view?usp=drivesdk" TargetMode="External"/><Relationship Id="rId864" Type="http://schemas.openxmlformats.org/officeDocument/2006/relationships/hyperlink" Target="https://drive.google.com/file/d/1Ia6O73LHBWD3GtDMveD7YBPb8uiqLbTZ/view?usp=drivesdk" TargetMode="External"/><Relationship Id="rId865" Type="http://schemas.openxmlformats.org/officeDocument/2006/relationships/hyperlink" Target="https://drive.google.com/file/d/1pSs5lebmRIcqd-8FSvHeqhItSQQ8Hiu5/view?usp=drivesdk" TargetMode="External"/><Relationship Id="rId866" Type="http://schemas.openxmlformats.org/officeDocument/2006/relationships/hyperlink" Target="https://drive.google.com/file/d/1zKDXxEXb8qxZVT0jDjMtIREOgdSkjpna/view?usp=drivesdk" TargetMode="External"/><Relationship Id="rId867" Type="http://schemas.openxmlformats.org/officeDocument/2006/relationships/hyperlink" Target="https://drive.google.com/file/d/1kPOgm8nNlXmbiJ1VN69Ksx3GknkYqc0O/view?usp=drivesdk" TargetMode="External"/><Relationship Id="rId868" Type="http://schemas.openxmlformats.org/officeDocument/2006/relationships/hyperlink" Target="https://drive.google.com/file/d/1tpHeC_VLDgea3A6ManjHt9lQuAWUYXEN/view?usp=drivesdk" TargetMode="External"/><Relationship Id="rId869" Type="http://schemas.openxmlformats.org/officeDocument/2006/relationships/hyperlink" Target="https://drive.google.com/file/d/12VdsIMKLwLFWMckHNKXTGoR0BMzrmhd0/view?usp=drivesdk" TargetMode="External"/><Relationship Id="rId870" Type="http://schemas.openxmlformats.org/officeDocument/2006/relationships/hyperlink" Target="https://drive.google.com/file/d/1It63m_hYOoKHvp4dq7uUd3R-kCJruEk9/view?usp=drivesdk" TargetMode="External"/><Relationship Id="rId871" Type="http://schemas.openxmlformats.org/officeDocument/2006/relationships/hyperlink" Target="https://drive.google.com/file/d/1ELOV6dSIA-aziirlMAV36ILw9YtZrQBx/view?usp=drivesdk" TargetMode="External"/><Relationship Id="rId872" Type="http://schemas.openxmlformats.org/officeDocument/2006/relationships/hyperlink" Target="https://drive.google.com/file/d/1RRQVGgfUXbyFc94y1MdK4d2sTxRBbg6f/view?usp=drivesdk" TargetMode="External"/><Relationship Id="rId873" Type="http://schemas.openxmlformats.org/officeDocument/2006/relationships/hyperlink" Target="https://drive.google.com/file/d/1-7DR9heFSnYW_UnvjrxG48HH8u16Nn7H/view?usp=drivesdk" TargetMode="External"/><Relationship Id="rId874" Type="http://schemas.openxmlformats.org/officeDocument/2006/relationships/hyperlink" Target="https://drive.google.com/file/d/1HZRvA-X9PjlivI7J1tEp7SO3lGa6eked/view?usp=drivesdk" TargetMode="External"/><Relationship Id="rId875" Type="http://schemas.openxmlformats.org/officeDocument/2006/relationships/hyperlink" Target="https://drive.google.com/file/d/1AX5PxOYo_6JfmLMs0r7UhSUQJM8Gpw_7/view?usp=drivesdk" TargetMode="External"/><Relationship Id="rId876" Type="http://schemas.openxmlformats.org/officeDocument/2006/relationships/hyperlink" Target="https://drive.google.com/file/d/1L_5rceRUnXA52cSsSEZSZxHq-d6MDcu_/view?usp=drivesdk" TargetMode="External"/><Relationship Id="rId877" Type="http://schemas.openxmlformats.org/officeDocument/2006/relationships/hyperlink" Target="https://drive.google.com/file/d/1Y3HwF-v1iP-kjtRuMnSAwJDg4IIdO545/view?usp=drivesdk" TargetMode="External"/><Relationship Id="rId878" Type="http://schemas.openxmlformats.org/officeDocument/2006/relationships/hyperlink" Target="https://drive.google.com/file/d/1ojGsWkX1xlIU1L2AeuX5mb2Tv3BMLQpd/view?usp=drivesdk" TargetMode="External"/><Relationship Id="rId879" Type="http://schemas.openxmlformats.org/officeDocument/2006/relationships/hyperlink" Target="https://drive.google.com/file/d/15gC6FQyz8lYdgTGclURR9X4W-7GRRvBE/view?usp=drivesdk" TargetMode="External"/><Relationship Id="rId880" Type="http://schemas.openxmlformats.org/officeDocument/2006/relationships/hyperlink" Target="https://drive.google.com/file/d/1glC_TOadgtbUqQ0nvSXEPzhMQUWI31oy/view?usp=drivesdk" TargetMode="External"/><Relationship Id="rId881" Type="http://schemas.openxmlformats.org/officeDocument/2006/relationships/hyperlink" Target="https://drive.google.com/file/d/1yQukabKXz6mXJRUBOunnGa6i09q6rIub/view?usp=drivesdk" TargetMode="External"/><Relationship Id="rId882" Type="http://schemas.openxmlformats.org/officeDocument/2006/relationships/hyperlink" Target="https://drive.google.com/file/d/1fHJa6s5mCC7_yiFYn8mpel4NyKJjP9g3/view?usp=drivesdk" TargetMode="External"/><Relationship Id="rId883" Type="http://schemas.openxmlformats.org/officeDocument/2006/relationships/hyperlink" Target="https://drive.google.com/file/d/1CPM02t4IO-9xwGeneeSFbpWyxCLVd3wr/view?usp=drivesdk" TargetMode="External"/><Relationship Id="rId884" Type="http://schemas.openxmlformats.org/officeDocument/2006/relationships/hyperlink" Target="https://drive.google.com/file/d/1S2YEvoEErPGKkYXafdHJJ4HjcgCg0s6_/view?usp=drivesdk" TargetMode="External"/><Relationship Id="rId885" Type="http://schemas.openxmlformats.org/officeDocument/2006/relationships/hyperlink" Target="https://drive.google.com/file/d/1NdggyvuGvNj9fIxLXqEoo5EzVhxFkHd_/view?usp=drivesdk" TargetMode="External"/><Relationship Id="rId886" Type="http://schemas.openxmlformats.org/officeDocument/2006/relationships/hyperlink" Target="https://drive.google.com/file/d/1_4IJxlm78EFhK0_Bk9yWTUGDUgTIFJvE/view?usp=drivesdk" TargetMode="External"/><Relationship Id="rId887" Type="http://schemas.openxmlformats.org/officeDocument/2006/relationships/hyperlink" Target="https://drive.google.com/file/d/1ikNKwtRJPCb1I9bEWc2xVyqBeLOIk_6f/view?usp=drivesdk" TargetMode="External"/><Relationship Id="rId888" Type="http://schemas.openxmlformats.org/officeDocument/2006/relationships/hyperlink" Target="https://drive.google.com/file/d/1OKWLSB-HYAH-jDljxg1emBGUZ5hafMto/view?usp=drivesdk" TargetMode="External"/><Relationship Id="rId889" Type="http://schemas.openxmlformats.org/officeDocument/2006/relationships/hyperlink" Target="https://drive.google.com/file/d/1Ba6SAUyg8oZV08twFGmiODcYDav87J8G/view?usp=drivesdk" TargetMode="External"/><Relationship Id="rId890" Type="http://schemas.openxmlformats.org/officeDocument/2006/relationships/hyperlink" Target="https://drive.google.com/file/d/1SRrV1qp_R0-e4vA1kuD0LD-tzveoMsIT/view?usp=drivesdk" TargetMode="External"/><Relationship Id="rId891" Type="http://schemas.openxmlformats.org/officeDocument/2006/relationships/hyperlink" Target="https://drive.google.com/file/d/1r7USJbEWQFEVVWr5Wk6ES_mgsRq90wyO/view?usp=drivesdk" TargetMode="External"/><Relationship Id="rId892" Type="http://schemas.openxmlformats.org/officeDocument/2006/relationships/hyperlink" Target="https://drive.google.com/file/d/1FNOZ5_eCn74Uzmy9MfF4cISmYq3DBpBh/view?usp=drivesdk" TargetMode="External"/><Relationship Id="rId893" Type="http://schemas.openxmlformats.org/officeDocument/2006/relationships/hyperlink" Target="https://drive.google.com/file/d/10FCw5lIzjTEs9NO83KBoDd2lnEptnI4x/view?usp=drivesdk" TargetMode="External"/><Relationship Id="rId894" Type="http://schemas.openxmlformats.org/officeDocument/2006/relationships/hyperlink" Target="https://drive.google.com/file/d/1WSQ_WL0YnCmZ-KxSA1PP1T8vyh6TiQUJ/view?usp=drivesdk" TargetMode="External"/><Relationship Id="rId895" Type="http://schemas.openxmlformats.org/officeDocument/2006/relationships/hyperlink" Target="https://drive.google.com/file/d/1lHRoiYdhgxRjfEWB3eBDTKrGl3lPrhqU/view?usp=drivesdk" TargetMode="External"/><Relationship Id="rId896" Type="http://schemas.openxmlformats.org/officeDocument/2006/relationships/hyperlink" Target="https://drive.google.com/file/d/1MnbERxzYZi_o1p5kSiEQgUGyJheIIrfO/view?usp=drivesdk" TargetMode="External"/><Relationship Id="rId897" Type="http://schemas.openxmlformats.org/officeDocument/2006/relationships/hyperlink" Target="https://drive.google.com/file/d/15rfhV9Aw5XA-b7F1lmngyAJSxE0p9GfS/view?usp=drivesdk" TargetMode="External"/><Relationship Id="rId898" Type="http://schemas.openxmlformats.org/officeDocument/2006/relationships/hyperlink" Target="https://drive.google.com/file/d/11uNMeCYWwtuiqBt3-BuxToVCCCYHr6r9/view?usp=drivesdk" TargetMode="External"/><Relationship Id="rId899" Type="http://schemas.openxmlformats.org/officeDocument/2006/relationships/hyperlink" Target="https://drive.google.com/file/d/1W-cYKQAY7K6MXmwSqJ-CLoOIozxlfnZA/view?usp=drivesdk" TargetMode="External"/><Relationship Id="rId900" Type="http://schemas.openxmlformats.org/officeDocument/2006/relationships/hyperlink" Target="https://drive.google.com/file/d/1-VsJrRriSTEF_eKMzyJdgPWHjE3pMLz3/view?usp=drivesdk" TargetMode="External"/><Relationship Id="rId901" Type="http://schemas.openxmlformats.org/officeDocument/2006/relationships/hyperlink" Target="https://drive.google.com/file/d/1WsKrIBmDlvqRE16ot-O6zXy70fGv8wSl/view?usp=drivesdk" TargetMode="External"/><Relationship Id="rId902" Type="http://schemas.openxmlformats.org/officeDocument/2006/relationships/hyperlink" Target="https://drive.google.com/file/d/15KP2NLnP66lsFEm_iAUMJZK-N7iRHFIx/view?usp=drivesdk" TargetMode="External"/><Relationship Id="rId903" Type="http://schemas.openxmlformats.org/officeDocument/2006/relationships/hyperlink" Target="https://drive.google.com/file/d/1Vh5WTPNZDfx_Bu5iYyGtbHk6Q4QyOh7a/view?usp=drivesdk" TargetMode="External"/><Relationship Id="rId904" Type="http://schemas.openxmlformats.org/officeDocument/2006/relationships/hyperlink" Target="https://drive.google.com/file/d/1XEJKVJeo0urdBPgA-1yUdrzwhSVAAASg/view?usp=drivesdk" TargetMode="External"/><Relationship Id="rId905" Type="http://schemas.openxmlformats.org/officeDocument/2006/relationships/hyperlink" Target="https://drive.google.com/file/d/1g3tmztarVCcxEuFb0hAckt3sH5qJHYlo/view?usp=drivesdk" TargetMode="External"/><Relationship Id="rId906" Type="http://schemas.openxmlformats.org/officeDocument/2006/relationships/hyperlink" Target="https://drive.google.com/file/d/1pOlmWjTUbq6IURThZWANAwQYXZFb5s8F/view?usp=drivesdk" TargetMode="External"/><Relationship Id="rId907" Type="http://schemas.openxmlformats.org/officeDocument/2006/relationships/hyperlink" Target="https://drive.google.com/file/d/1H-AQORDIAIfXh7C9FX3jymmPKPde7jMr/view?usp=drivesdk" TargetMode="External"/><Relationship Id="rId908" Type="http://schemas.openxmlformats.org/officeDocument/2006/relationships/hyperlink" Target="https://drive.google.com/file/d/1WFojztUmkIa3XHWsm6yxWmB1MwEM46VQ/view?usp=drivesdk" TargetMode="External"/><Relationship Id="rId909" Type="http://schemas.openxmlformats.org/officeDocument/2006/relationships/hyperlink" Target="https://drive.google.com/file/d/1osPo2WpAFgnhU2sGdXTemqNsdVbbj3Ra/view?usp=drivesdk" TargetMode="External"/><Relationship Id="rId910" Type="http://schemas.openxmlformats.org/officeDocument/2006/relationships/hyperlink" Target="https://drive.google.com/file/d/1gDRdeFPabG19GcoW_EfXGhZajKUrfYHu/view?usp=drivesdk" TargetMode="External"/><Relationship Id="rId911" Type="http://schemas.openxmlformats.org/officeDocument/2006/relationships/hyperlink" Target="https://drive.google.com/file/d/1tyH3_W_ucU1uSP8STjTBvRepfeXNA2C7/view?usp=drivesdk" TargetMode="External"/><Relationship Id="rId912" Type="http://schemas.openxmlformats.org/officeDocument/2006/relationships/hyperlink" Target="https://drive.google.com/file/d/1Ho-VMQIpBDE6F5c5Vock5ep60tkvJZ4_/view?usp=drivesdk" TargetMode="External"/><Relationship Id="rId913" Type="http://schemas.openxmlformats.org/officeDocument/2006/relationships/hyperlink" Target="https://drive.google.com/file/d/1M4FV-8JoqLv7xl9VfSh4jNeRb8C6rGng/view?usp=drivesdk" TargetMode="External"/><Relationship Id="rId914" Type="http://schemas.openxmlformats.org/officeDocument/2006/relationships/hyperlink" Target="https://drive.google.com/file/d/16x2aQjyIK5iYxVfLzuoLQ4JbvTxP8PYQ/view?usp=drivesdk" TargetMode="External"/><Relationship Id="rId915" Type="http://schemas.openxmlformats.org/officeDocument/2006/relationships/hyperlink" Target="https://drive.google.com/file/d/18r9FEJV_WXiLYW_8czWs70l7aF-axgWP/view?usp=drivesdk" TargetMode="External"/><Relationship Id="rId916" Type="http://schemas.openxmlformats.org/officeDocument/2006/relationships/hyperlink" Target="https://drive.google.com/file/d/1Gk5NJ4KCI-nYGz-UkTEbJAD8gib5Ylba/view?usp=drivesdk" TargetMode="External"/><Relationship Id="rId917" Type="http://schemas.openxmlformats.org/officeDocument/2006/relationships/hyperlink" Target="https://drive.google.com/file/d/1n_Befmd1OD5MTzgBvPXpdCBhFKOniUNW/view?usp=drivesdk" TargetMode="External"/><Relationship Id="rId918" Type="http://schemas.openxmlformats.org/officeDocument/2006/relationships/hyperlink" Target="https://drive.google.com/file/d/1uZoqlk-yf0Yz4BR1KgH9yLiIUh1Ccb1C/view?usp=drivesdk" TargetMode="External"/><Relationship Id="rId919" Type="http://schemas.openxmlformats.org/officeDocument/2006/relationships/hyperlink" Target="https://drive.google.com/file/d/1TGz1evnEPOaVEQiY5-IxU1FoVJguDdVR/view?usp=drivesdk" TargetMode="External"/><Relationship Id="rId920" Type="http://schemas.openxmlformats.org/officeDocument/2006/relationships/hyperlink" Target="https://drive.google.com/file/d/1Oix5vnFhPR-eSNy1wbJ1_QtR7QVcH82Y/view?usp=drivesdk" TargetMode="External"/><Relationship Id="rId921" Type="http://schemas.openxmlformats.org/officeDocument/2006/relationships/hyperlink" Target="https://drive.google.com/file/d/1aIZ13sD1_CDdynhxCNxZXWGjFUUVN7a9/view?usp=drivesdk" TargetMode="External"/><Relationship Id="rId922" Type="http://schemas.openxmlformats.org/officeDocument/2006/relationships/hyperlink" Target="https://drive.google.com/file/d/10IhBt-QBW8Q6YCicKW1tGbilSdKgRKIs/view?usp=drivesdk" TargetMode="External"/><Relationship Id="rId923" Type="http://schemas.openxmlformats.org/officeDocument/2006/relationships/hyperlink" Target="https://drive.google.com/file/d/1Xi34HlH3N5rFjsJM_Lyplo7u-WyY5ujR/view?usp=drivesdk" TargetMode="External"/><Relationship Id="rId924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iLTmKIm0TEPhpjFzVJKYMx0w89XdaFs_/view?usp=drivesdk" TargetMode="External"/><Relationship Id="rId2" Type="http://schemas.openxmlformats.org/officeDocument/2006/relationships/hyperlink" Target="https://drive.google.com/file/d/17HQCUFl6640pyjyICZnvVRwX0pD7WmVu/view?usp=drivesdk" TargetMode="External"/><Relationship Id="rId3" Type="http://schemas.openxmlformats.org/officeDocument/2006/relationships/hyperlink" Target="https://drive.google.com/file/d/1hmqUBNDOVV9wHRgZDXbGKalz-08D9QnO/view?usp=drivesdk" TargetMode="External"/><Relationship Id="rId4" Type="http://schemas.openxmlformats.org/officeDocument/2006/relationships/hyperlink" Target="https://drive.google.com/file/d/1GD-ExkBSVHOn3kDXROZ90Y8KInq06Wyf/view?usp=drivesdk" TargetMode="External"/><Relationship Id="rId5" Type="http://schemas.openxmlformats.org/officeDocument/2006/relationships/hyperlink" Target="https://drive.google.com/file/d/1YBXhJcHL37RYZuuYAtVnLqyu7x9ozdeb/view?usp=drivesdk" TargetMode="External"/><Relationship Id="rId6" Type="http://schemas.openxmlformats.org/officeDocument/2006/relationships/hyperlink" Target="https://drive.google.com/file/d/1NpGga28vXRgej5mcPcuM-HslI0oY3hZg/view?usp=drivesdk" TargetMode="External"/><Relationship Id="rId7" Type="http://schemas.openxmlformats.org/officeDocument/2006/relationships/hyperlink" Target="https://drive.google.com/file/d/1X4l8wypMi8SMS3eqVcZw6_ZwF4iWcIsZ/view?usp=drivesdk" TargetMode="External"/><Relationship Id="rId8" Type="http://schemas.openxmlformats.org/officeDocument/2006/relationships/hyperlink" Target="https://drive.google.com/file/d/16_uNq-DG4uJmXuwrWk4UdS3qkAroAcmf/view?usp=drivesdk" TargetMode="External"/><Relationship Id="rId9" Type="http://schemas.openxmlformats.org/officeDocument/2006/relationships/hyperlink" Target="https://drive.google.com/file/d/1gwBupHnra2xpsQZGwu_3TT1Mjw0tApt6/view?usp=drivesdk" TargetMode="External"/><Relationship Id="rId10" Type="http://schemas.openxmlformats.org/officeDocument/2006/relationships/hyperlink" Target="https://drive.google.com/file/d/16YeAp1hToyDXNh6pEhxsPMoo2sjzS8UV/view?usp=drivesdk" TargetMode="External"/><Relationship Id="rId11" Type="http://schemas.openxmlformats.org/officeDocument/2006/relationships/hyperlink" Target="https://drive.google.com/file/d/14hgziGdYOlSH27WYQJ3q9JyHfrtw2zoE/view?usp=drivesdk" TargetMode="External"/><Relationship Id="rId12" Type="http://schemas.openxmlformats.org/officeDocument/2006/relationships/hyperlink" Target="https://drive.google.com/file/d/1X19dr38FC_ODc_324j_30zWKLKbY-NGb/view?usp=drivesdk" TargetMode="External"/><Relationship Id="rId13" Type="http://schemas.openxmlformats.org/officeDocument/2006/relationships/hyperlink" Target="https://drive.google.com/file/d/1zDwFNmoVqeYVuZ7vhR0xUd-zIUG9ai_f/view?usp=drivesdk" TargetMode="External"/><Relationship Id="rId14" Type="http://schemas.openxmlformats.org/officeDocument/2006/relationships/hyperlink" Target="https://drive.google.com/file/d/1yoMPc0PZDIFGc_pqrZIm3X6iw-8fprh_/view?usp=drivesdk" TargetMode="External"/><Relationship Id="rId15" Type="http://schemas.openxmlformats.org/officeDocument/2006/relationships/hyperlink" Target="https://drive.google.com/file/d/1O8p7MSRI_dMyHzj4MuOI7Kul6wm_Vtri/view?usp=drivesdk" TargetMode="External"/><Relationship Id="rId16" Type="http://schemas.openxmlformats.org/officeDocument/2006/relationships/hyperlink" Target="https://drive.google.com/file/d/16b95llLASzz-3hbjxGP6UQp9_v5v03On/view?usp=drivesdk" TargetMode="External"/><Relationship Id="rId17" Type="http://schemas.openxmlformats.org/officeDocument/2006/relationships/hyperlink" Target="https://drive.google.com/file/d/1r1pmPu9A933OyUIGzju3P-iLmfM-DtIR/view?usp=drivesdk" TargetMode="External"/><Relationship Id="rId18" Type="http://schemas.openxmlformats.org/officeDocument/2006/relationships/hyperlink" Target="https://drive.google.com/file/d/1thSgiU28g9r9iMzX1MUMzUsPQ_J2pStK/view?usp=drivesdk" TargetMode="External"/><Relationship Id="rId19" Type="http://schemas.openxmlformats.org/officeDocument/2006/relationships/hyperlink" Target="https://drive.google.com/file/d/1QIBUHpMWGtqaB4VaKvStMLwVOqeGwjl8/view?usp=drivesdk" TargetMode="External"/><Relationship Id="rId20" Type="http://schemas.openxmlformats.org/officeDocument/2006/relationships/hyperlink" Target="https://drive.google.com/file/d/1R-E9QhXMBNv3H6ly4G6DWxgVUycT_7j0/view?usp=drivesdk" TargetMode="External"/><Relationship Id="rId21" Type="http://schemas.openxmlformats.org/officeDocument/2006/relationships/hyperlink" Target="https://drive.google.com/file/d/1JpKyEKhl4LeTOKKxS05UCz625b3bv_73/view?usp=drivesdk" TargetMode="External"/><Relationship Id="rId22" Type="http://schemas.openxmlformats.org/officeDocument/2006/relationships/hyperlink" Target="https://drive.google.com/file/d/11uPMjaPH9vQ5WpJOaQT5mU8Ve7m3QqX3/view?usp=drivesdk" TargetMode="External"/><Relationship Id="rId23" Type="http://schemas.openxmlformats.org/officeDocument/2006/relationships/hyperlink" Target="https://drive.google.com/file/d/1PMgt1BBuiFPwTcqv8yjbQvzO6jcZVRWS/view?usp=drivesdk" TargetMode="External"/><Relationship Id="rId24" Type="http://schemas.openxmlformats.org/officeDocument/2006/relationships/hyperlink" Target="https://drive.google.com/file/d/1-vuj5XKWKJ-2AjLCAnhqJI2q27G9Dodh/view?usp=drivesdk" TargetMode="External"/><Relationship Id="rId25" Type="http://schemas.openxmlformats.org/officeDocument/2006/relationships/hyperlink" Target="https://drive.google.com/file/d/1F8kb6rL7mzjFtegUYOnSi499xpz4m0Wa/view?usp=drivesdk" TargetMode="External"/><Relationship Id="rId26" Type="http://schemas.openxmlformats.org/officeDocument/2006/relationships/hyperlink" Target="https://drive.google.com/file/d/1tnQrciC-DO0o5iXGo6EEbJN6RG1h6EGe/view?usp=drivesdk" TargetMode="External"/><Relationship Id="rId27" Type="http://schemas.openxmlformats.org/officeDocument/2006/relationships/hyperlink" Target="https://drive.google.com/file/d/1dzWpuLazN92IMN3GxuGJSy8GMW-hVgtY/view?usp=drivesdk" TargetMode="External"/><Relationship Id="rId28" Type="http://schemas.openxmlformats.org/officeDocument/2006/relationships/hyperlink" Target="https://drive.google.com/file/d/1PRb7KJ9CVPGY5Q6sZyn6TLUe2MUH9KJt/view?usp=drivesdk" TargetMode="External"/><Relationship Id="rId29" Type="http://schemas.openxmlformats.org/officeDocument/2006/relationships/hyperlink" Target="https://drive.google.com/file/d/1mALvpQPfgYPCIcHoDlIiZpMQgyJ8kocX/view?usp=drivesdk" TargetMode="External"/><Relationship Id="rId30" Type="http://schemas.openxmlformats.org/officeDocument/2006/relationships/hyperlink" Target="https://drive.google.com/file/d/1cHA-_z1qkJvbNXkTaCW5nfCJHGLI7wiy/view?usp=drivesdk" TargetMode="External"/><Relationship Id="rId31" Type="http://schemas.openxmlformats.org/officeDocument/2006/relationships/hyperlink" Target="https://drive.google.com/file/d/1mfUyZGKa4cyV-LKbwZb-It6TKnKdbh6c/view?usp=drivesdk" TargetMode="External"/><Relationship Id="rId32" Type="http://schemas.openxmlformats.org/officeDocument/2006/relationships/hyperlink" Target="https://drive.google.com/file/d/14vlFZjFTQM0lKCLliXvkRupTENwO40vJ/view?usp=drivesdk" TargetMode="External"/><Relationship Id="rId33" Type="http://schemas.openxmlformats.org/officeDocument/2006/relationships/hyperlink" Target="https://drive.google.com/file/d/1S7DmyQh6efE9YneoZ8ohDfX6HufAlO2a/view?usp=drivesdk" TargetMode="External"/><Relationship Id="rId34" Type="http://schemas.openxmlformats.org/officeDocument/2006/relationships/hyperlink" Target="https://drive.google.com/file/d/1MYyW_OMpFwnFbI2L8PJkI0OF02-IR3BL/view?usp=drivesdk" TargetMode="External"/><Relationship Id="rId35" Type="http://schemas.openxmlformats.org/officeDocument/2006/relationships/hyperlink" Target="https://drive.google.com/file/d/1v7a7Tu_fMDK4suiJ3eg8l6usSmqqPhyY/view?usp=drivesdk" TargetMode="External"/><Relationship Id="rId36" Type="http://schemas.openxmlformats.org/officeDocument/2006/relationships/hyperlink" Target="https://drive.google.com/file/d/1rM2aI0ycx2nTmNiPB2iQ9kc6BeX__Tm4/view?usp=drivesdk" TargetMode="External"/><Relationship Id="rId37" Type="http://schemas.openxmlformats.org/officeDocument/2006/relationships/hyperlink" Target="https://drive.google.com/file/d/1gM77oAHcfA1lCxNvZ_vTLRr0Q_-WB0b8/view?usp=drivesdk" TargetMode="External"/><Relationship Id="rId38" Type="http://schemas.openxmlformats.org/officeDocument/2006/relationships/hyperlink" Target="https://drive.google.com/file/d/1acfiQudsbplUorea62TT9SqNbm2AuCYt/view?usp=drivesdk" TargetMode="External"/><Relationship Id="rId39" Type="http://schemas.openxmlformats.org/officeDocument/2006/relationships/hyperlink" Target="https://drive.google.com/file/d/1YOtsmgqUR1DzV1YbMPnWrxTg80IlNPQ5/view?usp=drivesdk" TargetMode="External"/><Relationship Id="rId40" Type="http://schemas.openxmlformats.org/officeDocument/2006/relationships/hyperlink" Target="https://drive.google.com/file/d/1-ObO1QsttJf-ReyOXKMo6o2fC1xRGKyO/view?usp=drivesdk" TargetMode="External"/><Relationship Id="rId41" Type="http://schemas.openxmlformats.org/officeDocument/2006/relationships/hyperlink" Target="https://drive.google.com/file/d/1ACGJyr54eOYBpEDyOZpAEoLUHfWsI5cG/view?usp=drivesdk" TargetMode="External"/><Relationship Id="rId42" Type="http://schemas.openxmlformats.org/officeDocument/2006/relationships/hyperlink" Target="https://drive.google.com/file/d/1YhEDdTaKA9TK342HaQC3xVFpPklrnfJ1/view?usp=drivesdk" TargetMode="External"/><Relationship Id="rId43" Type="http://schemas.openxmlformats.org/officeDocument/2006/relationships/hyperlink" Target="https://drive.google.com/file/d/1g_9O0ULJYqI8RzxebnCGqHrPKsXE3Mn9/view?usp=drivesdk" TargetMode="External"/><Relationship Id="rId44" Type="http://schemas.openxmlformats.org/officeDocument/2006/relationships/hyperlink" Target="https://drive.google.com/file/d/1AWVXOwdx6nJg1Nfh1KVQN1bUX9B49utR/view?usp=drivesdk" TargetMode="External"/><Relationship Id="rId45" Type="http://schemas.openxmlformats.org/officeDocument/2006/relationships/hyperlink" Target="https://drive.google.com/file/d/1BBZR49jFns7QeaQvwZN2j2YeiQAmivX5/view?usp=drivesdk" TargetMode="External"/><Relationship Id="rId46" Type="http://schemas.openxmlformats.org/officeDocument/2006/relationships/hyperlink" Target="https://drive.google.com/file/d/1XOgTtaCzGLCDaro1yqLymfv76uAMW-PG/view?usp=drivesdk" TargetMode="External"/><Relationship Id="rId47" Type="http://schemas.openxmlformats.org/officeDocument/2006/relationships/hyperlink" Target="https://drive.google.com/file/d/1d7b0yuBeJq3SIyKbOX-b-EYMqKdma1oh/view?usp=drivesdk" TargetMode="External"/><Relationship Id="rId48" Type="http://schemas.openxmlformats.org/officeDocument/2006/relationships/hyperlink" Target="https://drive.google.com/file/d/16sdHVtmZFu4QS4GjRFOdKqBVj9sv6OX3/view?usp=drivesdk" TargetMode="External"/><Relationship Id="rId49" Type="http://schemas.openxmlformats.org/officeDocument/2006/relationships/hyperlink" Target="https://drive.google.com/file/d/1AWUuH2nrIhH8xP-VRYwQInHuEeau85T_/view?usp=drivesdk" TargetMode="External"/><Relationship Id="rId50" Type="http://schemas.openxmlformats.org/officeDocument/2006/relationships/hyperlink" Target="https://drive.google.com/file/d/15hf_cj-tfJ401chUlXnBEy0s3EcyXmOx/view?usp=drivesdk" TargetMode="External"/><Relationship Id="rId51" Type="http://schemas.openxmlformats.org/officeDocument/2006/relationships/hyperlink" Target="https://drive.google.com/file/d/1RbwubB2jLi0jrt0URcMcPdVgvmDpGgN4/view?usp=drivesdk" TargetMode="External"/><Relationship Id="rId52" Type="http://schemas.openxmlformats.org/officeDocument/2006/relationships/hyperlink" Target="https://drive.google.com/file/d/1u7B4UDvOPvlPdE0nbRzjyIL_V54Gxecd/view?usp=drivesdk" TargetMode="External"/><Relationship Id="rId53" Type="http://schemas.openxmlformats.org/officeDocument/2006/relationships/hyperlink" Target="https://drive.google.com/file/d/1hIw2n5g3NaG2KTyeBCVdFjJDq98KXz81/view?usp=drivesdk" TargetMode="External"/><Relationship Id="rId54" Type="http://schemas.openxmlformats.org/officeDocument/2006/relationships/hyperlink" Target="https://drive.google.com/file/d/14n7_INwQBwcqrvq0GJTz_DUimIGn8Adh/view?usp=drivesdk" TargetMode="External"/><Relationship Id="rId55" Type="http://schemas.openxmlformats.org/officeDocument/2006/relationships/hyperlink" Target="https://drive.google.com/file/d/10Is3pvQsPQD0EDccLT5e0RQxSd7EAfmL/view?usp=drivesdk" TargetMode="External"/><Relationship Id="rId56" Type="http://schemas.openxmlformats.org/officeDocument/2006/relationships/hyperlink" Target="https://drive.google.com/file/d/1zqsF_WdBrMcxx-QsImnbP7oybgXyn67I/view?usp=drivesdk" TargetMode="External"/><Relationship Id="rId57" Type="http://schemas.openxmlformats.org/officeDocument/2006/relationships/hyperlink" Target="https://drive.google.com/file/d/1nQb1LOXVBrwHf0PrjSp1WhydKq_SA5i9/view?usp=drivesdk" TargetMode="External"/><Relationship Id="rId58" Type="http://schemas.openxmlformats.org/officeDocument/2006/relationships/hyperlink" Target="https://drive.google.com/file/d/1Q0WfxtbOrAjELH5NbiiZBIiJbROTV0nS/view?usp=drivesdk" TargetMode="External"/><Relationship Id="rId59" Type="http://schemas.openxmlformats.org/officeDocument/2006/relationships/hyperlink" Target="https://drive.google.com/file/d/1vcG7WGv-GXVczciW9gPOxusgRwSij7CD/view?usp=drivesdk" TargetMode="External"/><Relationship Id="rId60" Type="http://schemas.openxmlformats.org/officeDocument/2006/relationships/hyperlink" Target="https://drive.google.com/file/d/1AZidsCeiZPYD4PDH8gbw2mytLGXfZR8p/view?usp=drivesdk" TargetMode="External"/><Relationship Id="rId61" Type="http://schemas.openxmlformats.org/officeDocument/2006/relationships/hyperlink" Target="https://drive.google.com/file/d/1szWvH7zOvAeBrdNrcH3SROsFbXNatu9B/view?usp=drivesdk" TargetMode="External"/><Relationship Id="rId62" Type="http://schemas.openxmlformats.org/officeDocument/2006/relationships/hyperlink" Target="https://drive.google.com/file/d/1qwh4ymwm0sS_2nZXoTk7SXVyJU8BFucX/view?usp=drivesdk" TargetMode="External"/><Relationship Id="rId63" Type="http://schemas.openxmlformats.org/officeDocument/2006/relationships/hyperlink" Target="https://drive.google.com/file/d/1de-kcd0PKtoDNwkRk64MJFUWshjmfGPI/view?usp=drivesdk" TargetMode="External"/><Relationship Id="rId64" Type="http://schemas.openxmlformats.org/officeDocument/2006/relationships/hyperlink" Target="https://drive.google.com/file/d/1bXZ3phf28dOusGd1QeZtJlYtFH-ElNhd/view?usp=drivesdk" TargetMode="External"/><Relationship Id="rId65" Type="http://schemas.openxmlformats.org/officeDocument/2006/relationships/hyperlink" Target="https://drive.google.com/file/d/11dZCxPwT_F3_r-Fl2Xz9f_37ejgjpIAq/view?usp=drivesdk" TargetMode="External"/><Relationship Id="rId66" Type="http://schemas.openxmlformats.org/officeDocument/2006/relationships/hyperlink" Target="https://drive.google.com/file/d/14XS7vjxQQIvRU2EoTJ29GrKwwZGoTpTf/view?usp=drivesdk" TargetMode="External"/><Relationship Id="rId67" Type="http://schemas.openxmlformats.org/officeDocument/2006/relationships/hyperlink" Target="https://drive.google.com/file/d/1mCahJ5rKmQrqTzkt-KFcmCKZwUxWu9hZ/view?usp=drivesdk" TargetMode="External"/><Relationship Id="rId68" Type="http://schemas.openxmlformats.org/officeDocument/2006/relationships/hyperlink" Target="https://drive.google.com/file/d/1rTsyHp9V8yPXe-Pt4sg-5zEMzaruShuK/view?usp=drivesdk" TargetMode="External"/><Relationship Id="rId69" Type="http://schemas.openxmlformats.org/officeDocument/2006/relationships/hyperlink" Target="https://drive.google.com/file/d/1VI9xz-_GjKsTeWiO7FrhdJkKbqP7tGrz/view?usp=drivesdk" TargetMode="External"/><Relationship Id="rId70" Type="http://schemas.openxmlformats.org/officeDocument/2006/relationships/hyperlink" Target="https://drive.google.com/file/d/1IlhRHfhzS9JedEKAZhUVY6AHdqFic6N4/view?usp=drivesdk" TargetMode="External"/><Relationship Id="rId71" Type="http://schemas.openxmlformats.org/officeDocument/2006/relationships/hyperlink" Target="https://drive.google.com/file/d/1iynwVSYo9hYwfOHK8JsTw5tlc5E2yTUN/view?usp=drivesdk" TargetMode="External"/><Relationship Id="rId72" Type="http://schemas.openxmlformats.org/officeDocument/2006/relationships/hyperlink" Target="https://drive.google.com/file/d/1V2vRYuiDvcOrUlmUz1x9FWCTDYPBjUT1/view?usp=drivesdk" TargetMode="External"/><Relationship Id="rId73" Type="http://schemas.openxmlformats.org/officeDocument/2006/relationships/hyperlink" Target="https://drive.google.com/file/d/102MYKNIZtcUq8m3RLgCEHZWBHOXdTBqp/view?usp=drivesdk" TargetMode="External"/><Relationship Id="rId74" Type="http://schemas.openxmlformats.org/officeDocument/2006/relationships/hyperlink" Target="https://drive.google.com/file/d/1fLjv7fKNGz3i59qm2z1RyCVFgFbufz05/view?usp=drivesdk" TargetMode="External"/><Relationship Id="rId75" Type="http://schemas.openxmlformats.org/officeDocument/2006/relationships/hyperlink" Target="https://drive.google.com/file/d/1mWuE5v0f5rrI3ZtfEQ6q41iu1HKT-i3n/view?usp=drivesdk" TargetMode="External"/><Relationship Id="rId76" Type="http://schemas.openxmlformats.org/officeDocument/2006/relationships/hyperlink" Target="https://drive.google.com/file/d/18kBvzw3TXTny3iMqWm6PryUsraL42cyZ/view?usp=drivesdk" TargetMode="External"/><Relationship Id="rId77" Type="http://schemas.openxmlformats.org/officeDocument/2006/relationships/hyperlink" Target="https://drive.google.com/file/d/1GNAWYq2nYQe4jPK3_XoYILcfz-N-CWT1/view?usp=drivesdk" TargetMode="External"/><Relationship Id="rId78" Type="http://schemas.openxmlformats.org/officeDocument/2006/relationships/hyperlink" Target="https://drive.google.com/file/d/16VOCSAx5ChhapOUHxMMI7_hbxm0CdfXm/view?usp=drivesdk" TargetMode="External"/><Relationship Id="rId79" Type="http://schemas.openxmlformats.org/officeDocument/2006/relationships/hyperlink" Target="https://drive.google.com/file/d/1VxNaxtT3ODxJESwpwZbiFNDzYayhq_2G/view?usp=drivesdk" TargetMode="External"/><Relationship Id="rId80" Type="http://schemas.openxmlformats.org/officeDocument/2006/relationships/hyperlink" Target="https://drive.google.com/file/d/1_v2uCZRaO5-HTqg18cwMIKV4GbM3KSCq/view?usp=drivesdk" TargetMode="External"/><Relationship Id="rId81" Type="http://schemas.openxmlformats.org/officeDocument/2006/relationships/hyperlink" Target="https://drive.google.com/file/d/1cYlkR-gIRRO_fpKcmqVTu4jFQ0p7NDsw/view?usp=drivesdk" TargetMode="External"/><Relationship Id="rId82" Type="http://schemas.openxmlformats.org/officeDocument/2006/relationships/hyperlink" Target="https://drive.google.com/file/d/1Jyi-ATCJNIhFjqgvcfxDAGPO1Us2FBgs/view?usp=drivesdk" TargetMode="External"/><Relationship Id="rId83" Type="http://schemas.openxmlformats.org/officeDocument/2006/relationships/hyperlink" Target="https://drive.google.com/file/d/1lr0Jku5Qv5rCNp1ZeiJHf3I8j4ef1OXh/view?usp=drivesdk" TargetMode="External"/><Relationship Id="rId84" Type="http://schemas.openxmlformats.org/officeDocument/2006/relationships/hyperlink" Target="https://drive.google.com/file/d/1F15CvBrYZ9lPGMo469qojv-1G1377lbh/view?usp=drivesdk" TargetMode="External"/><Relationship Id="rId85" Type="http://schemas.openxmlformats.org/officeDocument/2006/relationships/hyperlink" Target="https://drive.google.com/file/d/1sP1LdRmFoY1YAMyNZrxzZIEL_edGRtJD/view?usp=drivesdk" TargetMode="External"/><Relationship Id="rId86" Type="http://schemas.openxmlformats.org/officeDocument/2006/relationships/hyperlink" Target="https://drive.google.com/file/d/1GzsnhCjpPdKsIACKOa7NzjOzwuSqQYiR/view?usp=drivesdk" TargetMode="External"/><Relationship Id="rId87" Type="http://schemas.openxmlformats.org/officeDocument/2006/relationships/hyperlink" Target="https://drive.google.com/file/d/1lu3raFL5xF5uJNYV8Iwa__d54DmHhS31/view?usp=drivesdk" TargetMode="External"/><Relationship Id="rId88" Type="http://schemas.openxmlformats.org/officeDocument/2006/relationships/hyperlink" Target="https://drive.google.com/file/d/172xVS9xsd4c7klI-cd8-vg2frysoXRWb/view?usp=drivesdk" TargetMode="External"/><Relationship Id="rId89" Type="http://schemas.openxmlformats.org/officeDocument/2006/relationships/hyperlink" Target="https://drive.google.com/file/d/105JwGv7S-DBo9mwbQ7vmHBAeQZr87Yfh/view?usp=drivesdk" TargetMode="External"/><Relationship Id="rId90" Type="http://schemas.openxmlformats.org/officeDocument/2006/relationships/hyperlink" Target="https://drive.google.com/file/d/1BhvpjWR2OkhgLN5H5WX8duZudO_wdcI8/view?usp=drivesdk" TargetMode="External"/><Relationship Id="rId91" Type="http://schemas.openxmlformats.org/officeDocument/2006/relationships/hyperlink" Target="https://drive.google.com/file/d/1ugMh6HO3h1m9tdcdHUWSAzB-de1fScQX/view?usp=drivesdk" TargetMode="External"/><Relationship Id="rId92" Type="http://schemas.openxmlformats.org/officeDocument/2006/relationships/hyperlink" Target="https://drive.google.com/file/d/1q8m0_99C1ITMS43HthBPzPktSx-oJ3zl/view?usp=drivesdk" TargetMode="External"/><Relationship Id="rId93" Type="http://schemas.openxmlformats.org/officeDocument/2006/relationships/hyperlink" Target="https://drive.google.com/file/d/195gD17bxdlOHzCf5Dd9_ev3m4DtuO_D6/view?usp=drivesdk" TargetMode="External"/><Relationship Id="rId94" Type="http://schemas.openxmlformats.org/officeDocument/2006/relationships/hyperlink" Target="https://drive.google.com/file/d/1TCOtK8CzvZMnE1FDL211ldDIrjFIimLq/view?usp=drivesdk" TargetMode="External"/><Relationship Id="rId95" Type="http://schemas.openxmlformats.org/officeDocument/2006/relationships/hyperlink" Target="https://drive.google.com/file/d/1K8-QQM4-YOC2F4egx1QxzxtT4AuY3HaA/view?usp=drivesdk" TargetMode="External"/><Relationship Id="rId96" Type="http://schemas.openxmlformats.org/officeDocument/2006/relationships/hyperlink" Target="https://drive.google.com/file/d/1BeoLs1dKWiWxr06V8SFX_-U1eBzrSRTT/view?usp=drivesdk" TargetMode="External"/><Relationship Id="rId97" Type="http://schemas.openxmlformats.org/officeDocument/2006/relationships/hyperlink" Target="https://drive.google.com/file/d/1jqZNTnVohdB5KF-wOZOpTq2ZDvc5I0gq/view?usp=drivesdk" TargetMode="External"/><Relationship Id="rId98" Type="http://schemas.openxmlformats.org/officeDocument/2006/relationships/hyperlink" Target="https://drive.google.com/file/d/1kCHefsbbdal6fvpIX9wTZAm37IicNKy0/view?usp=drivesdk" TargetMode="External"/><Relationship Id="rId99" Type="http://schemas.openxmlformats.org/officeDocument/2006/relationships/hyperlink" Target="https://drive.google.com/file/d/1fLFnFLPS2kA2Asn8ZggpeGT6RQWJtiqO/view?usp=drivesdk" TargetMode="External"/><Relationship Id="rId100" Type="http://schemas.openxmlformats.org/officeDocument/2006/relationships/hyperlink" Target="https://drive.google.com/file/d/1sRwW4xq2bwA5Jwek4RUgE8fotwdbQd2n/view?usp=drivesdk" TargetMode="External"/><Relationship Id="rId101" Type="http://schemas.openxmlformats.org/officeDocument/2006/relationships/hyperlink" Target="https://drive.google.com/file/d/1VnV9Hy37Kg9y8H78BXm5dLJ_nCZIKsg7/view?usp=drivesdk" TargetMode="External"/><Relationship Id="rId102" Type="http://schemas.openxmlformats.org/officeDocument/2006/relationships/hyperlink" Target="https://drive.google.com/file/d/1SkFoaWpdn-XGarY99JoSGHc2Lwd0FNoG/view?usp=drivesdk" TargetMode="External"/><Relationship Id="rId103" Type="http://schemas.openxmlformats.org/officeDocument/2006/relationships/hyperlink" Target="https://drive.google.com/file/d/15XTE9GY-85DlPTF4iFSKR7G9GY7kUkFi/view?usp=drivesdk" TargetMode="External"/><Relationship Id="rId104" Type="http://schemas.openxmlformats.org/officeDocument/2006/relationships/hyperlink" Target="https://drive.google.com/file/d/17J2sdQ3qzXPnlxOnW73e7FjyEnttOwmi/view?usp=drivesdk" TargetMode="External"/><Relationship Id="rId105" Type="http://schemas.openxmlformats.org/officeDocument/2006/relationships/hyperlink" Target="https://drive.google.com/file/d/1ic6rOMdzxjoF1guhgQXVd20wI8BlJsZZ/view?usp=drivesdk" TargetMode="External"/><Relationship Id="rId106" Type="http://schemas.openxmlformats.org/officeDocument/2006/relationships/hyperlink" Target="https://drive.google.com/file/d/19ZK_QC1m3Qk4Y2JL1Ij3VkXllFAGzRmc/view?usp=drivesdk" TargetMode="External"/><Relationship Id="rId107" Type="http://schemas.openxmlformats.org/officeDocument/2006/relationships/hyperlink" Target="https://drive.google.com/file/d/1piss3b12krBE3VI7CZcL_iswRMKt4eDR/view?usp=drivesdk" TargetMode="External"/><Relationship Id="rId108" Type="http://schemas.openxmlformats.org/officeDocument/2006/relationships/hyperlink" Target="https://drive.google.com/file/d/1o4oVBd377-zC5LmYTB8vfZbQ1NI6C1Be/view?usp=drivesdk" TargetMode="External"/><Relationship Id="rId109" Type="http://schemas.openxmlformats.org/officeDocument/2006/relationships/hyperlink" Target="https://drive.google.com/file/d/1x2XlpHT5RIFtcfAVRvvZ2h9TcAXxHX6f/view?usp=drivesdk" TargetMode="External"/><Relationship Id="rId110" Type="http://schemas.openxmlformats.org/officeDocument/2006/relationships/hyperlink" Target="https://drive.google.com/file/d/1YBOo-Vh9URMMclkKW3WZVQ5UELCoKIT2/view?usp=drivesdk" TargetMode="External"/><Relationship Id="rId111" Type="http://schemas.openxmlformats.org/officeDocument/2006/relationships/hyperlink" Target="https://drive.google.com/file/d/1N1IoiGb2rhjqzlJVWbtJ8c1fh7Kcmn7C/view?usp=drivesdk" TargetMode="External"/><Relationship Id="rId112" Type="http://schemas.openxmlformats.org/officeDocument/2006/relationships/hyperlink" Target="https://drive.google.com/file/d/1Av_ES4nHmhLxQIskLqhL-nMqnzSyYjg0/view?usp=drivesdk" TargetMode="External"/><Relationship Id="rId113" Type="http://schemas.openxmlformats.org/officeDocument/2006/relationships/hyperlink" Target="https://drive.google.com/file/d/1FIH0ip7iJ7KfJ-nxV6XwrN3OXXD82_Um/view?usp=drivesdk" TargetMode="External"/><Relationship Id="rId114" Type="http://schemas.openxmlformats.org/officeDocument/2006/relationships/hyperlink" Target="https://drive.google.com/file/d/1k23wY1n8g6pCr-JlGbaKvZFNe2oc6fy0/view?usp=drivesdk" TargetMode="External"/><Relationship Id="rId115" Type="http://schemas.openxmlformats.org/officeDocument/2006/relationships/hyperlink" Target="https://drive.google.com/file/d/1144AAGIe9UOZppsib5hYyUgmKyRp_tXp/view?usp=drivesdk" TargetMode="External"/><Relationship Id="rId116" Type="http://schemas.openxmlformats.org/officeDocument/2006/relationships/hyperlink" Target="https://drive.google.com/file/d/1FUCGtj3IX-Ja2FKwTX0NkfB62RZ5bwZ1/view?usp=drivesdk" TargetMode="External"/><Relationship Id="rId117" Type="http://schemas.openxmlformats.org/officeDocument/2006/relationships/hyperlink" Target="https://drive.google.com/file/d/1esKuCCi9bGhx7AQnLmJ8uARK5ezCJsUO/view?usp=drivesdk" TargetMode="External"/><Relationship Id="rId118" Type="http://schemas.openxmlformats.org/officeDocument/2006/relationships/hyperlink" Target="https://drive.google.com/file/d/12UGZx1R1_iTiyFN2kFwzj5R7xB5xa9XP/view?usp=drivesdk" TargetMode="External"/><Relationship Id="rId119" Type="http://schemas.openxmlformats.org/officeDocument/2006/relationships/hyperlink" Target="https://drive.google.com/file/d/1vrTVkjH_90rdkWu5osSfC6J32_XWldV3/view?usp=drivesdk" TargetMode="External"/><Relationship Id="rId120" Type="http://schemas.openxmlformats.org/officeDocument/2006/relationships/hyperlink" Target="https://drive.google.com/file/d/1pqYFZemcwNipMOSetTs8uKnZL6z-_fdM/view?usp=drivesdk" TargetMode="External"/><Relationship Id="rId121" Type="http://schemas.openxmlformats.org/officeDocument/2006/relationships/hyperlink" Target="https://drive.google.com/file/d/1gY33q0gAp0QyU0PsyJvvuSMwa_xNptg4/view?usp=drivesdk" TargetMode="External"/><Relationship Id="rId122" Type="http://schemas.openxmlformats.org/officeDocument/2006/relationships/hyperlink" Target="https://drive.google.com/file/d/1wgtC4m1fUCS-Sgoec3j6pjIMXQifW0yI/view?usp=drivesdk" TargetMode="External"/><Relationship Id="rId123" Type="http://schemas.openxmlformats.org/officeDocument/2006/relationships/hyperlink" Target="https://drive.google.com/file/d/11zvMySE39COqb9OUs-MrBKQv6-I42NzS/view?usp=drivesdk" TargetMode="External"/><Relationship Id="rId124" Type="http://schemas.openxmlformats.org/officeDocument/2006/relationships/hyperlink" Target="https://drive.google.com/file/d/1Bm0jijlE4mnB8HPqsSw6JWXipngL4iz2/view?usp=drivesdk" TargetMode="External"/><Relationship Id="rId125" Type="http://schemas.openxmlformats.org/officeDocument/2006/relationships/hyperlink" Target="https://drive.google.com/file/d/17dP4gps3IT3OQNj9S1YeJNrlRzWXbXgV/view?usp=drivesdk" TargetMode="External"/><Relationship Id="rId126" Type="http://schemas.openxmlformats.org/officeDocument/2006/relationships/hyperlink" Target="https://drive.google.com/file/d/1hZdrl2A9QSRi-z17wy3JXjdI9qGfaypz/view?usp=drivesdk" TargetMode="External"/><Relationship Id="rId127" Type="http://schemas.openxmlformats.org/officeDocument/2006/relationships/hyperlink" Target="https://drive.google.com/file/d/1t2NGWdZP_LFWPXj1gXu_f991gjgvQmoL/view?usp=drivesdk" TargetMode="External"/><Relationship Id="rId128" Type="http://schemas.openxmlformats.org/officeDocument/2006/relationships/hyperlink" Target="https://drive.google.com/file/d/1g2bxbzCM-zaiuHLa2acNZxbz5QOCSU_c/view?usp=drivesdk" TargetMode="External"/><Relationship Id="rId129" Type="http://schemas.openxmlformats.org/officeDocument/2006/relationships/hyperlink" Target="https://drive.google.com/file/d/1Ma82tj4N8-nCiyotxTPJYOzBh2SqXqQO/view?usp=drivesdk" TargetMode="External"/><Relationship Id="rId130" Type="http://schemas.openxmlformats.org/officeDocument/2006/relationships/hyperlink" Target="https://drive.google.com/file/d/12mpWP7HZRw41vA4eau1wzBtqvgm-p-f8/view?usp=drivesdk" TargetMode="External"/><Relationship Id="rId131" Type="http://schemas.openxmlformats.org/officeDocument/2006/relationships/hyperlink" Target="https://drive.google.com/file/d/1PmsgnD-gXRezi1R1Jc6sY-PuLOSmUVnl/view?usp=drivesdk" TargetMode="External"/><Relationship Id="rId132" Type="http://schemas.openxmlformats.org/officeDocument/2006/relationships/hyperlink" Target="https://drive.google.com/file/d/1RNZyWKryYWWULb5KQXoZdElLhiIEsV36/view?usp=drivesdk" TargetMode="External"/><Relationship Id="rId133" Type="http://schemas.openxmlformats.org/officeDocument/2006/relationships/hyperlink" Target="https://drive.google.com/file/d/1CYpWv9w8zMqXP1ieTWykVKUWkDf5P0Rm/view?usp=drivesdk" TargetMode="External"/><Relationship Id="rId134" Type="http://schemas.openxmlformats.org/officeDocument/2006/relationships/hyperlink" Target="https://drive.google.com/file/d/1xZ9Unf2p5mFCbo19OZiS9eTEH15gzxpw/view?usp=drivesdk" TargetMode="External"/><Relationship Id="rId135" Type="http://schemas.openxmlformats.org/officeDocument/2006/relationships/hyperlink" Target="https://drive.google.com/file/d/1DBx9D5vrNw2a-Q3FIf_ejFUxTUJmExAv/view?usp=drivesdk" TargetMode="External"/><Relationship Id="rId136" Type="http://schemas.openxmlformats.org/officeDocument/2006/relationships/hyperlink" Target="https://drive.google.com/file/d/1ZKwCE1AuFmwaehDXNZmGWJ0xQu_LErbM/view?usp=drivesdk" TargetMode="External"/><Relationship Id="rId137" Type="http://schemas.openxmlformats.org/officeDocument/2006/relationships/hyperlink" Target="https://drive.google.com/file/d/1vEpE9PxFH5rdgBfNhE5s2MEekdlff_GQ/view?usp=drivesdk" TargetMode="External"/><Relationship Id="rId138" Type="http://schemas.openxmlformats.org/officeDocument/2006/relationships/hyperlink" Target="https://drive.google.com/file/d/1vVeaYabzDVNqhSO4MTRbz8TwDMMw0nEw/view?usp=drivesdk" TargetMode="External"/><Relationship Id="rId139" Type="http://schemas.openxmlformats.org/officeDocument/2006/relationships/hyperlink" Target="https://drive.google.com/file/d/1FrKsRoX0QTNP_e1VMIG_pZuRiQShfg-E/view?usp=drivesdk" TargetMode="External"/><Relationship Id="rId140" Type="http://schemas.openxmlformats.org/officeDocument/2006/relationships/hyperlink" Target="https://drive.google.com/file/d/1hZW3Ng05FdrODQ7Rsts5GaQBi-ZYb2rg/view?usp=drivesdk" TargetMode="External"/><Relationship Id="rId141" Type="http://schemas.openxmlformats.org/officeDocument/2006/relationships/hyperlink" Target="https://drive.google.com/file/d/18h9a7Ji-y3Hmp_LpUyZa85omfscg3Vpo/view?usp=drivesdk" TargetMode="External"/><Relationship Id="rId142" Type="http://schemas.openxmlformats.org/officeDocument/2006/relationships/hyperlink" Target="https://drive.google.com/file/d/1gW8hPWB6dGpDNLHFLLoNdSJ3J65vBPZ3/view?usp=drivesdk" TargetMode="External"/><Relationship Id="rId143" Type="http://schemas.openxmlformats.org/officeDocument/2006/relationships/hyperlink" Target="https://drive.google.com/file/d/1uIGluIXNJ4aMhyH7nO1c3p5ogcNcZlOH/view?usp=drivesdk" TargetMode="External"/><Relationship Id="rId144" Type="http://schemas.openxmlformats.org/officeDocument/2006/relationships/hyperlink" Target="https://drive.google.com/file/d/1xOyYciyIe85ZAe__kHLyIQ3uPoodvxxZ/view?usp=drivesdk" TargetMode="External"/><Relationship Id="rId145" Type="http://schemas.openxmlformats.org/officeDocument/2006/relationships/hyperlink" Target="https://drive.google.com/file/d/1AeM4Tgdm68PDKQ90UuzBYZspHrnybHzo/view?usp=drivesdk" TargetMode="External"/><Relationship Id="rId146" Type="http://schemas.openxmlformats.org/officeDocument/2006/relationships/hyperlink" Target="https://drive.google.com/file/d/1nruXBJvV64k9a_N0BaKLLGT3rAWb99uT/view?usp=drivesdk" TargetMode="External"/><Relationship Id="rId147" Type="http://schemas.openxmlformats.org/officeDocument/2006/relationships/hyperlink" Target="https://drive.google.com/file/d/1zxvdIciOOV0DLz1wcbysHtL_gD62GAyR/view?usp=drivesdk" TargetMode="External"/><Relationship Id="rId148" Type="http://schemas.openxmlformats.org/officeDocument/2006/relationships/hyperlink" Target="https://drive.google.com/file/d/1sQJIPr7u0KWdiUOndcpWlp-pRMQ5dmP4/view?usp=drivesdk" TargetMode="External"/><Relationship Id="rId149" Type="http://schemas.openxmlformats.org/officeDocument/2006/relationships/hyperlink" Target="https://drive.google.com/file/d/1gpHHF98stn_ovmfQAN9reGjc05bhkHiY/view?usp=drivesdk" TargetMode="External"/><Relationship Id="rId150" Type="http://schemas.openxmlformats.org/officeDocument/2006/relationships/hyperlink" Target="https://drive.google.com/file/d/1_nu7uS2uS0-q9ErDLKHb6xAv4G00OY-q/view?usp=drivesdk" TargetMode="External"/><Relationship Id="rId151" Type="http://schemas.openxmlformats.org/officeDocument/2006/relationships/hyperlink" Target="https://drive.google.com/file/d/1kDjkA9ZpS6_Y52GLT-5XYU0NAm8rgiMw/view?usp=drivesdk" TargetMode="External"/><Relationship Id="rId152" Type="http://schemas.openxmlformats.org/officeDocument/2006/relationships/hyperlink" Target="https://drive.google.com/file/d/1t-2FOv8ohtFRp1iByWvuuRJ9wQlGSCwp/view?usp=drivesdk" TargetMode="External"/><Relationship Id="rId153" Type="http://schemas.openxmlformats.org/officeDocument/2006/relationships/hyperlink" Target="https://drive.google.com/file/d/1-3WOhxnbmlobiTGWpV7s14WIuWoAcjkX/view?usp=drivesdk" TargetMode="External"/><Relationship Id="rId154" Type="http://schemas.openxmlformats.org/officeDocument/2006/relationships/hyperlink" Target="https://drive.google.com/file/d/17AX_T6QdXJPB61XxE_lFI5CoP5NHY_bG/view?usp=drivesdk" TargetMode="External"/><Relationship Id="rId155" Type="http://schemas.openxmlformats.org/officeDocument/2006/relationships/hyperlink" Target="https://drive.google.com/file/d/1vVScfEB4FrCBpcZCJBhMn7pY2RukralT/view?usp=drivesdk" TargetMode="External"/><Relationship Id="rId156" Type="http://schemas.openxmlformats.org/officeDocument/2006/relationships/hyperlink" Target="https://drive.google.com/file/d/1UyK3EEBY43jN4dtzr4eodKBppJx9JdTp/view?usp=drivesdk" TargetMode="External"/><Relationship Id="rId157" Type="http://schemas.openxmlformats.org/officeDocument/2006/relationships/hyperlink" Target="https://drive.google.com/file/d/1-uX9qf8Y7JhgUR0XlWo84eT-pXmT8PGQ/view?usp=drivesdk" TargetMode="External"/><Relationship Id="rId158" Type="http://schemas.openxmlformats.org/officeDocument/2006/relationships/hyperlink" Target="https://drive.google.com/file/d/1I0NOZOsevptsEXbXnMM-rZs33-Fx9kdb/view?usp=drivesdk" TargetMode="External"/><Relationship Id="rId159" Type="http://schemas.openxmlformats.org/officeDocument/2006/relationships/hyperlink" Target="https://drive.google.com/file/d/1q9DlLsVbFXu0nSswIfUdrI5omblSUPNU/view?usp=drivesdk" TargetMode="External"/><Relationship Id="rId160" Type="http://schemas.openxmlformats.org/officeDocument/2006/relationships/hyperlink" Target="https://drive.google.com/file/d/1B3BOLcK2whiMQEgT2RvuEOa65DOYAN79/view?usp=drivesdk" TargetMode="External"/><Relationship Id="rId161" Type="http://schemas.openxmlformats.org/officeDocument/2006/relationships/hyperlink" Target="https://drive.google.com/file/d/18XAB4B6V74pP71XBXsy00PbxepH-sWlw/view?usp=drivesdk" TargetMode="External"/><Relationship Id="rId162" Type="http://schemas.openxmlformats.org/officeDocument/2006/relationships/hyperlink" Target="https://drive.google.com/file/d/1hOu4PG8BbND7vr6T_UCl_ylGffgFT-KU/view?usp=drivesdk" TargetMode="External"/><Relationship Id="rId163" Type="http://schemas.openxmlformats.org/officeDocument/2006/relationships/hyperlink" Target="https://drive.google.com/file/d/1FVoppotSGy_mggipcniXO8LzqXNVp4mm/view?usp=drivesdk" TargetMode="External"/><Relationship Id="rId164" Type="http://schemas.openxmlformats.org/officeDocument/2006/relationships/hyperlink" Target="https://drive.google.com/file/d/1KdhEJAH8xZfn4BwqXjYgK-8l7-Qvip9e/view?usp=drivesdk" TargetMode="External"/><Relationship Id="rId165" Type="http://schemas.openxmlformats.org/officeDocument/2006/relationships/hyperlink" Target="https://drive.google.com/file/d/165CfjjISgNPZY_5jT8-VKamYqRyYMEKB/view?usp=drivesdk" TargetMode="External"/><Relationship Id="rId166" Type="http://schemas.openxmlformats.org/officeDocument/2006/relationships/hyperlink" Target="https://drive.google.com/file/d/11WKA0mInrWYa-VyBJwh1BDXRkEQqWsec/view?usp=drivesdk" TargetMode="External"/><Relationship Id="rId167" Type="http://schemas.openxmlformats.org/officeDocument/2006/relationships/hyperlink" Target="https://drive.google.com/file/d/1b0GrSYLcDzd1Ai6fnx9B7gBzea1-HjL7/view?usp=drivesdk" TargetMode="External"/><Relationship Id="rId168" Type="http://schemas.openxmlformats.org/officeDocument/2006/relationships/hyperlink" Target="https://drive.google.com/file/d/1R4lm3Mqn_rsx8-fQybuAnvKPZ4lQycya/view?usp=drivesdk" TargetMode="External"/><Relationship Id="rId169" Type="http://schemas.openxmlformats.org/officeDocument/2006/relationships/hyperlink" Target="https://drive.google.com/file/d/1zCm692RN9iZE-C9DtzqwhsTuZHLBqgiC/view?usp=drivesdk" TargetMode="External"/><Relationship Id="rId170" Type="http://schemas.openxmlformats.org/officeDocument/2006/relationships/hyperlink" Target="https://drive.google.com/file/d/17C1-21XSQlgpJGTpy43QsHcmRM0MRDI-/view?usp=drivesdk" TargetMode="External"/><Relationship Id="rId171" Type="http://schemas.openxmlformats.org/officeDocument/2006/relationships/hyperlink" Target="https://drive.google.com/file/d/14RGZXNUnuCqriLg2HnIZw8xnug79Gtxm/view?usp=drivesdk" TargetMode="External"/><Relationship Id="rId172" Type="http://schemas.openxmlformats.org/officeDocument/2006/relationships/hyperlink" Target="https://drive.google.com/file/d/17GllnvNgF4vHDPE11zyW4uemhmaH5nhl/view?usp=drivesdk" TargetMode="External"/><Relationship Id="rId173" Type="http://schemas.openxmlformats.org/officeDocument/2006/relationships/hyperlink" Target="https://drive.google.com/file/d/1UJJZGLi6PKI03YlrAr_IK4nEF7p2dCxj/view?usp=drivesdk" TargetMode="External"/><Relationship Id="rId174" Type="http://schemas.openxmlformats.org/officeDocument/2006/relationships/hyperlink" Target="https://drive.google.com/file/d/1Ocs_vQuHKZtVw1pSp5ENRlH75k4djOHo/view?usp=drivesdk" TargetMode="External"/><Relationship Id="rId175" Type="http://schemas.openxmlformats.org/officeDocument/2006/relationships/hyperlink" Target="https://drive.google.com/file/d/1I01oIr8_5zdvp5yMgKW5jEK_4yy8YNlb/view?usp=drivesdk" TargetMode="External"/><Relationship Id="rId176" Type="http://schemas.openxmlformats.org/officeDocument/2006/relationships/hyperlink" Target="https://drive.google.com/file/d/1ub9jYAcxcl_Zj2QqoYiAjinaBXVYH8PR/view?usp=drivesdk" TargetMode="External"/><Relationship Id="rId177" Type="http://schemas.openxmlformats.org/officeDocument/2006/relationships/hyperlink" Target="https://drive.google.com/file/d/1IeDXJwmpE7M09dyfW2f2I0Tkt9KDPf2w/view?usp=drivesdk" TargetMode="External"/><Relationship Id="rId178" Type="http://schemas.openxmlformats.org/officeDocument/2006/relationships/hyperlink" Target="https://drive.google.com/file/d/1oBio0CbKSG6duAlxHMdWrY8Pk94FB7Rx/view?usp=drivesdk" TargetMode="External"/><Relationship Id="rId179" Type="http://schemas.openxmlformats.org/officeDocument/2006/relationships/hyperlink" Target="https://drive.google.com/file/d/16mOemvziOJDp8R-yoWnLxs_t4ew3OwL4/view?usp=drivesdk" TargetMode="External"/><Relationship Id="rId180" Type="http://schemas.openxmlformats.org/officeDocument/2006/relationships/hyperlink" Target="https://drive.google.com/file/d/1aeTbowteK-Ta-_BM2ERs-URqfR1SD5ON/view?usp=drivesdk" TargetMode="External"/><Relationship Id="rId181" Type="http://schemas.openxmlformats.org/officeDocument/2006/relationships/hyperlink" Target="https://drive.google.com/file/d/1cj2pa26GbY26K9_9IVyHTgFZ7rBffmI0/view?usp=drivesdk" TargetMode="External"/><Relationship Id="rId182" Type="http://schemas.openxmlformats.org/officeDocument/2006/relationships/hyperlink" Target="https://drive.google.com/file/d/1Vc4ZFc1M8LnMvDbU5yz2wepAviJXzKAk/view?usp=drivesdk" TargetMode="External"/><Relationship Id="rId183" Type="http://schemas.openxmlformats.org/officeDocument/2006/relationships/hyperlink" Target="https://drive.google.com/file/d/10TJGQEvkfhQ70T0ERoLcH1_MHk7ttYAQ/view?usp=drivesdk" TargetMode="External"/><Relationship Id="rId184" Type="http://schemas.openxmlformats.org/officeDocument/2006/relationships/hyperlink" Target="https://drive.google.com/file/d/1cQOQncDX37CAKX_yQ7MQlCU7yms3mPQF/view?usp=drivesdk" TargetMode="External"/><Relationship Id="rId185" Type="http://schemas.openxmlformats.org/officeDocument/2006/relationships/hyperlink" Target="https://drive.google.com/file/d/18gFgLN1uj394ajkENDylYkcUUWy0rTrG/view?usp=drivesdk" TargetMode="External"/><Relationship Id="rId186" Type="http://schemas.openxmlformats.org/officeDocument/2006/relationships/hyperlink" Target="https://drive.google.com/file/d/1UL1_Zvoe-ZycPiKGaq9ORMHn3gaYxCYs/view?usp=drivesdk" TargetMode="External"/><Relationship Id="rId187" Type="http://schemas.openxmlformats.org/officeDocument/2006/relationships/hyperlink" Target="https://drive.google.com/file/d/17hOcu0xixxn5elWIYE4bfupSU2F4WYPA/view?usp=drivesdk" TargetMode="External"/><Relationship Id="rId188" Type="http://schemas.openxmlformats.org/officeDocument/2006/relationships/hyperlink" Target="https://drive.google.com/file/d/1Vy033mBp_UASbYDUyk3-J_oVcEmPao0h/view?usp=drivesdk" TargetMode="External"/><Relationship Id="rId189" Type="http://schemas.openxmlformats.org/officeDocument/2006/relationships/hyperlink" Target="https://drive.google.com/file/d/1CSTv477ATZysaRzXrgkKzjslXGytIdZo/view?usp=drivesdk" TargetMode="External"/><Relationship Id="rId190" Type="http://schemas.openxmlformats.org/officeDocument/2006/relationships/hyperlink" Target="https://drive.google.com/file/d/1yXMVy-hlv7-_2CHFAWu31tqCyBE3nn40/view?usp=drivesdk" TargetMode="External"/><Relationship Id="rId191" Type="http://schemas.openxmlformats.org/officeDocument/2006/relationships/hyperlink" Target="https://drive.google.com/file/d/1LU9BprOc67BK8O-hpR3fCPb5Tx4ctoYv/view?usp=drivesdk" TargetMode="External"/><Relationship Id="rId192" Type="http://schemas.openxmlformats.org/officeDocument/2006/relationships/hyperlink" Target="https://drive.google.com/file/d/1fFxz2cbPi_yt-VVk0tVdnPap6hUmGT8y/view?usp=drivesdk" TargetMode="External"/><Relationship Id="rId193" Type="http://schemas.openxmlformats.org/officeDocument/2006/relationships/hyperlink" Target="https://drive.google.com/file/d/12lGiSXbKo_o-FJKNJn2CK_PhonEG6XXZ/view?usp=drivesdk" TargetMode="External"/><Relationship Id="rId194" Type="http://schemas.openxmlformats.org/officeDocument/2006/relationships/hyperlink" Target="https://drive.google.com/file/d/1lIDXuhTi6n9b0vUsenbnEHUWxLv22xMI/view?usp=drivesdk" TargetMode="External"/><Relationship Id="rId195" Type="http://schemas.openxmlformats.org/officeDocument/2006/relationships/hyperlink" Target="https://drive.google.com/file/d/1V_YTbYToOdP5q2vzFwNityUCKtBBvDkI/view?usp=drivesdk" TargetMode="External"/><Relationship Id="rId196" Type="http://schemas.openxmlformats.org/officeDocument/2006/relationships/hyperlink" Target="https://drive.google.com/file/d/1cjpu7jVmk4NvRiLuXK_hY_e7aGQVhEsu/view?usp=drivesdk" TargetMode="External"/><Relationship Id="rId197" Type="http://schemas.openxmlformats.org/officeDocument/2006/relationships/hyperlink" Target="https://drive.google.com/file/d/1qvME0TyxKacf_6fJcTtXmvpMxJrfHkKv/view?usp=drivesdk" TargetMode="External"/><Relationship Id="rId198" Type="http://schemas.openxmlformats.org/officeDocument/2006/relationships/hyperlink" Target="https://drive.google.com/file/d/1_H1H_gcERxe77ODpsF8tbVKtR9Hkzaut/view?usp=drivesdk" TargetMode="External"/><Relationship Id="rId199" Type="http://schemas.openxmlformats.org/officeDocument/2006/relationships/hyperlink" Target="https://drive.google.com/file/d/1nk8uUWOGrRnksWI7eiSAKbztXlbHijeP/view?usp=drivesdk" TargetMode="External"/><Relationship Id="rId200" Type="http://schemas.openxmlformats.org/officeDocument/2006/relationships/hyperlink" Target="https://drive.google.com/file/d/1VLUqVsdL5qi1wsR3drLfcL9EgV-bwmCw/view?usp=drivesdk" TargetMode="External"/><Relationship Id="rId201" Type="http://schemas.openxmlformats.org/officeDocument/2006/relationships/hyperlink" Target="https://drive.google.com/file/d/1zy23Jp05ths2czFOhDv8D6uF5ZtkaLXq/view?usp=drivesdk" TargetMode="External"/><Relationship Id="rId202" Type="http://schemas.openxmlformats.org/officeDocument/2006/relationships/hyperlink" Target="https://drive.google.com/file/d/1IBNPaAjTp7LY2wv-mPTMlwmcyAaTLDdF/view?usp=drivesdk" TargetMode="External"/><Relationship Id="rId203" Type="http://schemas.openxmlformats.org/officeDocument/2006/relationships/hyperlink" Target="https://drive.google.com/file/d/1huN0ZXPG3b7k0d8iLUjRvLSJZxikJkwc/view?usp=drivesdk" TargetMode="External"/><Relationship Id="rId204" Type="http://schemas.openxmlformats.org/officeDocument/2006/relationships/hyperlink" Target="https://drive.google.com/file/d/1BoRNal4JcF59flk04-LsXVcSVJF4FnA3/view?usp=drivesdk" TargetMode="External"/><Relationship Id="rId205" Type="http://schemas.openxmlformats.org/officeDocument/2006/relationships/hyperlink" Target="https://drive.google.com/file/d/1qyN0A6o2zpKjvun28KPWxlvvtkH93G5o/view?usp=drivesdk" TargetMode="External"/><Relationship Id="rId206" Type="http://schemas.openxmlformats.org/officeDocument/2006/relationships/hyperlink" Target="https://drive.google.com/file/d/1UFmYqX0dOYim0Tf9xzTGD_7IY5fFE9Jf/view?usp=drivesdk" TargetMode="External"/><Relationship Id="rId207" Type="http://schemas.openxmlformats.org/officeDocument/2006/relationships/hyperlink" Target="https://drive.google.com/file/d/18fwoVLdW1lU6fT_DQMXR6feCxUcNIZCE/view?usp=drivesdk" TargetMode="External"/><Relationship Id="rId208" Type="http://schemas.openxmlformats.org/officeDocument/2006/relationships/hyperlink" Target="https://drive.google.com/file/d/1FH3PpzS-SFM2r6P9KZYuEooPaXiPj7ky/view?usp=drivesdk" TargetMode="External"/><Relationship Id="rId209" Type="http://schemas.openxmlformats.org/officeDocument/2006/relationships/hyperlink" Target="https://drive.google.com/file/d/1kKmCB4AyTAVE33_rUOMes_OLGj9_qAOB/view?usp=drivesdk" TargetMode="External"/><Relationship Id="rId210" Type="http://schemas.openxmlformats.org/officeDocument/2006/relationships/hyperlink" Target="https://drive.google.com/file/d/1MaiWfsvyrC1E1LlYIXV-L5vNS8xZZSgI/view?usp=drivesdk" TargetMode="External"/><Relationship Id="rId211" Type="http://schemas.openxmlformats.org/officeDocument/2006/relationships/hyperlink" Target="https://drive.google.com/file/d/18-Gu3FENLDqnAdK6UaKp2z70Pvq82Wr2/view?usp=drivesdk" TargetMode="External"/><Relationship Id="rId212" Type="http://schemas.openxmlformats.org/officeDocument/2006/relationships/hyperlink" Target="https://drive.google.com/file/d/18OI8VelHk6xM0eiEhTpLFFJzyqijMrdm/view?usp=drivesdk" TargetMode="External"/><Relationship Id="rId213" Type="http://schemas.openxmlformats.org/officeDocument/2006/relationships/hyperlink" Target="https://drive.google.com/file/d/11BTpfAxIZ7pr4KXOngB0ra7uqU5_2O-A/view?usp=drivesdk" TargetMode="External"/><Relationship Id="rId214" Type="http://schemas.openxmlformats.org/officeDocument/2006/relationships/hyperlink" Target="https://drive.google.com/file/d/1D7_G8EVz5GA-g7GUPRQPnx6Ar_VfrqtP/view?usp=drivesdk" TargetMode="External"/><Relationship Id="rId215" Type="http://schemas.openxmlformats.org/officeDocument/2006/relationships/hyperlink" Target="https://drive.google.com/file/d/1u4jeWwXyf6xmC7qHZrO4SkUgrsVoGX7m/view?usp=drivesdk" TargetMode="External"/><Relationship Id="rId216" Type="http://schemas.openxmlformats.org/officeDocument/2006/relationships/hyperlink" Target="https://drive.google.com/file/d/1HUOktc9IMkN_o-VerPqICgtSAE-_5ubx/view?usp=drivesdk" TargetMode="External"/><Relationship Id="rId217" Type="http://schemas.openxmlformats.org/officeDocument/2006/relationships/hyperlink" Target="https://drive.google.com/file/d/1LGO6iYm9tuSdXPXfL6Cmxb6vFnU13VWD/view?usp=drivesdk" TargetMode="External"/><Relationship Id="rId218" Type="http://schemas.openxmlformats.org/officeDocument/2006/relationships/hyperlink" Target="https://drive.google.com/file/d/1Cbfk33F0ORmvDZeGe1SsCmWlRWHlQ953/view?usp=drivesdk" TargetMode="External"/><Relationship Id="rId219" Type="http://schemas.openxmlformats.org/officeDocument/2006/relationships/hyperlink" Target="https://drive.google.com/file/d/1XAdjedPUVimsU32-z_us_MPtoW_ZQMQo/view?usp=drivesdk" TargetMode="External"/><Relationship Id="rId220" Type="http://schemas.openxmlformats.org/officeDocument/2006/relationships/hyperlink" Target="https://drive.google.com/file/d/1fwFCQZsuMUDCY4kKd4f_TPKbFjYlmFBG/view?usp=drivesdk" TargetMode="External"/><Relationship Id="rId221" Type="http://schemas.openxmlformats.org/officeDocument/2006/relationships/hyperlink" Target="https://drive.google.com/file/d/1w5TPeQwZMVhTZ3NWviqiXh1biAXbjxHk/view?usp=drivesdk" TargetMode="External"/><Relationship Id="rId222" Type="http://schemas.openxmlformats.org/officeDocument/2006/relationships/hyperlink" Target="https://drive.google.com/file/d/1H55-IqVwayd0w0kbuPYZg4_-x5P-Zr1-/view?usp=drivesdk" TargetMode="External"/><Relationship Id="rId223" Type="http://schemas.openxmlformats.org/officeDocument/2006/relationships/hyperlink" Target="https://drive.google.com/file/d/1EHbFaWNebYiFfX-PO5EmRF653OqMTPqT/view?usp=drivesdk" TargetMode="External"/><Relationship Id="rId224" Type="http://schemas.openxmlformats.org/officeDocument/2006/relationships/hyperlink" Target="https://drive.google.com/file/d/16uYPsDYJEFfev8rsdgl_K2fScEhm7pKj/view?usp=drivesdk" TargetMode="External"/><Relationship Id="rId225" Type="http://schemas.openxmlformats.org/officeDocument/2006/relationships/hyperlink" Target="https://drive.google.com/file/d/1Kor6kTGYhi74srteLoYY_kTb7LjVR9dj/view?usp=drivesdk" TargetMode="External"/><Relationship Id="rId226" Type="http://schemas.openxmlformats.org/officeDocument/2006/relationships/hyperlink" Target="https://drive.google.com/file/d/1MaqlPz1vKyc-TiLIEQBe3sXKvxhfMjwl/view?usp=drivesdk" TargetMode="External"/><Relationship Id="rId227" Type="http://schemas.openxmlformats.org/officeDocument/2006/relationships/hyperlink" Target="https://drive.google.com/file/d/1W_vvnqFSswsyvgR3-6cIocNL_aZpOo7w/view?usp=drivesdk" TargetMode="External"/><Relationship Id="rId228" Type="http://schemas.openxmlformats.org/officeDocument/2006/relationships/hyperlink" Target="https://drive.google.com/file/d/1ZnIJfYUHwAcM7hEJkLmYQcer9VmGgMzf/view?usp=drivesdk" TargetMode="External"/><Relationship Id="rId229" Type="http://schemas.openxmlformats.org/officeDocument/2006/relationships/hyperlink" Target="https://drive.google.com/file/d/1STjVOOgndB7qqVn9_1mesLDNvAKmnmxy/view?usp=drivesdk" TargetMode="External"/><Relationship Id="rId230" Type="http://schemas.openxmlformats.org/officeDocument/2006/relationships/hyperlink" Target="https://drive.google.com/file/d/1X41ANWRUiwXcetn6h4q6IvaUrHgK19aZ/view?usp=drivesdk" TargetMode="External"/><Relationship Id="rId231" Type="http://schemas.openxmlformats.org/officeDocument/2006/relationships/hyperlink" Target="https://drive.google.com/file/d/1IJWfEqJg6X4FpMtCLFqSKaJNlhMyNp2Z/view?usp=drivesdk" TargetMode="External"/><Relationship Id="rId232" Type="http://schemas.openxmlformats.org/officeDocument/2006/relationships/hyperlink" Target="https://drive.google.com/file/d/1dS8Mwy-3sYzedLn_YNMENLIzBO1oND2H/view?usp=drivesdk" TargetMode="External"/><Relationship Id="rId233" Type="http://schemas.openxmlformats.org/officeDocument/2006/relationships/hyperlink" Target="https://drive.google.com/file/d/1khQP6hU2-dAzAiL1-C0adoLq71mYGCwy/view?usp=drivesdk" TargetMode="External"/><Relationship Id="rId234" Type="http://schemas.openxmlformats.org/officeDocument/2006/relationships/hyperlink" Target="https://drive.google.com/file/d/1p3OeT1I9wiUftBGjdklZdYsAr33BvW95/view?usp=drivesdk" TargetMode="External"/><Relationship Id="rId235" Type="http://schemas.openxmlformats.org/officeDocument/2006/relationships/hyperlink" Target="https://drive.google.com/file/d/1LvIRw5TeoqEGBqv3zMEMvXMr0UO_r_YW/view?usp=drivesdk" TargetMode="External"/><Relationship Id="rId236" Type="http://schemas.openxmlformats.org/officeDocument/2006/relationships/hyperlink" Target="https://drive.google.com/file/d/1sY40XWwX9P4NfMddJY0UVpy9cF7OLc42/view?usp=drivesdk" TargetMode="External"/><Relationship Id="rId237" Type="http://schemas.openxmlformats.org/officeDocument/2006/relationships/hyperlink" Target="https://drive.google.com/file/d/16yaAEFXxQhbSDBO4jcBDtkE3-3n7r6bY/view?usp=drivesdk" TargetMode="External"/><Relationship Id="rId238" Type="http://schemas.openxmlformats.org/officeDocument/2006/relationships/hyperlink" Target="https://drive.google.com/file/d/1XvjduTsc3V4ZRlmw-u8PCx1caWYUJaRj/view?usp=drivesdk" TargetMode="External"/><Relationship Id="rId239" Type="http://schemas.openxmlformats.org/officeDocument/2006/relationships/hyperlink" Target="https://drive.google.com/file/d/1As3YfUxvsOcylLC--4Tk8ogwKyRlcJm4/view?usp=drivesdk" TargetMode="External"/><Relationship Id="rId240" Type="http://schemas.openxmlformats.org/officeDocument/2006/relationships/hyperlink" Target="https://drive.google.com/file/d/1GdS7_G9SILzgl0pnCZQ3sOczBgsgGE6-/view?usp=drivesdk" TargetMode="External"/><Relationship Id="rId241" Type="http://schemas.openxmlformats.org/officeDocument/2006/relationships/hyperlink" Target="https://drive.google.com/file/d/1xeDj0jGQ6irZHl3iEIsArVelZNEHyeso/view?usp=drivesdk" TargetMode="External"/><Relationship Id="rId242" Type="http://schemas.openxmlformats.org/officeDocument/2006/relationships/hyperlink" Target="https://drive.google.com/file/d/17o0bCCr0P8tjsI4mj8SrXt1Bcx__SPa_/view?usp=drivesdk" TargetMode="External"/><Relationship Id="rId243" Type="http://schemas.openxmlformats.org/officeDocument/2006/relationships/hyperlink" Target="https://drive.google.com/file/d/1YnPUUSjugL670UUMGtUK2kzoVCxsB1i4/view?usp=drivesdk" TargetMode="External"/><Relationship Id="rId244" Type="http://schemas.openxmlformats.org/officeDocument/2006/relationships/hyperlink" Target="https://drive.google.com/file/d/1CwLpBGPvPGlS8AiupfzYr5WeV8bAoiah/view?usp=drivesdk" TargetMode="External"/><Relationship Id="rId245" Type="http://schemas.openxmlformats.org/officeDocument/2006/relationships/hyperlink" Target="https://drive.google.com/file/d/1Myv5a1kdvls0vBvTYRhi6riZ3iTkkxv1/view?usp=drivesdk" TargetMode="External"/><Relationship Id="rId246" Type="http://schemas.openxmlformats.org/officeDocument/2006/relationships/hyperlink" Target="https://drive.google.com/file/d/1R_izktjLRGxqJghDNxSkHWDfQg6qyWU9/view?usp=drivesdk" TargetMode="External"/><Relationship Id="rId247" Type="http://schemas.openxmlformats.org/officeDocument/2006/relationships/hyperlink" Target="https://drive.google.com/file/d/13R-Ucd6ayPAGUZnMNXz1ZVPJpjVa2Dyk/view?usp=drivesdk" TargetMode="External"/><Relationship Id="rId248" Type="http://schemas.openxmlformats.org/officeDocument/2006/relationships/hyperlink" Target="https://drive.google.com/file/d/1yYCQxRsBwkLg5DyljTBhQH2Y4hv8md3w/view?usp=drivesdk" TargetMode="External"/><Relationship Id="rId249" Type="http://schemas.openxmlformats.org/officeDocument/2006/relationships/hyperlink" Target="https://drive.google.com/file/d/1l8eoOJubdU8q0FUy04Oa-BiXeKMpuKy3/view?usp=drivesdk" TargetMode="External"/><Relationship Id="rId250" Type="http://schemas.openxmlformats.org/officeDocument/2006/relationships/hyperlink" Target="https://drive.google.com/file/d/1U3X4T8kSNOfD7jQSv3sBqsAC2wCNbI_c/view?usp=drivesdk" TargetMode="External"/><Relationship Id="rId251" Type="http://schemas.openxmlformats.org/officeDocument/2006/relationships/hyperlink" Target="https://drive.google.com/file/d/1KlOho6hW61lYMJd8SbgymSfx65LqvOA1/view?usp=drivesdk" TargetMode="External"/><Relationship Id="rId252" Type="http://schemas.openxmlformats.org/officeDocument/2006/relationships/hyperlink" Target="https://drive.google.com/file/d/1UxIVm5q9dBctidgq-Digi34-cRP95NHr/view?usp=drivesdk" TargetMode="External"/><Relationship Id="rId253" Type="http://schemas.openxmlformats.org/officeDocument/2006/relationships/hyperlink" Target="https://drive.google.com/file/d/17-QKw3MO-tqq1JxA_NqQPqvPn4F4_s2s/view?usp=drivesdk" TargetMode="External"/><Relationship Id="rId254" Type="http://schemas.openxmlformats.org/officeDocument/2006/relationships/hyperlink" Target="https://drive.google.com/file/d/1Rt6CiZIG1T2mz79CnajA5LSOugr9-aCT/view?usp=drivesdk" TargetMode="External"/><Relationship Id="rId255" Type="http://schemas.openxmlformats.org/officeDocument/2006/relationships/hyperlink" Target="https://drive.google.com/file/d/1UIS8XI6a2s8Z8FwwunlO5Vu6cNJ9Acf1/view?usp=drivesdk" TargetMode="External"/><Relationship Id="rId256" Type="http://schemas.openxmlformats.org/officeDocument/2006/relationships/hyperlink" Target="https://drive.google.com/file/d/1B5NySbiSim0VoXviYbeHD2h5unO77mO3/view?usp=drivesdk" TargetMode="External"/><Relationship Id="rId257" Type="http://schemas.openxmlformats.org/officeDocument/2006/relationships/hyperlink" Target="https://drive.google.com/file/d/1XFENCt44wdkIu_kdZkgsjwNq8eVUuacW/view?usp=drivesdk" TargetMode="External"/><Relationship Id="rId258" Type="http://schemas.openxmlformats.org/officeDocument/2006/relationships/hyperlink" Target="https://drive.google.com/file/d/1XViPp2drwviedRjn4RNJS8Nup1zuivZg/view?usp=drivesdk" TargetMode="External"/><Relationship Id="rId259" Type="http://schemas.openxmlformats.org/officeDocument/2006/relationships/hyperlink" Target="https://drive.google.com/file/d/1NAgZDIVVfnh79JyVd73nc4OY2hBN2BXR/view?usp=drivesdk" TargetMode="External"/><Relationship Id="rId260" Type="http://schemas.openxmlformats.org/officeDocument/2006/relationships/hyperlink" Target="https://drive.google.com/file/d/1ms7-MlqX-Kqusfu-3zp2P-Zgp7Xvxhau/view?usp=drivesdk" TargetMode="External"/><Relationship Id="rId261" Type="http://schemas.openxmlformats.org/officeDocument/2006/relationships/hyperlink" Target="https://drive.google.com/file/d/1RTLv8651bFCJ3kz32BjSGlFBR1EcktQ2/view?usp=drivesdk" TargetMode="External"/><Relationship Id="rId262" Type="http://schemas.openxmlformats.org/officeDocument/2006/relationships/hyperlink" Target="https://drive.google.com/file/d/1sp4rC5OaPllQC78iHEdjZYcTeH5rmvgI/view?usp=drivesdk" TargetMode="External"/><Relationship Id="rId263" Type="http://schemas.openxmlformats.org/officeDocument/2006/relationships/hyperlink" Target="https://drive.google.com/file/d/1292EEbYEaJYMO_ITVq18s40hSj4GW2Fv/view?usp=drivesdk" TargetMode="External"/><Relationship Id="rId264" Type="http://schemas.openxmlformats.org/officeDocument/2006/relationships/hyperlink" Target="https://drive.google.com/file/d/12BSP5GqKss7LYnGk2C_mBTNqsT-9foYc/view?usp=drivesdk" TargetMode="External"/><Relationship Id="rId265" Type="http://schemas.openxmlformats.org/officeDocument/2006/relationships/hyperlink" Target="https://drive.google.com/file/d/1IoxmU-Gg7OBhAmx8d5A-2vjuu8wSZMqn/view?usp=drivesdk" TargetMode="External"/><Relationship Id="rId266" Type="http://schemas.openxmlformats.org/officeDocument/2006/relationships/hyperlink" Target="https://drive.google.com/file/d/18bRb4K9Nrs1Bo-I4NsYrichF1ShdfWhP/view?usp=drivesdk" TargetMode="External"/><Relationship Id="rId267" Type="http://schemas.openxmlformats.org/officeDocument/2006/relationships/hyperlink" Target="https://drive.google.com/file/d/1q63DkGLdsGRu7_njG83pmr3snfSRsTYe/view?usp=drivesdk" TargetMode="External"/><Relationship Id="rId268" Type="http://schemas.openxmlformats.org/officeDocument/2006/relationships/hyperlink" Target="https://drive.google.com/file/d/1bvqJt80SHE7zW5e9DmNSjuBzBC2XVmdq/view?usp=drivesdk" TargetMode="External"/><Relationship Id="rId269" Type="http://schemas.openxmlformats.org/officeDocument/2006/relationships/hyperlink" Target="https://drive.google.com/file/d/1x1XZulZ-GYZpG9ix40Ur5MWZEgBusxeT/view?usp=drivesdk" TargetMode="External"/><Relationship Id="rId270" Type="http://schemas.openxmlformats.org/officeDocument/2006/relationships/hyperlink" Target="https://drive.google.com/file/d/1fLFihubRCOdo9MRiJk9T9l5i-9EQIXMb/view?usp=drivesdk" TargetMode="External"/><Relationship Id="rId271" Type="http://schemas.openxmlformats.org/officeDocument/2006/relationships/hyperlink" Target="https://drive.google.com/file/d/1Erv5vHeNKQ9EDVBcJGVfjBnFmsXZKGQN/view?usp=drivesdk" TargetMode="External"/><Relationship Id="rId272" Type="http://schemas.openxmlformats.org/officeDocument/2006/relationships/hyperlink" Target="https://drive.google.com/file/d/1W9LO6SqznloUVMX4DGQIGMy70s1eho8e/view?usp=drivesdk" TargetMode="External"/><Relationship Id="rId273" Type="http://schemas.openxmlformats.org/officeDocument/2006/relationships/hyperlink" Target="https://drive.google.com/file/d/159L6CYuTE3VTicBy_muMjlGTKFmttZlt/view?usp=drivesdk" TargetMode="External"/><Relationship Id="rId274" Type="http://schemas.openxmlformats.org/officeDocument/2006/relationships/hyperlink" Target="https://drive.google.com/file/d/1o8kJwJlQeT9giHrz_2aue-bdjOV22Zhi/view?usp=drivesdk" TargetMode="External"/><Relationship Id="rId275" Type="http://schemas.openxmlformats.org/officeDocument/2006/relationships/hyperlink" Target="https://drive.google.com/file/d/1qOZDZ3ndBoFLQNlF7VWOYy0tzReAynXI/view?usp=drivesdk" TargetMode="External"/><Relationship Id="rId276" Type="http://schemas.openxmlformats.org/officeDocument/2006/relationships/hyperlink" Target="https://drive.google.com/file/d/1ltCrSAoACdMCFLMNKdo1aRcrDc2rPEtI/view?usp=drivesdk" TargetMode="External"/><Relationship Id="rId277" Type="http://schemas.openxmlformats.org/officeDocument/2006/relationships/hyperlink" Target="https://drive.google.com/file/d/1jFjTHhnnAo6zbLi1znxG02_FNokd60Wp/view?usp=drivesdk" TargetMode="External"/><Relationship Id="rId278" Type="http://schemas.openxmlformats.org/officeDocument/2006/relationships/hyperlink" Target="https://drive.google.com/file/d/1RhLhwBKi2WFZCqotXTTZeXlRXrgcDgHK/view?usp=drivesdk" TargetMode="External"/><Relationship Id="rId279" Type="http://schemas.openxmlformats.org/officeDocument/2006/relationships/hyperlink" Target="https://drive.google.com/file/d/1823X1koejdtVPFKnkcaaffWpgJjUVqkb/view?usp=drivesdk" TargetMode="External"/><Relationship Id="rId280" Type="http://schemas.openxmlformats.org/officeDocument/2006/relationships/hyperlink" Target="https://drive.google.com/file/d/1r5Yoz8s_X_DY4xrDdQQL4qHmlDUkKfaG/view?usp=drivesdk" TargetMode="External"/><Relationship Id="rId281" Type="http://schemas.openxmlformats.org/officeDocument/2006/relationships/hyperlink" Target="https://drive.google.com/file/d/10f1n8eV_Z8ximqLVOEN3NXke0t4tgd8L/view?usp=drivesdk" TargetMode="External"/><Relationship Id="rId282" Type="http://schemas.openxmlformats.org/officeDocument/2006/relationships/hyperlink" Target="https://drive.google.com/file/d/19g76gPrN5wCCeCw4sWjdXwNa5f3DH8cR/view?usp=drivesdk" TargetMode="External"/><Relationship Id="rId283" Type="http://schemas.openxmlformats.org/officeDocument/2006/relationships/hyperlink" Target="https://drive.google.com/file/d/19XHqnJEp8yr9s1XhGfgsYNtyyFZJg-of/view?usp=drivesdk" TargetMode="External"/><Relationship Id="rId284" Type="http://schemas.openxmlformats.org/officeDocument/2006/relationships/hyperlink" Target="https://drive.google.com/file/d/1bvT7OfQps9NRzuLt7FWXKqllvFZ2XyWh/view?usp=drivesdk" TargetMode="External"/><Relationship Id="rId285" Type="http://schemas.openxmlformats.org/officeDocument/2006/relationships/hyperlink" Target="https://drive.google.com/file/d/13JwhxNRTHu748LiqCFqsaoe7HIyVPkCF/view?usp=drivesdk" TargetMode="External"/><Relationship Id="rId286" Type="http://schemas.openxmlformats.org/officeDocument/2006/relationships/hyperlink" Target="https://drive.google.com/file/d/1ZkScgElZ9v1l2YNdE9sPcq6WYvUk2RTN/view?usp=drivesdk" TargetMode="External"/><Relationship Id="rId287" Type="http://schemas.openxmlformats.org/officeDocument/2006/relationships/hyperlink" Target="https://drive.google.com/file/d/1vyZuWOVpNvhOS3IxIucsMkTW5uO5XhHo/view?usp=drivesdk" TargetMode="External"/><Relationship Id="rId288" Type="http://schemas.openxmlformats.org/officeDocument/2006/relationships/hyperlink" Target="https://drive.google.com/file/d/1pLCVnaM2PaFFwVI6g5SRJf1eUrBUupwn/view?usp=drivesdk" TargetMode="External"/><Relationship Id="rId289" Type="http://schemas.openxmlformats.org/officeDocument/2006/relationships/hyperlink" Target="https://drive.google.com/file/d/1WJak2R3v3NVuuzcJKDribI-XWuPQJ8nS/view?usp=drivesdk" TargetMode="External"/><Relationship Id="rId290" Type="http://schemas.openxmlformats.org/officeDocument/2006/relationships/hyperlink" Target="https://drive.google.com/file/d/1YHTymtl5yDj4_sW21wR_iL6KUG-zTJG_/view?usp=drivesdk" TargetMode="External"/><Relationship Id="rId291" Type="http://schemas.openxmlformats.org/officeDocument/2006/relationships/hyperlink" Target="https://drive.google.com/file/d/13MrHmt5o-wpNfiYTfZESl6IvjRH-s5Tk/view?usp=drivesdk" TargetMode="External"/><Relationship Id="rId292" Type="http://schemas.openxmlformats.org/officeDocument/2006/relationships/hyperlink" Target="https://drive.google.com/file/d/1Lsi2SYUABFaZP6z2KyI9f6UCLnI9bmHI/view?usp=drivesdk" TargetMode="External"/><Relationship Id="rId293" Type="http://schemas.openxmlformats.org/officeDocument/2006/relationships/hyperlink" Target="https://drive.google.com/file/d/1e84UuKloOf9tsG4p7EbWtwyo6q4V7E8d/view?usp=drivesdk" TargetMode="External"/><Relationship Id="rId294" Type="http://schemas.openxmlformats.org/officeDocument/2006/relationships/hyperlink" Target="https://drive.google.com/file/d/1rqCQ0AffNdR7W3PptACiuITqV3pYX5Hs/view?usp=drivesdk" TargetMode="External"/><Relationship Id="rId295" Type="http://schemas.openxmlformats.org/officeDocument/2006/relationships/hyperlink" Target="https://drive.google.com/file/d/14G7LLiww3R4RsT151tb6xuVJr6CNPe9U/view?usp=drivesdk" TargetMode="External"/><Relationship Id="rId296" Type="http://schemas.openxmlformats.org/officeDocument/2006/relationships/hyperlink" Target="https://drive.google.com/file/d/1bPMXKV6e1FbU5RTeha8Qwmp1L9Hm3TsA/view?usp=drivesdk" TargetMode="External"/><Relationship Id="rId297" Type="http://schemas.openxmlformats.org/officeDocument/2006/relationships/hyperlink" Target="https://drive.google.com/file/d/1_vnzQh5OZHZC1YILlQbcYLoSmOsOVsDQ/view?usp=drivesdk" TargetMode="External"/><Relationship Id="rId298" Type="http://schemas.openxmlformats.org/officeDocument/2006/relationships/hyperlink" Target="https://drive.google.com/file/d/1Jjy91M9SandDMlHfdx68QG706y9eekSS/view?usp=drivesdk" TargetMode="External"/><Relationship Id="rId299" Type="http://schemas.openxmlformats.org/officeDocument/2006/relationships/hyperlink" Target="https://drive.google.com/file/d/1kNJOMN2zPAiHAwkIYtVA0mNaHFtPsJq0/view?usp=drivesdk" TargetMode="External"/><Relationship Id="rId300" Type="http://schemas.openxmlformats.org/officeDocument/2006/relationships/hyperlink" Target="https://drive.google.com/file/d/1tRsdwLxnPdgTDwcOA0tXPoVE_rir8Ok6/view?usp=drivesdk" TargetMode="External"/><Relationship Id="rId301" Type="http://schemas.openxmlformats.org/officeDocument/2006/relationships/hyperlink" Target="https://drive.google.com/file/d/1Go7aREaiTR-VY319uaZJUaLblWlozQg2/view?usp=drivesdk" TargetMode="External"/><Relationship Id="rId302" Type="http://schemas.openxmlformats.org/officeDocument/2006/relationships/hyperlink" Target="https://drive.google.com/file/d/1LKe6bnZIa1KqNl0hYwH9FUaVnJGVX4bM/view?usp=drivesdk" TargetMode="External"/><Relationship Id="rId303" Type="http://schemas.openxmlformats.org/officeDocument/2006/relationships/hyperlink" Target="https://drive.google.com/file/d/1W1v3mgdMUoykY1EQYai2koe3ED03Sv6L/view?usp=drivesdk" TargetMode="External"/><Relationship Id="rId304" Type="http://schemas.openxmlformats.org/officeDocument/2006/relationships/hyperlink" Target="https://drive.google.com/file/d/1k2QYMavh4IIlcaEPNPmFmT3H24bmu-X6/view?usp=drivesdk" TargetMode="External"/><Relationship Id="rId305" Type="http://schemas.openxmlformats.org/officeDocument/2006/relationships/hyperlink" Target="https://drive.google.com/file/d/1P1jdN6ZD_dm0LqoiLO-KiPjshGPwIN8o/view?usp=drivesdk" TargetMode="External"/><Relationship Id="rId306" Type="http://schemas.openxmlformats.org/officeDocument/2006/relationships/hyperlink" Target="https://drive.google.com/file/d/1dpAMPlgYN-GwdbpXjEHx39SrthVfuJ0T/view?usp=drivesdk" TargetMode="External"/><Relationship Id="rId307" Type="http://schemas.openxmlformats.org/officeDocument/2006/relationships/hyperlink" Target="https://drive.google.com/file/d/1XeloO5LacVjYvKCX_HzqXclaoXKDFu_u/view?usp=drivesdk" TargetMode="External"/><Relationship Id="rId308" Type="http://schemas.openxmlformats.org/officeDocument/2006/relationships/hyperlink" Target="https://drive.google.com/file/d/13cFMo1EiZD6Rq28d_koLc1aRZIHbXhP3/view?usp=drivesdk" TargetMode="External"/><Relationship Id="rId309" Type="http://schemas.openxmlformats.org/officeDocument/2006/relationships/hyperlink" Target="https://drive.google.com/file/d/1jZP3I5s8SNsZ9oIHLDEmQ9F0a6LcA50g/view?usp=drivesdk" TargetMode="External"/><Relationship Id="rId310" Type="http://schemas.openxmlformats.org/officeDocument/2006/relationships/hyperlink" Target="https://drive.google.com/file/d/1KpSJLPmYYgiDEyCqn1jb3m7ABMNnMqrz/view?usp=drivesdk" TargetMode="External"/><Relationship Id="rId311" Type="http://schemas.openxmlformats.org/officeDocument/2006/relationships/hyperlink" Target="https://drive.google.com/file/d/13jedB2PDSmSs_4Lavq_bdn2MZtB43Sm_/view?usp=drivesdk" TargetMode="External"/><Relationship Id="rId312" Type="http://schemas.openxmlformats.org/officeDocument/2006/relationships/hyperlink" Target="https://drive.google.com/file/d/1a6avFXYw8gAYJrRv_iLgveLOPI1C8caf/view?usp=drivesdk" TargetMode="External"/><Relationship Id="rId313" Type="http://schemas.openxmlformats.org/officeDocument/2006/relationships/hyperlink" Target="https://drive.google.com/file/d/1nQWg4d5fUHEUDZvefUrjiIY2SDA0y7jD/view?usp=drivesdk" TargetMode="External"/><Relationship Id="rId314" Type="http://schemas.openxmlformats.org/officeDocument/2006/relationships/hyperlink" Target="https://drive.google.com/file/d/1NGhhuCUEwo7W2-1ZXF7UgCd-esidG7qk/view?usp=drivesdk" TargetMode="External"/><Relationship Id="rId315" Type="http://schemas.openxmlformats.org/officeDocument/2006/relationships/hyperlink" Target="https://drive.google.com/file/d/1X6-8eXDINmnt1lhmL_mFcjOYPTtGs0fR/view?usp=drivesdk" TargetMode="External"/><Relationship Id="rId316" Type="http://schemas.openxmlformats.org/officeDocument/2006/relationships/hyperlink" Target="https://drive.google.com/file/d/1kxZX0ueiAPX1rdxcZQtT9mspWw5unrWO/view?usp=drivesdk" TargetMode="External"/><Relationship Id="rId317" Type="http://schemas.openxmlformats.org/officeDocument/2006/relationships/hyperlink" Target="https://drive.google.com/file/d/1UIYy7PxMLblxE_amIUuuo08V0ZkDiEF5/view?usp=drivesdk" TargetMode="External"/><Relationship Id="rId318" Type="http://schemas.openxmlformats.org/officeDocument/2006/relationships/hyperlink" Target="https://drive.google.com/file/d/1ReD3m5mKgMTqEPNyhuQxxpM0BeNw4kPf/view?usp=drivesdk" TargetMode="External"/><Relationship Id="rId319" Type="http://schemas.openxmlformats.org/officeDocument/2006/relationships/hyperlink" Target="https://drive.google.com/file/d/1iOfUsUvHDPfwKoGU9vjJ2_6pGGQtcNok/view?usp=drivesdk" TargetMode="External"/><Relationship Id="rId320" Type="http://schemas.openxmlformats.org/officeDocument/2006/relationships/hyperlink" Target="https://drive.google.com/file/d/1h54ZbWLA72AjLioGPBT-I8hr1GbXOhXN/view?usp=drivesdk" TargetMode="External"/><Relationship Id="rId321" Type="http://schemas.openxmlformats.org/officeDocument/2006/relationships/hyperlink" Target="https://drive.google.com/file/d/1K6DJColOs8GPwPbsSfP3lp2SiNl3Z-Hu/view?usp=drivesdk" TargetMode="External"/><Relationship Id="rId322" Type="http://schemas.openxmlformats.org/officeDocument/2006/relationships/hyperlink" Target="https://drive.google.com/file/d/1ikQiJRjo_DZXzpz8O34MI2GBnlaYvp5J/view?usp=drivesdk" TargetMode="External"/><Relationship Id="rId323" Type="http://schemas.openxmlformats.org/officeDocument/2006/relationships/hyperlink" Target="https://drive.google.com/file/d/1KjYkm5XJ2ATIjJHZtwEO68xpmbK2YTzO/view?usp=drivesdk" TargetMode="External"/><Relationship Id="rId324" Type="http://schemas.openxmlformats.org/officeDocument/2006/relationships/hyperlink" Target="https://drive.google.com/file/d/1_JXoKTEQA67LQpC5a3s2Pun8aqLCwJgm/view?usp=drivesdk" TargetMode="External"/><Relationship Id="rId325" Type="http://schemas.openxmlformats.org/officeDocument/2006/relationships/hyperlink" Target="https://drive.google.com/file/d/1-M_xZAeMGMYpn7eThB_WCkFkeJqlJ_F7/view?usp=drivesdk" TargetMode="External"/><Relationship Id="rId326" Type="http://schemas.openxmlformats.org/officeDocument/2006/relationships/hyperlink" Target="https://drive.google.com/file/d/1t2--MDwhkLbDP2MFyXNUiZzTzp5XQuC_/view?usp=drivesdk" TargetMode="External"/><Relationship Id="rId327" Type="http://schemas.openxmlformats.org/officeDocument/2006/relationships/hyperlink" Target="https://drive.google.com/file/d/1B4gtd1lIJ-viulm5RPm84CCEM2dQAmDA/view?usp=drivesdk" TargetMode="External"/><Relationship Id="rId328" Type="http://schemas.openxmlformats.org/officeDocument/2006/relationships/hyperlink" Target="https://drive.google.com/file/d/13o-_fetv56JzShbGAhaSCa6v5tVXCNIv/view?usp=drivesdk" TargetMode="External"/><Relationship Id="rId329" Type="http://schemas.openxmlformats.org/officeDocument/2006/relationships/hyperlink" Target="https://drive.google.com/file/d/1zZ7CGg5MvDsz5A9SAF5biDPulIwM-Zpm/view?usp=drivesdk" TargetMode="External"/><Relationship Id="rId330" Type="http://schemas.openxmlformats.org/officeDocument/2006/relationships/hyperlink" Target="https://drive.google.com/file/d/1HE2dmWdG_hWcJ-WFI1baaYEjN_VX0d7W/view?usp=drivesdk" TargetMode="External"/><Relationship Id="rId331" Type="http://schemas.openxmlformats.org/officeDocument/2006/relationships/hyperlink" Target="https://drive.google.com/file/d/1Wjv_48Xu6yc_Im-nlc8ar-5BoNK2sqzU/view?usp=drivesdk" TargetMode="External"/><Relationship Id="rId332" Type="http://schemas.openxmlformats.org/officeDocument/2006/relationships/hyperlink" Target="https://drive.google.com/file/d/13CiH5TkhVwnhgGPpqTIR8Kx8E_XViSEd/view?usp=drivesdk" TargetMode="External"/><Relationship Id="rId333" Type="http://schemas.openxmlformats.org/officeDocument/2006/relationships/hyperlink" Target="https://drive.google.com/file/d/1_PXgz8PCyfDUCsL-7FUCf7Y3CphrF1v_/view?usp=drivesdk" TargetMode="External"/><Relationship Id="rId334" Type="http://schemas.openxmlformats.org/officeDocument/2006/relationships/hyperlink" Target="https://drive.google.com/file/d/1lmPhEsfe8md1cSUDy1QEQKHp7N90XiVI/view?usp=drivesdk" TargetMode="External"/><Relationship Id="rId335" Type="http://schemas.openxmlformats.org/officeDocument/2006/relationships/hyperlink" Target="https://drive.google.com/file/d/1b_qQ9TBSkUjfitG6UWIjRn-rgJ1qNaQq/view?usp=drivesdk" TargetMode="External"/><Relationship Id="rId336" Type="http://schemas.openxmlformats.org/officeDocument/2006/relationships/hyperlink" Target="https://drive.google.com/file/d/17n0ezbq4T-G1RH3eteU7HSJgbjwpPoyM/view?usp=drivesdk" TargetMode="External"/><Relationship Id="rId337" Type="http://schemas.openxmlformats.org/officeDocument/2006/relationships/hyperlink" Target="https://drive.google.com/file/d/1r8a4syXN-Ml_fVlFi3uDSQtpaSVjwp4P/view?usp=drivesdk" TargetMode="External"/><Relationship Id="rId338" Type="http://schemas.openxmlformats.org/officeDocument/2006/relationships/hyperlink" Target="https://drive.google.com/file/d/1A8GCvcXX2AWt78xFjz2FW_TjsEIjMfSJ/view?usp=drivesdk" TargetMode="External"/><Relationship Id="rId339" Type="http://schemas.openxmlformats.org/officeDocument/2006/relationships/hyperlink" Target="https://drive.google.com/file/d/1BQI6si16_fk-lVLVLpF18XDuiKQaEs1P/view?usp=drivesdk" TargetMode="External"/><Relationship Id="rId340" Type="http://schemas.openxmlformats.org/officeDocument/2006/relationships/hyperlink" Target="https://drive.google.com/file/d/1_VbSrtxLCi46Tqq3hNSNP9zs5WMW9JCM/view?usp=drivesdk" TargetMode="External"/><Relationship Id="rId341" Type="http://schemas.openxmlformats.org/officeDocument/2006/relationships/hyperlink" Target="https://drive.google.com/file/d/1KB6o_GXvoiLxg5IXb9KLS39hNGmQ214G/view?usp=drivesdk" TargetMode="External"/><Relationship Id="rId342" Type="http://schemas.openxmlformats.org/officeDocument/2006/relationships/hyperlink" Target="https://drive.google.com/file/d/1uH7n4jcIZMmF6AmKlfQViXBYffcr3Adb/view?usp=drivesdk" TargetMode="External"/><Relationship Id="rId343" Type="http://schemas.openxmlformats.org/officeDocument/2006/relationships/hyperlink" Target="https://drive.google.com/file/d/1XNNfw80dpnYuKnbCAbf23Ja-x6OBMvYz/view?usp=drivesdk" TargetMode="External"/><Relationship Id="rId344" Type="http://schemas.openxmlformats.org/officeDocument/2006/relationships/hyperlink" Target="https://drive.google.com/file/d/1LSP2bW27RRTYJqk8nX4X1FUI7wlctWpg/view?usp=drivesdk" TargetMode="External"/><Relationship Id="rId345" Type="http://schemas.openxmlformats.org/officeDocument/2006/relationships/hyperlink" Target="https://drive.google.com/file/d/1jlyssQQmCqUnr7lMOky0UbNdnp8PYFSW/view?usp=drivesdk" TargetMode="External"/><Relationship Id="rId346" Type="http://schemas.openxmlformats.org/officeDocument/2006/relationships/hyperlink" Target="https://drive.google.com/file/d/1k1q7M2NTe_bqE-zSPMUHMLsNJbmpxeNd/view?usp=drivesdk" TargetMode="External"/><Relationship Id="rId347" Type="http://schemas.openxmlformats.org/officeDocument/2006/relationships/hyperlink" Target="https://drive.google.com/file/d/1ZDnrQybzmvUeZhnuWwMAU9YGPZayqwD9/view?usp=drivesdk" TargetMode="External"/><Relationship Id="rId348" Type="http://schemas.openxmlformats.org/officeDocument/2006/relationships/hyperlink" Target="https://drive.google.com/file/d/16pQ8X2NorRkoy6RSmHaPvPDIkwuJtIZU/view?usp=drivesdk" TargetMode="External"/><Relationship Id="rId349" Type="http://schemas.openxmlformats.org/officeDocument/2006/relationships/hyperlink" Target="https://drive.google.com/file/d/10skfBmgAT-q3fh9RVnhLuJo6KdbGxFru/view?usp=drivesdk" TargetMode="External"/><Relationship Id="rId350" Type="http://schemas.openxmlformats.org/officeDocument/2006/relationships/hyperlink" Target="https://drive.google.com/file/d/1xdgoiqLq0Vj-GcV_FTTLjhLT2aJePEWp/view?usp=drivesdk" TargetMode="External"/><Relationship Id="rId351" Type="http://schemas.openxmlformats.org/officeDocument/2006/relationships/hyperlink" Target="https://drive.google.com/file/d/15hn_6AshNlKZ_OK6-pJGgXB7NQ9iM3HW/view?usp=drivesdk" TargetMode="External"/><Relationship Id="rId352" Type="http://schemas.openxmlformats.org/officeDocument/2006/relationships/hyperlink" Target="https://drive.google.com/file/d/1ZFcv2NPo81LOioYsWeJ9L0E4PCLbnZSt/view?usp=drivesdk" TargetMode="External"/><Relationship Id="rId353" Type="http://schemas.openxmlformats.org/officeDocument/2006/relationships/hyperlink" Target="https://drive.google.com/file/d/1QGsHO_6FNTxp3aBr3CfKorgDPj16CHdk/view?usp=drivesdk" TargetMode="External"/><Relationship Id="rId354" Type="http://schemas.openxmlformats.org/officeDocument/2006/relationships/hyperlink" Target="https://drive.google.com/file/d/1BKVaIheowOZWyzRzmbqrBTtV5UJko1QY/view?usp=drivesdk" TargetMode="External"/><Relationship Id="rId355" Type="http://schemas.openxmlformats.org/officeDocument/2006/relationships/hyperlink" Target="https://drive.google.com/file/d/1_6eV0WMGNTxQrFDVWd9rZk42ryDdNf3D/view?usp=drivesdk" TargetMode="External"/><Relationship Id="rId356" Type="http://schemas.openxmlformats.org/officeDocument/2006/relationships/hyperlink" Target="https://drive.google.com/file/d/1NEvHkym0vUCOOWVwPJAN5jcU7Te1xtgS/view?usp=drivesdk" TargetMode="External"/><Relationship Id="rId357" Type="http://schemas.openxmlformats.org/officeDocument/2006/relationships/hyperlink" Target="https://drive.google.com/file/d/1S3IihBz2EOE3GNaq4EYE6hDhm2o8VA7S/view?usp=drivesdk" TargetMode="External"/><Relationship Id="rId358" Type="http://schemas.openxmlformats.org/officeDocument/2006/relationships/hyperlink" Target="https://drive.google.com/file/d/1I5qjdppjYGS-w8gmSB6btwhjxCVHTYzw/view?usp=drivesdk" TargetMode="External"/><Relationship Id="rId359" Type="http://schemas.openxmlformats.org/officeDocument/2006/relationships/hyperlink" Target="https://drive.google.com/file/d/1yvyjAsp2Ry6LX7DekWEtKx8bixgGpBaW/view?usp=drivesdk" TargetMode="External"/><Relationship Id="rId360" Type="http://schemas.openxmlformats.org/officeDocument/2006/relationships/hyperlink" Target="https://drive.google.com/file/d/1r-bR8wxTXmMaUDiQCfTEmZByYrBCUSUE/view?usp=drivesdk" TargetMode="External"/><Relationship Id="rId361" Type="http://schemas.openxmlformats.org/officeDocument/2006/relationships/hyperlink" Target="https://drive.google.com/file/d/1VgQXN5Kp_KmPp0EAHmCWqbazWvi8NQmH/view?usp=drivesdk" TargetMode="External"/><Relationship Id="rId362" Type="http://schemas.openxmlformats.org/officeDocument/2006/relationships/hyperlink" Target="https://drive.google.com/file/d/1O5o7wyo6h11PS743Rm1eTSJA9ejSM_A9/view?usp=drivesdk" TargetMode="External"/><Relationship Id="rId363" Type="http://schemas.openxmlformats.org/officeDocument/2006/relationships/hyperlink" Target="https://drive.google.com/file/d/1RjGDIHzbbwUoWGy3tF8_axOlGEewJgpf/view?usp=drivesdk" TargetMode="External"/><Relationship Id="rId364" Type="http://schemas.openxmlformats.org/officeDocument/2006/relationships/hyperlink" Target="https://drive.google.com/file/d/1t7eegiQPIr5kKRtq_86FVnsm0dQhNZ7g/view?usp=drivesdk" TargetMode="External"/><Relationship Id="rId365" Type="http://schemas.openxmlformats.org/officeDocument/2006/relationships/hyperlink" Target="https://drive.google.com/file/d/1jq_8nwkjxoQOzmh03iUe7hyYLyyUTHv9/view?usp=drivesdk" TargetMode="External"/><Relationship Id="rId366" Type="http://schemas.openxmlformats.org/officeDocument/2006/relationships/hyperlink" Target="https://drive.google.com/file/d/1Bjwme7mzmNWwWP-STPnjznZRuTfFJIf7/view?usp=drivesdk" TargetMode="External"/><Relationship Id="rId367" Type="http://schemas.openxmlformats.org/officeDocument/2006/relationships/hyperlink" Target="https://drive.google.com/file/d/10SjA1DOVuoNBh52avdhSq1H1ysKl4GFZ/view?usp=drivesdk" TargetMode="External"/><Relationship Id="rId368" Type="http://schemas.openxmlformats.org/officeDocument/2006/relationships/hyperlink" Target="https://drive.google.com/file/d/13CUnvLQtjJRs8wXmnjBczjyD78pJw9Wy/view?usp=drivesdk" TargetMode="External"/><Relationship Id="rId369" Type="http://schemas.openxmlformats.org/officeDocument/2006/relationships/hyperlink" Target="https://drive.google.com/file/d/10QsP_CTMX-jHcfpIn7fRQ_tuzp-tSXFv/view?usp=drivesdk" TargetMode="External"/><Relationship Id="rId370" Type="http://schemas.openxmlformats.org/officeDocument/2006/relationships/hyperlink" Target="https://drive.google.com/file/d/1HJlx2W6m5jBJFptwE95fwqIS9Qvfet1M/view?usp=drivesdk" TargetMode="External"/><Relationship Id="rId371" Type="http://schemas.openxmlformats.org/officeDocument/2006/relationships/hyperlink" Target="https://drive.google.com/file/d/1Hpj-0Mi_cNJjjm6mOgTPBOUCHwLqK6Zq/view?usp=drivesdk" TargetMode="External"/><Relationship Id="rId372" Type="http://schemas.openxmlformats.org/officeDocument/2006/relationships/hyperlink" Target="https://drive.google.com/file/d/1ymg-5n6lG96uhXaFb2H71VkfVEAIHSEv/view?usp=drivesdk" TargetMode="External"/><Relationship Id="rId373" Type="http://schemas.openxmlformats.org/officeDocument/2006/relationships/hyperlink" Target="https://drive.google.com/file/d/1fwGBIQ5pup6bME3NUnj2E5clRUDsy9G7/view?usp=drivesdk" TargetMode="External"/><Relationship Id="rId374" Type="http://schemas.openxmlformats.org/officeDocument/2006/relationships/hyperlink" Target="https://drive.google.com/file/d/1q4BVNrilSgtzBMfxXrX80AeRfZhgcK5O/view?usp=drivesdk" TargetMode="External"/><Relationship Id="rId375" Type="http://schemas.openxmlformats.org/officeDocument/2006/relationships/hyperlink" Target="https://drive.google.com/file/d/1nXKrq93wY_WCJb5MkvZY01lgSBBndrb9/view?usp=drivesdk" TargetMode="External"/><Relationship Id="rId376" Type="http://schemas.openxmlformats.org/officeDocument/2006/relationships/hyperlink" Target="https://drive.google.com/file/d/1UU5bQ6ZmsEBwx9YUta8iUs0RDzfD-8L3/view?usp=drivesdk" TargetMode="External"/><Relationship Id="rId377" Type="http://schemas.openxmlformats.org/officeDocument/2006/relationships/hyperlink" Target="https://drive.google.com/file/d/1qv57p7UFhIaC-IqjAd4NeTGkHxKfb-TO/view?usp=drivesdk" TargetMode="External"/><Relationship Id="rId378" Type="http://schemas.openxmlformats.org/officeDocument/2006/relationships/hyperlink" Target="https://drive.google.com/file/d/1TVE9Y3CypoYZx9hSF0ITGueE4XlkJBnW/view?usp=drivesdk" TargetMode="External"/><Relationship Id="rId379" Type="http://schemas.openxmlformats.org/officeDocument/2006/relationships/hyperlink" Target="https://drive.google.com/file/d/11rp_JsasrYXSDslnHkxJviw0ug474Ccb/view?usp=drivesdk" TargetMode="External"/><Relationship Id="rId380" Type="http://schemas.openxmlformats.org/officeDocument/2006/relationships/hyperlink" Target="https://drive.google.com/file/d/11LtDP09FE800uB7wpbYRrPvIdLXeeeR3/view?usp=drivesdk" TargetMode="External"/><Relationship Id="rId381" Type="http://schemas.openxmlformats.org/officeDocument/2006/relationships/hyperlink" Target="https://drive.google.com/file/d/1lOkWcrUMsGEoRreIr7PRkxwvczpeAoVL/view?usp=drivesdk" TargetMode="External"/><Relationship Id="rId382" Type="http://schemas.openxmlformats.org/officeDocument/2006/relationships/hyperlink" Target="https://drive.google.com/file/d/1RZSN17DDYiEBIOD3iAvjWewDvQrUV1Vj/view?usp=drivesdk" TargetMode="External"/><Relationship Id="rId383" Type="http://schemas.openxmlformats.org/officeDocument/2006/relationships/hyperlink" Target="https://drive.google.com/file/d/1idcVTEHWu1WARsF-5DbVqubOYoQ6zG8k/view?usp=drivesdk" TargetMode="External"/><Relationship Id="rId384" Type="http://schemas.openxmlformats.org/officeDocument/2006/relationships/hyperlink" Target="https://drive.google.com/file/d/1Faory1bMq9fKvo987V8u-RT8FsPDhMEg/view?usp=drivesdk" TargetMode="External"/><Relationship Id="rId385" Type="http://schemas.openxmlformats.org/officeDocument/2006/relationships/hyperlink" Target="https://drive.google.com/file/d/1ul0YYX7MHpJkp5mtZpaM9uT2tf_mHaRo/view?usp=drivesdk" TargetMode="External"/><Relationship Id="rId386" Type="http://schemas.openxmlformats.org/officeDocument/2006/relationships/hyperlink" Target="https://drive.google.com/file/d/1McNPiP3QEzM9RlVm1dgwCSYuzlNs7mYk/view?usp=drivesdk" TargetMode="External"/><Relationship Id="rId387" Type="http://schemas.openxmlformats.org/officeDocument/2006/relationships/hyperlink" Target="https://drive.google.com/file/d/11G6ks_7ME8lC04NjgHovj_N56r32QPpp/view?usp=drivesdk" TargetMode="External"/><Relationship Id="rId388" Type="http://schemas.openxmlformats.org/officeDocument/2006/relationships/hyperlink" Target="https://drive.google.com/file/d/1Y_9SWgZNmq7FXN8jmI7DOHnC2hj-cNVT/view?usp=drivesdk" TargetMode="External"/><Relationship Id="rId389" Type="http://schemas.openxmlformats.org/officeDocument/2006/relationships/hyperlink" Target="https://drive.google.com/file/d/10bsyzY6V6rHj4rhKaNWnKfsz-Mq1qeNT/view?usp=drivesdk" TargetMode="External"/><Relationship Id="rId390" Type="http://schemas.openxmlformats.org/officeDocument/2006/relationships/hyperlink" Target="https://drive.google.com/file/d/1fmBBiG-4QitJl-g8Nby7yp26oFb8T3km/view?usp=drivesdk" TargetMode="External"/><Relationship Id="rId391" Type="http://schemas.openxmlformats.org/officeDocument/2006/relationships/hyperlink" Target="https://drive.google.com/file/d/1ZVhVT_g9y6Maw3lIkyEAqhH4gXD348Jc/view?usp=drivesdk" TargetMode="External"/><Relationship Id="rId392" Type="http://schemas.openxmlformats.org/officeDocument/2006/relationships/hyperlink" Target="https://drive.google.com/file/d/1SfEkXiwzzxCUppeXj5BXYUotEMcGgYS-/view?usp=drivesdk" TargetMode="External"/><Relationship Id="rId393" Type="http://schemas.openxmlformats.org/officeDocument/2006/relationships/hyperlink" Target="https://drive.google.com/file/d/1u9AvxP8sbY2Xj8GQHfgkpY10HNtKz5Xc/view?usp=drivesdk" TargetMode="External"/><Relationship Id="rId394" Type="http://schemas.openxmlformats.org/officeDocument/2006/relationships/hyperlink" Target="https://drive.google.com/file/d/1sxQxOMqRdTVlxzNgq6y2lS0XhSLMCS3-/view?usp=drivesdk" TargetMode="External"/><Relationship Id="rId395" Type="http://schemas.openxmlformats.org/officeDocument/2006/relationships/hyperlink" Target="https://drive.google.com/file/d/1Ox_U4G0OfEdmhCq5Vj1Gv0pn57FuXzGl/view?usp=drivesdk" TargetMode="External"/><Relationship Id="rId396" Type="http://schemas.openxmlformats.org/officeDocument/2006/relationships/hyperlink" Target="https://drive.google.com/file/d/1gG1lOt7LQYwXefO4q1zjsceBwATxSVgj/view?usp=drivesdk" TargetMode="External"/><Relationship Id="rId397" Type="http://schemas.openxmlformats.org/officeDocument/2006/relationships/hyperlink" Target="https://drive.google.com/file/d/16HPQE4pkbflVjHyip0kozAvsAufB_mjy/view?usp=drivesdk" TargetMode="External"/><Relationship Id="rId398" Type="http://schemas.openxmlformats.org/officeDocument/2006/relationships/hyperlink" Target="https://drive.google.com/file/d/19I4MYeGB1vqSkNpbni9U9hNKmJhSDihg/view?usp=drivesdk" TargetMode="External"/><Relationship Id="rId399" Type="http://schemas.openxmlformats.org/officeDocument/2006/relationships/hyperlink" Target="https://drive.google.com/file/d/1UNrX-RNd0iLqDws96r3SiJdXtef7OBTF/view?usp=drivesdk" TargetMode="External"/><Relationship Id="rId400" Type="http://schemas.openxmlformats.org/officeDocument/2006/relationships/hyperlink" Target="https://drive.google.com/file/d/13rx4K5AV1h49AP8dtb0Ylpz_5PF5b9cT/view?usp=drivesdk" TargetMode="External"/><Relationship Id="rId401" Type="http://schemas.openxmlformats.org/officeDocument/2006/relationships/hyperlink" Target="https://drive.google.com/file/d/1rcbzrTf1rKVWFQ0MpfT61GnH40b7v7XB/view?usp=drivesdk" TargetMode="External"/><Relationship Id="rId402" Type="http://schemas.openxmlformats.org/officeDocument/2006/relationships/hyperlink" Target="https://drive.google.com/file/d/1NRnuHZo3Z9o_ZxHvMGyXkrPQcNBGbSzh/view?usp=drivesdk" TargetMode="External"/><Relationship Id="rId403" Type="http://schemas.openxmlformats.org/officeDocument/2006/relationships/hyperlink" Target="https://drive.google.com/file/d/1-pDfWM2KpP1XdS0IPlTCMrfLySDS1OiJ/view?usp=drivesdk" TargetMode="External"/><Relationship Id="rId404" Type="http://schemas.openxmlformats.org/officeDocument/2006/relationships/hyperlink" Target="https://drive.google.com/file/d/1hHzqDSWo33tYmjUgLPVgIgsVRHl3Fobb/view?usp=drivesdk" TargetMode="External"/><Relationship Id="rId405" Type="http://schemas.openxmlformats.org/officeDocument/2006/relationships/hyperlink" Target="https://drive.google.com/file/d/1FSt1wRFcn_1cPeQkkFSgfmR7Gn7GkDXb/view?usp=drivesdk" TargetMode="External"/><Relationship Id="rId406" Type="http://schemas.openxmlformats.org/officeDocument/2006/relationships/hyperlink" Target="https://drive.google.com/file/d/1BC1nhPnOQkGtTY8iN8Ulu6-caQnJOi_L/view?usp=drivesdk" TargetMode="External"/><Relationship Id="rId407" Type="http://schemas.openxmlformats.org/officeDocument/2006/relationships/hyperlink" Target="https://drive.google.com/file/d/1aT6kLFG5IrQy5CWvMJuxznoQEF5w4tU-/view?usp=drivesdk" TargetMode="External"/><Relationship Id="rId408" Type="http://schemas.openxmlformats.org/officeDocument/2006/relationships/hyperlink" Target="https://drive.google.com/file/d/1YJlywQQA6vwHnW67MeCsmdGEoIs-UhT7/view?usp=drivesdk" TargetMode="External"/><Relationship Id="rId409" Type="http://schemas.openxmlformats.org/officeDocument/2006/relationships/hyperlink" Target="https://drive.google.com/file/d/1SvP0GErF2QIHW5Bv4yXd4R0yt8q-Uv3h/view?usp=drivesdk" TargetMode="External"/><Relationship Id="rId410" Type="http://schemas.openxmlformats.org/officeDocument/2006/relationships/hyperlink" Target="https://drive.google.com/file/d/17lRWd3RDQNhJmIkiDtH5vMi-9xfhqQ6h/view?usp=drivesdk" TargetMode="External"/><Relationship Id="rId411" Type="http://schemas.openxmlformats.org/officeDocument/2006/relationships/hyperlink" Target="https://drive.google.com/file/d/1iSiby1qAcCUkLp8E3Loq2ElctQ0KXf2S/view?usp=drivesdk" TargetMode="External"/><Relationship Id="rId412" Type="http://schemas.openxmlformats.org/officeDocument/2006/relationships/hyperlink" Target="https://drive.google.com/file/d/10l_Me-diix4617IgwEYbgWBMIeCIie1z/view?usp=drivesdk" TargetMode="External"/><Relationship Id="rId413" Type="http://schemas.openxmlformats.org/officeDocument/2006/relationships/hyperlink" Target="https://drive.google.com/file/d/1kjZbiwMuBR07ZtEnf-HfhvQxeZr1h_UI/view?usp=drivesdk" TargetMode="External"/><Relationship Id="rId414" Type="http://schemas.openxmlformats.org/officeDocument/2006/relationships/hyperlink" Target="https://drive.google.com/file/d/1_pId1dI_kEmZ7S0hnOe0TCoXQpCR5_LD/view?usp=drivesdk" TargetMode="External"/><Relationship Id="rId415" Type="http://schemas.openxmlformats.org/officeDocument/2006/relationships/hyperlink" Target="https://drive.google.com/file/d/1BtP6qcsPBfiYPXw3NFP1WZqllauGPBpE/view?usp=drivesdk" TargetMode="External"/><Relationship Id="rId416" Type="http://schemas.openxmlformats.org/officeDocument/2006/relationships/hyperlink" Target="https://drive.google.com/file/d/114xWU4qLBWelIKAaLx_sRPEIAwz263lR/view?usp=drivesdk" TargetMode="External"/><Relationship Id="rId417" Type="http://schemas.openxmlformats.org/officeDocument/2006/relationships/hyperlink" Target="https://drive.google.com/file/d/1oUDreb2gLvzDzednjRmfejlfXB5tsH0V/view?usp=drivesdk" TargetMode="External"/><Relationship Id="rId418" Type="http://schemas.openxmlformats.org/officeDocument/2006/relationships/hyperlink" Target="https://drive.google.com/file/d/1vSEfZSjJbw121p-EvFO0_jFiuJCZqosp/view?usp=drivesdk" TargetMode="External"/><Relationship Id="rId419" Type="http://schemas.openxmlformats.org/officeDocument/2006/relationships/hyperlink" Target="https://drive.google.com/file/d/1tlSsfqxTJRWvwmbVPtwpJoqRb3jlUUjh/view?usp=drivesdk" TargetMode="External"/><Relationship Id="rId420" Type="http://schemas.openxmlformats.org/officeDocument/2006/relationships/hyperlink" Target="https://drive.google.com/file/d/1HvKZXELMEUA2ceu1bnEpkWfgcH6mGRKQ/view?usp=drivesdk" TargetMode="External"/><Relationship Id="rId421" Type="http://schemas.openxmlformats.org/officeDocument/2006/relationships/hyperlink" Target="https://drive.google.com/file/d/1ir2Eq486bZYoYeAPAmUYVwd2xI_BXKCH/view?usp=drivesdk" TargetMode="External"/><Relationship Id="rId422" Type="http://schemas.openxmlformats.org/officeDocument/2006/relationships/hyperlink" Target="https://drive.google.com/file/d/1xNlAxEmdE94DwxqecsiSdQ7rMrHQi3rR/view?usp=drivesdk" TargetMode="External"/><Relationship Id="rId423" Type="http://schemas.openxmlformats.org/officeDocument/2006/relationships/hyperlink" Target="https://drive.google.com/file/d/1nKlb4IwwABzdSw3VOYIcGlN6wQqfWNWr/view?usp=drivesdk" TargetMode="External"/><Relationship Id="rId424" Type="http://schemas.openxmlformats.org/officeDocument/2006/relationships/hyperlink" Target="https://drive.google.com/file/d/1qen-Dopf6f8Dx0oB78l2fRy5Oe-L1VYi/view?usp=drivesdk" TargetMode="External"/><Relationship Id="rId425" Type="http://schemas.openxmlformats.org/officeDocument/2006/relationships/hyperlink" Target="https://drive.google.com/file/d/1pHJ6pipT_2ZhykZLBV9aAPJZg9FxEk7w/view?usp=drivesdk" TargetMode="External"/><Relationship Id="rId426" Type="http://schemas.openxmlformats.org/officeDocument/2006/relationships/hyperlink" Target="https://drive.google.com/file/d/1XNPKch4qpELrz1Gs4DuUvfM5lOhgXjOA/view?usp=drivesdk" TargetMode="External"/><Relationship Id="rId427" Type="http://schemas.openxmlformats.org/officeDocument/2006/relationships/hyperlink" Target="https://drive.google.com/file/d/1wJXjQpp_KI6fRHiDqSp80MP0j5Z93EO-/view?usp=drivesdk" TargetMode="External"/><Relationship Id="rId428" Type="http://schemas.openxmlformats.org/officeDocument/2006/relationships/hyperlink" Target="https://drive.google.com/file/d/1H22uPPzfyaddLh8oumGJjybpOykdqqYj/view?usp=drivesdk" TargetMode="External"/><Relationship Id="rId429" Type="http://schemas.openxmlformats.org/officeDocument/2006/relationships/hyperlink" Target="https://drive.google.com/file/d/1V9HfEbMAvRxM2v7m6rU0e4-aggu7QOVH/view?usp=drivesdk" TargetMode="External"/><Relationship Id="rId430" Type="http://schemas.openxmlformats.org/officeDocument/2006/relationships/hyperlink" Target="https://drive.google.com/file/d/1pfjsXYpwfzZ2SQc9Nvl0_XsfyC5p3mLL/view?usp=drivesdk" TargetMode="External"/><Relationship Id="rId431" Type="http://schemas.openxmlformats.org/officeDocument/2006/relationships/hyperlink" Target="https://drive.google.com/file/d/1fO_oyqTkF_zAIEA8bQrQzFZuDJ3aA7ok/view?usp=drivesdk" TargetMode="External"/><Relationship Id="rId432" Type="http://schemas.openxmlformats.org/officeDocument/2006/relationships/hyperlink" Target="https://drive.google.com/file/d/1ODPiqEKtPgsf3k8dpN4k0OpaRHWNUFD_/view?usp=drivesdk" TargetMode="External"/><Relationship Id="rId433" Type="http://schemas.openxmlformats.org/officeDocument/2006/relationships/hyperlink" Target="https://drive.google.com/file/d/1vifofyRDCphlI0gFiZhXWLAExek4e2qu/view?usp=drivesdk" TargetMode="External"/><Relationship Id="rId434" Type="http://schemas.openxmlformats.org/officeDocument/2006/relationships/hyperlink" Target="https://drive.google.com/file/d/1rQi0rwGPi1Cgji9qJEJ5SrbFayFUhKvR/view?usp=drivesdk" TargetMode="External"/><Relationship Id="rId435" Type="http://schemas.openxmlformats.org/officeDocument/2006/relationships/hyperlink" Target="https://drive.google.com/file/d/1mxBnAsJRfPSBU3wiNI3C6UGvHDOkAbXZ/view?usp=drivesdk" TargetMode="External"/><Relationship Id="rId436" Type="http://schemas.openxmlformats.org/officeDocument/2006/relationships/hyperlink" Target="https://drive.google.com/file/d/1348NEeOr4EOyOFM5VgCqybG2jBs2kPCn/view?usp=drivesdk" TargetMode="External"/><Relationship Id="rId437" Type="http://schemas.openxmlformats.org/officeDocument/2006/relationships/hyperlink" Target="https://drive.google.com/file/d/1VVWgy7NcLm7uearPYbbB3c4yugl5ZlE4/view?usp=drivesdk" TargetMode="External"/><Relationship Id="rId438" Type="http://schemas.openxmlformats.org/officeDocument/2006/relationships/hyperlink" Target="https://drive.google.com/file/d/1C6h0MyZHpnCHiG1vqguJ3DTa1Pm9ERea/view?usp=drivesdk" TargetMode="External"/><Relationship Id="rId439" Type="http://schemas.openxmlformats.org/officeDocument/2006/relationships/hyperlink" Target="https://drive.google.com/file/d/158TttOirV7t42fTCBWaBUmhz1U3yPLBX/view?usp=drivesdk" TargetMode="External"/><Relationship Id="rId440" Type="http://schemas.openxmlformats.org/officeDocument/2006/relationships/hyperlink" Target="https://drive.google.com/file/d/1wr_z9Ty4jfysZZxzlyccLxo1kVJnUBmo/view?usp=drivesdk" TargetMode="External"/><Relationship Id="rId441" Type="http://schemas.openxmlformats.org/officeDocument/2006/relationships/hyperlink" Target="https://drive.google.com/file/d/11mIWbefV47QjYBoVsn8C002R_vtZeT4Q/view?usp=drivesdk" TargetMode="External"/><Relationship Id="rId442" Type="http://schemas.openxmlformats.org/officeDocument/2006/relationships/hyperlink" Target="https://drive.google.com/file/d/1jE8z0ibPlz60IKM_RyxtAhI5MlolqtNz/view?usp=drivesdk" TargetMode="External"/><Relationship Id="rId443" Type="http://schemas.openxmlformats.org/officeDocument/2006/relationships/hyperlink" Target="https://drive.google.com/file/d/1PFW6azLA80h2yBu86VQj4Uk8R_WlBWJV/view?usp=drivesdk" TargetMode="External"/><Relationship Id="rId444" Type="http://schemas.openxmlformats.org/officeDocument/2006/relationships/hyperlink" Target="https://drive.google.com/file/d/1VqjtuyKQD3g6z_oRyGa537-_x3k29mkH/view?usp=drivesdk" TargetMode="External"/><Relationship Id="rId445" Type="http://schemas.openxmlformats.org/officeDocument/2006/relationships/hyperlink" Target="https://drive.google.com/file/d/1usJGW8XMgRQJ-_z1SKlLK3WBi2EVji4L/view?usp=drivesdk" TargetMode="External"/><Relationship Id="rId446" Type="http://schemas.openxmlformats.org/officeDocument/2006/relationships/hyperlink" Target="https://drive.google.com/file/d/1q_GDGD659F1DewSSX7tPx79qMeuNmH1Z/view?usp=drivesdk" TargetMode="External"/><Relationship Id="rId447" Type="http://schemas.openxmlformats.org/officeDocument/2006/relationships/hyperlink" Target="https://drive.google.com/file/d/1BzVJuz_j3s6YfjfzVAF8s4uvG5Z1XbUG/view?usp=drivesdk" TargetMode="External"/><Relationship Id="rId448" Type="http://schemas.openxmlformats.org/officeDocument/2006/relationships/hyperlink" Target="https://drive.google.com/file/d/1_v_CcYUODEImTav6fY0vLDa6fG6DyEU6/view?usp=drivesdk" TargetMode="External"/><Relationship Id="rId449" Type="http://schemas.openxmlformats.org/officeDocument/2006/relationships/hyperlink" Target="https://drive.google.com/file/d/1ynwln54cUB6HI_XCbD8b6b7Pk2RLfJ84/view?usp=drivesdk" TargetMode="External"/><Relationship Id="rId450" Type="http://schemas.openxmlformats.org/officeDocument/2006/relationships/hyperlink" Target="https://drive.google.com/file/d/1OOlJUpk_gh9nHOau5yUObBB7mBjfBBUO/view?usp=drivesdk" TargetMode="External"/><Relationship Id="rId451" Type="http://schemas.openxmlformats.org/officeDocument/2006/relationships/hyperlink" Target="https://drive.google.com/file/d/1BZleMWsrkq6HJsIhuIeS0AfUrs6x4sYg/view?usp=drivesdk" TargetMode="External"/><Relationship Id="rId452" Type="http://schemas.openxmlformats.org/officeDocument/2006/relationships/hyperlink" Target="https://drive.google.com/file/d/1e8ZynnNeYWPlhrd5F-zySiHGKjsOw6Ar/view?usp=drivesdk" TargetMode="External"/><Relationship Id="rId453" Type="http://schemas.openxmlformats.org/officeDocument/2006/relationships/hyperlink" Target="https://drive.google.com/file/d/1f6yUUz1BQF3wdH2xMm7P_WdsFloKFhfs/view?usp=drivesdk" TargetMode="External"/><Relationship Id="rId454" Type="http://schemas.openxmlformats.org/officeDocument/2006/relationships/hyperlink" Target="https://drive.google.com/file/d/1iNqTOnGgLVjCaife_u52Fb-ZQOXDN-DL/view?usp=drivesdk" TargetMode="External"/><Relationship Id="rId455" Type="http://schemas.openxmlformats.org/officeDocument/2006/relationships/hyperlink" Target="https://drive.google.com/file/d/1Lyqcsq1AOHgchieU6NP4VoNA1w-ZV-A2/view?usp=drivesdk" TargetMode="External"/><Relationship Id="rId456" Type="http://schemas.openxmlformats.org/officeDocument/2006/relationships/hyperlink" Target="https://drive.google.com/file/d/11Je7EEczhKsT3wWKK0atCK536Sdm7PyD/view?usp=drivesdk" TargetMode="External"/><Relationship Id="rId457" Type="http://schemas.openxmlformats.org/officeDocument/2006/relationships/hyperlink" Target="https://drive.google.com/file/d/1albpZm6kY_TKOC7vi4ZdCzRRR7pMvlzg/view?usp=drivesdk" TargetMode="External"/><Relationship Id="rId458" Type="http://schemas.openxmlformats.org/officeDocument/2006/relationships/hyperlink" Target="https://drive.google.com/file/d/1mJWCBlbvCEQojmZMvXpNUzB7mImoqYmx/view?usp=drivesdk" TargetMode="External"/><Relationship Id="rId459" Type="http://schemas.openxmlformats.org/officeDocument/2006/relationships/hyperlink" Target="https://drive.google.com/file/d/1VjjsjEOkmXkxlxBabyOdciieBSJHvEs7/view?usp=drivesdk" TargetMode="External"/><Relationship Id="rId460" Type="http://schemas.openxmlformats.org/officeDocument/2006/relationships/hyperlink" Target="https://drive.google.com/file/d/1vA4mXH963wSvtcAfJYOPgoYOrbYwjOAI/view?usp=drivesdk" TargetMode="External"/><Relationship Id="rId461" Type="http://schemas.openxmlformats.org/officeDocument/2006/relationships/hyperlink" Target="https://drive.google.com/file/d/1j1H4hwIE5Un0bKgbFnEAILgcReH4qU6j/view?usp=drivesdk" TargetMode="External"/><Relationship Id="rId462" Type="http://schemas.openxmlformats.org/officeDocument/2006/relationships/hyperlink" Target="https://drive.google.com/file/d/1lNClcUTIeBolVCeUl8r90lHbQPccABry/view?usp=drivesdk" TargetMode="External"/><Relationship Id="rId463" Type="http://schemas.openxmlformats.org/officeDocument/2006/relationships/hyperlink" Target="https://drive.google.com/file/d/1gBNN_wTlKFBorvpknknfJqCx5zF7F4w4/view?usp=drivesdk" TargetMode="External"/><Relationship Id="rId464" Type="http://schemas.openxmlformats.org/officeDocument/2006/relationships/hyperlink" Target="https://drive.google.com/file/d/1_jC-9tc_GThdy5R3x9WVcxjb90hfiDoi/view?usp=drivesdk" TargetMode="External"/><Relationship Id="rId465" Type="http://schemas.openxmlformats.org/officeDocument/2006/relationships/hyperlink" Target="https://drive.google.com/file/d/1ScDDifbTnNM_Lp5HkHD_D-h_CkADaQ3g/view?usp=drivesdk" TargetMode="External"/><Relationship Id="rId466" Type="http://schemas.openxmlformats.org/officeDocument/2006/relationships/hyperlink" Target="https://drive.google.com/file/d/1UStXAFHjgiki3p_5FxyQHkMHxfOdiVLV/view?usp=drivesdk" TargetMode="External"/><Relationship Id="rId467" Type="http://schemas.openxmlformats.org/officeDocument/2006/relationships/hyperlink" Target="https://drive.google.com/file/d/1lIL7P7QnX5dDCn7bfEQSgswxSZwNEL4p/view?usp=drivesdk" TargetMode="External"/><Relationship Id="rId468" Type="http://schemas.openxmlformats.org/officeDocument/2006/relationships/hyperlink" Target="https://drive.google.com/file/d/1vKEbdITadHqfThsS28T2Ks15oaVGiQny/view?usp=drivesdk" TargetMode="External"/><Relationship Id="rId469" Type="http://schemas.openxmlformats.org/officeDocument/2006/relationships/hyperlink" Target="https://drive.google.com/file/d/1bVUT6iBIuwqMy8NoN4gTWL93thJ0ooC8/view?usp=drivesdk" TargetMode="External"/><Relationship Id="rId470" Type="http://schemas.openxmlformats.org/officeDocument/2006/relationships/hyperlink" Target="https://drive.google.com/file/d/1G21Phk_1YPuDXlY5jIHrsKkrRff05Tls/view?usp=drivesdk" TargetMode="External"/><Relationship Id="rId471" Type="http://schemas.openxmlformats.org/officeDocument/2006/relationships/hyperlink" Target="https://drive.google.com/file/d/1WimAim2XL4tYp2An2OkpS5n_BOKF6Ipe/view?usp=drivesdk" TargetMode="External"/><Relationship Id="rId472" Type="http://schemas.openxmlformats.org/officeDocument/2006/relationships/hyperlink" Target="https://drive.google.com/file/d/1O68mttVm7-q4POtBlQHLQLMzGytfBUub/view?usp=drivesdk" TargetMode="External"/><Relationship Id="rId473" Type="http://schemas.openxmlformats.org/officeDocument/2006/relationships/hyperlink" Target="https://drive.google.com/file/d/1gdp9XjMWNT7My_x0A8wjzYTljhTr70NU/view?usp=drivesdk" TargetMode="External"/><Relationship Id="rId474" Type="http://schemas.openxmlformats.org/officeDocument/2006/relationships/hyperlink" Target="https://drive.google.com/file/d/1YxBGDZtJ7VPVXRDOjdC9Vbq-QgF2XQUc/view?usp=drivesdk" TargetMode="External"/><Relationship Id="rId475" Type="http://schemas.openxmlformats.org/officeDocument/2006/relationships/hyperlink" Target="https://drive.google.com/file/d/1Z43m4hEG1652dexXKlJnbyqxsH3Tmq5T/view?usp=drivesdk" TargetMode="External"/><Relationship Id="rId476" Type="http://schemas.openxmlformats.org/officeDocument/2006/relationships/hyperlink" Target="https://drive.google.com/file/d/1lVDwX3yL4rjcqcKW76d0Lt44qwIvT0EK/view?usp=drivesdk" TargetMode="External"/><Relationship Id="rId477" Type="http://schemas.openxmlformats.org/officeDocument/2006/relationships/hyperlink" Target="https://drive.google.com/file/d/1WQW0OA3Lv8Be5P5q9q1W9zqsfsBGZYNl/view?usp=drivesdk" TargetMode="External"/><Relationship Id="rId478" Type="http://schemas.openxmlformats.org/officeDocument/2006/relationships/hyperlink" Target="https://drive.google.com/file/d/14fcAcEU4VfJylywh7ZoyXLRAceIWGpfX/view?usp=drivesdk" TargetMode="External"/><Relationship Id="rId479" Type="http://schemas.openxmlformats.org/officeDocument/2006/relationships/hyperlink" Target="https://drive.google.com/file/d/1tcS7akJacAxorHwKyStDhW6QsYLYloPG/view?usp=drivesdk" TargetMode="External"/><Relationship Id="rId480" Type="http://schemas.openxmlformats.org/officeDocument/2006/relationships/hyperlink" Target="https://drive.google.com/file/d/1W3HTyESntCuAhpl1nqll6cYxR1rZ2bJJ/view?usp=drivesdk" TargetMode="External"/><Relationship Id="rId481" Type="http://schemas.openxmlformats.org/officeDocument/2006/relationships/hyperlink" Target="https://drive.google.com/file/d/1F9i7fLl3hntT50LNAhwH6G6JPR3Y7N3G/view?usp=drivesdk" TargetMode="External"/><Relationship Id="rId482" Type="http://schemas.openxmlformats.org/officeDocument/2006/relationships/hyperlink" Target="https://drive.google.com/file/d/1tU11uQWwhnb8AlywR61RH3R-yG9umfiT/view?usp=drivesdk" TargetMode="External"/><Relationship Id="rId483" Type="http://schemas.openxmlformats.org/officeDocument/2006/relationships/hyperlink" Target="https://drive.google.com/file/d/1we53PuRkFsZ86GWnJRAwiQDW7XgMIRkK/view?usp=drivesdk" TargetMode="External"/><Relationship Id="rId484" Type="http://schemas.openxmlformats.org/officeDocument/2006/relationships/hyperlink" Target="https://drive.google.com/file/d/1wuLJ3m3Fc16tvGMdCKXRxSXeY2Klxst3/view?usp=drivesdk" TargetMode="External"/><Relationship Id="rId485" Type="http://schemas.openxmlformats.org/officeDocument/2006/relationships/hyperlink" Target="https://drive.google.com/file/d/1aDHZGrYn8cdpfpERIBjamdiJ6iIzk2I2/view?usp=drivesdk" TargetMode="External"/><Relationship Id="rId486" Type="http://schemas.openxmlformats.org/officeDocument/2006/relationships/hyperlink" Target="https://drive.google.com/file/d/1RsGahB1UngsWTOCarzvrwGs109_vCuHe/view?usp=drivesdk" TargetMode="External"/><Relationship Id="rId487" Type="http://schemas.openxmlformats.org/officeDocument/2006/relationships/hyperlink" Target="https://drive.google.com/file/d/1bISY_MrrdsDBpxhH6RpElu4BfIdWJHCS/view?usp=drivesdk" TargetMode="External"/><Relationship Id="rId488" Type="http://schemas.openxmlformats.org/officeDocument/2006/relationships/hyperlink" Target="https://drive.google.com/file/d/1bTXP14rZlv85wWyWRpYV9Y-UHqr5cqNb/view?usp=drivesdk" TargetMode="External"/><Relationship Id="rId489" Type="http://schemas.openxmlformats.org/officeDocument/2006/relationships/hyperlink" Target="https://drive.google.com/file/d/13r6J2FDY0Rs4tpm5Avv7syiIb93DpavB/view?usp=drivesdk" TargetMode="External"/><Relationship Id="rId490" Type="http://schemas.openxmlformats.org/officeDocument/2006/relationships/hyperlink" Target="https://drive.google.com/file/d/1vmJgJjcUg0T8_2q__AsaDfpGNbjmg1pv/view?usp=drivesdk" TargetMode="External"/><Relationship Id="rId491" Type="http://schemas.openxmlformats.org/officeDocument/2006/relationships/hyperlink" Target="https://drive.google.com/file/d/1NSPhQlAnID4fcvQ_oL6wadKbBJ1vYBQ6/view?usp=drivesdk" TargetMode="External"/><Relationship Id="rId492" Type="http://schemas.openxmlformats.org/officeDocument/2006/relationships/hyperlink" Target="https://drive.google.com/file/d/1nCkpPPXIqWVyNYzcvupm5J_8sSbihSR9/view?usp=drivesdk" TargetMode="External"/><Relationship Id="rId493" Type="http://schemas.openxmlformats.org/officeDocument/2006/relationships/hyperlink" Target="https://drive.google.com/file/d/1NaPVeKSyx3-U8yNzgfEehkLmncjSlMON/view?usp=drivesdk" TargetMode="External"/><Relationship Id="rId494" Type="http://schemas.openxmlformats.org/officeDocument/2006/relationships/hyperlink" Target="https://drive.google.com/file/d/1nwxZEMyw3N-M7AF3PL8C3oyVv11-yq_G/view?usp=drivesdk" TargetMode="External"/><Relationship Id="rId495" Type="http://schemas.openxmlformats.org/officeDocument/2006/relationships/hyperlink" Target="https://drive.google.com/file/d/1uCZCChhqhxn7Y3PY_SNRkNHQR47AwTPG/view?usp=drivesdk" TargetMode="External"/><Relationship Id="rId496" Type="http://schemas.openxmlformats.org/officeDocument/2006/relationships/hyperlink" Target="https://drive.google.com/file/d/17E8VeeTwgX6JODqEGnNb02744Rh71VCo/view?usp=drivesdk" TargetMode="External"/><Relationship Id="rId497" Type="http://schemas.openxmlformats.org/officeDocument/2006/relationships/hyperlink" Target="https://drive.google.com/file/d/1vd-FoBTZHjnXAtOhtqff4b-lLzdFT_AJ/view?usp=drivesdk" TargetMode="External"/><Relationship Id="rId498" Type="http://schemas.openxmlformats.org/officeDocument/2006/relationships/hyperlink" Target="https://drive.google.com/file/d/1-ILNBFr7WcbqJW-f81INt-GuBZSAh6Qm/view?usp=drivesdk" TargetMode="External"/><Relationship Id="rId499" Type="http://schemas.openxmlformats.org/officeDocument/2006/relationships/hyperlink" Target="https://drive.google.com/file/d/1m4RvJIK6qmbsDS6UxVULNwzQkcvpRbuW/view?usp=drivesdk" TargetMode="External"/><Relationship Id="rId500" Type="http://schemas.openxmlformats.org/officeDocument/2006/relationships/hyperlink" Target="https://drive.google.com/file/d/1z2T5_rx9EEQi5ep_hZ38CJzmb142Lxxp/view?usp=drivesdk" TargetMode="External"/><Relationship Id="rId501" Type="http://schemas.openxmlformats.org/officeDocument/2006/relationships/hyperlink" Target="https://drive.google.com/file/d/14wpuJr6vdYn-0LWqb-rZbAa4fGLwD1Zq/view?usp=drivesdk" TargetMode="External"/><Relationship Id="rId502" Type="http://schemas.openxmlformats.org/officeDocument/2006/relationships/hyperlink" Target="https://drive.google.com/file/d/11iEkrfZngxzWckSTiCsl4fQkGCxHXCqN/view?usp=drivesdk" TargetMode="External"/><Relationship Id="rId503" Type="http://schemas.openxmlformats.org/officeDocument/2006/relationships/hyperlink" Target="https://drive.google.com/file/d/1nE1AndQDtk-mlEmpMRmC20f--f44KEn0/view?usp=drivesdk" TargetMode="External"/><Relationship Id="rId504" Type="http://schemas.openxmlformats.org/officeDocument/2006/relationships/hyperlink" Target="https://drive.google.com/file/d/1LnzUKpBqWgsVnSIip9cr8lah0E0X0m1o/view?usp=drivesdk" TargetMode="External"/><Relationship Id="rId505" Type="http://schemas.openxmlformats.org/officeDocument/2006/relationships/hyperlink" Target="https://drive.google.com/file/d/1JoYGKVNPFloKvctFS0lR3b6QCKg6q4Rz/view?usp=drivesdk" TargetMode="External"/><Relationship Id="rId506" Type="http://schemas.openxmlformats.org/officeDocument/2006/relationships/hyperlink" Target="https://drive.google.com/file/d/1GO_RKaDDnqOVP4CcDT456vA0MlizXJlB/view?usp=drivesdk" TargetMode="External"/><Relationship Id="rId507" Type="http://schemas.openxmlformats.org/officeDocument/2006/relationships/hyperlink" Target="https://drive.google.com/file/d/1bf6wP3-OXKogmkvKlKc270Bz9hxHOOZ4/view?usp=drivesdk" TargetMode="External"/><Relationship Id="rId508" Type="http://schemas.openxmlformats.org/officeDocument/2006/relationships/hyperlink" Target="https://drive.google.com/file/d/1M-S0EKlPjek-JEUbC1AWV7Di9Y_HauWQ/view?usp=drivesdk" TargetMode="External"/><Relationship Id="rId509" Type="http://schemas.openxmlformats.org/officeDocument/2006/relationships/hyperlink" Target="https://drive.google.com/file/d/1uoSiInfxGfmrGqGc-_GbyCzuZtvRBoDp/view?usp=drivesdk" TargetMode="External"/><Relationship Id="rId510" Type="http://schemas.openxmlformats.org/officeDocument/2006/relationships/hyperlink" Target="https://drive.google.com/file/d/1Lx7LilOEELGIA_sg55-dUE-dANmQBvTV/view?usp=drivesdk" TargetMode="External"/><Relationship Id="rId511" Type="http://schemas.openxmlformats.org/officeDocument/2006/relationships/hyperlink" Target="https://drive.google.com/file/d/1vVXLaBj16sqHEvXe4Qe8COSxbEvlnRqL/view?usp=drivesdk" TargetMode="External"/><Relationship Id="rId512" Type="http://schemas.openxmlformats.org/officeDocument/2006/relationships/hyperlink" Target="https://drive.google.com/file/d/1IiHK1C6f0plYYZqnNV-oGa7BUdZEInb-/view?usp=drivesdk" TargetMode="External"/><Relationship Id="rId513" Type="http://schemas.openxmlformats.org/officeDocument/2006/relationships/hyperlink" Target="https://drive.google.com/file/d/1kD2Ti0B9pc-648I_6N7nZTGvNB40Ct8b/view?usp=drivesdk" TargetMode="External"/><Relationship Id="rId514" Type="http://schemas.openxmlformats.org/officeDocument/2006/relationships/hyperlink" Target="https://drive.google.com/file/d/1TDnuVudw6NtypYTTqDCIXGQyXdrq_fim/view?usp=drivesdk" TargetMode="External"/><Relationship Id="rId515" Type="http://schemas.openxmlformats.org/officeDocument/2006/relationships/hyperlink" Target="https://drive.google.com/file/d/1Tt8RNTbbQdKsuSbcSXzsPSrV2ek6gnFB/view?usp=drivesdk" TargetMode="External"/><Relationship Id="rId516" Type="http://schemas.openxmlformats.org/officeDocument/2006/relationships/hyperlink" Target="https://drive.google.com/file/d/1f2u8jYDPkrv1Ri4t3cAOeH263KmilSvG/view?usp=drivesdk" TargetMode="External"/><Relationship Id="rId517" Type="http://schemas.openxmlformats.org/officeDocument/2006/relationships/hyperlink" Target="https://drive.google.com/file/d/1tIvQmLT6GNTHSz5-_DIW9elZmRcu4ke8/view?usp=drivesdk" TargetMode="External"/><Relationship Id="rId518" Type="http://schemas.openxmlformats.org/officeDocument/2006/relationships/hyperlink" Target="https://drive.google.com/file/d/1xo8-qqoVPNQJeNLd6n2oGmt-Ik5uVxQy/view?usp=drivesdk" TargetMode="External"/><Relationship Id="rId519" Type="http://schemas.openxmlformats.org/officeDocument/2006/relationships/hyperlink" Target="https://drive.google.com/file/d/1F_zgDrDPGDgnkt7Qf3AkX1Wlg8iHjinp/view?usp=drivesdk" TargetMode="External"/><Relationship Id="rId520" Type="http://schemas.openxmlformats.org/officeDocument/2006/relationships/hyperlink" Target="https://drive.google.com/file/d/1qqGUa1ManAZ8UlhKwT97PnhemoXeMdGT/view?usp=drivesdk" TargetMode="External"/><Relationship Id="rId521" Type="http://schemas.openxmlformats.org/officeDocument/2006/relationships/hyperlink" Target="https://drive.google.com/file/d/1XM4fGzUlZG2chZCfOZofMdfz7OV5l1Jk/view?usp=drivesdk" TargetMode="External"/><Relationship Id="rId522" Type="http://schemas.openxmlformats.org/officeDocument/2006/relationships/hyperlink" Target="https://drive.google.com/file/d/16NEE8sQ5nsTGfnz3zZAhS_0ulUTKEz33/view?usp=drivesdk" TargetMode="External"/><Relationship Id="rId523" Type="http://schemas.openxmlformats.org/officeDocument/2006/relationships/hyperlink" Target="https://drive.google.com/file/d/1d0M9G1thcqQsHHDmc9YwAP2gBXkIxwr8/view?usp=drivesdk" TargetMode="External"/><Relationship Id="rId524" Type="http://schemas.openxmlformats.org/officeDocument/2006/relationships/hyperlink" Target="https://drive.google.com/file/d/1LoRzORr8ThW3HpcD5ynq4W-bJi7p92hF/view?usp=drivesdk" TargetMode="External"/><Relationship Id="rId525" Type="http://schemas.openxmlformats.org/officeDocument/2006/relationships/hyperlink" Target="https://drive.google.com/file/d/1Cwcq73KkKtRHZ8JYjTcyBpA0Xvirolpm/view?usp=drivesdk" TargetMode="External"/><Relationship Id="rId526" Type="http://schemas.openxmlformats.org/officeDocument/2006/relationships/hyperlink" Target="https://drive.google.com/file/d/1dtPAQzL1IKqQ6yF1WmjulTRI-XUd6LKs/view?usp=drivesdk" TargetMode="External"/><Relationship Id="rId527" Type="http://schemas.openxmlformats.org/officeDocument/2006/relationships/hyperlink" Target="https://drive.google.com/file/d/1XwGOcgXSDiOFkclP-GumZHnptWXM6QWE/view?usp=drivesdk" TargetMode="External"/><Relationship Id="rId528" Type="http://schemas.openxmlformats.org/officeDocument/2006/relationships/hyperlink" Target="https://drive.google.com/file/d/1bOieNMJ2iVZWTV0mmhKRX1xEfU3EEp3k/view?usp=drivesdk" TargetMode="External"/><Relationship Id="rId529" Type="http://schemas.openxmlformats.org/officeDocument/2006/relationships/hyperlink" Target="https://drive.google.com/file/d/1rb0zu_ZsgRa8qm-7K4dg-jYK6MRgWMZY/view?usp=drivesdk" TargetMode="External"/><Relationship Id="rId530" Type="http://schemas.openxmlformats.org/officeDocument/2006/relationships/hyperlink" Target="https://drive.google.com/file/d/1M6v6BR5O8cpZQrv321NkIWGFZ0EkjBJ1/view?usp=drivesdk" TargetMode="External"/><Relationship Id="rId531" Type="http://schemas.openxmlformats.org/officeDocument/2006/relationships/hyperlink" Target="https://drive.google.com/file/d/1JevE9cc-JNNvkPuO_Tg_NoWIfbFZUumn/view?usp=drivesdk" TargetMode="External"/><Relationship Id="rId532" Type="http://schemas.openxmlformats.org/officeDocument/2006/relationships/hyperlink" Target="https://drive.google.com/file/d/1wx8dvnNwSXAgDbxXW2FIQ5vBmCeItFCJ/view?usp=drivesdk" TargetMode="External"/><Relationship Id="rId533" Type="http://schemas.openxmlformats.org/officeDocument/2006/relationships/hyperlink" Target="https://drive.google.com/file/d/1fgJFSPOoFYmzbDEKnF_KTDTpl-OhtIg2/view?usp=drivesdk" TargetMode="External"/><Relationship Id="rId534" Type="http://schemas.openxmlformats.org/officeDocument/2006/relationships/hyperlink" Target="https://drive.google.com/file/d/1yrDXnEHcpTG2c6dgFevVInkX-GHvQgcH/view?usp=drivesdk" TargetMode="External"/><Relationship Id="rId535" Type="http://schemas.openxmlformats.org/officeDocument/2006/relationships/hyperlink" Target="https://drive.google.com/file/d/1Q_2vGq26r3C1CXn6D_CU3lEXzJUjg0NP/view?usp=drivesdk" TargetMode="External"/><Relationship Id="rId536" Type="http://schemas.openxmlformats.org/officeDocument/2006/relationships/hyperlink" Target="https://drive.google.com/file/d/19_oKXSBKsbDfQgGPG9tTyonGaTJ3zEwW/view?usp=drivesdk" TargetMode="External"/><Relationship Id="rId537" Type="http://schemas.openxmlformats.org/officeDocument/2006/relationships/hyperlink" Target="https://drive.google.com/file/d/1DdXtg52rue4v3UPD_vVlD7hxrK5_afVy/view?usp=drivesdk" TargetMode="External"/><Relationship Id="rId538" Type="http://schemas.openxmlformats.org/officeDocument/2006/relationships/hyperlink" Target="https://drive.google.com/file/d/16ivl_gI-OcsCfctDw0uIpvYTjhzt063k/view?usp=drivesdk" TargetMode="External"/><Relationship Id="rId539" Type="http://schemas.openxmlformats.org/officeDocument/2006/relationships/hyperlink" Target="https://drive.google.com/file/d/1mZSqxjDIvxzr77dSi6vBQ_y8o31XHYce/view?usp=drivesdk" TargetMode="External"/><Relationship Id="rId540" Type="http://schemas.openxmlformats.org/officeDocument/2006/relationships/hyperlink" Target="https://drive.google.com/file/d/1GUX98sQNHi-vjsBp3xYLTsGHzqUpq0Z0/view?usp=drivesdk" TargetMode="External"/><Relationship Id="rId541" Type="http://schemas.openxmlformats.org/officeDocument/2006/relationships/hyperlink" Target="https://drive.google.com/file/d/1Kx_LQMo9lXUTrvRqYgpwYT0xswHAL6q6/view?usp=drivesdk" TargetMode="External"/><Relationship Id="rId542" Type="http://schemas.openxmlformats.org/officeDocument/2006/relationships/hyperlink" Target="https://drive.google.com/file/d/1Ldbt8r6DSsmKnDmk0Q8QQlTqnUTyqXEo/view?usp=drivesdk" TargetMode="External"/><Relationship Id="rId543" Type="http://schemas.openxmlformats.org/officeDocument/2006/relationships/hyperlink" Target="https://drive.google.com/file/d/1T5wrjTtOMxOEXbjsAZ6ra1G9ACWLO65A/view?usp=drivesdk" TargetMode="External"/><Relationship Id="rId544" Type="http://schemas.openxmlformats.org/officeDocument/2006/relationships/hyperlink" Target="https://drive.google.com/file/d/11sq-ukLf4tEFvmtpBuL5gbJaBPiNJja1/view?usp=drivesdk" TargetMode="External"/><Relationship Id="rId545" Type="http://schemas.openxmlformats.org/officeDocument/2006/relationships/hyperlink" Target="https://drive.google.com/file/d/1_KaZal4Pc1u0fys8ivEDtUBAMLHX4BOP/view?usp=drivesdk" TargetMode="External"/><Relationship Id="rId546" Type="http://schemas.openxmlformats.org/officeDocument/2006/relationships/hyperlink" Target="https://drive.google.com/file/d/1iPTUTqYaOC6wxO1x-XX7_k6OK9KIO0X-/view?usp=drivesdk" TargetMode="External"/><Relationship Id="rId547" Type="http://schemas.openxmlformats.org/officeDocument/2006/relationships/hyperlink" Target="https://drive.google.com/file/d/1ajqr-CfnvP2BT4qVmIny8HNrJGZYbg_H/view?usp=drivesdk" TargetMode="External"/><Relationship Id="rId548" Type="http://schemas.openxmlformats.org/officeDocument/2006/relationships/hyperlink" Target="https://drive.google.com/file/d/1WTDiVDmVO93h5foIJEpwVydvFlZOSP18/view?usp=drivesdk" TargetMode="External"/><Relationship Id="rId549" Type="http://schemas.openxmlformats.org/officeDocument/2006/relationships/hyperlink" Target="https://drive.google.com/file/d/1O5AxbLfD1_PxmALAeKsJn4SaZWpNhIui/view?usp=drivesdk" TargetMode="External"/><Relationship Id="rId550" Type="http://schemas.openxmlformats.org/officeDocument/2006/relationships/hyperlink" Target="https://drive.google.com/file/d/1dZIJe85QoqD3DHp5GfGp1aiaGkR_7ggE/view?usp=drivesdk" TargetMode="External"/><Relationship Id="rId551" Type="http://schemas.openxmlformats.org/officeDocument/2006/relationships/hyperlink" Target="https://drive.google.com/file/d/1QwRUqHB3GMGGqv8ABbdyK3tTG2lrmGBZ/view?usp=drivesdk" TargetMode="External"/><Relationship Id="rId552" Type="http://schemas.openxmlformats.org/officeDocument/2006/relationships/hyperlink" Target="https://drive.google.com/file/d/1s5e06TL_jCw0cGCff9ybfS8TjXm22mGq/view?usp=drivesdk" TargetMode="External"/><Relationship Id="rId553" Type="http://schemas.openxmlformats.org/officeDocument/2006/relationships/hyperlink" Target="https://drive.google.com/file/d/1Be92ceZvKgbKR3VVlaGbGWfXTNyX3Wjy/view?usp=drivesdk" TargetMode="External"/><Relationship Id="rId554" Type="http://schemas.openxmlformats.org/officeDocument/2006/relationships/hyperlink" Target="https://drive.google.com/file/d/1a5f4YCsBpB6uigJndoqFyPOMaBCPdn-2/view?usp=drivesdk" TargetMode="External"/><Relationship Id="rId555" Type="http://schemas.openxmlformats.org/officeDocument/2006/relationships/hyperlink" Target="https://drive.google.com/file/d/1lNhU_6kRPh-CHjQ1f4A2Vtb7EBk40ilS/view?usp=drivesdk" TargetMode="External"/><Relationship Id="rId556" Type="http://schemas.openxmlformats.org/officeDocument/2006/relationships/hyperlink" Target="https://drive.google.com/file/d/1yNulzDeA_je9ISCNJU9CpEaHXikNnemo/view?usp=drivesdk" TargetMode="External"/><Relationship Id="rId557" Type="http://schemas.openxmlformats.org/officeDocument/2006/relationships/hyperlink" Target="https://drive.google.com/file/d/1_eFvGEQKj9sLWkH9YqxpjU3JevRvMT11/view?usp=drivesdk" TargetMode="External"/><Relationship Id="rId558" Type="http://schemas.openxmlformats.org/officeDocument/2006/relationships/hyperlink" Target="https://drive.google.com/file/d/1Bx368d6C49ZehYMKd6pHnUebfa8ixMMX/view?usp=drivesdk" TargetMode="External"/><Relationship Id="rId559" Type="http://schemas.openxmlformats.org/officeDocument/2006/relationships/hyperlink" Target="https://drive.google.com/file/d/1aAxFTmcrfu4_ljmE43TFInczrxyOem6d/view?usp=drivesdk" TargetMode="External"/><Relationship Id="rId560" Type="http://schemas.openxmlformats.org/officeDocument/2006/relationships/hyperlink" Target="https://drive.google.com/file/d/161M1W7rykAi8B4B1HZukDvWz6tpIsMaM/view?usp=drivesdk" TargetMode="External"/><Relationship Id="rId561" Type="http://schemas.openxmlformats.org/officeDocument/2006/relationships/hyperlink" Target="https://drive.google.com/file/d/1gLNdiX_-Vu3A53JbeOEsa5GNQ01iMf3f/view?usp=drivesdk" TargetMode="External"/><Relationship Id="rId562" Type="http://schemas.openxmlformats.org/officeDocument/2006/relationships/hyperlink" Target="https://drive.google.com/file/d/1wqgoT5UqlPgN5uesN86jRgYxOqA9-p5z/view?usp=drivesdk" TargetMode="External"/><Relationship Id="rId563" Type="http://schemas.openxmlformats.org/officeDocument/2006/relationships/hyperlink" Target="https://drive.google.com/file/d/1-Sg75IvZAXV92zMxIRfuzqS8PURt1pws/view?usp=drivesdk" TargetMode="External"/><Relationship Id="rId564" Type="http://schemas.openxmlformats.org/officeDocument/2006/relationships/hyperlink" Target="https://drive.google.com/file/d/1o8uTVwsTkwlT8r1Rzw-ExpJdxrrVL1du/view?usp=drivesdk" TargetMode="External"/><Relationship Id="rId565" Type="http://schemas.openxmlformats.org/officeDocument/2006/relationships/hyperlink" Target="https://drive.google.com/file/d/1JErmq9Xw5A7K2ziwASfv8Ku6vcvfkSM0/view?usp=drivesdk" TargetMode="External"/><Relationship Id="rId566" Type="http://schemas.openxmlformats.org/officeDocument/2006/relationships/hyperlink" Target="https://drive.google.com/file/d/18FOeyPWP9L0NCwgiwB7LV9SvcrRR0TcF/view?usp=drivesdk" TargetMode="External"/><Relationship Id="rId567" Type="http://schemas.openxmlformats.org/officeDocument/2006/relationships/hyperlink" Target="https://drive.google.com/file/d/10yH7ENE0uJzDqHn-sJxOE_6x_5rX86VB/view?usp=drivesdk" TargetMode="External"/><Relationship Id="rId568" Type="http://schemas.openxmlformats.org/officeDocument/2006/relationships/hyperlink" Target="https://drive.google.com/file/d/1v28YqVbEEmQvcWzjQOk7Q8moY08s-KnQ/view?usp=drivesdk" TargetMode="External"/><Relationship Id="rId569" Type="http://schemas.openxmlformats.org/officeDocument/2006/relationships/hyperlink" Target="https://drive.google.com/file/d/116Ahh5ctxgd-w-EYGc2OEQeEDt778oGK/view?usp=drivesdk" TargetMode="External"/><Relationship Id="rId570" Type="http://schemas.openxmlformats.org/officeDocument/2006/relationships/hyperlink" Target="https://drive.google.com/file/d/1EUfutHj9MgeNb32c9KofRCfiYcYvpt1b/view?usp=drivesdk" TargetMode="External"/><Relationship Id="rId571" Type="http://schemas.openxmlformats.org/officeDocument/2006/relationships/hyperlink" Target="https://drive.google.com/file/d/1nhKLWrM5fxNQuxGN36aVfwU50fUWQuT5/view?usp=drivesdk" TargetMode="External"/><Relationship Id="rId572" Type="http://schemas.openxmlformats.org/officeDocument/2006/relationships/hyperlink" Target="https://drive.google.com/file/d/1egkvZN_nGl8F8YN_6i5qYmBhRf-R_wfU/view?usp=drivesdk" TargetMode="External"/><Relationship Id="rId573" Type="http://schemas.openxmlformats.org/officeDocument/2006/relationships/hyperlink" Target="https://drive.google.com/file/d/1vUbMlImYHnZEIe2ujuQeWxyUbPWc076a/view?usp=drivesdk" TargetMode="External"/><Relationship Id="rId574" Type="http://schemas.openxmlformats.org/officeDocument/2006/relationships/hyperlink" Target="https://drive.google.com/file/d/166ViFEx4klCAqpAZVF4xyQpxXlcWP9n0/view?usp=drivesdk" TargetMode="External"/><Relationship Id="rId575" Type="http://schemas.openxmlformats.org/officeDocument/2006/relationships/hyperlink" Target="https://drive.google.com/file/d/1hWfE4BN9YismwlKykk-7sDKGTPnDzP-g/view?usp=drivesdk" TargetMode="External"/><Relationship Id="rId576" Type="http://schemas.openxmlformats.org/officeDocument/2006/relationships/hyperlink" Target="https://drive.google.com/file/d/1RBKxXLYb65_oG5Gt9ZRSLNASlCFYDvWB/view?usp=drivesdk" TargetMode="External"/><Relationship Id="rId577" Type="http://schemas.openxmlformats.org/officeDocument/2006/relationships/hyperlink" Target="https://drive.google.com/file/d/1sSJc8VS6h-hBDg3t-l2Lz41Pa-QcBEng/view?usp=drivesdk" TargetMode="External"/><Relationship Id="rId578" Type="http://schemas.openxmlformats.org/officeDocument/2006/relationships/hyperlink" Target="https://drive.google.com/file/d/1il5L7Aci39Fj74BwZ5fILggaQ9EZNAzF/view?usp=drivesdk" TargetMode="External"/><Relationship Id="rId579" Type="http://schemas.openxmlformats.org/officeDocument/2006/relationships/hyperlink" Target="https://drive.google.com/file/d/13dJDiMDWavt_MxUlkpQsFdsvG39zW3HD/view?usp=drivesdk" TargetMode="External"/><Relationship Id="rId580" Type="http://schemas.openxmlformats.org/officeDocument/2006/relationships/hyperlink" Target="https://drive.google.com/file/d/10bOpjy21J8vquDEX5g_8GGMPMG_BQCMG/view?usp=drivesdk" TargetMode="External"/><Relationship Id="rId581" Type="http://schemas.openxmlformats.org/officeDocument/2006/relationships/hyperlink" Target="https://drive.google.com/file/d/1usMyiID57k7FBWNZ_hPht4nDWbM73mNu/view?usp=drivesdk" TargetMode="External"/><Relationship Id="rId582" Type="http://schemas.openxmlformats.org/officeDocument/2006/relationships/hyperlink" Target="https://drive.google.com/file/d/1xZCGyxC-k9Ae5WIwbMPdTDdePqkVKvdL/view?usp=drivesdk" TargetMode="External"/><Relationship Id="rId583" Type="http://schemas.openxmlformats.org/officeDocument/2006/relationships/hyperlink" Target="https://drive.google.com/file/d/1-VxKpw9QrhQx-qXKM3Kzo9wjuiAHoqR0/view?usp=drivesdk" TargetMode="External"/><Relationship Id="rId584" Type="http://schemas.openxmlformats.org/officeDocument/2006/relationships/hyperlink" Target="https://drive.google.com/file/d/1w1EcByW0Rtvc4rJk3t_II7p01-2IbHPa/view?usp=drivesdk" TargetMode="External"/><Relationship Id="rId585" Type="http://schemas.openxmlformats.org/officeDocument/2006/relationships/hyperlink" Target="https://drive.google.com/file/d/14eFW0YbYZjSpXXMQsalaC_S_6085H8-L/view?usp=drivesdk" TargetMode="External"/><Relationship Id="rId586" Type="http://schemas.openxmlformats.org/officeDocument/2006/relationships/hyperlink" Target="https://drive.google.com/file/d/1OZGKH5RP7JnuNEz5p_1rRqO_KsehKHX4/view?usp=drivesdk" TargetMode="External"/><Relationship Id="rId587" Type="http://schemas.openxmlformats.org/officeDocument/2006/relationships/hyperlink" Target="https://drive.google.com/file/d/15VVD-iUZf71tMqfEg-0JuYZtqFAtzeEv/view?usp=drivesdk" TargetMode="External"/><Relationship Id="rId588" Type="http://schemas.openxmlformats.org/officeDocument/2006/relationships/hyperlink" Target="https://drive.google.com/file/d/1Ahudnd0xoWi2JFu8aeoFNFKVa5IHNvx2/view?usp=drivesdk" TargetMode="External"/><Relationship Id="rId589" Type="http://schemas.openxmlformats.org/officeDocument/2006/relationships/hyperlink" Target="https://drive.google.com/file/d/1D-zgLhwbROMoOIztKt5J8VXUjdrUKa5o/view?usp=drivesdk" TargetMode="External"/><Relationship Id="rId590" Type="http://schemas.openxmlformats.org/officeDocument/2006/relationships/hyperlink" Target="https://drive.google.com/file/d/17lQz1xESIJfG449Oy2wKalXcaRyXrNTM/view?usp=drivesdk" TargetMode="External"/><Relationship Id="rId591" Type="http://schemas.openxmlformats.org/officeDocument/2006/relationships/hyperlink" Target="https://drive.google.com/file/d/14UhW4JYx67Sw8b5NU3TNpQcQOZQyj0io/view?usp=drivesdk" TargetMode="External"/><Relationship Id="rId592" Type="http://schemas.openxmlformats.org/officeDocument/2006/relationships/hyperlink" Target="https://drive.google.com/file/d/1M4Xe0560A8ygjRYZEF2m3l2Q92RQvWW_/view?usp=drivesdk" TargetMode="External"/><Relationship Id="rId593" Type="http://schemas.openxmlformats.org/officeDocument/2006/relationships/hyperlink" Target="https://drive.google.com/file/d/1Whe3jTntzGUisX64Dhm_rejzx20B3v3Y/view?usp=drivesdk" TargetMode="External"/><Relationship Id="rId594" Type="http://schemas.openxmlformats.org/officeDocument/2006/relationships/hyperlink" Target="https://drive.google.com/file/d/1XizNlglxBlvmGS5dNAI4mSRwGi_bFWwt/view?usp=drivesdk" TargetMode="External"/><Relationship Id="rId595" Type="http://schemas.openxmlformats.org/officeDocument/2006/relationships/hyperlink" Target="https://drive.google.com/file/d/1UPAAEHPi7-oTXm_byAe4Geo4pwWQM-fX/view?usp=drivesdk" TargetMode="External"/><Relationship Id="rId596" Type="http://schemas.openxmlformats.org/officeDocument/2006/relationships/hyperlink" Target="https://drive.google.com/file/d/1rQoTbnjEwKeNVy8J4I7psr-9G2CGxTTO/view?usp=drivesdk" TargetMode="External"/><Relationship Id="rId597" Type="http://schemas.openxmlformats.org/officeDocument/2006/relationships/hyperlink" Target="https://drive.google.com/file/d/1CE1S3UNirh9LNwany025wWFUvDkUWYIN/view?usp=drivesdk" TargetMode="External"/><Relationship Id="rId598" Type="http://schemas.openxmlformats.org/officeDocument/2006/relationships/hyperlink" Target="https://drive.google.com/file/d/1Pb8_qpNGcF5mFVO2OFVNi8UPM5teSVJI/view?usp=drivesdk" TargetMode="External"/><Relationship Id="rId599" Type="http://schemas.openxmlformats.org/officeDocument/2006/relationships/hyperlink" Target="https://drive.google.com/file/d/1CPM3Y5k6oD4nOS7DRDfYa5Zh-iKzStn9/view?usp=drivesdk" TargetMode="External"/><Relationship Id="rId600" Type="http://schemas.openxmlformats.org/officeDocument/2006/relationships/hyperlink" Target="https://drive.google.com/file/d/1R-GgOwkGL4b2H1eJDWEYJlfUVx45BZRs/view?usp=drivesdk" TargetMode="External"/><Relationship Id="rId601" Type="http://schemas.openxmlformats.org/officeDocument/2006/relationships/hyperlink" Target="https://drive.google.com/file/d/1lUpKeAKztzO2Z_o-sqPlC3gWpkCiH9Dw/view?usp=drivesdk" TargetMode="External"/><Relationship Id="rId602" Type="http://schemas.openxmlformats.org/officeDocument/2006/relationships/hyperlink" Target="https://drive.google.com/file/d/1HdGESfaw7ef1bBuKa6-Sdo8a-eyVXmEi/view?usp=drivesdk" TargetMode="External"/><Relationship Id="rId603" Type="http://schemas.openxmlformats.org/officeDocument/2006/relationships/hyperlink" Target="https://drive.google.com/file/d/16BBM4nM1KeWuSCnyRy9XNjBYFfnX5mnS/view?usp=drivesdk" TargetMode="External"/><Relationship Id="rId604" Type="http://schemas.openxmlformats.org/officeDocument/2006/relationships/hyperlink" Target="https://drive.google.com/file/d/1vAZQarMcOlq1TATQ1v2bl2X_RPtsg9kQ/view?usp=drivesdk" TargetMode="External"/><Relationship Id="rId605" Type="http://schemas.openxmlformats.org/officeDocument/2006/relationships/hyperlink" Target="https://drive.google.com/file/d/1rDUyqAFD7NJFPuGbN2cvW0y4lpMI74Sc/view?usp=drivesdk" TargetMode="External"/><Relationship Id="rId606" Type="http://schemas.openxmlformats.org/officeDocument/2006/relationships/hyperlink" Target="https://drive.google.com/file/d/161ml1q8DBPz9gox15c86fhG1ys-_dHK1/view?usp=drivesdk" TargetMode="External"/><Relationship Id="rId607" Type="http://schemas.openxmlformats.org/officeDocument/2006/relationships/hyperlink" Target="https://drive.google.com/file/d/1peJJnHF6XlS8zVxVNydRr4GZP05FZyqP/view?usp=drivesdk" TargetMode="External"/><Relationship Id="rId608" Type="http://schemas.openxmlformats.org/officeDocument/2006/relationships/hyperlink" Target="https://drive.google.com/file/d/1QSe8OgXuLuo9sCUgOna_UtVU7nBqofij/view?usp=drivesdk" TargetMode="External"/><Relationship Id="rId609" Type="http://schemas.openxmlformats.org/officeDocument/2006/relationships/hyperlink" Target="https://drive.google.com/file/d/1cnkvurXH-tQ3unVHlDpHV4FMYvUUdMqj/view?usp=drivesdk" TargetMode="External"/><Relationship Id="rId610" Type="http://schemas.openxmlformats.org/officeDocument/2006/relationships/hyperlink" Target="https://drive.google.com/file/d/1vGpomnEyXx8c7CFw3XVay40YpxKhRFKj/view?usp=drivesdk" TargetMode="External"/><Relationship Id="rId611" Type="http://schemas.openxmlformats.org/officeDocument/2006/relationships/hyperlink" Target="https://drive.google.com/file/d/1IoImIaM8j-oF0QpSkG5_9QnrvVq55t9S/view?usp=drivesdk" TargetMode="External"/><Relationship Id="rId612" Type="http://schemas.openxmlformats.org/officeDocument/2006/relationships/hyperlink" Target="https://drive.google.com/file/d/18-1tr3eB72W06cipec1zV5MCGI-cE-Ip/view?usp=drivesdk" TargetMode="External"/><Relationship Id="rId613" Type="http://schemas.openxmlformats.org/officeDocument/2006/relationships/hyperlink" Target="https://drive.google.com/file/d/18cNUFDu9-6uxkXhJ5FBywrc_F1xjTIds/view?usp=drivesdk" TargetMode="External"/><Relationship Id="rId614" Type="http://schemas.openxmlformats.org/officeDocument/2006/relationships/hyperlink" Target="https://drive.google.com/file/d/1ToBnJGdUgkzww01eKB6knndrbvFk8C74/view?usp=drivesdk" TargetMode="External"/><Relationship Id="rId615" Type="http://schemas.openxmlformats.org/officeDocument/2006/relationships/hyperlink" Target="https://drive.google.com/file/d/1EGMUvDOE-Qk9FEidLQS9KwcxvwV5jV9O/view?usp=drivesdk" TargetMode="External"/><Relationship Id="rId616" Type="http://schemas.openxmlformats.org/officeDocument/2006/relationships/hyperlink" Target="https://drive.google.com/file/d/1Y9R7FFCQn146JnG49a06rlbdoTAT2Hfu/view?usp=drivesdk" TargetMode="External"/><Relationship Id="rId617" Type="http://schemas.openxmlformats.org/officeDocument/2006/relationships/hyperlink" Target="https://drive.google.com/file/d/1WddGnmAy1e6-Ux8JrMrVP2RM9dK73MwA/view?usp=drivesdk" TargetMode="External"/><Relationship Id="rId618" Type="http://schemas.openxmlformats.org/officeDocument/2006/relationships/hyperlink" Target="https://drive.google.com/file/d/1tVnqkZyLon4v3ZMg_MUT_5T6umP1xuyY/view?usp=drivesdk" TargetMode="External"/><Relationship Id="rId619" Type="http://schemas.openxmlformats.org/officeDocument/2006/relationships/hyperlink" Target="https://drive.google.com/file/d/14duE_eBTfhplNm6AxZEHXNT-B9f5DrAQ/view?usp=drivesdk" TargetMode="External"/><Relationship Id="rId620" Type="http://schemas.openxmlformats.org/officeDocument/2006/relationships/hyperlink" Target="https://drive.google.com/file/d/1_2BRtvKXLMNI168GvCAeC4M5PxgMgfCU/view?usp=drivesdk" TargetMode="External"/><Relationship Id="rId621" Type="http://schemas.openxmlformats.org/officeDocument/2006/relationships/hyperlink" Target="https://drive.google.com/file/d/13vX5iRO2Z3V2g8E6mYhOA91FZCmdmnFB/view?usp=drivesdk" TargetMode="External"/><Relationship Id="rId622" Type="http://schemas.openxmlformats.org/officeDocument/2006/relationships/hyperlink" Target="https://drive.google.com/file/d/1lYbGCvr_aFOJJZuNWXy3pxsZEObMyPnE/view?usp=drivesdk" TargetMode="External"/><Relationship Id="rId623" Type="http://schemas.openxmlformats.org/officeDocument/2006/relationships/hyperlink" Target="https://drive.google.com/file/d/1gdUYCzKRm9lRIWqqlOH9EufNG_U2IrO2/view?usp=drivesdk" TargetMode="External"/><Relationship Id="rId624" Type="http://schemas.openxmlformats.org/officeDocument/2006/relationships/hyperlink" Target="https://drive.google.com/file/d/1DHfNoyKz7XAJmcAScNEduM_ioNSv08yZ/view?usp=drivesdk" TargetMode="External"/><Relationship Id="rId625" Type="http://schemas.openxmlformats.org/officeDocument/2006/relationships/hyperlink" Target="https://drive.google.com/file/d/1UE3YH8RliBKqQCJDFRzeGesRFHMWtYRr/view?usp=drivesdk" TargetMode="External"/><Relationship Id="rId626" Type="http://schemas.openxmlformats.org/officeDocument/2006/relationships/hyperlink" Target="https://drive.google.com/file/d/1rAGxpU9H-wHVNXNtjKfOp0VhtfyBWUIP/view?usp=drivesdk" TargetMode="External"/><Relationship Id="rId627" Type="http://schemas.openxmlformats.org/officeDocument/2006/relationships/hyperlink" Target="https://drive.google.com/file/d/1Hdr1-K978__Xmb91PDEDtzB_DvG-NY7c/view?usp=drivesdk" TargetMode="External"/><Relationship Id="rId628" Type="http://schemas.openxmlformats.org/officeDocument/2006/relationships/hyperlink" Target="https://drive.google.com/file/d/17yFByU93aYxThCXVoiA8JROCE5BFccn9/view?usp=drivesdk" TargetMode="External"/><Relationship Id="rId629" Type="http://schemas.openxmlformats.org/officeDocument/2006/relationships/hyperlink" Target="https://drive.google.com/file/d/1g3yDHM3PWzOfLm7BwJZIBvudSeIV7qxJ/view?usp=drivesdk" TargetMode="External"/><Relationship Id="rId630" Type="http://schemas.openxmlformats.org/officeDocument/2006/relationships/hyperlink" Target="https://drive.google.com/file/d/1M3CzaI6HaMDXiupfhuRfLvDxVLiX8oIg/view?usp=drivesdk" TargetMode="External"/><Relationship Id="rId631" Type="http://schemas.openxmlformats.org/officeDocument/2006/relationships/hyperlink" Target="https://drive.google.com/file/d/1vvHahUnL0EZ3t6iJ4XMsON4sIlVkxtbg/view?usp=drivesdk" TargetMode="External"/><Relationship Id="rId632" Type="http://schemas.openxmlformats.org/officeDocument/2006/relationships/hyperlink" Target="https://drive.google.com/file/d/1QYheEM2gYFMLkXffWJikxLUUajfn3SMk/view?usp=drivesdk" TargetMode="External"/><Relationship Id="rId633" Type="http://schemas.openxmlformats.org/officeDocument/2006/relationships/hyperlink" Target="https://drive.google.com/file/d/1u9q7QQJt4gl2fm7fS0xRUdqI-quN39Sy/view?usp=drivesdk" TargetMode="External"/><Relationship Id="rId634" Type="http://schemas.openxmlformats.org/officeDocument/2006/relationships/hyperlink" Target="https://drive.google.com/file/d/1FIetvzmMIUzwn_CtHy4J8xg1iRd_JXTF/view?usp=drivesdk" TargetMode="External"/><Relationship Id="rId635" Type="http://schemas.openxmlformats.org/officeDocument/2006/relationships/hyperlink" Target="https://drive.google.com/file/d/1npVigkPUDbn0ROFDWvdBhOY7Lcms8yf7/view?usp=drivesdk" TargetMode="External"/><Relationship Id="rId636" Type="http://schemas.openxmlformats.org/officeDocument/2006/relationships/hyperlink" Target="https://drive.google.com/file/d/1iKWW6g5kRe8MZvreSg4fKcRga5ewgFLG/view?usp=drivesdk" TargetMode="External"/><Relationship Id="rId637" Type="http://schemas.openxmlformats.org/officeDocument/2006/relationships/hyperlink" Target="https://drive.google.com/file/d/1RzLXQBwofWHFY-6aXqkYvqYKwj1XqFuC/view?usp=drivesdk" TargetMode="External"/><Relationship Id="rId638" Type="http://schemas.openxmlformats.org/officeDocument/2006/relationships/hyperlink" Target="https://drive.google.com/file/d/1GjYr5WFh9Nv8DAM1JPL0chioUpjceNCW/view?usp=drivesdk" TargetMode="External"/><Relationship Id="rId639" Type="http://schemas.openxmlformats.org/officeDocument/2006/relationships/hyperlink" Target="https://drive.google.com/file/d/1lKtkcK3xNSsoksQXgEZ5t5Xf0bTMe3Nr/view?usp=drivesdk" TargetMode="External"/><Relationship Id="rId640" Type="http://schemas.openxmlformats.org/officeDocument/2006/relationships/hyperlink" Target="https://drive.google.com/file/d/18-DPOiu1j3qI7YDSNAs3TVtWFeUSqNMO/view?usp=drivesdk" TargetMode="External"/><Relationship Id="rId641" Type="http://schemas.openxmlformats.org/officeDocument/2006/relationships/hyperlink" Target="https://drive.google.com/file/d/1O1K78ih9HfwMgpetmfGfxMIKs_mGwBVO/view?usp=drivesdk" TargetMode="External"/><Relationship Id="rId642" Type="http://schemas.openxmlformats.org/officeDocument/2006/relationships/hyperlink" Target="https://drive.google.com/file/d/1ALjyqWsWV5Gm0XX2cngMVWbFxvBmseoi/view?usp=drivesdk" TargetMode="External"/><Relationship Id="rId643" Type="http://schemas.openxmlformats.org/officeDocument/2006/relationships/hyperlink" Target="https://drive.google.com/file/d/1wVBlo1YA4Q6uic-QelSgitBptNn7yASi/view?usp=drivesdk" TargetMode="External"/><Relationship Id="rId644" Type="http://schemas.openxmlformats.org/officeDocument/2006/relationships/hyperlink" Target="https://drive.google.com/file/d/195i-oBlT50Td-PWpIJzhueuvNgdud63n/view?usp=drivesdk" TargetMode="External"/><Relationship Id="rId645" Type="http://schemas.openxmlformats.org/officeDocument/2006/relationships/hyperlink" Target="https://drive.google.com/file/d/14q1d7M1gXFhomvEWAZnXBKnE4nI2pKQx/view?usp=drivesdk" TargetMode="External"/><Relationship Id="rId646" Type="http://schemas.openxmlformats.org/officeDocument/2006/relationships/hyperlink" Target="https://drive.google.com/file/d/1n8t9A97vVpggHu7iA1UsPiCIGBYYqebw/view?usp=drivesdk" TargetMode="External"/><Relationship Id="rId647" Type="http://schemas.openxmlformats.org/officeDocument/2006/relationships/hyperlink" Target="https://drive.google.com/file/d/1zgLIrpU1j68tOw-2AoSqjD2zSaDxHkNY/view?usp=drivesdk" TargetMode="External"/><Relationship Id="rId648" Type="http://schemas.openxmlformats.org/officeDocument/2006/relationships/hyperlink" Target="https://drive.google.com/file/d/1-hokkF2P9ojx-3L99FXIi_GpYwWczkIb/view?usp=drivesdk" TargetMode="External"/><Relationship Id="rId649" Type="http://schemas.openxmlformats.org/officeDocument/2006/relationships/hyperlink" Target="https://drive.google.com/file/d/19hJcV-UzxNWr4WWH3XIsXWt4AXIhwC0i/view?usp=drivesdk" TargetMode="External"/><Relationship Id="rId650" Type="http://schemas.openxmlformats.org/officeDocument/2006/relationships/hyperlink" Target="https://drive.google.com/file/d/17nr827JhgcSvs750I4o0qplhZvF1dMu8/view?usp=drivesdk" TargetMode="External"/><Relationship Id="rId651" Type="http://schemas.openxmlformats.org/officeDocument/2006/relationships/hyperlink" Target="https://drive.google.com/file/d/1Fu2-b8A-BwYqp4UpozaxY3MDz0eVxkhe/view?usp=drivesdk" TargetMode="External"/><Relationship Id="rId652" Type="http://schemas.openxmlformats.org/officeDocument/2006/relationships/hyperlink" Target="https://drive.google.com/file/d/1MtrRLNwpUORdmZMqr00Plu4uJG7Tt0u5/view?usp=drivesdk" TargetMode="External"/><Relationship Id="rId653" Type="http://schemas.openxmlformats.org/officeDocument/2006/relationships/hyperlink" Target="https://drive.google.com/file/d/1oWMf18VGf1TB0v0ZYp_iEocn49hB3z0R/view?usp=drivesdk" TargetMode="External"/><Relationship Id="rId654" Type="http://schemas.openxmlformats.org/officeDocument/2006/relationships/hyperlink" Target="https://drive.google.com/file/d/1zOQPeOLIOyTAU-J6oql2Kk7Mf9jvfXVF/view?usp=drivesdk" TargetMode="External"/><Relationship Id="rId655" Type="http://schemas.openxmlformats.org/officeDocument/2006/relationships/hyperlink" Target="https://drive.google.com/file/d/1WypCNHLj_JcrALiJbm3f_4D55wSM62pR/view?usp=drivesdk" TargetMode="External"/><Relationship Id="rId656" Type="http://schemas.openxmlformats.org/officeDocument/2006/relationships/hyperlink" Target="https://drive.google.com/file/d/1W_xJAmF-c74YzWFVY9e73ED6lXWq8prI/view?usp=drivesdk" TargetMode="External"/><Relationship Id="rId657" Type="http://schemas.openxmlformats.org/officeDocument/2006/relationships/hyperlink" Target="https://drive.google.com/file/d/1viAl3-8c-XM09FCaOmn3Gj8f0bO_p8XM/view?usp=drivesdk" TargetMode="External"/><Relationship Id="rId658" Type="http://schemas.openxmlformats.org/officeDocument/2006/relationships/hyperlink" Target="https://drive.google.com/file/d/1jel8_K5ZyFdrBau3rYCDBUAQl2kn2jqr/view?usp=drivesdk" TargetMode="External"/><Relationship Id="rId659" Type="http://schemas.openxmlformats.org/officeDocument/2006/relationships/hyperlink" Target="https://drive.google.com/file/d/1qXm89owDXjD7ndIIOEtUs7wxUO-EvcQ9/view?usp=drivesdk" TargetMode="External"/><Relationship Id="rId660" Type="http://schemas.openxmlformats.org/officeDocument/2006/relationships/hyperlink" Target="https://drive.google.com/file/d/1H7qJg-AgeO_FHFp5YHquzx5c4aUvcBPq/view?usp=drivesdk" TargetMode="External"/><Relationship Id="rId661" Type="http://schemas.openxmlformats.org/officeDocument/2006/relationships/hyperlink" Target="https://drive.google.com/file/d/1zwudQmYkhf46132SZ_80gH89fmZ3hds3/view?usp=drivesdk" TargetMode="External"/><Relationship Id="rId662" Type="http://schemas.openxmlformats.org/officeDocument/2006/relationships/hyperlink" Target="https://drive.google.com/file/d/13_3gqppEF11uOgXKTWkO2ScYu6vYklYe/view?usp=drivesdk" TargetMode="External"/><Relationship Id="rId663" Type="http://schemas.openxmlformats.org/officeDocument/2006/relationships/hyperlink" Target="https://drive.google.com/file/d/1ELWOBboWl3YCRH15NBWVQigIr51LymzT/view?usp=drivesdk" TargetMode="External"/><Relationship Id="rId664" Type="http://schemas.openxmlformats.org/officeDocument/2006/relationships/hyperlink" Target="https://drive.google.com/file/d/1iiRmf3j2W0AExXvMgVb2zy5sRdcwyQjj/view?usp=drivesdk" TargetMode="External"/><Relationship Id="rId665" Type="http://schemas.openxmlformats.org/officeDocument/2006/relationships/hyperlink" Target="https://drive.google.com/file/d/1Yrryvbbc8Qz78YRy8lXsEGKd6ifcgsBh/view?usp=drivesdk" TargetMode="External"/><Relationship Id="rId666" Type="http://schemas.openxmlformats.org/officeDocument/2006/relationships/hyperlink" Target="https://drive.google.com/file/d/1tOYJV-sgIrnKYi7JpBgk0rWuz6kESsEs/view?usp=drivesdk" TargetMode="External"/><Relationship Id="rId667" Type="http://schemas.openxmlformats.org/officeDocument/2006/relationships/hyperlink" Target="https://drive.google.com/file/d/1YbymXEnrxE-Z-ap_PZLBgMYfTVPK5-bL/view?usp=drivesdk" TargetMode="External"/><Relationship Id="rId668" Type="http://schemas.openxmlformats.org/officeDocument/2006/relationships/hyperlink" Target="https://drive.google.com/file/d/130_fhBzsO3oITTk70fifq-h0C8rEVQjt/view?usp=drivesdk" TargetMode="External"/><Relationship Id="rId669" Type="http://schemas.openxmlformats.org/officeDocument/2006/relationships/hyperlink" Target="https://drive.google.com/file/d/1YdEtWzxa6At-BnONwiQqE8HL-OXaUUD9/view?usp=drivesdk" TargetMode="External"/><Relationship Id="rId670" Type="http://schemas.openxmlformats.org/officeDocument/2006/relationships/hyperlink" Target="https://drive.google.com/file/d/1Bj2gS100qoxYmzrlqEFYwTboshjKcpe8/view?usp=drivesdk" TargetMode="External"/><Relationship Id="rId671" Type="http://schemas.openxmlformats.org/officeDocument/2006/relationships/hyperlink" Target="https://drive.google.com/file/d/1Um_lVkS7kRgjvWdX-OCdeH0t3Rm34nRm/view?usp=drivesdk" TargetMode="External"/><Relationship Id="rId672" Type="http://schemas.openxmlformats.org/officeDocument/2006/relationships/hyperlink" Target="https://drive.google.com/file/d/1DhvlTfaT6ppvqsus98GETExqfny3iYeg/view?usp=drivesdk" TargetMode="External"/><Relationship Id="rId673" Type="http://schemas.openxmlformats.org/officeDocument/2006/relationships/hyperlink" Target="https://drive.google.com/file/d/145ZWlv76l3Mk7J3l5JDsGuDCww6LyM1d/view?usp=drivesdk" TargetMode="External"/><Relationship Id="rId674" Type="http://schemas.openxmlformats.org/officeDocument/2006/relationships/hyperlink" Target="https://drive.google.com/file/d/1frceacvEJ-VdNnT0oCz8_RcXaRgroo0b/view?usp=drivesdk" TargetMode="External"/><Relationship Id="rId675" Type="http://schemas.openxmlformats.org/officeDocument/2006/relationships/hyperlink" Target="https://drive.google.com/file/d/1YCVUdhwY_952qYt-tEIHanmOieWxkNip/view?usp=drivesdk" TargetMode="External"/><Relationship Id="rId676" Type="http://schemas.openxmlformats.org/officeDocument/2006/relationships/hyperlink" Target="https://drive.google.com/file/d/13pvejgxemsicLX8hJRXiAnefQ91xu9ma/view?usp=drivesdk" TargetMode="External"/><Relationship Id="rId677" Type="http://schemas.openxmlformats.org/officeDocument/2006/relationships/hyperlink" Target="https://drive.google.com/file/d/15MmvJNot3spNJmPeR7QztB_PTqK5VEuM/view?usp=drivesdk" TargetMode="External"/><Relationship Id="rId678" Type="http://schemas.openxmlformats.org/officeDocument/2006/relationships/hyperlink" Target="https://drive.google.com/file/d/1BvNyNuCG7_YaE4olLIXhbVv89TRKw9Ab/view?usp=drivesdk" TargetMode="External"/><Relationship Id="rId679" Type="http://schemas.openxmlformats.org/officeDocument/2006/relationships/hyperlink" Target="https://drive.google.com/file/d/13U_FXmm8ATeUuBeNYW7pJ6adGU23LiXL/view?usp=drivesdk" TargetMode="External"/><Relationship Id="rId680" Type="http://schemas.openxmlformats.org/officeDocument/2006/relationships/hyperlink" Target="https://drive.google.com/file/d/1lg7DZhfF5yrfzD7QhQeIb-icC70M-_Vi/view?usp=drivesdk" TargetMode="External"/><Relationship Id="rId681" Type="http://schemas.openxmlformats.org/officeDocument/2006/relationships/hyperlink" Target="https://drive.google.com/file/d/1LpTxrP1MRmBEttxaP3gpAa5Q9OV0wYkL/view?usp=drivesdk" TargetMode="External"/><Relationship Id="rId682" Type="http://schemas.openxmlformats.org/officeDocument/2006/relationships/hyperlink" Target="https://drive.google.com/file/d/1jTldY9CvP2HjCwpMUUtYxI16E6b9Zog2/view?usp=drivesdk" TargetMode="External"/><Relationship Id="rId683" Type="http://schemas.openxmlformats.org/officeDocument/2006/relationships/hyperlink" Target="https://drive.google.com/file/d/1EKfxPFydD4uCNMwYZcHu_I3sG2CXZDIe/view?usp=drivesdk" TargetMode="External"/><Relationship Id="rId684" Type="http://schemas.openxmlformats.org/officeDocument/2006/relationships/hyperlink" Target="https://drive.google.com/file/d/1JrzrLNHg_Frs46rzEqp9l4DE_ybPLGeS/view?usp=drivesdk" TargetMode="External"/><Relationship Id="rId685" Type="http://schemas.openxmlformats.org/officeDocument/2006/relationships/hyperlink" Target="https://drive.google.com/file/d/1I2qrDNK5sVbanfxJOKK5j23EvPs6CusO/view?usp=drivesdk" TargetMode="External"/><Relationship Id="rId686" Type="http://schemas.openxmlformats.org/officeDocument/2006/relationships/hyperlink" Target="https://drive.google.com/file/d/1ezTBr497FKdFa7gvIBlOuHGILR41OQ-P/view?usp=drivesdk" TargetMode="External"/><Relationship Id="rId687" Type="http://schemas.openxmlformats.org/officeDocument/2006/relationships/hyperlink" Target="https://drive.google.com/file/d/1umaFQvcmq-dxYuAhR8ccBr6A3ra7WQQk/view?usp=drivesdk" TargetMode="External"/><Relationship Id="rId688" Type="http://schemas.openxmlformats.org/officeDocument/2006/relationships/hyperlink" Target="https://drive.google.com/file/d/15Bo9iD6wnaKw2oCLwxMTmNjnrEKsI4IW/view?usp=drivesdk" TargetMode="External"/><Relationship Id="rId689" Type="http://schemas.openxmlformats.org/officeDocument/2006/relationships/hyperlink" Target="https://drive.google.com/file/d/15e1oO1f878HwtkDIFQtGXeqX3dDvjhYm/view?usp=drivesdk" TargetMode="External"/><Relationship Id="rId690" Type="http://schemas.openxmlformats.org/officeDocument/2006/relationships/hyperlink" Target="https://drive.google.com/file/d/13NQR2mqkz7jyYi2613rvMVEPwLBKrVkI/view?usp=drivesdk" TargetMode="External"/><Relationship Id="rId691" Type="http://schemas.openxmlformats.org/officeDocument/2006/relationships/hyperlink" Target="https://drive.google.com/file/d/1xS89WvmeNpk_hfkou_kh2k4oGf1iPIgX/view?usp=drivesdk" TargetMode="External"/><Relationship Id="rId692" Type="http://schemas.openxmlformats.org/officeDocument/2006/relationships/hyperlink" Target="https://drive.google.com/file/d/1kwNPWmxw7P5sk5wcWmiaYYbAGeObToRq/view?usp=drivesdk" TargetMode="External"/><Relationship Id="rId693" Type="http://schemas.openxmlformats.org/officeDocument/2006/relationships/hyperlink" Target="https://drive.google.com/file/d/1SV3A1hHs7RFwz22hVCjyZzR6j0dgP5Ul/view?usp=drivesdk" TargetMode="External"/><Relationship Id="rId694" Type="http://schemas.openxmlformats.org/officeDocument/2006/relationships/hyperlink" Target="https://drive.google.com/file/d/1kUmPZWnAvZ8pUrV2KaNiIx2WBybLGQjF/view?usp=drivesdk" TargetMode="External"/><Relationship Id="rId695" Type="http://schemas.openxmlformats.org/officeDocument/2006/relationships/hyperlink" Target="https://drive.google.com/file/d/1IEyEXDcFzyh6bBh9jhZTCo4ChSrmnMET/view?usp=drivesdk" TargetMode="External"/><Relationship Id="rId696" Type="http://schemas.openxmlformats.org/officeDocument/2006/relationships/hyperlink" Target="https://drive.google.com/file/d/1G30zvicfOCLW9i5MUyx0gytTK-GU8bFE/view?usp=drivesdk" TargetMode="External"/><Relationship Id="rId697" Type="http://schemas.openxmlformats.org/officeDocument/2006/relationships/hyperlink" Target="https://drive.google.com/file/d/14T1IwNIkR8K-000RtaNk14SXf00ybtTF/view?usp=drivesdk" TargetMode="External"/><Relationship Id="rId698" Type="http://schemas.openxmlformats.org/officeDocument/2006/relationships/hyperlink" Target="https://drive.google.com/file/d/1hxn9--pbQ7l7zAY82peRspigEve6ePnl/view?usp=drivesdk" TargetMode="External"/><Relationship Id="rId699" Type="http://schemas.openxmlformats.org/officeDocument/2006/relationships/hyperlink" Target="https://drive.google.com/file/d/1iyyEnZzJ7L28vO63jK2rS3ZFwytw5iF6/view?usp=drivesdk" TargetMode="External"/><Relationship Id="rId700" Type="http://schemas.openxmlformats.org/officeDocument/2006/relationships/hyperlink" Target="https://drive.google.com/file/d/1f8ClGnazSGPysZuKzrQPSO6Q7YeziZWE/view?usp=drivesdk" TargetMode="External"/><Relationship Id="rId701" Type="http://schemas.openxmlformats.org/officeDocument/2006/relationships/hyperlink" Target="https://drive.google.com/file/d/1T3SjCKN37uSoMTRWx5bFQpaneNSCP90E/view?usp=drivesdk" TargetMode="External"/><Relationship Id="rId702" Type="http://schemas.openxmlformats.org/officeDocument/2006/relationships/hyperlink" Target="https://drive.google.com/file/d/1Al_zhlH5m7pHzq6ckQY23hxoIxCZdSE5/view?usp=drivesdk" TargetMode="External"/><Relationship Id="rId703" Type="http://schemas.openxmlformats.org/officeDocument/2006/relationships/hyperlink" Target="https://drive.google.com/file/d/1FZKtf-hxkStsTnBXBGDisU894w5SMVl3/view?usp=drivesdk" TargetMode="External"/><Relationship Id="rId704" Type="http://schemas.openxmlformats.org/officeDocument/2006/relationships/hyperlink" Target="https://drive.google.com/file/d/1_7W1smlpEbhiuP7tXmHTHhz5O9s9PtA3/view?usp=drivesdk" TargetMode="External"/><Relationship Id="rId705" Type="http://schemas.openxmlformats.org/officeDocument/2006/relationships/hyperlink" Target="https://drive.google.com/file/d/1Fp8Sm9rhqMAERVLr_sPpCjjW129P1mam/view?usp=drivesdk" TargetMode="External"/><Relationship Id="rId706" Type="http://schemas.openxmlformats.org/officeDocument/2006/relationships/hyperlink" Target="https://drive.google.com/file/d/1zxa97WcJamaYctBGlSqDZwaWu-sNFqUL/view?usp=drivesdk" TargetMode="External"/><Relationship Id="rId707" Type="http://schemas.openxmlformats.org/officeDocument/2006/relationships/hyperlink" Target="https://drive.google.com/file/d/1bWjUAeoHNwicvAQlh6tALG9KT51tbtaY/view?usp=drivesdk" TargetMode="External"/><Relationship Id="rId708" Type="http://schemas.openxmlformats.org/officeDocument/2006/relationships/hyperlink" Target="https://drive.google.com/file/d/1n4T_rl-yFX6pOhxgxsKGZQTCavfL-HEX/view?usp=drivesdk" TargetMode="External"/><Relationship Id="rId709" Type="http://schemas.openxmlformats.org/officeDocument/2006/relationships/hyperlink" Target="https://drive.google.com/file/d/1GaFF6gLcAFY-p4yKrn_lx9HGwiVFuLH7/view?usp=drivesdk" TargetMode="External"/><Relationship Id="rId710" Type="http://schemas.openxmlformats.org/officeDocument/2006/relationships/hyperlink" Target="https://drive.google.com/file/d/1oNVH-iO9zNqIqbz5vZxRzLN0nItBSYaq/view?usp=drivesdk" TargetMode="External"/><Relationship Id="rId711" Type="http://schemas.openxmlformats.org/officeDocument/2006/relationships/hyperlink" Target="https://drive.google.com/file/d/1p6PBqrZjILaOwoc9Y-XcHLB7gpFL7Cyh/view?usp=drivesdk" TargetMode="External"/><Relationship Id="rId712" Type="http://schemas.openxmlformats.org/officeDocument/2006/relationships/hyperlink" Target="https://drive.google.com/file/d/1TivYUqGB21Jy1veGHj7kWlraHa4b-wkb/view?usp=drivesdk" TargetMode="External"/><Relationship Id="rId713" Type="http://schemas.openxmlformats.org/officeDocument/2006/relationships/hyperlink" Target="https://drive.google.com/file/d/1V6j-WOkrwSDnRAIp5dGdrWyyTmC0zzVa/view?usp=drivesdk" TargetMode="External"/><Relationship Id="rId714" Type="http://schemas.openxmlformats.org/officeDocument/2006/relationships/hyperlink" Target="https://drive.google.com/file/d/1ARsio0WgvWv11XtAbN4LHtEM1zf6yIZE/view?usp=drivesdk" TargetMode="External"/><Relationship Id="rId715" Type="http://schemas.openxmlformats.org/officeDocument/2006/relationships/hyperlink" Target="https://drive.google.com/file/d/1-qh-ETI95t0vnOLwTz0HXY8ORwGLbrvU/view?usp=drivesdk" TargetMode="External"/><Relationship Id="rId716" Type="http://schemas.openxmlformats.org/officeDocument/2006/relationships/hyperlink" Target="https://drive.google.com/file/d/1o6-AzurfCtPsaulukOD7J_nOQi56WCcJ/view?usp=drivesdk" TargetMode="External"/><Relationship Id="rId717" Type="http://schemas.openxmlformats.org/officeDocument/2006/relationships/hyperlink" Target="https://drive.google.com/file/d/1b9Cv9j5r2Q0SK5um7HlGuVqjvGe5vm48/view?usp=drivesdk" TargetMode="External"/><Relationship Id="rId718" Type="http://schemas.openxmlformats.org/officeDocument/2006/relationships/hyperlink" Target="https://drive.google.com/file/d/1O30ZdZ4lXjdwQI7V3kSGW2mK1CRF4WmK/view?usp=drivesdk" TargetMode="External"/><Relationship Id="rId719" Type="http://schemas.openxmlformats.org/officeDocument/2006/relationships/hyperlink" Target="https://drive.google.com/file/d/1KNs_uuDJk8WZYiiTIPthExmz4RB3GSkg/view?usp=drivesdk" TargetMode="External"/><Relationship Id="rId720" Type="http://schemas.openxmlformats.org/officeDocument/2006/relationships/hyperlink" Target="https://drive.google.com/file/d/1FqYuA5aY7K5Nq2pFJiotBXSiPHTwSCGQ/view?usp=drivesdk" TargetMode="External"/><Relationship Id="rId721" Type="http://schemas.openxmlformats.org/officeDocument/2006/relationships/hyperlink" Target="https://drive.google.com/file/d/13BTlpr09KDZ-RKD1CZT253pp3U-1V_cO/view?usp=drivesdk" TargetMode="External"/><Relationship Id="rId722" Type="http://schemas.openxmlformats.org/officeDocument/2006/relationships/hyperlink" Target="https://drive.google.com/file/d/1OUenpP3s9P1u0EXoksnuYoVIZrEg5ijl/view?usp=drivesdk" TargetMode="External"/><Relationship Id="rId723" Type="http://schemas.openxmlformats.org/officeDocument/2006/relationships/hyperlink" Target="https://drive.google.com/file/d/1Pw4AP1lVfOSEVNQWouO800EeqOeo4Va-/view?usp=drivesdk" TargetMode="External"/><Relationship Id="rId724" Type="http://schemas.openxmlformats.org/officeDocument/2006/relationships/hyperlink" Target="https://drive.google.com/file/d/1kagLZsV3qyUcdiLSjEK9mmfQZi9budWs/view?usp=drivesdk" TargetMode="External"/><Relationship Id="rId725" Type="http://schemas.openxmlformats.org/officeDocument/2006/relationships/hyperlink" Target="https://drive.google.com/file/d/1sa2n4J0TktDmYwG-yzZHCfDJLg5lhGBq/view?usp=drivesdk" TargetMode="External"/><Relationship Id="rId726" Type="http://schemas.openxmlformats.org/officeDocument/2006/relationships/hyperlink" Target="https://drive.google.com/file/d/1I7xp_JXzdK73y76Lp42pUxS75ic1W17F/view?usp=drivesdk" TargetMode="External"/><Relationship Id="rId727" Type="http://schemas.openxmlformats.org/officeDocument/2006/relationships/hyperlink" Target="https://drive.google.com/file/d/15SjxJItEjF0SgM3VldhjH_-Y8WhkKCTW/view?usp=drivesdk" TargetMode="External"/><Relationship Id="rId728" Type="http://schemas.openxmlformats.org/officeDocument/2006/relationships/hyperlink" Target="https://drive.google.com/file/d/1DlAb3_CGQkN_MGYxo-DdWQTx1QlU1-Ha/view?usp=drivesdk" TargetMode="External"/><Relationship Id="rId729" Type="http://schemas.openxmlformats.org/officeDocument/2006/relationships/hyperlink" Target="https://drive.google.com/file/d/1aFX4TlQnRfiQRmZ4AAvMZkDSiJVIEscQ/view?usp=drivesdk" TargetMode="External"/><Relationship Id="rId730" Type="http://schemas.openxmlformats.org/officeDocument/2006/relationships/hyperlink" Target="https://drive.google.com/file/d/1l6W5wp9Z-8zzhaDdK7dn1HXetUxeAsMf/view?usp=drivesdk" TargetMode="External"/><Relationship Id="rId731" Type="http://schemas.openxmlformats.org/officeDocument/2006/relationships/hyperlink" Target="https://drive.google.com/file/d/1ob5GSbwbcks2SnChmF1IG4b66oGExgWX/view?usp=drivesdk" TargetMode="External"/><Relationship Id="rId732" Type="http://schemas.openxmlformats.org/officeDocument/2006/relationships/hyperlink" Target="https://drive.google.com/file/d/1Pr7iWe8IEFfIgwePYuCpJuEWeRDvyhUX/view?usp=drivesdk" TargetMode="External"/><Relationship Id="rId733" Type="http://schemas.openxmlformats.org/officeDocument/2006/relationships/hyperlink" Target="https://drive.google.com/file/d/1egAqHOjYj7HGgn6s4a0LxXQElevQr8nY/view?usp=drivesdk" TargetMode="External"/><Relationship Id="rId734" Type="http://schemas.openxmlformats.org/officeDocument/2006/relationships/hyperlink" Target="https://drive.google.com/file/d/1BbNgbspFwArdhNdqyFYQM-NjQCcgLJh3/view?usp=drivesdk" TargetMode="External"/><Relationship Id="rId735" Type="http://schemas.openxmlformats.org/officeDocument/2006/relationships/hyperlink" Target="https://drive.google.com/file/d/1EMWbfCg4KQHE38Ny4Nlm_xNAteTABZhV/view?usp=drivesdk" TargetMode="External"/><Relationship Id="rId736" Type="http://schemas.openxmlformats.org/officeDocument/2006/relationships/hyperlink" Target="https://drive.google.com/file/d/1YyAHjU0_hEBOY93pAkk4wNqPtmu-fdJC/view?usp=drivesdk" TargetMode="External"/><Relationship Id="rId737" Type="http://schemas.openxmlformats.org/officeDocument/2006/relationships/hyperlink" Target="https://drive.google.com/file/d/1FiEwEfAdpbL3YFBiwgY969i6vuR0DqqC/view?usp=drivesdk" TargetMode="External"/><Relationship Id="rId738" Type="http://schemas.openxmlformats.org/officeDocument/2006/relationships/hyperlink" Target="https://drive.google.com/file/d/19FmmdDoa2AyXLeUC7f9Gf3ImGdb1TNG7/view?usp=drivesdk" TargetMode="External"/><Relationship Id="rId739" Type="http://schemas.openxmlformats.org/officeDocument/2006/relationships/hyperlink" Target="https://drive.google.com/file/d/1xR7Vop5iMpXybGcM18qyJvgcphsK-bOr/view?usp=drivesdk" TargetMode="External"/><Relationship Id="rId740" Type="http://schemas.openxmlformats.org/officeDocument/2006/relationships/hyperlink" Target="https://drive.google.com/file/d/10cKiYG12ykEfudRvW5n2LbJ5SQeQPym5/view?usp=drivesdk" TargetMode="External"/><Relationship Id="rId741" Type="http://schemas.openxmlformats.org/officeDocument/2006/relationships/hyperlink" Target="https://drive.google.com/file/d/1SHT-wUe0fDFWa_Ws_3qjOm5ZLxVmMMeH/view?usp=drivesdk" TargetMode="External"/><Relationship Id="rId742" Type="http://schemas.openxmlformats.org/officeDocument/2006/relationships/hyperlink" Target="https://drive.google.com/file/d/1AsToUDmV-Zjq0DXNVXU1XJZ8xpRetKbS/view?usp=drivesdk" TargetMode="External"/><Relationship Id="rId743" Type="http://schemas.openxmlformats.org/officeDocument/2006/relationships/hyperlink" Target="https://drive.google.com/file/d/1PbvkDEjrK03PLRIJ8JziP5EcPEgtgo3q/view?usp=drivesdk" TargetMode="External"/><Relationship Id="rId744" Type="http://schemas.openxmlformats.org/officeDocument/2006/relationships/hyperlink" Target="https://drive.google.com/file/d/14SVlBtN1JLhQsPAFFTQgLs2fz8_suPlK/view?usp=drivesdk" TargetMode="External"/><Relationship Id="rId745" Type="http://schemas.openxmlformats.org/officeDocument/2006/relationships/hyperlink" Target="https://drive.google.com/file/d/1utJf4xp2S6-cyfXtZOGipO3vS4Yoq9yj/view?usp=drivesdk" TargetMode="External"/><Relationship Id="rId746" Type="http://schemas.openxmlformats.org/officeDocument/2006/relationships/hyperlink" Target="https://drive.google.com/file/d/1qNy9IganJ8GvI1XBGbZZKZXsH0a921yG/view?usp=drivesdk" TargetMode="External"/><Relationship Id="rId747" Type="http://schemas.openxmlformats.org/officeDocument/2006/relationships/hyperlink" Target="https://drive.google.com/file/d/1orAW-_mMhXTGSouYQ6d-_m62dTi-GR8t/view?usp=drivesdk" TargetMode="External"/><Relationship Id="rId748" Type="http://schemas.openxmlformats.org/officeDocument/2006/relationships/hyperlink" Target="https://drive.google.com/file/d/1Q7O3u1_M2jdWil3hY3W9QFyUg7oRMfYe/view?usp=drivesdk" TargetMode="External"/><Relationship Id="rId749" Type="http://schemas.openxmlformats.org/officeDocument/2006/relationships/hyperlink" Target="https://drive.google.com/file/d/1n7U4bFxM_fKrqMcMk0UVYL1VR1tirQpF/view?usp=drivesdk" TargetMode="External"/><Relationship Id="rId750" Type="http://schemas.openxmlformats.org/officeDocument/2006/relationships/hyperlink" Target="https://drive.google.com/file/d/1EOzBBaGjcf7hX6s8O1hRJC8hm6A0Trwf/view?usp=drivesdk" TargetMode="External"/><Relationship Id="rId751" Type="http://schemas.openxmlformats.org/officeDocument/2006/relationships/hyperlink" Target="https://drive.google.com/file/d/1QGrNpg6WB13IAzsPs2pESVdILQfNP7lX/view?usp=drivesdk" TargetMode="External"/><Relationship Id="rId752" Type="http://schemas.openxmlformats.org/officeDocument/2006/relationships/hyperlink" Target="https://drive.google.com/file/d/1mIOORd2d84NokQEH0wNQQjM71D02E1uy/view?usp=drivesdk" TargetMode="External"/><Relationship Id="rId753" Type="http://schemas.openxmlformats.org/officeDocument/2006/relationships/hyperlink" Target="https://drive.google.com/file/d/1FGsGfhcAxhZuCtzvXr6AcR6eNXQDnShd/view?usp=drivesdk" TargetMode="External"/><Relationship Id="rId754" Type="http://schemas.openxmlformats.org/officeDocument/2006/relationships/hyperlink" Target="https://drive.google.com/file/d/1nwxScFDsbrJyz30ldAFLyiFX43-aLNg1/view?usp=drivesdk" TargetMode="External"/><Relationship Id="rId755" Type="http://schemas.openxmlformats.org/officeDocument/2006/relationships/hyperlink" Target="https://drive.google.com/file/d/16nNczOGXS4UG-K-7NglXTqViYl_Tl4__/view?usp=drivesdk" TargetMode="External"/><Relationship Id="rId756" Type="http://schemas.openxmlformats.org/officeDocument/2006/relationships/hyperlink" Target="https://drive.google.com/file/d/13Hu88K7D3yGWa1TSSaq4j3YGNL72WyFv/view?usp=drivesdk" TargetMode="External"/><Relationship Id="rId757" Type="http://schemas.openxmlformats.org/officeDocument/2006/relationships/hyperlink" Target="https://drive.google.com/file/d/1-OZwLyMNIuJVMaoDA7Ej0Sl8Hpr1kDHd/view?usp=drivesdk" TargetMode="External"/><Relationship Id="rId758" Type="http://schemas.openxmlformats.org/officeDocument/2006/relationships/hyperlink" Target="https://drive.google.com/file/d/1nWSodqS9Q4iSHUMRh42xzE47Euhl5CFL/view?usp=drivesdk" TargetMode="External"/><Relationship Id="rId759" Type="http://schemas.openxmlformats.org/officeDocument/2006/relationships/hyperlink" Target="https://drive.google.com/file/d/1GzTKP0Lxf3-SPvxYsDjx73UPaRupbl2-/view?usp=drivesdk" TargetMode="External"/><Relationship Id="rId760" Type="http://schemas.openxmlformats.org/officeDocument/2006/relationships/hyperlink" Target="https://drive.google.com/file/d/1VcQmN3fPQeqMZrmReIsMydP9Ats7HZsW/view?usp=drivesdk" TargetMode="External"/><Relationship Id="rId761" Type="http://schemas.openxmlformats.org/officeDocument/2006/relationships/hyperlink" Target="https://drive.google.com/file/d/1SUZaSkU0dNmnzvURLLnunuJy6FkhcCKo/view?usp=drivesdk" TargetMode="External"/><Relationship Id="rId762" Type="http://schemas.openxmlformats.org/officeDocument/2006/relationships/hyperlink" Target="https://drive.google.com/file/d/1Ld3_ktfrXMpZy6crY912N6Kta-maKJ-v/view?usp=drivesdk" TargetMode="External"/><Relationship Id="rId763" Type="http://schemas.openxmlformats.org/officeDocument/2006/relationships/hyperlink" Target="https://drive.google.com/file/d/1vmXvS4hvWoKvCdW0tlGeAXZw-w3DdvOD/view?usp=drivesdk" TargetMode="External"/><Relationship Id="rId764" Type="http://schemas.openxmlformats.org/officeDocument/2006/relationships/hyperlink" Target="https://drive.google.com/file/d/10FQoUwzyVee_2ifK6eE_5oUZ4OmVSR6n/view?usp=drivesdk" TargetMode="External"/><Relationship Id="rId765" Type="http://schemas.openxmlformats.org/officeDocument/2006/relationships/hyperlink" Target="https://drive.google.com/file/d/1LYot0zcYTf0tVwgNM8gUgohpbgcbQf73/view?usp=drivesdk" TargetMode="External"/><Relationship Id="rId766" Type="http://schemas.openxmlformats.org/officeDocument/2006/relationships/hyperlink" Target="https://drive.google.com/file/d/1JbfXSUT9ai6JaU62OkuQMPxDFUkeD0tU/view?usp=drivesdk" TargetMode="External"/><Relationship Id="rId767" Type="http://schemas.openxmlformats.org/officeDocument/2006/relationships/hyperlink" Target="https://drive.google.com/file/d/1yWRy6-S5cbiGBQJ1ObK43q35VuWcyP4_/view?usp=drivesdk" TargetMode="External"/><Relationship Id="rId768" Type="http://schemas.openxmlformats.org/officeDocument/2006/relationships/hyperlink" Target="https://drive.google.com/file/d/1IWVq3ikzPUatu5S50OFTYQgiZLxIf3jk/view?usp=drivesdk" TargetMode="External"/><Relationship Id="rId769" Type="http://schemas.openxmlformats.org/officeDocument/2006/relationships/hyperlink" Target="https://drive.google.com/file/d/1wlPJkimtNl3euwSRA5zS_5-RayFOu4yc/view?usp=drivesdk" TargetMode="External"/><Relationship Id="rId770" Type="http://schemas.openxmlformats.org/officeDocument/2006/relationships/hyperlink" Target="https://drive.google.com/file/d/1ymDd8d0TzNNROeRfd646yt2gm5-5-Fzv/view?usp=drivesdk" TargetMode="External"/><Relationship Id="rId771" Type="http://schemas.openxmlformats.org/officeDocument/2006/relationships/hyperlink" Target="https://drive.google.com/file/d/1qn1nJvD8pDuo9Zur6Nqq0gC9IMZ15sxE/view?usp=drivesdk" TargetMode="External"/><Relationship Id="rId772" Type="http://schemas.openxmlformats.org/officeDocument/2006/relationships/hyperlink" Target="https://drive.google.com/file/d/1edw2h-xmZ-cELrBmmqZ6VwlJDhcdpDff/view?usp=drivesdk" TargetMode="External"/><Relationship Id="rId773" Type="http://schemas.openxmlformats.org/officeDocument/2006/relationships/hyperlink" Target="https://drive.google.com/file/d/1xv_MFKSCdCmZ3kkYVZuQGVZYLIBOtEsw/view?usp=drivesdk" TargetMode="External"/><Relationship Id="rId774" Type="http://schemas.openxmlformats.org/officeDocument/2006/relationships/hyperlink" Target="https://drive.google.com/file/d/1Yid3GKnSNZp_ECDa4eT0TdZEwRnv0IlE/view?usp=drivesdk" TargetMode="External"/><Relationship Id="rId775" Type="http://schemas.openxmlformats.org/officeDocument/2006/relationships/hyperlink" Target="https://drive.google.com/file/d/1rHVm0ADhhCkXpFg37f_0gG-oyDn7TobI/view?usp=drivesdk" TargetMode="External"/><Relationship Id="rId776" Type="http://schemas.openxmlformats.org/officeDocument/2006/relationships/hyperlink" Target="https://drive.google.com/file/d/1Ug4WRA5HCZko3RSx19jE4TtqwKLDNO8i/view?usp=drivesdk" TargetMode="External"/><Relationship Id="rId777" Type="http://schemas.openxmlformats.org/officeDocument/2006/relationships/hyperlink" Target="https://drive.google.com/file/d/17v41ij_hD3nhPc8BjFRSO2FbNABSTZTv/view?usp=drivesdk" TargetMode="External"/><Relationship Id="rId778" Type="http://schemas.openxmlformats.org/officeDocument/2006/relationships/hyperlink" Target="https://drive.google.com/file/d/1pCDe6jXtVJgbdtWxPczqjL2QG1WaNAHm/view?usp=drivesdk" TargetMode="External"/><Relationship Id="rId779" Type="http://schemas.openxmlformats.org/officeDocument/2006/relationships/hyperlink" Target="https://drive.google.com/file/d/1Ix--RBeM48WhMB4PbE1QRhNiYwwHXcgi/view?usp=drivesdk" TargetMode="External"/><Relationship Id="rId780" Type="http://schemas.openxmlformats.org/officeDocument/2006/relationships/hyperlink" Target="https://drive.google.com/file/d/1FnsUnMeADMCw40FRNJD-dWL4vcMp4rUr/view?usp=drivesdk" TargetMode="External"/><Relationship Id="rId781" Type="http://schemas.openxmlformats.org/officeDocument/2006/relationships/hyperlink" Target="https://drive.google.com/file/d/1ZMJx-KAJC6pjblV25JIzkskaLdZSUwCL/view?usp=drivesdk" TargetMode="External"/><Relationship Id="rId782" Type="http://schemas.openxmlformats.org/officeDocument/2006/relationships/hyperlink" Target="https://drive.google.com/file/d/1CxxBc-vvThV_WSVzTgZ3WxhbR_zPWOkA/view?usp=drivesdk" TargetMode="External"/><Relationship Id="rId783" Type="http://schemas.openxmlformats.org/officeDocument/2006/relationships/hyperlink" Target="https://drive.google.com/file/d/1mN82mNxjnmYJwZuVtAJeX3BN4tnIJdiK/view?usp=drivesdk" TargetMode="External"/><Relationship Id="rId784" Type="http://schemas.openxmlformats.org/officeDocument/2006/relationships/hyperlink" Target="https://drive.google.com/file/d/1hoVB72mQSZyIv8EWcbsUpCQbDJGdQ6h2/view?usp=drivesdk" TargetMode="External"/><Relationship Id="rId785" Type="http://schemas.openxmlformats.org/officeDocument/2006/relationships/hyperlink" Target="https://drive.google.com/file/d/1FcRw14L2CLSOskL0nDDsbtR2pkEkXxA7/view?usp=drivesdk" TargetMode="External"/><Relationship Id="rId786" Type="http://schemas.openxmlformats.org/officeDocument/2006/relationships/hyperlink" Target="https://drive.google.com/file/d/1CxcvrHFLBMFBh9CWgcxiUeaWrsOxDvwf/view?usp=drivesdk" TargetMode="External"/><Relationship Id="rId787" Type="http://schemas.openxmlformats.org/officeDocument/2006/relationships/hyperlink" Target="https://drive.google.com/file/d/1S7YsZA9qEo7oi63oKFHTQOgEuoPub4eR/view?usp=drivesdk" TargetMode="External"/><Relationship Id="rId788" Type="http://schemas.openxmlformats.org/officeDocument/2006/relationships/hyperlink" Target="https://drive.google.com/file/d/15Dx1iZaA6OmySBQFhi45qPXvzRm5qCkw/view?usp=drivesdk" TargetMode="External"/><Relationship Id="rId789" Type="http://schemas.openxmlformats.org/officeDocument/2006/relationships/hyperlink" Target="https://drive.google.com/file/d/1tgr1tFQiBwayB4iAG2AFvMf5ws6F3Q7k/view?usp=drivesdk" TargetMode="External"/><Relationship Id="rId790" Type="http://schemas.openxmlformats.org/officeDocument/2006/relationships/hyperlink" Target="https://drive.google.com/file/d/1H-6NQ0oB87NbftEVmaWIEVljYs6qJG_D/view?usp=drivesdk" TargetMode="External"/><Relationship Id="rId791" Type="http://schemas.openxmlformats.org/officeDocument/2006/relationships/hyperlink" Target="https://drive.google.com/file/d/1MPEIwF6kSKXJBqK_GlButQY5FJ6yQPEU/view?usp=drivesdk" TargetMode="External"/><Relationship Id="rId792" Type="http://schemas.openxmlformats.org/officeDocument/2006/relationships/hyperlink" Target="https://drive.google.com/file/d/1WE8y-yIcXXuQqlv6pYxjSqNviPof_PMs/view?usp=drivesdk" TargetMode="External"/><Relationship Id="rId793" Type="http://schemas.openxmlformats.org/officeDocument/2006/relationships/hyperlink" Target="https://drive.google.com/file/d/1dKZvF1RC6D8vCkUmIX1T_fgRtj97Q1bv/view?usp=drivesdk" TargetMode="External"/><Relationship Id="rId794" Type="http://schemas.openxmlformats.org/officeDocument/2006/relationships/hyperlink" Target="https://drive.google.com/file/d/1RJXxBJncUhdZFRjiplf5Gpoa39gMvZb8/view?usp=drivesdk" TargetMode="External"/><Relationship Id="rId795" Type="http://schemas.openxmlformats.org/officeDocument/2006/relationships/hyperlink" Target="https://drive.google.com/file/d/1LNBcVsrZnD_kfOzjEy9idnwMT_RWSoxL/view?usp=drivesdk" TargetMode="External"/><Relationship Id="rId796" Type="http://schemas.openxmlformats.org/officeDocument/2006/relationships/hyperlink" Target="https://drive.google.com/file/d/1ValHyvxJLNX-Al_kXdmwWJNix9AhuIFY/view?usp=drivesdk" TargetMode="External"/><Relationship Id="rId797" Type="http://schemas.openxmlformats.org/officeDocument/2006/relationships/hyperlink" Target="https://drive.google.com/file/d/1RTDdmF3uBbzgKlPT9nKfP6X1blRTxJ2f/view?usp=drivesdk" TargetMode="External"/><Relationship Id="rId798" Type="http://schemas.openxmlformats.org/officeDocument/2006/relationships/hyperlink" Target="https://drive.google.com/file/d/1oHW0UcYDwpL0JZcNLNfBhQrKj9T8kS3r/view?usp=drivesdk" TargetMode="External"/><Relationship Id="rId799" Type="http://schemas.openxmlformats.org/officeDocument/2006/relationships/hyperlink" Target="https://drive.google.com/file/d/1TrSBUIVDc9ozIgcodnHvqHnZ5VGQw316/view?usp=drivesdk" TargetMode="External"/><Relationship Id="rId800" Type="http://schemas.openxmlformats.org/officeDocument/2006/relationships/hyperlink" Target="https://drive.google.com/file/d/11M6YQNGa6ODyhkUUIihA4KDgIdfq49fP/view?usp=drivesdk" TargetMode="External"/><Relationship Id="rId801" Type="http://schemas.openxmlformats.org/officeDocument/2006/relationships/hyperlink" Target="https://drive.google.com/file/d/1zS3zfUSCHL-JTB8ET5d6zh2e5yfokw57/view?usp=drivesdk" TargetMode="External"/><Relationship Id="rId802" Type="http://schemas.openxmlformats.org/officeDocument/2006/relationships/hyperlink" Target="https://drive.google.com/file/d/1Wqr7rXAuBpGTb1yUQi-kQvmjrHPwisrb/view?usp=drivesdk" TargetMode="External"/><Relationship Id="rId803" Type="http://schemas.openxmlformats.org/officeDocument/2006/relationships/hyperlink" Target="https://drive.google.com/file/d/1aK-ZSTBBF0qLn4BQAC3ENYmWaPKbRDTl/view?usp=drivesdk" TargetMode="External"/><Relationship Id="rId804" Type="http://schemas.openxmlformats.org/officeDocument/2006/relationships/hyperlink" Target="https://drive.google.com/file/d/1j39nETcWUQEbycJybzU9FUSdA2LgIkkk/view?usp=drivesdk" TargetMode="External"/><Relationship Id="rId805" Type="http://schemas.openxmlformats.org/officeDocument/2006/relationships/hyperlink" Target="https://drive.google.com/file/d/1MnGEyuHzGCIsd5XHIa2P0EQF-UXsk_Xr/view?usp=drivesdk" TargetMode="External"/><Relationship Id="rId806" Type="http://schemas.openxmlformats.org/officeDocument/2006/relationships/hyperlink" Target="https://drive.google.com/file/d/1dGnQE2PkVNnk8J67AvqRCUhartzSG2Ld/view?usp=drivesdk" TargetMode="External"/><Relationship Id="rId807" Type="http://schemas.openxmlformats.org/officeDocument/2006/relationships/hyperlink" Target="https://drive.google.com/file/d/19KDGblP-aFBNGRCYg2Ki0_yb2tU-In_g/view?usp=drivesdk" TargetMode="External"/><Relationship Id="rId808" Type="http://schemas.openxmlformats.org/officeDocument/2006/relationships/hyperlink" Target="https://drive.google.com/file/d/1ucxqQQv6YIHWxLv9Om2ZxGz1sLkzSJ3d/view?usp=drivesdk" TargetMode="External"/><Relationship Id="rId809" Type="http://schemas.openxmlformats.org/officeDocument/2006/relationships/hyperlink" Target="https://drive.google.com/file/d/1KsNsnMwj2rc3ravFAVNcRuFJGDOKQx7B/view?usp=drivesdk" TargetMode="External"/><Relationship Id="rId810" Type="http://schemas.openxmlformats.org/officeDocument/2006/relationships/hyperlink" Target="https://drive.google.com/file/d/1-uGALNpdQ-Iu1blVrFv86d_Nf6ySXGp_/view?usp=drivesdk" TargetMode="External"/><Relationship Id="rId811" Type="http://schemas.openxmlformats.org/officeDocument/2006/relationships/hyperlink" Target="https://drive.google.com/file/d/1VQjulp1ciN0KRyH20_jXoYVY4_xRTXQ5/view?usp=drivesdk" TargetMode="External"/><Relationship Id="rId812" Type="http://schemas.openxmlformats.org/officeDocument/2006/relationships/hyperlink" Target="https://drive.google.com/file/d/1lJlGTJIvUilXPbb-iuBQfOYkdABmw3-Z/view?usp=drivesdk" TargetMode="External"/><Relationship Id="rId813" Type="http://schemas.openxmlformats.org/officeDocument/2006/relationships/hyperlink" Target="https://drive.google.com/file/d/1HePMbg_MOrb58Lf2PEv2-eMyANtKzBT-/view?usp=drivesdk" TargetMode="External"/><Relationship Id="rId814" Type="http://schemas.openxmlformats.org/officeDocument/2006/relationships/hyperlink" Target="https://drive.google.com/file/d/153o7Lnsod2Hm3C5HtefzTM-kpOz9cbYG/view?usp=drivesdk" TargetMode="External"/><Relationship Id="rId815" Type="http://schemas.openxmlformats.org/officeDocument/2006/relationships/hyperlink" Target="https://drive.google.com/file/d/1oPInDfLSSkbi1yc-VdL4Szao2-tdw291/view?usp=drivesdk" TargetMode="External"/><Relationship Id="rId816" Type="http://schemas.openxmlformats.org/officeDocument/2006/relationships/hyperlink" Target="https://drive.google.com/file/d/11dy4FDjILyzImMYs4XFY6pXMCK2xrKRm/view?usp=drivesdk" TargetMode="External"/><Relationship Id="rId817" Type="http://schemas.openxmlformats.org/officeDocument/2006/relationships/hyperlink" Target="https://drive.google.com/file/d/1JcCArAakswNjcX89jQ6xf8hJlH7qa6Pm/view?usp=drivesdk" TargetMode="External"/><Relationship Id="rId818" Type="http://schemas.openxmlformats.org/officeDocument/2006/relationships/hyperlink" Target="https://drive.google.com/file/d/1cZCGi3YKWkqDIFk7m67-AU5No_95lP33/view?usp=drivesdk" TargetMode="External"/><Relationship Id="rId819" Type="http://schemas.openxmlformats.org/officeDocument/2006/relationships/hyperlink" Target="https://drive.google.com/file/d/1DYJ8ls2xLEcPKerUNSQ75N6iDznuJHRz/view?usp=drivesdk" TargetMode="External"/><Relationship Id="rId820" Type="http://schemas.openxmlformats.org/officeDocument/2006/relationships/hyperlink" Target="https://drive.google.com/file/d/1RCfEZFYbA6ssn9CH1-zg1BxcwW0BWjPo/view?usp=drivesdk" TargetMode="External"/><Relationship Id="rId821" Type="http://schemas.openxmlformats.org/officeDocument/2006/relationships/hyperlink" Target="https://drive.google.com/file/d/1JmvXG2fC4EoJd6Y6Nyrsb7e_vbLCRSeV/view?usp=drivesdk" TargetMode="External"/><Relationship Id="rId822" Type="http://schemas.openxmlformats.org/officeDocument/2006/relationships/hyperlink" Target="https://drive.google.com/file/d/15sfX-T5KawTZ5ZTZ-Z16alCfdXpewnl3/view?usp=drivesdk" TargetMode="External"/><Relationship Id="rId823" Type="http://schemas.openxmlformats.org/officeDocument/2006/relationships/hyperlink" Target="https://drive.google.com/file/d/1YOa17jEQQmXR5oPCRZD8377vSztnAZKA/view?usp=drivesdk" TargetMode="External"/><Relationship Id="rId824" Type="http://schemas.openxmlformats.org/officeDocument/2006/relationships/hyperlink" Target="https://drive.google.com/file/d/1jg1miNBJZG1oalOS6HusqntFSzOivWoU/view?usp=drivesdk" TargetMode="External"/><Relationship Id="rId825" Type="http://schemas.openxmlformats.org/officeDocument/2006/relationships/hyperlink" Target="https://drive.google.com/file/d/19uGrKL34vSQ8M4hixsO_-meftrezjy5q/view?usp=drivesdk" TargetMode="External"/><Relationship Id="rId826" Type="http://schemas.openxmlformats.org/officeDocument/2006/relationships/hyperlink" Target="https://drive.google.com/file/d/1W1pzcq6XTbugPUjfJJXSr8Ag1eFcZ-OY/view?usp=drivesdk" TargetMode="External"/><Relationship Id="rId827" Type="http://schemas.openxmlformats.org/officeDocument/2006/relationships/hyperlink" Target="https://drive.google.com/file/d/1ZDbOTNGuGsBcCCjnERGqmXeV53JpivL3/view?usp=drivesdk" TargetMode="External"/><Relationship Id="rId828" Type="http://schemas.openxmlformats.org/officeDocument/2006/relationships/hyperlink" Target="https://drive.google.com/file/d/1oaycQOsz0NgFIvvVLvuMN5zStjmQdsVN/view?usp=drivesdk" TargetMode="External"/><Relationship Id="rId829" Type="http://schemas.openxmlformats.org/officeDocument/2006/relationships/hyperlink" Target="https://drive.google.com/file/d/1zzlC-6JqVQMCI5k8WBjHk2Fq56G4sh41/view?usp=drivesdk" TargetMode="External"/><Relationship Id="rId830" Type="http://schemas.openxmlformats.org/officeDocument/2006/relationships/hyperlink" Target="https://drive.google.com/file/d/1mZhlmwF2ltRgjCiGCbTKrAKnIxwsjBJ4/view?usp=drivesdk" TargetMode="External"/><Relationship Id="rId831" Type="http://schemas.openxmlformats.org/officeDocument/2006/relationships/hyperlink" Target="https://drive.google.com/file/d/1QQopGWyz99AfC2kRsF0YuHYAmsGz89gC/view?usp=drivesdk" TargetMode="External"/><Relationship Id="rId832" Type="http://schemas.openxmlformats.org/officeDocument/2006/relationships/hyperlink" Target="https://drive.google.com/file/d/1s9klSWpacIJyjUkODLMHzc-pHPOahPwu/view?usp=drivesdk" TargetMode="External"/><Relationship Id="rId833" Type="http://schemas.openxmlformats.org/officeDocument/2006/relationships/hyperlink" Target="https://drive.google.com/file/d/1k2RaDB7CKXwlJMm_dHAKrtmiKr8WCJNf/view?usp=drivesdk" TargetMode="External"/><Relationship Id="rId834" Type="http://schemas.openxmlformats.org/officeDocument/2006/relationships/hyperlink" Target="https://drive.google.com/file/d/12OdKkAIRkYhPPU-G0ziqU0Lis0rX6ubp/view?usp=drivesdk" TargetMode="External"/><Relationship Id="rId835" Type="http://schemas.openxmlformats.org/officeDocument/2006/relationships/hyperlink" Target="https://drive.google.com/file/d/1adIaWjumtlBmPIrkYa9MHuxgBz3rh73I/view?usp=drivesdk" TargetMode="External"/><Relationship Id="rId836" Type="http://schemas.openxmlformats.org/officeDocument/2006/relationships/hyperlink" Target="https://drive.google.com/file/d/1x1lYFz6tGnkdA2Wne3OJ_CglbRyu6HY9/view?usp=drivesdk" TargetMode="External"/><Relationship Id="rId837" Type="http://schemas.openxmlformats.org/officeDocument/2006/relationships/hyperlink" Target="https://drive.google.com/file/d/1Gl6CREiI7CdP7LzHudcdSom2NY8LHVhW/view?usp=drivesdk" TargetMode="External"/><Relationship Id="rId838" Type="http://schemas.openxmlformats.org/officeDocument/2006/relationships/hyperlink" Target="https://drive.google.com/file/d/1237uP-gcNU5F4-u_7XRnO9ZZSDiZ9NiU/view?usp=drivesdk" TargetMode="External"/><Relationship Id="rId839" Type="http://schemas.openxmlformats.org/officeDocument/2006/relationships/hyperlink" Target="https://drive.google.com/file/d/1AQ5m9MiMvHXanoGcCoQ3HnyUW8cX8fDl/view?usp=drivesdk" TargetMode="External"/><Relationship Id="rId840" Type="http://schemas.openxmlformats.org/officeDocument/2006/relationships/hyperlink" Target="https://drive.google.com/file/d/1VBvwTL44x14U_GNFvaoGxReKGeBVz1sQ/view?usp=drivesdk" TargetMode="External"/><Relationship Id="rId841" Type="http://schemas.openxmlformats.org/officeDocument/2006/relationships/hyperlink" Target="https://drive.google.com/file/d/1rq0srCkDb7-f_2r20OqRaX4QmpEdxc0x/view?usp=drivesdk" TargetMode="External"/><Relationship Id="rId842" Type="http://schemas.openxmlformats.org/officeDocument/2006/relationships/hyperlink" Target="https://drive.google.com/file/d/1OH89i2ZMMoLhUfJuNp6oFMurUZXC9pP4/view?usp=drivesdk" TargetMode="External"/><Relationship Id="rId843" Type="http://schemas.openxmlformats.org/officeDocument/2006/relationships/hyperlink" Target="https://drive.google.com/file/d/1vkQ1Ij4_ACnCL08-BVTqMHyKUDvfZizK/view?usp=drivesdk" TargetMode="External"/><Relationship Id="rId844" Type="http://schemas.openxmlformats.org/officeDocument/2006/relationships/hyperlink" Target="https://drive.google.com/file/d/1qZutIjY8geskRk4LlHxbHlIXILrJmC4D/view?usp=drivesdk" TargetMode="External"/><Relationship Id="rId845" Type="http://schemas.openxmlformats.org/officeDocument/2006/relationships/hyperlink" Target="https://drive.google.com/file/d/1GFeCV4VfZcGowDkN3KlrMwqciCvNIu3d/view?usp=drivesdk" TargetMode="External"/><Relationship Id="rId846" Type="http://schemas.openxmlformats.org/officeDocument/2006/relationships/hyperlink" Target="https://drive.google.com/file/d/1SPdT3DlRr4hiNLzsq-yY64BhRoywlyvD/view?usp=drivesdk" TargetMode="External"/><Relationship Id="rId847" Type="http://schemas.openxmlformats.org/officeDocument/2006/relationships/hyperlink" Target="https://drive.google.com/file/d/1d0PpwmxRat7_-gzZ8kXfAd0GBGIk-0zo/view?usp=drivesdk" TargetMode="External"/><Relationship Id="rId848" Type="http://schemas.openxmlformats.org/officeDocument/2006/relationships/hyperlink" Target="https://drive.google.com/file/d/1iRZw6Dhn9yKvjCGbO7d13M9EGf81vdxS/view?usp=drivesdk" TargetMode="External"/><Relationship Id="rId849" Type="http://schemas.openxmlformats.org/officeDocument/2006/relationships/hyperlink" Target="https://drive.google.com/file/d/17j4rmzbRSpvq__Gxuk3p5ym-w1O4PXH_/view?usp=drivesdk" TargetMode="External"/><Relationship Id="rId850" Type="http://schemas.openxmlformats.org/officeDocument/2006/relationships/hyperlink" Target="https://drive.google.com/file/d/1Aw_K2rSiHfzgzcEz6D-aslnrr4-lYAk4/view?usp=drivesdk" TargetMode="External"/><Relationship Id="rId851" Type="http://schemas.openxmlformats.org/officeDocument/2006/relationships/hyperlink" Target="https://drive.google.com/file/d/1I-OdGImreG7eMIFD0BVpeiUxF4nw70sE/view?usp=drivesdk" TargetMode="External"/><Relationship Id="rId852" Type="http://schemas.openxmlformats.org/officeDocument/2006/relationships/hyperlink" Target="https://drive.google.com/file/d/1A3vvJBn0d1TRBEk1aaeRZqRfTTpXKT96/view?usp=drivesdk" TargetMode="External"/><Relationship Id="rId853" Type="http://schemas.openxmlformats.org/officeDocument/2006/relationships/hyperlink" Target="https://drive.google.com/file/d/1lNaI5Ut_Q4Uqqy-adVcCgavXE7D15qh5/view?usp=drivesdk" TargetMode="External"/><Relationship Id="rId854" Type="http://schemas.openxmlformats.org/officeDocument/2006/relationships/hyperlink" Target="https://drive.google.com/file/d/1e7vDhOEA_iRf6fBavPIl1l1Nxnd0lOyW/view?usp=drivesdk" TargetMode="External"/><Relationship Id="rId855" Type="http://schemas.openxmlformats.org/officeDocument/2006/relationships/hyperlink" Target="https://drive.google.com/file/d/1fgfTX0KT3ylzHG9svrm3Yfx8vZwwabKz/view?usp=drivesdk" TargetMode="External"/><Relationship Id="rId856" Type="http://schemas.openxmlformats.org/officeDocument/2006/relationships/hyperlink" Target="https://drive.google.com/file/d/1avo7zEK4IiiEqQpNNg6OVlAsTzy30Syi/view?usp=drivesdk" TargetMode="External"/><Relationship Id="rId857" Type="http://schemas.openxmlformats.org/officeDocument/2006/relationships/hyperlink" Target="https://drive.google.com/file/d/1tNPANr_zNgvUVBOSzU8L3N4jf4bLYP0H/view?usp=drivesdk" TargetMode="External"/><Relationship Id="rId858" Type="http://schemas.openxmlformats.org/officeDocument/2006/relationships/hyperlink" Target="https://drive.google.com/file/d/15F7rv6NCSg4hVNeIj_AmcZZ_wbu8_i8W/view?usp=drivesdk" TargetMode="External"/><Relationship Id="rId859" Type="http://schemas.openxmlformats.org/officeDocument/2006/relationships/hyperlink" Target="https://drive.google.com/file/d/1uTHe38hQCZVvp45eAoAiihSMVOOxlKgb/view?usp=drivesdk" TargetMode="External"/><Relationship Id="rId860" Type="http://schemas.openxmlformats.org/officeDocument/2006/relationships/hyperlink" Target="https://drive.google.com/file/d/1V6NIF7Tm8DCAOQIbw_7Fi-UtsezB9MvT/view?usp=drivesdk" TargetMode="External"/><Relationship Id="rId861" Type="http://schemas.openxmlformats.org/officeDocument/2006/relationships/hyperlink" Target="https://drive.google.com/file/d/1QyDSJVcXKrJJn0PGNm98n5mizuKnHXuJ/view?usp=drivesdk" TargetMode="External"/><Relationship Id="rId862" Type="http://schemas.openxmlformats.org/officeDocument/2006/relationships/hyperlink" Target="https://drive.google.com/file/d/1iSmu-0GfEBFsiQdx0vuOO4xjY3IZclS1/view?usp=drivesdk" TargetMode="External"/><Relationship Id="rId863" Type="http://schemas.openxmlformats.org/officeDocument/2006/relationships/hyperlink" Target="https://drive.google.com/file/d/1nKiuEJ_nvl-0cg0To-NuD8PhteHivs8s/view?usp=drivesdk" TargetMode="External"/><Relationship Id="rId864" Type="http://schemas.openxmlformats.org/officeDocument/2006/relationships/hyperlink" Target="https://drive.google.com/file/d/1vupFQs7fAx2WnvqCWb2d5xi5A5rQW_yw/view?usp=drivesdk" TargetMode="External"/><Relationship Id="rId865" Type="http://schemas.openxmlformats.org/officeDocument/2006/relationships/hyperlink" Target="https://drive.google.com/file/d/1qZqClfAtIU3Ij7e7LoJN5t1wD-pxdNCI/view?usp=drivesdk" TargetMode="External"/><Relationship Id="rId866" Type="http://schemas.openxmlformats.org/officeDocument/2006/relationships/hyperlink" Target="https://drive.google.com/file/d/1yZjso4_C-PbUfbXiVP44jjgW6z-Eb-8t/view?usp=drivesdk" TargetMode="External"/><Relationship Id="rId867" Type="http://schemas.openxmlformats.org/officeDocument/2006/relationships/hyperlink" Target="https://drive.google.com/file/d/17dvL6CCv-_3ThI7ZEWcpj7oEEbLSGnKJ/view?usp=drivesdk" TargetMode="External"/><Relationship Id="rId868" Type="http://schemas.openxmlformats.org/officeDocument/2006/relationships/hyperlink" Target="https://drive.google.com/file/d/1q-aha6098Nwl-BvY_zbs008ZrhAso5fg/view?usp=drivesdk" TargetMode="External"/><Relationship Id="rId869" Type="http://schemas.openxmlformats.org/officeDocument/2006/relationships/hyperlink" Target="https://drive.google.com/file/d/1uu80-9PSbxnzxc6NS4EnxUfT0iVJLO5H/view?usp=drivesdk" TargetMode="External"/><Relationship Id="rId870" Type="http://schemas.openxmlformats.org/officeDocument/2006/relationships/hyperlink" Target="https://drive.google.com/file/d/1eNTs0gollEPO5QVowlkG2A8ujsZHpti1/view?usp=drivesdk" TargetMode="External"/><Relationship Id="rId871" Type="http://schemas.openxmlformats.org/officeDocument/2006/relationships/hyperlink" Target="https://drive.google.com/file/d/1kdDOSGeVKp_0w6hBxEYdEKSGjSs__6RN/view?usp=drivesdk" TargetMode="External"/><Relationship Id="rId872" Type="http://schemas.openxmlformats.org/officeDocument/2006/relationships/hyperlink" Target="https://drive.google.com/file/d/1qhfzNv1bc3jZACNaWJs20MjK6q10mg4v/view?usp=drivesdk" TargetMode="External"/><Relationship Id="rId873" Type="http://schemas.openxmlformats.org/officeDocument/2006/relationships/hyperlink" Target="https://drive.google.com/file/d/1tdNw7feYOPtti0JM9sA7BJ3Dqmrp4E6b/view?usp=drivesdk" TargetMode="External"/><Relationship Id="rId874" Type="http://schemas.openxmlformats.org/officeDocument/2006/relationships/hyperlink" Target="https://drive.google.com/file/d/107NrPTVWE6D7583JXhK0iCw6CfAQI7Ux/view?usp=drivesdk" TargetMode="External"/><Relationship Id="rId875" Type="http://schemas.openxmlformats.org/officeDocument/2006/relationships/hyperlink" Target="https://drive.google.com/file/d/1wWWXWTV_8ltMy8-C-Ao68oJy5fXXPQmx/view?usp=drivesdk" TargetMode="External"/><Relationship Id="rId876" Type="http://schemas.openxmlformats.org/officeDocument/2006/relationships/hyperlink" Target="https://drive.google.com/file/d/1PeCh0siw1JiKrsaSyw062McnpwwevGaJ/view?usp=drivesdk" TargetMode="External"/><Relationship Id="rId877" Type="http://schemas.openxmlformats.org/officeDocument/2006/relationships/hyperlink" Target="https://drive.google.com/file/d/1VmAq11WZdgBilJkidsfV9IxVecv8wXr3/view?usp=drivesdk" TargetMode="External"/><Relationship Id="rId878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n">
        <v>1234</v>
      </c>
      <c r="B1" s="1" t="s">
        <v>0</v>
      </c>
      <c r="C1" s="1" t="s">
        <v>1</v>
      </c>
      <c r="D1" s="1" t="n">
        <v>0</v>
      </c>
      <c r="E1" s="1" t="n">
        <v>0</v>
      </c>
      <c r="F1" s="1" t="n">
        <v>0</v>
      </c>
      <c r="G1" s="1" t="n">
        <v>0</v>
      </c>
      <c r="H1" s="1" t="n">
        <v>0</v>
      </c>
    </row>
    <row r="2" customFormat="false" ht="15.75" hidden="false" customHeight="false" outlineLevel="0" collapsed="false">
      <c r="A2" s="1" t="n">
        <v>166655</v>
      </c>
      <c r="B2" s="1" t="s">
        <v>2</v>
      </c>
      <c r="C2" s="1" t="s">
        <v>3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</row>
    <row r="3" customFormat="false" ht="15.75" hidden="false" customHeight="false" outlineLevel="0" collapsed="false">
      <c r="A3" s="1" t="n">
        <v>83909</v>
      </c>
      <c r="B3" s="1" t="s">
        <v>11</v>
      </c>
      <c r="C3" s="1" t="s">
        <v>3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</row>
    <row r="4" customFormat="false" ht="15.75" hidden="false" customHeight="false" outlineLevel="0" collapsed="false">
      <c r="A4" s="1" t="n">
        <v>88991</v>
      </c>
      <c r="B4" s="1" t="s">
        <v>17</v>
      </c>
      <c r="C4" s="1" t="s">
        <v>3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2" t="s">
        <v>18</v>
      </c>
      <c r="J4" s="2" t="s">
        <v>19</v>
      </c>
    </row>
    <row r="5" customFormat="false" ht="15.75" hidden="false" customHeight="false" outlineLevel="0" collapsed="false">
      <c r="A5" s="1" t="n">
        <v>83927</v>
      </c>
      <c r="B5" s="1" t="s">
        <v>20</v>
      </c>
      <c r="C5" s="1" t="s">
        <v>3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2" t="s">
        <v>21</v>
      </c>
      <c r="J5" s="2" t="s">
        <v>22</v>
      </c>
    </row>
    <row r="6" customFormat="false" ht="15.75" hidden="false" customHeight="false" outlineLevel="0" collapsed="false">
      <c r="A6" s="1" t="n">
        <v>74051</v>
      </c>
      <c r="B6" s="1" t="s">
        <v>23</v>
      </c>
      <c r="C6" s="1" t="s">
        <v>3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2" t="s">
        <v>24</v>
      </c>
    </row>
    <row r="7" customFormat="false" ht="15.75" hidden="false" customHeight="false" outlineLevel="0" collapsed="false">
      <c r="A7" s="1" t="n">
        <v>112064</v>
      </c>
      <c r="B7" s="1" t="s">
        <v>25</v>
      </c>
      <c r="C7" s="1" t="s">
        <v>3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2" t="s">
        <v>26</v>
      </c>
    </row>
    <row r="8" customFormat="false" ht="15.75" hidden="false" customHeight="false" outlineLevel="0" collapsed="false">
      <c r="A8" s="1" t="n">
        <v>115704</v>
      </c>
      <c r="B8" s="1" t="s">
        <v>27</v>
      </c>
      <c r="C8" s="1" t="s">
        <v>3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2" t="s">
        <v>28</v>
      </c>
    </row>
    <row r="9" customFormat="false" ht="15.75" hidden="false" customHeight="false" outlineLevel="0" collapsed="false">
      <c r="A9" s="1" t="n">
        <v>223462</v>
      </c>
      <c r="B9" s="1" t="s">
        <v>29</v>
      </c>
      <c r="C9" s="1" t="s">
        <v>3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2" t="s">
        <v>30</v>
      </c>
      <c r="J9" s="2" t="s">
        <v>31</v>
      </c>
    </row>
    <row r="10" customFormat="false" ht="15.75" hidden="false" customHeight="false" outlineLevel="0" collapsed="false">
      <c r="A10" s="1" t="n">
        <v>115699</v>
      </c>
      <c r="B10" s="1" t="s">
        <v>32</v>
      </c>
      <c r="C10" s="1" t="s">
        <v>3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2" t="s">
        <v>33</v>
      </c>
      <c r="J10" s="2" t="s">
        <v>34</v>
      </c>
    </row>
    <row r="11" customFormat="false" ht="15.75" hidden="false" customHeight="false" outlineLevel="0" collapsed="false">
      <c r="A11" s="1" t="n">
        <v>141476</v>
      </c>
      <c r="B11" s="1" t="s">
        <v>35</v>
      </c>
      <c r="C11" s="1" t="s">
        <v>3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2" t="s">
        <v>36</v>
      </c>
      <c r="J11" s="2" t="s">
        <v>37</v>
      </c>
    </row>
    <row r="12" customFormat="false" ht="15.75" hidden="false" customHeight="false" outlineLevel="0" collapsed="false">
      <c r="A12" s="1" t="n">
        <v>133280</v>
      </c>
      <c r="B12" s="1" t="s">
        <v>38</v>
      </c>
      <c r="C12" s="1" t="s">
        <v>3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2" t="s">
        <v>39</v>
      </c>
    </row>
    <row r="13" customFormat="false" ht="15.75" hidden="false" customHeight="false" outlineLevel="0" collapsed="false">
      <c r="A13" s="1" t="n">
        <v>74043</v>
      </c>
      <c r="B13" s="1" t="s">
        <v>40</v>
      </c>
      <c r="C13" s="1" t="s">
        <v>3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2" t="s">
        <v>41</v>
      </c>
    </row>
    <row r="14" customFormat="false" ht="15.75" hidden="false" customHeight="false" outlineLevel="0" collapsed="false">
      <c r="A14" s="1" t="n">
        <v>165643</v>
      </c>
      <c r="B14" s="1" t="s">
        <v>42</v>
      </c>
      <c r="C14" s="1" t="s">
        <v>3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2" t="s">
        <v>43</v>
      </c>
    </row>
    <row r="15" customFormat="false" ht="15.75" hidden="false" customHeight="false" outlineLevel="0" collapsed="false">
      <c r="A15" s="1" t="n">
        <v>109722</v>
      </c>
      <c r="B15" s="1" t="s">
        <v>44</v>
      </c>
      <c r="C15" s="1" t="s">
        <v>3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2" t="s">
        <v>45</v>
      </c>
    </row>
    <row r="16" customFormat="false" ht="15.75" hidden="false" customHeight="false" outlineLevel="0" collapsed="false">
      <c r="A16" s="1" t="n">
        <v>111753</v>
      </c>
      <c r="B16" s="1" t="s">
        <v>46</v>
      </c>
      <c r="C16" s="1" t="s">
        <v>3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2" t="s">
        <v>47</v>
      </c>
    </row>
    <row r="17" customFormat="false" ht="15.75" hidden="false" customHeight="false" outlineLevel="0" collapsed="false">
      <c r="A17" s="1" t="n">
        <v>220595</v>
      </c>
      <c r="B17" s="1" t="s">
        <v>48</v>
      </c>
      <c r="C17" s="1" t="s">
        <v>3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2" t="s">
        <v>49</v>
      </c>
      <c r="J17" s="2" t="s">
        <v>50</v>
      </c>
    </row>
    <row r="18" customFormat="false" ht="15.75" hidden="false" customHeight="false" outlineLevel="0" collapsed="false">
      <c r="A18" s="1" t="n">
        <v>181522</v>
      </c>
      <c r="B18" s="1" t="s">
        <v>51</v>
      </c>
      <c r="C18" s="1" t="s">
        <v>3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2" t="s">
        <v>52</v>
      </c>
      <c r="J18" s="2" t="s">
        <v>53</v>
      </c>
    </row>
    <row r="19" customFormat="false" ht="15.75" hidden="false" customHeight="false" outlineLevel="0" collapsed="false">
      <c r="A19" s="1" t="n">
        <v>165616</v>
      </c>
      <c r="B19" s="1" t="s">
        <v>54</v>
      </c>
      <c r="C19" s="1" t="s">
        <v>3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2" t="s">
        <v>55</v>
      </c>
      <c r="J19" s="2" t="s">
        <v>56</v>
      </c>
      <c r="K19" s="2" t="s">
        <v>57</v>
      </c>
    </row>
    <row r="20" customFormat="false" ht="15.75" hidden="false" customHeight="false" outlineLevel="0" collapsed="false">
      <c r="A20" s="1" t="n">
        <v>222710</v>
      </c>
      <c r="B20" s="1" t="s">
        <v>58</v>
      </c>
      <c r="C20" s="1" t="s">
        <v>3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2" t="s">
        <v>59</v>
      </c>
      <c r="J20" s="2" t="s">
        <v>60</v>
      </c>
      <c r="K20" s="2" t="s">
        <v>61</v>
      </c>
      <c r="L20" s="2" t="s">
        <v>62</v>
      </c>
    </row>
    <row r="21" customFormat="false" ht="15.75" hidden="false" customHeight="false" outlineLevel="0" collapsed="false">
      <c r="A21" s="1" t="n">
        <v>187530</v>
      </c>
      <c r="B21" s="1" t="s">
        <v>63</v>
      </c>
      <c r="C21" s="1" t="s">
        <v>3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2" t="s">
        <v>64</v>
      </c>
      <c r="J21" s="2" t="s">
        <v>65</v>
      </c>
      <c r="K21" s="2" t="s">
        <v>66</v>
      </c>
      <c r="L21" s="2" t="s">
        <v>67</v>
      </c>
    </row>
    <row r="22" customFormat="false" ht="15.75" hidden="false" customHeight="false" outlineLevel="0" collapsed="false">
      <c r="A22" s="1" t="n">
        <v>138766</v>
      </c>
      <c r="B22" s="1" t="s">
        <v>68</v>
      </c>
      <c r="C22" s="1" t="s">
        <v>3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</row>
    <row r="23" customFormat="false" ht="15.75" hidden="false" customHeight="false" outlineLevel="0" collapsed="false">
      <c r="A23" s="1" t="n">
        <v>174382</v>
      </c>
      <c r="B23" s="1" t="s">
        <v>69</v>
      </c>
      <c r="C23" s="1" t="s">
        <v>3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2" t="s">
        <v>70</v>
      </c>
      <c r="J23" s="2" t="s">
        <v>71</v>
      </c>
      <c r="K23" s="2" t="s">
        <v>72</v>
      </c>
      <c r="L23" s="2" t="s">
        <v>73</v>
      </c>
    </row>
    <row r="24" customFormat="false" ht="15.75" hidden="false" customHeight="false" outlineLevel="0" collapsed="false">
      <c r="A24" s="1" t="n">
        <v>117485</v>
      </c>
      <c r="B24" s="1" t="s">
        <v>74</v>
      </c>
      <c r="C24" s="1" t="s">
        <v>3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2" t="s">
        <v>75</v>
      </c>
      <c r="J24" s="2" t="s">
        <v>76</v>
      </c>
      <c r="K24" s="2" t="s">
        <v>77</v>
      </c>
      <c r="L24" s="2" t="s">
        <v>78</v>
      </c>
    </row>
    <row r="25" customFormat="false" ht="15.75" hidden="false" customHeight="false" outlineLevel="0" collapsed="false">
      <c r="A25" s="1" t="n">
        <v>186793</v>
      </c>
      <c r="B25" s="1" t="s">
        <v>79</v>
      </c>
      <c r="C25" s="1" t="s">
        <v>3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2" t="s">
        <v>80</v>
      </c>
      <c r="J25" s="2" t="s">
        <v>81</v>
      </c>
      <c r="K25" s="2" t="s">
        <v>82</v>
      </c>
      <c r="L25" s="2" t="s">
        <v>83</v>
      </c>
    </row>
    <row r="26" customFormat="false" ht="15.75" hidden="false" customHeight="false" outlineLevel="0" collapsed="false">
      <c r="A26" s="1" t="n">
        <v>174878</v>
      </c>
      <c r="B26" s="1" t="s">
        <v>84</v>
      </c>
      <c r="C26" s="1" t="s">
        <v>3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2" t="s">
        <v>85</v>
      </c>
      <c r="J26" s="2" t="s">
        <v>86</v>
      </c>
      <c r="K26" s="2" t="s">
        <v>87</v>
      </c>
      <c r="L26" s="2" t="s">
        <v>88</v>
      </c>
    </row>
    <row r="27" customFormat="false" ht="15.75" hidden="false" customHeight="false" outlineLevel="0" collapsed="false">
      <c r="A27" s="1" t="n">
        <v>117510</v>
      </c>
      <c r="B27" s="1" t="s">
        <v>89</v>
      </c>
      <c r="C27" s="1" t="s">
        <v>3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2" t="s">
        <v>90</v>
      </c>
      <c r="J27" s="2" t="s">
        <v>91</v>
      </c>
      <c r="K27" s="2" t="s">
        <v>92</v>
      </c>
      <c r="L27" s="2" t="s">
        <v>93</v>
      </c>
    </row>
    <row r="28" customFormat="false" ht="15.75" hidden="false" customHeight="false" outlineLevel="0" collapsed="false">
      <c r="A28" s="1" t="n">
        <v>111570</v>
      </c>
      <c r="B28" s="1" t="s">
        <v>94</v>
      </c>
      <c r="C28" s="1" t="s">
        <v>3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2" t="s">
        <v>95</v>
      </c>
      <c r="J28" s="2" t="s">
        <v>96</v>
      </c>
    </row>
    <row r="29" customFormat="false" ht="15.75" hidden="false" customHeight="false" outlineLevel="0" collapsed="false">
      <c r="A29" s="1" t="n">
        <v>125987</v>
      </c>
      <c r="B29" s="1" t="s">
        <v>97</v>
      </c>
      <c r="C29" s="1" t="s">
        <v>3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2" t="s">
        <v>98</v>
      </c>
      <c r="J29" s="2" t="s">
        <v>99</v>
      </c>
      <c r="K29" s="2" t="s">
        <v>100</v>
      </c>
    </row>
    <row r="30" customFormat="false" ht="15.75" hidden="false" customHeight="false" outlineLevel="0" collapsed="false">
      <c r="A30" s="1" t="n">
        <v>223952</v>
      </c>
      <c r="B30" s="1" t="s">
        <v>101</v>
      </c>
      <c r="C30" s="1" t="s">
        <v>3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2" t="s">
        <v>102</v>
      </c>
      <c r="J30" s="2" t="s">
        <v>103</v>
      </c>
      <c r="K30" s="2" t="s">
        <v>104</v>
      </c>
      <c r="L30" s="2" t="s">
        <v>105</v>
      </c>
    </row>
    <row r="31" customFormat="false" ht="15.75" hidden="false" customHeight="false" outlineLevel="0" collapsed="false">
      <c r="A31" s="1" t="n">
        <v>109847</v>
      </c>
      <c r="B31" s="1" t="s">
        <v>51</v>
      </c>
      <c r="C31" s="1" t="s">
        <v>3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2" t="s">
        <v>106</v>
      </c>
      <c r="J31" s="2" t="s">
        <v>107</v>
      </c>
      <c r="K31" s="2" t="s">
        <v>108</v>
      </c>
    </row>
    <row r="32" customFormat="false" ht="15.75" hidden="false" customHeight="false" outlineLevel="0" collapsed="false">
      <c r="A32" s="1" t="n">
        <v>88997</v>
      </c>
      <c r="B32" s="1" t="s">
        <v>109</v>
      </c>
      <c r="C32" s="1" t="s">
        <v>3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2" t="s">
        <v>110</v>
      </c>
    </row>
    <row r="33" customFormat="false" ht="15.75" hidden="false" customHeight="false" outlineLevel="0" collapsed="false">
      <c r="A33" s="1" t="n">
        <v>188003</v>
      </c>
      <c r="B33" s="1" t="s">
        <v>44</v>
      </c>
      <c r="C33" s="1" t="s">
        <v>3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2" t="s">
        <v>111</v>
      </c>
      <c r="J33" s="2" t="s">
        <v>112</v>
      </c>
      <c r="K33" s="2" t="s">
        <v>113</v>
      </c>
      <c r="L33" s="2" t="s">
        <v>114</v>
      </c>
    </row>
    <row r="34" customFormat="false" ht="15.75" hidden="false" customHeight="false" outlineLevel="0" collapsed="false">
      <c r="A34" s="1" t="n">
        <v>174562</v>
      </c>
      <c r="B34" s="1" t="s">
        <v>115</v>
      </c>
      <c r="C34" s="1" t="s">
        <v>3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2" t="s">
        <v>116</v>
      </c>
      <c r="J34" s="2" t="s">
        <v>117</v>
      </c>
      <c r="K34" s="2" t="s">
        <v>118</v>
      </c>
      <c r="L34" s="2" t="s">
        <v>119</v>
      </c>
    </row>
    <row r="35" customFormat="false" ht="15.75" hidden="false" customHeight="false" outlineLevel="0" collapsed="false">
      <c r="A35" s="1" t="n">
        <v>111331</v>
      </c>
      <c r="B35" s="1" t="s">
        <v>120</v>
      </c>
      <c r="C35" s="1" t="s">
        <v>3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2" t="s">
        <v>121</v>
      </c>
      <c r="J35" s="2" t="s">
        <v>122</v>
      </c>
    </row>
    <row r="36" customFormat="false" ht="15.75" hidden="false" customHeight="false" outlineLevel="0" collapsed="false">
      <c r="A36" s="1" t="n">
        <v>74053</v>
      </c>
      <c r="B36" s="1" t="s">
        <v>123</v>
      </c>
      <c r="C36" s="1" t="s">
        <v>3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2" t="s">
        <v>124</v>
      </c>
      <c r="J36" s="2" t="s">
        <v>125</v>
      </c>
    </row>
    <row r="37" customFormat="false" ht="15.75" hidden="false" customHeight="false" outlineLevel="0" collapsed="false">
      <c r="A37" s="1" t="n">
        <v>83920</v>
      </c>
      <c r="B37" s="1" t="s">
        <v>126</v>
      </c>
      <c r="C37" s="1" t="s">
        <v>3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2" t="s">
        <v>127</v>
      </c>
      <c r="J37" s="2" t="s">
        <v>128</v>
      </c>
      <c r="K37" s="2" t="s">
        <v>129</v>
      </c>
    </row>
    <row r="38" customFormat="false" ht="15.75" hidden="false" customHeight="false" outlineLevel="0" collapsed="false">
      <c r="A38" s="1" t="n">
        <v>175004</v>
      </c>
      <c r="B38" s="1" t="s">
        <v>130</v>
      </c>
      <c r="C38" s="1" t="s">
        <v>3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2" t="s">
        <v>131</v>
      </c>
      <c r="J38" s="2" t="s">
        <v>132</v>
      </c>
    </row>
    <row r="39" customFormat="false" ht="15.75" hidden="false" customHeight="false" outlineLevel="0" collapsed="false">
      <c r="A39" s="1" t="n">
        <v>95427</v>
      </c>
      <c r="B39" s="1" t="s">
        <v>133</v>
      </c>
      <c r="C39" s="1" t="s">
        <v>3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2" t="s">
        <v>134</v>
      </c>
      <c r="J39" s="2" t="s">
        <v>135</v>
      </c>
      <c r="K39" s="2" t="s">
        <v>136</v>
      </c>
      <c r="L39" s="2" t="s">
        <v>137</v>
      </c>
    </row>
    <row r="40" customFormat="false" ht="15.75" hidden="false" customHeight="false" outlineLevel="0" collapsed="false">
      <c r="A40" s="1" t="n">
        <v>124028</v>
      </c>
      <c r="B40" s="1" t="s">
        <v>29</v>
      </c>
      <c r="C40" s="1" t="s">
        <v>3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2" t="s">
        <v>138</v>
      </c>
      <c r="J40" s="2" t="s">
        <v>139</v>
      </c>
    </row>
    <row r="41" customFormat="false" ht="15.75" hidden="false" customHeight="false" outlineLevel="0" collapsed="false">
      <c r="A41" s="1" t="n">
        <v>213249</v>
      </c>
      <c r="B41" s="1" t="s">
        <v>140</v>
      </c>
      <c r="C41" s="1" t="s">
        <v>3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2" t="s">
        <v>141</v>
      </c>
      <c r="J41" s="2" t="s">
        <v>142</v>
      </c>
      <c r="K41" s="2" t="s">
        <v>143</v>
      </c>
      <c r="L41" s="2" t="s">
        <v>144</v>
      </c>
    </row>
    <row r="42" customFormat="false" ht="15.75" hidden="false" customHeight="false" outlineLevel="0" collapsed="false">
      <c r="A42" s="1" t="n">
        <v>113065</v>
      </c>
      <c r="B42" s="1" t="s">
        <v>145</v>
      </c>
      <c r="C42" s="1" t="s">
        <v>3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2" t="s">
        <v>146</v>
      </c>
      <c r="J42" s="2" t="s">
        <v>147</v>
      </c>
      <c r="K42" s="2" t="s">
        <v>148</v>
      </c>
      <c r="L42" s="2" t="s">
        <v>149</v>
      </c>
    </row>
    <row r="43" customFormat="false" ht="15.75" hidden="false" customHeight="false" outlineLevel="0" collapsed="false">
      <c r="A43" s="1" t="n">
        <v>174464</v>
      </c>
      <c r="B43" s="1" t="s">
        <v>150</v>
      </c>
      <c r="C43" s="1" t="s">
        <v>3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2" t="s">
        <v>151</v>
      </c>
      <c r="J43" s="2" t="s">
        <v>152</v>
      </c>
    </row>
    <row r="44" customFormat="false" ht="15.75" hidden="false" customHeight="false" outlineLevel="0" collapsed="false">
      <c r="A44" s="1" t="n">
        <v>181525</v>
      </c>
      <c r="B44" s="1" t="s">
        <v>153</v>
      </c>
      <c r="C44" s="1" t="s">
        <v>3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2" t="s">
        <v>154</v>
      </c>
      <c r="J44" s="2" t="s">
        <v>155</v>
      </c>
      <c r="K44" s="2" t="s">
        <v>156</v>
      </c>
    </row>
    <row r="45" customFormat="false" ht="15.75" hidden="false" customHeight="false" outlineLevel="0" collapsed="false">
      <c r="A45" s="1" t="n">
        <v>164472</v>
      </c>
      <c r="B45" s="1" t="s">
        <v>157</v>
      </c>
      <c r="C45" s="1" t="s">
        <v>3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2" t="s">
        <v>158</v>
      </c>
      <c r="J45" s="2" t="s">
        <v>159</v>
      </c>
      <c r="K45" s="2" t="s">
        <v>160</v>
      </c>
      <c r="L45" s="2" t="s">
        <v>161</v>
      </c>
    </row>
    <row r="46" customFormat="false" ht="15.75" hidden="false" customHeight="false" outlineLevel="0" collapsed="false">
      <c r="A46" s="1" t="n">
        <v>196042</v>
      </c>
      <c r="B46" s="1" t="s">
        <v>162</v>
      </c>
      <c r="C46" s="1" t="s">
        <v>3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2" t="s">
        <v>163</v>
      </c>
      <c r="J46" s="2" t="s">
        <v>164</v>
      </c>
      <c r="K46" s="2" t="s">
        <v>165</v>
      </c>
      <c r="L46" s="2" t="s">
        <v>166</v>
      </c>
    </row>
    <row r="47" customFormat="false" ht="15.75" hidden="false" customHeight="false" outlineLevel="0" collapsed="false">
      <c r="A47" s="1" t="n">
        <v>192744</v>
      </c>
      <c r="B47" s="1" t="s">
        <v>167</v>
      </c>
      <c r="C47" s="1" t="s">
        <v>3</v>
      </c>
      <c r="D47" s="1" t="n">
        <v>2</v>
      </c>
      <c r="E47" s="1" t="n">
        <v>0</v>
      </c>
      <c r="F47" s="1" t="n">
        <v>0</v>
      </c>
      <c r="G47" s="1" t="n">
        <v>0</v>
      </c>
      <c r="H47" s="1" t="n">
        <v>0</v>
      </c>
      <c r="I47" s="2" t="s">
        <v>168</v>
      </c>
      <c r="J47" s="2" t="s">
        <v>169</v>
      </c>
    </row>
    <row r="48" customFormat="false" ht="15.75" hidden="false" customHeight="false" outlineLevel="0" collapsed="false">
      <c r="A48" s="1" t="n">
        <v>186917</v>
      </c>
      <c r="B48" s="1" t="s">
        <v>170</v>
      </c>
      <c r="C48" s="1" t="s">
        <v>3</v>
      </c>
      <c r="D48" s="1" t="n">
        <v>4</v>
      </c>
      <c r="E48" s="1" t="n">
        <v>0</v>
      </c>
      <c r="F48" s="1" t="n">
        <v>0</v>
      </c>
      <c r="G48" s="1" t="n">
        <v>0</v>
      </c>
      <c r="H48" s="1" t="n">
        <v>0</v>
      </c>
      <c r="I48" s="2" t="s">
        <v>171</v>
      </c>
      <c r="J48" s="2" t="s">
        <v>172</v>
      </c>
      <c r="K48" s="2" t="s">
        <v>173</v>
      </c>
      <c r="L48" s="2" t="s">
        <v>174</v>
      </c>
    </row>
    <row r="49" customFormat="false" ht="15.75" hidden="false" customHeight="false" outlineLevel="0" collapsed="false">
      <c r="A49" s="1" t="n">
        <v>196638</v>
      </c>
      <c r="B49" s="1" t="s">
        <v>175</v>
      </c>
      <c r="C49" s="1" t="s">
        <v>3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2" t="s">
        <v>176</v>
      </c>
      <c r="J49" s="2" t="s">
        <v>177</v>
      </c>
      <c r="K49" s="2" t="s">
        <v>178</v>
      </c>
      <c r="L49" s="2" t="s">
        <v>179</v>
      </c>
    </row>
    <row r="50" customFormat="false" ht="15.75" hidden="false" customHeight="false" outlineLevel="0" collapsed="false">
      <c r="A50" s="1" t="n">
        <v>144390</v>
      </c>
      <c r="B50" s="1" t="s">
        <v>180</v>
      </c>
      <c r="C50" s="1" t="s">
        <v>3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2" t="s">
        <v>181</v>
      </c>
      <c r="J50" s="2" t="s">
        <v>182</v>
      </c>
      <c r="K50" s="2" t="s">
        <v>183</v>
      </c>
    </row>
    <row r="51" customFormat="false" ht="15.75" hidden="false" customHeight="false" outlineLevel="0" collapsed="false">
      <c r="A51" s="1" t="n">
        <v>174556</v>
      </c>
      <c r="B51" s="1" t="s">
        <v>184</v>
      </c>
      <c r="C51" s="1" t="s">
        <v>3</v>
      </c>
      <c r="D51" s="1" t="n">
        <v>3</v>
      </c>
      <c r="E51" s="1" t="n">
        <v>0</v>
      </c>
      <c r="F51" s="1" t="n">
        <v>0</v>
      </c>
      <c r="G51" s="1" t="n">
        <v>0</v>
      </c>
      <c r="H51" s="1" t="n">
        <v>0</v>
      </c>
      <c r="I51" s="2" t="s">
        <v>185</v>
      </c>
      <c r="J51" s="2" t="s">
        <v>186</v>
      </c>
      <c r="K51" s="2" t="s">
        <v>187</v>
      </c>
    </row>
    <row r="52" customFormat="false" ht="15.75" hidden="false" customHeight="false" outlineLevel="0" collapsed="false">
      <c r="A52" s="1" t="n">
        <v>136384</v>
      </c>
      <c r="B52" s="1" t="s">
        <v>188</v>
      </c>
      <c r="C52" s="1" t="s">
        <v>189</v>
      </c>
      <c r="D52" s="1" t="n">
        <v>2</v>
      </c>
      <c r="E52" s="1" t="n">
        <v>0</v>
      </c>
      <c r="F52" s="1" t="n">
        <v>0</v>
      </c>
      <c r="G52" s="1" t="n">
        <v>0</v>
      </c>
      <c r="H52" s="1" t="n">
        <v>0</v>
      </c>
      <c r="I52" s="2" t="s">
        <v>190</v>
      </c>
      <c r="J52" s="2" t="s">
        <v>191</v>
      </c>
      <c r="K52" s="2" t="s">
        <v>192</v>
      </c>
      <c r="L52" s="2" t="s">
        <v>193</v>
      </c>
      <c r="M52" s="2" t="s">
        <v>194</v>
      </c>
      <c r="N52" s="2" t="s">
        <v>195</v>
      </c>
    </row>
    <row r="53" customFormat="false" ht="15.75" hidden="false" customHeight="false" outlineLevel="0" collapsed="false">
      <c r="A53" s="1" t="n">
        <v>6061</v>
      </c>
      <c r="B53" s="1" t="s">
        <v>196</v>
      </c>
      <c r="C53" s="1" t="s">
        <v>189</v>
      </c>
      <c r="D53" s="1" t="n">
        <v>2</v>
      </c>
      <c r="E53" s="1" t="n">
        <v>0</v>
      </c>
      <c r="F53" s="1" t="n">
        <v>0</v>
      </c>
      <c r="G53" s="1" t="n">
        <v>0</v>
      </c>
      <c r="H53" s="1" t="n">
        <v>0</v>
      </c>
      <c r="I53" s="2" t="s">
        <v>197</v>
      </c>
      <c r="J53" s="2" t="s">
        <v>198</v>
      </c>
      <c r="K53" s="2" t="s">
        <v>199</v>
      </c>
      <c r="L53" s="2" t="s">
        <v>200</v>
      </c>
    </row>
    <row r="54" customFormat="false" ht="15.75" hidden="false" customHeight="false" outlineLevel="0" collapsed="false">
      <c r="A54" s="1" t="n">
        <v>83902</v>
      </c>
      <c r="B54" s="1" t="s">
        <v>201</v>
      </c>
      <c r="C54" s="1" t="s">
        <v>189</v>
      </c>
      <c r="D54" s="1" t="n">
        <v>1</v>
      </c>
      <c r="E54" s="1" t="n">
        <v>0</v>
      </c>
      <c r="F54" s="1" t="n">
        <v>2</v>
      </c>
      <c r="G54" s="1" t="n">
        <v>0</v>
      </c>
      <c r="H54" s="1" t="n">
        <v>0</v>
      </c>
      <c r="I54" s="2" t="s">
        <v>202</v>
      </c>
      <c r="J54" s="2" t="s">
        <v>203</v>
      </c>
    </row>
    <row r="55" customFormat="false" ht="15.75" hidden="false" customHeight="false" outlineLevel="0" collapsed="false">
      <c r="A55" s="1" t="n">
        <v>72374</v>
      </c>
      <c r="B55" s="1" t="s">
        <v>204</v>
      </c>
      <c r="C55" s="1" t="s">
        <v>189</v>
      </c>
      <c r="D55" s="1" t="n">
        <v>0</v>
      </c>
      <c r="E55" s="1" t="n">
        <v>0</v>
      </c>
      <c r="F55" s="1" t="n">
        <v>5</v>
      </c>
      <c r="G55" s="1" t="n">
        <v>0</v>
      </c>
      <c r="H55" s="1" t="n">
        <v>0</v>
      </c>
      <c r="I55" s="2" t="s">
        <v>205</v>
      </c>
      <c r="J55" s="2" t="s">
        <v>206</v>
      </c>
      <c r="K55" s="2" t="s">
        <v>207</v>
      </c>
    </row>
    <row r="56" customFormat="false" ht="15.75" hidden="false" customHeight="false" outlineLevel="0" collapsed="false">
      <c r="A56" s="1" t="n">
        <v>72378</v>
      </c>
      <c r="B56" s="1" t="s">
        <v>208</v>
      </c>
      <c r="C56" s="1" t="s">
        <v>189</v>
      </c>
      <c r="D56" s="1" t="n">
        <v>0</v>
      </c>
      <c r="E56" s="1" t="n">
        <v>0</v>
      </c>
      <c r="F56" s="1" t="n">
        <v>5</v>
      </c>
      <c r="G56" s="1" t="n">
        <v>0</v>
      </c>
      <c r="H56" s="1" t="n">
        <v>0</v>
      </c>
      <c r="I56" s="2" t="s">
        <v>209</v>
      </c>
      <c r="J56" s="2" t="s">
        <v>210</v>
      </c>
      <c r="K56" s="2" t="s">
        <v>211</v>
      </c>
    </row>
    <row r="57" customFormat="false" ht="15.75" hidden="false" customHeight="false" outlineLevel="0" collapsed="false">
      <c r="A57" s="1" t="n">
        <v>132785</v>
      </c>
      <c r="B57" s="1" t="s">
        <v>212</v>
      </c>
      <c r="C57" s="1" t="s">
        <v>189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2" t="s">
        <v>213</v>
      </c>
      <c r="J57" s="2" t="s">
        <v>214</v>
      </c>
      <c r="K57" s="2" t="s">
        <v>215</v>
      </c>
    </row>
    <row r="58" customFormat="false" ht="15.75" hidden="false" customHeight="false" outlineLevel="0" collapsed="false">
      <c r="A58" s="1" t="n">
        <v>185342</v>
      </c>
      <c r="B58" s="1" t="s">
        <v>216</v>
      </c>
      <c r="C58" s="1" t="s">
        <v>189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2" t="s">
        <v>217</v>
      </c>
      <c r="J58" s="2" t="s">
        <v>218</v>
      </c>
      <c r="K58" s="2" t="s">
        <v>219</v>
      </c>
    </row>
    <row r="59" customFormat="false" ht="15.75" hidden="false" customHeight="false" outlineLevel="0" collapsed="false">
      <c r="A59" s="1" t="n">
        <v>126050</v>
      </c>
      <c r="B59" s="1" t="s">
        <v>220</v>
      </c>
      <c r="C59" s="1" t="s">
        <v>189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2" t="s">
        <v>221</v>
      </c>
      <c r="J59" s="2" t="s">
        <v>222</v>
      </c>
      <c r="K59" s="2" t="s">
        <v>223</v>
      </c>
    </row>
    <row r="60" customFormat="false" ht="15.75" hidden="false" customHeight="false" outlineLevel="0" collapsed="false">
      <c r="A60" s="1" t="n">
        <v>78586</v>
      </c>
      <c r="B60" s="1" t="s">
        <v>224</v>
      </c>
      <c r="C60" s="1" t="s">
        <v>189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2" t="s">
        <v>225</v>
      </c>
    </row>
    <row r="61" customFormat="false" ht="15.75" hidden="false" customHeight="false" outlineLevel="0" collapsed="false">
      <c r="A61" s="1" t="n">
        <v>187776</v>
      </c>
      <c r="B61" s="1" t="s">
        <v>226</v>
      </c>
      <c r="C61" s="1" t="s">
        <v>189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2" t="s">
        <v>227</v>
      </c>
      <c r="J61" s="2" t="s">
        <v>228</v>
      </c>
      <c r="K61" s="2" t="s">
        <v>229</v>
      </c>
    </row>
    <row r="62" customFormat="false" ht="15.75" hidden="false" customHeight="false" outlineLevel="0" collapsed="false">
      <c r="A62" s="1" t="n">
        <v>110891</v>
      </c>
      <c r="B62" s="1" t="s">
        <v>230</v>
      </c>
      <c r="C62" s="1" t="s">
        <v>189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2" t="s">
        <v>231</v>
      </c>
      <c r="J62" s="2" t="s">
        <v>232</v>
      </c>
      <c r="K62" s="2" t="s">
        <v>233</v>
      </c>
    </row>
    <row r="63" customFormat="false" ht="15.75" hidden="false" customHeight="false" outlineLevel="0" collapsed="false">
      <c r="A63" s="1" t="n">
        <v>72495</v>
      </c>
      <c r="B63" s="1" t="s">
        <v>234</v>
      </c>
      <c r="C63" s="1" t="s">
        <v>189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2" t="s">
        <v>235</v>
      </c>
      <c r="J63" s="2" t="s">
        <v>236</v>
      </c>
      <c r="K63" s="2" t="s">
        <v>237</v>
      </c>
    </row>
    <row r="64" customFormat="false" ht="15.75" hidden="false" customHeight="false" outlineLevel="0" collapsed="false">
      <c r="A64" s="1" t="n">
        <v>88983</v>
      </c>
      <c r="B64" s="1" t="s">
        <v>238</v>
      </c>
      <c r="C64" s="1" t="s">
        <v>189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2" t="s">
        <v>239</v>
      </c>
      <c r="J64" s="2" t="s">
        <v>240</v>
      </c>
    </row>
    <row r="65" customFormat="false" ht="15.75" hidden="false" customHeight="false" outlineLevel="0" collapsed="false">
      <c r="A65" s="1" t="n">
        <v>126053</v>
      </c>
      <c r="B65" s="1" t="s">
        <v>241</v>
      </c>
      <c r="C65" s="1" t="s">
        <v>189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2" t="s">
        <v>242</v>
      </c>
    </row>
    <row r="66" customFormat="false" ht="15.75" hidden="false" customHeight="false" outlineLevel="0" collapsed="false">
      <c r="A66" s="1" t="n">
        <v>110920</v>
      </c>
      <c r="B66" s="1" t="s">
        <v>243</v>
      </c>
      <c r="C66" s="1" t="s">
        <v>189</v>
      </c>
      <c r="D66" s="1" t="n">
        <v>2</v>
      </c>
      <c r="E66" s="1" t="n">
        <v>0</v>
      </c>
      <c r="F66" s="1" t="n">
        <v>0</v>
      </c>
      <c r="G66" s="1" t="n">
        <v>0</v>
      </c>
      <c r="H66" s="1" t="n">
        <v>0</v>
      </c>
      <c r="I66" s="2" t="s">
        <v>244</v>
      </c>
      <c r="J66" s="2" t="s">
        <v>245</v>
      </c>
      <c r="K66" s="2" t="s">
        <v>246</v>
      </c>
    </row>
    <row r="67" customFormat="false" ht="15.75" hidden="false" customHeight="false" outlineLevel="0" collapsed="false">
      <c r="A67" s="1" t="n">
        <v>118386</v>
      </c>
      <c r="B67" s="1" t="s">
        <v>247</v>
      </c>
      <c r="C67" s="1" t="s">
        <v>189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2" t="s">
        <v>248</v>
      </c>
      <c r="J67" s="2" t="s">
        <v>249</v>
      </c>
      <c r="K67" s="2" t="s">
        <v>250</v>
      </c>
    </row>
    <row r="68" customFormat="false" ht="15.75" hidden="false" customHeight="false" outlineLevel="0" collapsed="false">
      <c r="A68" s="1" t="n">
        <v>83905</v>
      </c>
      <c r="B68" s="1" t="s">
        <v>251</v>
      </c>
      <c r="C68" s="1" t="s">
        <v>189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2" t="s">
        <v>252</v>
      </c>
      <c r="J68" s="2" t="s">
        <v>253</v>
      </c>
      <c r="K68" s="2" t="s">
        <v>254</v>
      </c>
    </row>
    <row r="69" customFormat="false" ht="15.75" hidden="false" customHeight="false" outlineLevel="0" collapsed="false">
      <c r="A69" s="1" t="n">
        <v>83897</v>
      </c>
      <c r="B69" s="1" t="s">
        <v>255</v>
      </c>
      <c r="C69" s="1" t="s">
        <v>189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2" t="s">
        <v>256</v>
      </c>
      <c r="J69" s="2" t="s">
        <v>257</v>
      </c>
      <c r="K69" s="2" t="s">
        <v>258</v>
      </c>
    </row>
    <row r="70" customFormat="false" ht="15.75" hidden="false" customHeight="false" outlineLevel="0" collapsed="false">
      <c r="A70" s="1" t="n">
        <v>72328</v>
      </c>
      <c r="B70" s="1" t="s">
        <v>259</v>
      </c>
      <c r="C70" s="1" t="s">
        <v>189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2" t="s">
        <v>260</v>
      </c>
      <c r="J70" s="2" t="s">
        <v>261</v>
      </c>
      <c r="K70" s="2" t="s">
        <v>262</v>
      </c>
    </row>
    <row r="71" customFormat="false" ht="15.75" hidden="false" customHeight="false" outlineLevel="0" collapsed="false">
      <c r="A71" s="1" t="n">
        <v>126092</v>
      </c>
      <c r="B71" s="1" t="s">
        <v>263</v>
      </c>
      <c r="C71" s="1" t="s">
        <v>189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2" t="s">
        <v>264</v>
      </c>
      <c r="J71" s="2" t="s">
        <v>265</v>
      </c>
      <c r="K71" s="2" t="s">
        <v>266</v>
      </c>
    </row>
    <row r="72" customFormat="false" ht="15.75" hidden="false" customHeight="false" outlineLevel="0" collapsed="false">
      <c r="A72" s="1" t="n">
        <v>133098</v>
      </c>
      <c r="B72" s="1" t="s">
        <v>267</v>
      </c>
      <c r="C72" s="1" t="s">
        <v>189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2" t="s">
        <v>268</v>
      </c>
      <c r="J72" s="2" t="s">
        <v>269</v>
      </c>
      <c r="K72" s="2" t="s">
        <v>270</v>
      </c>
    </row>
    <row r="73" customFormat="false" ht="15.75" hidden="false" customHeight="false" outlineLevel="0" collapsed="false">
      <c r="A73" s="1" t="n">
        <v>48532</v>
      </c>
      <c r="B73" s="1" t="s">
        <v>271</v>
      </c>
      <c r="C73" s="1" t="s">
        <v>189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2" t="s">
        <v>272</v>
      </c>
      <c r="J73" s="2" t="s">
        <v>273</v>
      </c>
      <c r="K73" s="2" t="s">
        <v>274</v>
      </c>
    </row>
    <row r="74" customFormat="false" ht="15.75" hidden="false" customHeight="false" outlineLevel="0" collapsed="false">
      <c r="A74" s="1" t="n">
        <v>165598</v>
      </c>
      <c r="B74" s="1" t="s">
        <v>27</v>
      </c>
      <c r="C74" s="1" t="s">
        <v>189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2" t="s">
        <v>275</v>
      </c>
      <c r="J74" s="2" t="s">
        <v>276</v>
      </c>
      <c r="K74" s="2" t="s">
        <v>277</v>
      </c>
    </row>
    <row r="75" customFormat="false" ht="15.75" hidden="false" customHeight="false" outlineLevel="0" collapsed="false">
      <c r="A75" s="1" t="n">
        <v>175032</v>
      </c>
      <c r="B75" s="1" t="s">
        <v>170</v>
      </c>
      <c r="C75" s="1" t="s">
        <v>189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2" t="s">
        <v>278</v>
      </c>
      <c r="J75" s="2" t="s">
        <v>279</v>
      </c>
      <c r="K75" s="2" t="s">
        <v>280</v>
      </c>
    </row>
    <row r="76" customFormat="false" ht="15.75" hidden="false" customHeight="false" outlineLevel="0" collapsed="false">
      <c r="A76" s="1" t="n">
        <v>118402</v>
      </c>
      <c r="B76" s="1" t="s">
        <v>126</v>
      </c>
      <c r="C76" s="1" t="s">
        <v>189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2" t="s">
        <v>281</v>
      </c>
      <c r="J76" s="2" t="s">
        <v>282</v>
      </c>
    </row>
    <row r="77" customFormat="false" ht="15.75" hidden="false" customHeight="false" outlineLevel="0" collapsed="false">
      <c r="A77" s="1" t="n">
        <v>212534</v>
      </c>
      <c r="B77" s="1" t="s">
        <v>283</v>
      </c>
      <c r="C77" s="1" t="s">
        <v>189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2" t="s">
        <v>284</v>
      </c>
      <c r="J77" s="2" t="s">
        <v>285</v>
      </c>
      <c r="K77" s="2" t="s">
        <v>286</v>
      </c>
    </row>
    <row r="78" customFormat="false" ht="15.75" hidden="false" customHeight="false" outlineLevel="0" collapsed="false">
      <c r="A78" s="1" t="n">
        <v>185228</v>
      </c>
      <c r="B78" s="1" t="s">
        <v>287</v>
      </c>
      <c r="C78" s="1" t="s">
        <v>189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2" t="s">
        <v>288</v>
      </c>
      <c r="J78" s="2" t="s">
        <v>289</v>
      </c>
      <c r="K78" s="2" t="s">
        <v>290</v>
      </c>
    </row>
    <row r="79" customFormat="false" ht="15.75" hidden="false" customHeight="false" outlineLevel="0" collapsed="false">
      <c r="A79" s="1" t="n">
        <v>161745</v>
      </c>
      <c r="B79" s="1" t="s">
        <v>291</v>
      </c>
      <c r="C79" s="1" t="s">
        <v>189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2" t="s">
        <v>292</v>
      </c>
      <c r="J79" s="2" t="s">
        <v>293</v>
      </c>
      <c r="K79" s="2" t="s">
        <v>294</v>
      </c>
    </row>
    <row r="80" customFormat="false" ht="15.75" hidden="false" customHeight="false" outlineLevel="0" collapsed="false">
      <c r="A80" s="1" t="n">
        <v>164796</v>
      </c>
      <c r="B80" s="1" t="s">
        <v>295</v>
      </c>
      <c r="C80" s="1" t="s">
        <v>189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2" t="s">
        <v>296</v>
      </c>
      <c r="J80" s="2" t="s">
        <v>297</v>
      </c>
      <c r="K80" s="2" t="s">
        <v>298</v>
      </c>
    </row>
    <row r="81" customFormat="false" ht="15.75" hidden="false" customHeight="false" outlineLevel="0" collapsed="false">
      <c r="A81" s="1" t="n">
        <v>190426</v>
      </c>
      <c r="B81" s="1" t="s">
        <v>299</v>
      </c>
      <c r="C81" s="1" t="s">
        <v>189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2" t="s">
        <v>300</v>
      </c>
      <c r="J81" s="2" t="s">
        <v>301</v>
      </c>
      <c r="K81" s="2" t="s">
        <v>302</v>
      </c>
    </row>
    <row r="82" customFormat="false" ht="15.75" hidden="false" customHeight="false" outlineLevel="0" collapsed="false">
      <c r="A82" s="1" t="n">
        <v>121837</v>
      </c>
      <c r="B82" s="1" t="s">
        <v>303</v>
      </c>
      <c r="C82" s="1" t="s">
        <v>189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2" t="s">
        <v>304</v>
      </c>
      <c r="J82" s="2" t="s">
        <v>305</v>
      </c>
      <c r="K82" s="2" t="s">
        <v>306</v>
      </c>
    </row>
    <row r="83" customFormat="false" ht="15.75" hidden="false" customHeight="false" outlineLevel="0" collapsed="false">
      <c r="A83" s="1" t="n">
        <v>155596</v>
      </c>
      <c r="B83" s="1" t="s">
        <v>27</v>
      </c>
      <c r="C83" s="1" t="s">
        <v>189</v>
      </c>
      <c r="D83" s="1" t="n">
        <v>4</v>
      </c>
      <c r="E83" s="1" t="n">
        <v>7</v>
      </c>
      <c r="F83" s="1" t="n">
        <v>0</v>
      </c>
      <c r="G83" s="1" t="n">
        <v>0</v>
      </c>
      <c r="H83" s="1" t="n">
        <v>0</v>
      </c>
      <c r="I83" s="2" t="s">
        <v>307</v>
      </c>
      <c r="J83" s="2" t="s">
        <v>308</v>
      </c>
      <c r="K83" s="2" t="s">
        <v>309</v>
      </c>
      <c r="L83" s="2" t="s">
        <v>310</v>
      </c>
      <c r="M83" s="2" t="s">
        <v>311</v>
      </c>
    </row>
    <row r="84" customFormat="false" ht="15.75" hidden="false" customHeight="false" outlineLevel="0" collapsed="false">
      <c r="A84" s="1" t="n">
        <v>188113</v>
      </c>
      <c r="B84" s="1" t="s">
        <v>312</v>
      </c>
      <c r="C84" s="1" t="s">
        <v>189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2" t="s">
        <v>313</v>
      </c>
      <c r="J84" s="2" t="s">
        <v>314</v>
      </c>
      <c r="K84" s="2" t="s">
        <v>315</v>
      </c>
    </row>
    <row r="85" customFormat="false" ht="15.75" hidden="false" customHeight="false" outlineLevel="0" collapsed="false">
      <c r="A85" s="1" t="n">
        <v>207261</v>
      </c>
      <c r="B85" s="1" t="s">
        <v>175</v>
      </c>
      <c r="C85" s="1" t="s">
        <v>189</v>
      </c>
      <c r="D85" s="1" t="n">
        <v>0</v>
      </c>
      <c r="E85" s="1" t="n">
        <v>0</v>
      </c>
      <c r="F85" s="1" t="n">
        <v>0</v>
      </c>
      <c r="G85" s="1" t="n">
        <v>7</v>
      </c>
      <c r="H85" s="1" t="n">
        <v>0</v>
      </c>
      <c r="I85" s="2" t="s">
        <v>316</v>
      </c>
      <c r="J85" s="2" t="s">
        <v>317</v>
      </c>
      <c r="K85" s="2" t="s">
        <v>318</v>
      </c>
      <c r="L85" s="2" t="s">
        <v>319</v>
      </c>
    </row>
    <row r="86" customFormat="false" ht="15.75" hidden="false" customHeight="false" outlineLevel="0" collapsed="false">
      <c r="A86" s="1" t="n">
        <v>223928</v>
      </c>
      <c r="B86" s="1" t="s">
        <v>320</v>
      </c>
      <c r="C86" s="1" t="s">
        <v>189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2" t="s">
        <v>321</v>
      </c>
      <c r="J86" s="2" t="s">
        <v>322</v>
      </c>
      <c r="K86" s="2" t="s">
        <v>323</v>
      </c>
    </row>
    <row r="87" customFormat="false" ht="15.75" hidden="false" customHeight="false" outlineLevel="0" collapsed="false">
      <c r="A87" s="1" t="n">
        <v>111183</v>
      </c>
      <c r="B87" s="1" t="s">
        <v>324</v>
      </c>
      <c r="C87" s="1" t="s">
        <v>189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2" t="s">
        <v>325</v>
      </c>
      <c r="J87" s="2" t="s">
        <v>326</v>
      </c>
      <c r="K87" s="2" t="s">
        <v>327</v>
      </c>
    </row>
    <row r="88" customFormat="false" ht="15.75" hidden="false" customHeight="false" outlineLevel="0" collapsed="false">
      <c r="A88" s="1" t="n">
        <v>185218</v>
      </c>
      <c r="B88" s="1" t="s">
        <v>328</v>
      </c>
      <c r="C88" s="1" t="s">
        <v>189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2" t="s">
        <v>329</v>
      </c>
      <c r="J88" s="2" t="s">
        <v>330</v>
      </c>
      <c r="K88" s="2" t="s">
        <v>331</v>
      </c>
      <c r="L88" s="2" t="s">
        <v>332</v>
      </c>
    </row>
    <row r="89" customFormat="false" ht="15.75" hidden="false" customHeight="false" outlineLevel="0" collapsed="false">
      <c r="A89" s="1" t="n">
        <v>115715</v>
      </c>
      <c r="B89" s="1" t="s">
        <v>333</v>
      </c>
      <c r="C89" s="1" t="s">
        <v>189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2" t="s">
        <v>334</v>
      </c>
      <c r="J89" s="2" t="s">
        <v>335</v>
      </c>
      <c r="K89" s="2" t="s">
        <v>336</v>
      </c>
      <c r="L89" s="2" t="s">
        <v>337</v>
      </c>
      <c r="M89" s="2" t="s">
        <v>338</v>
      </c>
      <c r="N89" s="2" t="s">
        <v>339</v>
      </c>
    </row>
    <row r="90" customFormat="false" ht="15.75" hidden="false" customHeight="false" outlineLevel="0" collapsed="false">
      <c r="A90" s="1" t="n">
        <v>88984</v>
      </c>
      <c r="B90" s="1" t="s">
        <v>340</v>
      </c>
      <c r="C90" s="1" t="s">
        <v>189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2" t="s">
        <v>341</v>
      </c>
      <c r="J90" s="2" t="s">
        <v>342</v>
      </c>
      <c r="K90" s="2" t="s">
        <v>343</v>
      </c>
      <c r="L90" s="2" t="s">
        <v>344</v>
      </c>
    </row>
    <row r="91" customFormat="false" ht="15.75" hidden="false" customHeight="false" outlineLevel="0" collapsed="false">
      <c r="A91" s="1" t="n">
        <v>139605</v>
      </c>
      <c r="B91" s="1" t="s">
        <v>204</v>
      </c>
      <c r="C91" s="1" t="s">
        <v>189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2" t="s">
        <v>345</v>
      </c>
      <c r="J91" s="2" t="s">
        <v>346</v>
      </c>
      <c r="K91" s="2" t="s">
        <v>347</v>
      </c>
      <c r="L91" s="2" t="s">
        <v>348</v>
      </c>
    </row>
    <row r="92" customFormat="false" ht="15.75" hidden="false" customHeight="false" outlineLevel="0" collapsed="false">
      <c r="A92" s="1" t="n">
        <v>187822</v>
      </c>
      <c r="B92" s="1" t="s">
        <v>349</v>
      </c>
      <c r="C92" s="1" t="s">
        <v>189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</row>
    <row r="93" customFormat="false" ht="15.75" hidden="false" customHeight="false" outlineLevel="0" collapsed="false">
      <c r="A93" s="1" t="n">
        <v>187899</v>
      </c>
      <c r="B93" s="1" t="s">
        <v>350</v>
      </c>
      <c r="C93" s="1" t="s">
        <v>189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2" t="s">
        <v>351</v>
      </c>
      <c r="J93" s="2" t="s">
        <v>352</v>
      </c>
      <c r="K93" s="2" t="s">
        <v>353</v>
      </c>
      <c r="L93" s="2" t="s">
        <v>354</v>
      </c>
    </row>
    <row r="94" customFormat="false" ht="15.75" hidden="false" customHeight="false" outlineLevel="0" collapsed="false">
      <c r="A94" s="1" t="n">
        <v>87043</v>
      </c>
      <c r="B94" s="1" t="s">
        <v>355</v>
      </c>
      <c r="C94" s="1" t="s">
        <v>189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2" t="s">
        <v>356</v>
      </c>
      <c r="J94" s="2" t="s">
        <v>357</v>
      </c>
      <c r="K94" s="2" t="s">
        <v>358</v>
      </c>
      <c r="L94" s="2" t="s">
        <v>359</v>
      </c>
    </row>
    <row r="95" customFormat="false" ht="15.75" hidden="false" customHeight="false" outlineLevel="0" collapsed="false">
      <c r="A95" s="1" t="n">
        <v>195772</v>
      </c>
      <c r="B95" s="1" t="s">
        <v>360</v>
      </c>
      <c r="C95" s="1" t="s">
        <v>189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2" t="s">
        <v>361</v>
      </c>
      <c r="J95" s="2" t="s">
        <v>362</v>
      </c>
      <c r="K95" s="2" t="s">
        <v>363</v>
      </c>
    </row>
    <row r="96" customFormat="false" ht="15.75" hidden="false" customHeight="false" outlineLevel="0" collapsed="false">
      <c r="A96" s="1" t="n">
        <v>86893</v>
      </c>
      <c r="B96" s="1" t="s">
        <v>364</v>
      </c>
      <c r="C96" s="1" t="s">
        <v>189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2" t="s">
        <v>365</v>
      </c>
      <c r="J96" s="2" t="s">
        <v>366</v>
      </c>
      <c r="K96" s="2" t="s">
        <v>367</v>
      </c>
      <c r="L96" s="2" t="s">
        <v>368</v>
      </c>
      <c r="M96" s="2" t="s">
        <v>369</v>
      </c>
    </row>
    <row r="97" customFormat="false" ht="15.75" hidden="false" customHeight="false" outlineLevel="0" collapsed="false">
      <c r="A97" s="1" t="n">
        <v>92537</v>
      </c>
      <c r="B97" s="1" t="s">
        <v>370</v>
      </c>
      <c r="C97" s="1" t="s">
        <v>189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2" t="s">
        <v>371</v>
      </c>
      <c r="J97" s="2" t="s">
        <v>372</v>
      </c>
      <c r="K97" s="2" t="s">
        <v>373</v>
      </c>
      <c r="L97" s="2" t="s">
        <v>374</v>
      </c>
    </row>
    <row r="98" customFormat="false" ht="15.75" hidden="false" customHeight="false" outlineLevel="0" collapsed="false">
      <c r="A98" s="1" t="n">
        <v>185225</v>
      </c>
      <c r="B98" s="1" t="s">
        <v>375</v>
      </c>
      <c r="C98" s="1" t="s">
        <v>189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2" t="s">
        <v>376</v>
      </c>
      <c r="J98" s="2" t="s">
        <v>377</v>
      </c>
      <c r="K98" s="2" t="s">
        <v>378</v>
      </c>
    </row>
    <row r="99" customFormat="false" ht="15.75" hidden="false" customHeight="false" outlineLevel="0" collapsed="false">
      <c r="A99" s="1" t="n">
        <v>109008</v>
      </c>
      <c r="B99" s="1" t="s">
        <v>379</v>
      </c>
      <c r="C99" s="1" t="s">
        <v>189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2" t="s">
        <v>380</v>
      </c>
      <c r="J99" s="2" t="s">
        <v>381</v>
      </c>
      <c r="K99" s="2" t="s">
        <v>382</v>
      </c>
      <c r="L99" s="2" t="s">
        <v>383</v>
      </c>
    </row>
    <row r="100" customFormat="false" ht="15.75" hidden="false" customHeight="false" outlineLevel="0" collapsed="false">
      <c r="A100" s="1" t="n">
        <v>110924</v>
      </c>
      <c r="B100" s="1" t="s">
        <v>384</v>
      </c>
      <c r="C100" s="1" t="s">
        <v>189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2" t="s">
        <v>385</v>
      </c>
      <c r="J100" s="2" t="s">
        <v>386</v>
      </c>
    </row>
    <row r="101" customFormat="false" ht="15.75" hidden="false" customHeight="false" outlineLevel="0" collapsed="false">
      <c r="A101" s="1" t="n">
        <v>117393</v>
      </c>
      <c r="B101" s="1" t="s">
        <v>387</v>
      </c>
      <c r="C101" s="1" t="s">
        <v>189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2" t="s">
        <v>388</v>
      </c>
      <c r="J101" s="2" t="s">
        <v>389</v>
      </c>
      <c r="K101" s="2" t="s">
        <v>390</v>
      </c>
      <c r="L101" s="2" t="s">
        <v>391</v>
      </c>
    </row>
    <row r="102" customFormat="false" ht="15.75" hidden="false" customHeight="false" outlineLevel="0" collapsed="false">
      <c r="A102" s="1" t="n">
        <v>83901</v>
      </c>
      <c r="B102" s="1" t="s">
        <v>392</v>
      </c>
      <c r="C102" s="1" t="s">
        <v>189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2" t="s">
        <v>393</v>
      </c>
      <c r="J102" s="2" t="s">
        <v>394</v>
      </c>
      <c r="K102" s="2" t="s">
        <v>395</v>
      </c>
    </row>
    <row r="103" customFormat="false" ht="15.75" hidden="false" customHeight="false" outlineLevel="0" collapsed="false">
      <c r="A103" s="1" t="n">
        <v>117384</v>
      </c>
      <c r="B103" s="1" t="s">
        <v>396</v>
      </c>
      <c r="C103" s="1" t="s">
        <v>189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2" t="s">
        <v>397</v>
      </c>
      <c r="J103" s="2" t="s">
        <v>398</v>
      </c>
    </row>
    <row r="104" customFormat="false" ht="15.75" hidden="false" customHeight="false" outlineLevel="0" collapsed="false">
      <c r="A104" s="1" t="n">
        <v>181492</v>
      </c>
      <c r="B104" s="1" t="s">
        <v>399</v>
      </c>
      <c r="C104" s="1" t="s">
        <v>189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2" t="s">
        <v>400</v>
      </c>
      <c r="J104" s="2" t="s">
        <v>401</v>
      </c>
      <c r="K104" s="2" t="s">
        <v>402</v>
      </c>
    </row>
    <row r="105" customFormat="false" ht="15.75" hidden="false" customHeight="false" outlineLevel="0" collapsed="false">
      <c r="A105" s="1" t="n">
        <v>164667</v>
      </c>
      <c r="B105" s="1" t="s">
        <v>403</v>
      </c>
      <c r="C105" s="1" t="s">
        <v>189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2" t="s">
        <v>404</v>
      </c>
      <c r="J105" s="2" t="s">
        <v>405</v>
      </c>
      <c r="K105" s="2" t="s">
        <v>406</v>
      </c>
      <c r="L105" s="2" t="s">
        <v>407</v>
      </c>
    </row>
    <row r="106" customFormat="false" ht="15.75" hidden="false" customHeight="false" outlineLevel="0" collapsed="false">
      <c r="A106" s="1" t="n">
        <v>111048</v>
      </c>
      <c r="B106" s="1" t="s">
        <v>408</v>
      </c>
      <c r="C106" s="1" t="s">
        <v>189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2" t="s">
        <v>409</v>
      </c>
      <c r="J106" s="2" t="s">
        <v>410</v>
      </c>
      <c r="K106" s="2" t="s">
        <v>411</v>
      </c>
      <c r="L106" s="2" t="s">
        <v>412</v>
      </c>
    </row>
    <row r="107" customFormat="false" ht="15.75" hidden="false" customHeight="false" outlineLevel="0" collapsed="false">
      <c r="A107" s="1" t="n">
        <v>124324</v>
      </c>
      <c r="B107" s="1" t="s">
        <v>413</v>
      </c>
      <c r="C107" s="1" t="s">
        <v>189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2" t="s">
        <v>414</v>
      </c>
      <c r="J107" s="2" t="s">
        <v>415</v>
      </c>
      <c r="K107" s="2" t="s">
        <v>416</v>
      </c>
      <c r="L107" s="2" t="s">
        <v>417</v>
      </c>
    </row>
    <row r="108" customFormat="false" ht="15.75" hidden="false" customHeight="false" outlineLevel="0" collapsed="false">
      <c r="A108" s="1" t="n">
        <v>111053</v>
      </c>
      <c r="B108" s="1" t="s">
        <v>418</v>
      </c>
      <c r="C108" s="1" t="s">
        <v>189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2" t="s">
        <v>419</v>
      </c>
    </row>
    <row r="109" customFormat="false" ht="15.75" hidden="false" customHeight="false" outlineLevel="0" collapsed="false">
      <c r="A109" s="1" t="n">
        <v>110302</v>
      </c>
      <c r="B109" s="1" t="s">
        <v>420</v>
      </c>
      <c r="C109" s="1" t="s">
        <v>189</v>
      </c>
      <c r="D109" s="1" t="n">
        <v>0</v>
      </c>
      <c r="E109" s="1" t="n">
        <v>6</v>
      </c>
      <c r="F109" s="1" t="n">
        <v>0</v>
      </c>
      <c r="G109" s="1" t="n">
        <v>0</v>
      </c>
      <c r="H109" s="1" t="n">
        <v>0</v>
      </c>
      <c r="I109" s="2" t="s">
        <v>421</v>
      </c>
      <c r="J109" s="2" t="s">
        <v>422</v>
      </c>
    </row>
    <row r="110" customFormat="false" ht="15.75" hidden="false" customHeight="false" outlineLevel="0" collapsed="false">
      <c r="A110" s="1" t="n">
        <v>195774</v>
      </c>
      <c r="B110" s="1" t="s">
        <v>423</v>
      </c>
      <c r="C110" s="1" t="s">
        <v>189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2" t="s">
        <v>424</v>
      </c>
      <c r="J110" s="2" t="s">
        <v>425</v>
      </c>
      <c r="K110" s="2" t="s">
        <v>426</v>
      </c>
    </row>
    <row r="111" customFormat="false" ht="15.75" hidden="false" customHeight="false" outlineLevel="0" collapsed="false">
      <c r="A111" s="1" t="n">
        <v>118416</v>
      </c>
      <c r="B111" s="1" t="s">
        <v>427</v>
      </c>
      <c r="C111" s="1" t="s">
        <v>189</v>
      </c>
      <c r="D111" s="1" t="n">
        <v>0</v>
      </c>
      <c r="E111" s="1" t="n">
        <v>0</v>
      </c>
      <c r="F111" s="1" t="n">
        <v>0</v>
      </c>
      <c r="G111" s="1" t="n">
        <v>1</v>
      </c>
      <c r="H111" s="1" t="n">
        <v>0</v>
      </c>
      <c r="I111" s="2" t="s">
        <v>428</v>
      </c>
      <c r="J111" s="2" t="s">
        <v>429</v>
      </c>
      <c r="K111" s="2" t="s">
        <v>430</v>
      </c>
      <c r="L111" s="2" t="s">
        <v>431</v>
      </c>
    </row>
    <row r="112" customFormat="false" ht="15.75" hidden="false" customHeight="false" outlineLevel="0" collapsed="false">
      <c r="A112" s="1" t="n">
        <v>72372</v>
      </c>
      <c r="B112" s="1" t="s">
        <v>432</v>
      </c>
      <c r="C112" s="1" t="s">
        <v>189</v>
      </c>
      <c r="D112" s="1" t="n">
        <v>2</v>
      </c>
      <c r="E112" s="1" t="n">
        <v>0</v>
      </c>
      <c r="F112" s="1" t="n">
        <v>0</v>
      </c>
      <c r="G112" s="1" t="n">
        <v>0</v>
      </c>
      <c r="H112" s="1" t="n">
        <v>0</v>
      </c>
      <c r="I112" s="2" t="s">
        <v>433</v>
      </c>
      <c r="J112" s="2" t="s">
        <v>434</v>
      </c>
      <c r="K112" s="2" t="s">
        <v>435</v>
      </c>
    </row>
    <row r="113" customFormat="false" ht="15.75" hidden="false" customHeight="false" outlineLevel="0" collapsed="false">
      <c r="A113" s="1" t="n">
        <v>187800</v>
      </c>
      <c r="B113" s="1" t="s">
        <v>360</v>
      </c>
      <c r="C113" s="1" t="s">
        <v>189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2" t="s">
        <v>436</v>
      </c>
      <c r="J113" s="2" t="s">
        <v>437</v>
      </c>
      <c r="K113" s="2" t="s">
        <v>438</v>
      </c>
      <c r="L113" s="2" t="s">
        <v>439</v>
      </c>
    </row>
    <row r="114" customFormat="false" ht="15.75" hidden="false" customHeight="false" outlineLevel="0" collapsed="false">
      <c r="A114" s="1" t="n">
        <v>1234</v>
      </c>
      <c r="B114" s="1" t="s">
        <v>0</v>
      </c>
      <c r="C114" s="1" t="s">
        <v>1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2" t="s">
        <v>440</v>
      </c>
    </row>
    <row r="115" customFormat="false" ht="15.75" hidden="false" customHeight="false" outlineLevel="0" collapsed="false">
      <c r="A115" s="1" t="n">
        <v>81407</v>
      </c>
      <c r="B115" s="1" t="s">
        <v>396</v>
      </c>
      <c r="C115" s="1" t="s">
        <v>1</v>
      </c>
      <c r="D115" s="1" t="n">
        <v>6</v>
      </c>
      <c r="E115" s="1" t="n">
        <v>0</v>
      </c>
      <c r="F115" s="1" t="n">
        <v>7</v>
      </c>
      <c r="G115" s="1" t="n">
        <v>0</v>
      </c>
      <c r="H115" s="1" t="n">
        <v>0</v>
      </c>
      <c r="I115" s="2" t="s">
        <v>441</v>
      </c>
      <c r="J115" s="2" t="s">
        <v>442</v>
      </c>
      <c r="K115" s="2" t="s">
        <v>443</v>
      </c>
      <c r="L115" s="2" t="s">
        <v>444</v>
      </c>
      <c r="M115" s="2" t="s">
        <v>445</v>
      </c>
      <c r="N115" s="2" t="s">
        <v>446</v>
      </c>
      <c r="O115" s="2" t="s">
        <v>447</v>
      </c>
      <c r="P115" s="2" t="s">
        <v>448</v>
      </c>
    </row>
    <row r="116" customFormat="false" ht="15.75" hidden="false" customHeight="false" outlineLevel="0" collapsed="false">
      <c r="A116" s="1" t="n">
        <v>206976</v>
      </c>
      <c r="B116" s="1" t="s">
        <v>449</v>
      </c>
      <c r="C116" s="1" t="s">
        <v>1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2" t="s">
        <v>450</v>
      </c>
    </row>
    <row r="117" customFormat="false" ht="15.75" hidden="false" customHeight="false" outlineLevel="0" collapsed="false">
      <c r="A117" s="1" t="n">
        <v>81436</v>
      </c>
      <c r="B117" s="1" t="s">
        <v>451</v>
      </c>
      <c r="C117" s="1" t="s">
        <v>1</v>
      </c>
      <c r="D117" s="1" t="n">
        <v>0</v>
      </c>
      <c r="E117" s="1" t="n">
        <v>0</v>
      </c>
      <c r="F117" s="1" t="n">
        <v>7</v>
      </c>
      <c r="G117" s="1" t="n">
        <v>0</v>
      </c>
      <c r="H117" s="1" t="n">
        <v>0</v>
      </c>
      <c r="I117" s="2" t="s">
        <v>452</v>
      </c>
      <c r="J117" s="2" t="s">
        <v>453</v>
      </c>
    </row>
    <row r="118" customFormat="false" ht="15.75" hidden="false" customHeight="false" outlineLevel="0" collapsed="false">
      <c r="A118" s="1" t="n">
        <v>119572</v>
      </c>
      <c r="B118" s="1" t="s">
        <v>454</v>
      </c>
      <c r="C118" s="1" t="s">
        <v>1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2" t="s">
        <v>455</v>
      </c>
      <c r="J118" s="2" t="s">
        <v>456</v>
      </c>
      <c r="K118" s="2" t="s">
        <v>457</v>
      </c>
    </row>
    <row r="119" customFormat="false" ht="15.75" hidden="false" customHeight="false" outlineLevel="0" collapsed="false">
      <c r="A119" s="1" t="n">
        <v>115673</v>
      </c>
      <c r="B119" s="1" t="s">
        <v>458</v>
      </c>
      <c r="C119" s="1" t="s">
        <v>1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2" t="s">
        <v>459</v>
      </c>
    </row>
    <row r="120" customFormat="false" ht="15.75" hidden="false" customHeight="false" outlineLevel="0" collapsed="false">
      <c r="A120" s="1" t="n">
        <v>187841</v>
      </c>
      <c r="B120" s="1" t="s">
        <v>460</v>
      </c>
      <c r="C120" s="1" t="s">
        <v>1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2" t="s">
        <v>461</v>
      </c>
    </row>
    <row r="121" customFormat="false" ht="15.75" hidden="false" customHeight="false" outlineLevel="0" collapsed="false">
      <c r="A121" s="1" t="n">
        <v>155702</v>
      </c>
      <c r="B121" s="1" t="s">
        <v>462</v>
      </c>
      <c r="C121" s="1" t="s">
        <v>1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2" t="s">
        <v>463</v>
      </c>
      <c r="J121" s="2" t="s">
        <v>464</v>
      </c>
    </row>
    <row r="122" customFormat="false" ht="15.75" hidden="false" customHeight="false" outlineLevel="0" collapsed="false">
      <c r="A122" s="1" t="n">
        <v>174358</v>
      </c>
      <c r="B122" s="1" t="s">
        <v>465</v>
      </c>
      <c r="C122" s="1" t="s">
        <v>1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2" t="s">
        <v>466</v>
      </c>
    </row>
    <row r="123" customFormat="false" ht="15.75" hidden="false" customHeight="false" outlineLevel="0" collapsed="false">
      <c r="A123" s="1" t="n">
        <v>183220</v>
      </c>
      <c r="B123" s="1" t="s">
        <v>467</v>
      </c>
      <c r="C123" s="1" t="s">
        <v>1</v>
      </c>
      <c r="D123" s="1" t="n">
        <v>1</v>
      </c>
      <c r="E123" s="1" t="n">
        <v>0</v>
      </c>
      <c r="F123" s="1" t="n">
        <v>0</v>
      </c>
      <c r="G123" s="1" t="n">
        <v>0</v>
      </c>
      <c r="H123" s="1" t="n">
        <v>0</v>
      </c>
      <c r="I123" s="2" t="s">
        <v>468</v>
      </c>
      <c r="J123" s="2" t="s">
        <v>469</v>
      </c>
      <c r="K123" s="2" t="s">
        <v>470</v>
      </c>
      <c r="L123" s="2" t="s">
        <v>471</v>
      </c>
    </row>
    <row r="124" customFormat="false" ht="15.75" hidden="false" customHeight="false" outlineLevel="0" collapsed="false">
      <c r="A124" s="1" t="n">
        <v>118641</v>
      </c>
      <c r="B124" s="1" t="s">
        <v>472</v>
      </c>
      <c r="C124" s="1" t="s">
        <v>1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2" t="s">
        <v>473</v>
      </c>
      <c r="J124" s="2" t="s">
        <v>474</v>
      </c>
      <c r="K124" s="2" t="s">
        <v>475</v>
      </c>
      <c r="L124" s="2" t="s">
        <v>476</v>
      </c>
    </row>
    <row r="125" customFormat="false" ht="15.75" hidden="false" customHeight="false" outlineLevel="0" collapsed="false">
      <c r="A125" s="1" t="n">
        <v>81422</v>
      </c>
      <c r="B125" s="1" t="s">
        <v>477</v>
      </c>
      <c r="C125" s="1" t="s">
        <v>1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0</v>
      </c>
      <c r="I125" s="2" t="s">
        <v>478</v>
      </c>
      <c r="J125" s="2" t="s">
        <v>479</v>
      </c>
      <c r="K125" s="2" t="s">
        <v>480</v>
      </c>
      <c r="L125" s="2" t="s">
        <v>481</v>
      </c>
      <c r="M125" s="2" t="s">
        <v>482</v>
      </c>
    </row>
    <row r="126" customFormat="false" ht="15.75" hidden="false" customHeight="false" outlineLevel="0" collapsed="false">
      <c r="A126" s="1" t="n">
        <v>204719</v>
      </c>
      <c r="B126" s="1" t="s">
        <v>360</v>
      </c>
      <c r="C126" s="1" t="s">
        <v>1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2" t="s">
        <v>483</v>
      </c>
      <c r="J126" s="2" t="s">
        <v>484</v>
      </c>
    </row>
    <row r="127" customFormat="false" ht="15.75" hidden="false" customHeight="false" outlineLevel="0" collapsed="false">
      <c r="A127" s="1" t="n">
        <v>119856</v>
      </c>
      <c r="B127" s="1" t="s">
        <v>485</v>
      </c>
      <c r="C127" s="1" t="s">
        <v>1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2" t="s">
        <v>486</v>
      </c>
    </row>
    <row r="128" customFormat="false" ht="15.75" hidden="false" customHeight="false" outlineLevel="0" collapsed="false">
      <c r="A128" s="1" t="n">
        <v>119874</v>
      </c>
      <c r="B128" s="1" t="s">
        <v>130</v>
      </c>
      <c r="C128" s="1" t="s">
        <v>1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2" t="s">
        <v>487</v>
      </c>
      <c r="Q128" s="2" t="s">
        <v>488</v>
      </c>
      <c r="R128" s="2" t="s">
        <v>489</v>
      </c>
      <c r="S128" s="2" t="s">
        <v>490</v>
      </c>
    </row>
    <row r="129" customFormat="false" ht="15.75" hidden="false" customHeight="false" outlineLevel="0" collapsed="false">
      <c r="A129" s="1" t="n">
        <v>127024</v>
      </c>
      <c r="B129" s="1" t="s">
        <v>491</v>
      </c>
      <c r="C129" s="1" t="s">
        <v>1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2" t="s">
        <v>492</v>
      </c>
      <c r="J129" s="2" t="s">
        <v>493</v>
      </c>
      <c r="K129" s="2" t="s">
        <v>494</v>
      </c>
    </row>
    <row r="130" customFormat="false" ht="15.75" hidden="false" customHeight="false" outlineLevel="0" collapsed="false">
      <c r="A130" s="1" t="n">
        <v>118299</v>
      </c>
      <c r="B130" s="1" t="s">
        <v>495</v>
      </c>
      <c r="C130" s="1" t="s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2" t="s">
        <v>496</v>
      </c>
      <c r="J130" s="2" t="s">
        <v>497</v>
      </c>
      <c r="K130" s="2" t="s">
        <v>498</v>
      </c>
      <c r="L130" s="2" t="s">
        <v>499</v>
      </c>
    </row>
    <row r="131" customFormat="false" ht="15.75" hidden="false" customHeight="false" outlineLevel="0" collapsed="false">
      <c r="A131" s="1" t="n">
        <v>118935</v>
      </c>
      <c r="B131" s="1" t="s">
        <v>500</v>
      </c>
      <c r="C131" s="1" t="s">
        <v>1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2" t="s">
        <v>501</v>
      </c>
      <c r="J131" s="2" t="s">
        <v>502</v>
      </c>
      <c r="K131" s="2" t="s">
        <v>503</v>
      </c>
      <c r="L131" s="2" t="s">
        <v>504</v>
      </c>
      <c r="M131" s="2" t="s">
        <v>505</v>
      </c>
    </row>
    <row r="132" customFormat="false" ht="15.75" hidden="false" customHeight="false" outlineLevel="0" collapsed="false">
      <c r="A132" s="1" t="n">
        <v>127016</v>
      </c>
      <c r="B132" s="1" t="s">
        <v>506</v>
      </c>
      <c r="C132" s="1" t="s">
        <v>1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2" t="s">
        <v>507</v>
      </c>
      <c r="J132" s="2" t="s">
        <v>508</v>
      </c>
      <c r="K132" s="2" t="s">
        <v>509</v>
      </c>
      <c r="L132" s="2" t="s">
        <v>510</v>
      </c>
      <c r="M132" s="2" t="s">
        <v>511</v>
      </c>
      <c r="N132" s="2" t="s">
        <v>512</v>
      </c>
    </row>
    <row r="133" customFormat="false" ht="15.75" hidden="false" customHeight="false" outlineLevel="0" collapsed="false">
      <c r="A133" s="1" t="n">
        <v>118196</v>
      </c>
      <c r="B133" s="1" t="s">
        <v>513</v>
      </c>
      <c r="C133" s="1" t="s">
        <v>1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2" t="s">
        <v>514</v>
      </c>
      <c r="J133" s="2" t="s">
        <v>515</v>
      </c>
      <c r="K133" s="2" t="s">
        <v>516</v>
      </c>
    </row>
    <row r="134" customFormat="false" ht="15.75" hidden="false" customHeight="false" outlineLevel="0" collapsed="false">
      <c r="A134" s="1" t="n">
        <v>111815</v>
      </c>
      <c r="B134" s="1" t="s">
        <v>517</v>
      </c>
      <c r="C134" s="1" t="s">
        <v>1</v>
      </c>
      <c r="D134" s="1" t="n">
        <v>6</v>
      </c>
      <c r="E134" s="1" t="n">
        <v>0</v>
      </c>
      <c r="F134" s="1" t="n">
        <v>0</v>
      </c>
      <c r="G134" s="1" t="n">
        <v>0</v>
      </c>
      <c r="H134" s="1" t="n">
        <v>0</v>
      </c>
      <c r="I134" s="2" t="s">
        <v>518</v>
      </c>
      <c r="J134" s="2" t="s">
        <v>519</v>
      </c>
    </row>
    <row r="135" customFormat="false" ht="15.75" hidden="false" customHeight="false" outlineLevel="0" collapsed="false">
      <c r="A135" s="1" t="n">
        <v>96536</v>
      </c>
      <c r="B135" s="1" t="s">
        <v>520</v>
      </c>
      <c r="C135" s="1" t="s">
        <v>1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0</v>
      </c>
      <c r="I135" s="2" t="s">
        <v>521</v>
      </c>
      <c r="J135" s="2" t="s">
        <v>522</v>
      </c>
      <c r="K135" s="2" t="s">
        <v>523</v>
      </c>
    </row>
    <row r="136" customFormat="false" ht="15.75" hidden="false" customHeight="false" outlineLevel="0" collapsed="false">
      <c r="A136" s="1" t="n">
        <v>196624</v>
      </c>
      <c r="B136" s="1" t="s">
        <v>524</v>
      </c>
      <c r="C136" s="1" t="s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2" t="s">
        <v>525</v>
      </c>
      <c r="J136" s="2" t="s">
        <v>526</v>
      </c>
    </row>
    <row r="137" customFormat="false" ht="15.75" hidden="false" customHeight="false" outlineLevel="0" collapsed="false">
      <c r="A137" s="1" t="n">
        <v>186921</v>
      </c>
      <c r="B137" s="1" t="s">
        <v>527</v>
      </c>
      <c r="C137" s="1" t="s">
        <v>1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2" t="s">
        <v>528</v>
      </c>
      <c r="J137" s="2" t="s">
        <v>529</v>
      </c>
    </row>
    <row r="138" customFormat="false" ht="15.75" hidden="false" customHeight="false" outlineLevel="0" collapsed="false">
      <c r="A138" s="1" t="n">
        <v>73757</v>
      </c>
      <c r="B138" s="1" t="s">
        <v>530</v>
      </c>
      <c r="C138" s="1" t="s">
        <v>1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2" t="s">
        <v>531</v>
      </c>
      <c r="J138" s="2" t="s">
        <v>532</v>
      </c>
      <c r="K138" s="2" t="s">
        <v>533</v>
      </c>
      <c r="L138" s="2" t="s">
        <v>534</v>
      </c>
    </row>
    <row r="139" customFormat="false" ht="15.75" hidden="false" customHeight="false" outlineLevel="0" collapsed="false">
      <c r="A139" s="1" t="n">
        <v>109300</v>
      </c>
      <c r="B139" s="1" t="s">
        <v>25</v>
      </c>
      <c r="C139" s="1" t="s">
        <v>1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2" t="s">
        <v>535</v>
      </c>
      <c r="J139" s="2" t="s">
        <v>536</v>
      </c>
      <c r="K139" s="2" t="s">
        <v>537</v>
      </c>
      <c r="L139" s="2" t="s">
        <v>538</v>
      </c>
      <c r="M139" s="2" t="s">
        <v>539</v>
      </c>
      <c r="N139" s="2" t="s">
        <v>540</v>
      </c>
    </row>
    <row r="140" customFormat="false" ht="15.75" hidden="false" customHeight="false" outlineLevel="0" collapsed="false">
      <c r="A140" s="1" t="n">
        <v>155666</v>
      </c>
      <c r="B140" s="1" t="s">
        <v>541</v>
      </c>
      <c r="C140" s="1" t="s">
        <v>1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2" t="s">
        <v>542</v>
      </c>
      <c r="J140" s="2" t="s">
        <v>543</v>
      </c>
      <c r="K140" s="2" t="s">
        <v>544</v>
      </c>
      <c r="L140" s="2" t="s">
        <v>545</v>
      </c>
    </row>
    <row r="141" customFormat="false" ht="15.75" hidden="false" customHeight="false" outlineLevel="0" collapsed="false">
      <c r="A141" s="1" t="n">
        <v>181570</v>
      </c>
      <c r="B141" s="1" t="s">
        <v>546</v>
      </c>
      <c r="C141" s="1" t="s">
        <v>1</v>
      </c>
      <c r="D141" s="1" t="n">
        <v>1</v>
      </c>
      <c r="E141" s="1" t="n">
        <v>0</v>
      </c>
      <c r="F141" s="1" t="n">
        <v>0</v>
      </c>
      <c r="G141" s="1" t="n">
        <v>0</v>
      </c>
      <c r="H141" s="1" t="n">
        <v>0</v>
      </c>
      <c r="I141" s="2" t="s">
        <v>547</v>
      </c>
      <c r="J141" s="2" t="s">
        <v>548</v>
      </c>
      <c r="K141" s="2" t="s">
        <v>549</v>
      </c>
    </row>
    <row r="142" customFormat="false" ht="15.75" hidden="false" customHeight="false" outlineLevel="0" collapsed="false">
      <c r="A142" s="1" t="n">
        <v>212268</v>
      </c>
      <c r="B142" s="1" t="s">
        <v>550</v>
      </c>
      <c r="C142" s="1" t="s">
        <v>1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2" t="s">
        <v>551</v>
      </c>
      <c r="J142" s="2" t="s">
        <v>552</v>
      </c>
      <c r="K142" s="2" t="s">
        <v>553</v>
      </c>
    </row>
    <row r="143" customFormat="false" ht="15.75" hidden="false" customHeight="false" outlineLevel="0" collapsed="false">
      <c r="A143" s="1" t="n">
        <v>72371</v>
      </c>
      <c r="B143" s="1" t="s">
        <v>554</v>
      </c>
      <c r="C143" s="1" t="s">
        <v>1</v>
      </c>
      <c r="D143" s="1" t="n">
        <v>1</v>
      </c>
      <c r="E143" s="1" t="n">
        <v>0.5</v>
      </c>
      <c r="F143" s="1" t="n">
        <v>0</v>
      </c>
      <c r="G143" s="1" t="n">
        <v>0</v>
      </c>
      <c r="H143" s="1" t="n">
        <v>0</v>
      </c>
      <c r="I143" s="2" t="s">
        <v>555</v>
      </c>
      <c r="J143" s="2" t="s">
        <v>556</v>
      </c>
      <c r="K143" s="2" t="s">
        <v>557</v>
      </c>
      <c r="L143" s="2" t="s">
        <v>558</v>
      </c>
      <c r="M143" s="2" t="s">
        <v>559</v>
      </c>
      <c r="N143" s="2" t="s">
        <v>560</v>
      </c>
    </row>
    <row r="144" customFormat="false" ht="15.75" hidden="false" customHeight="false" outlineLevel="0" collapsed="false">
      <c r="A144" s="1" t="n">
        <v>109467</v>
      </c>
      <c r="B144" s="1" t="s">
        <v>561</v>
      </c>
      <c r="C144" s="1" t="s">
        <v>1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2" t="s">
        <v>562</v>
      </c>
    </row>
    <row r="145" customFormat="false" ht="15.75" hidden="false" customHeight="false" outlineLevel="0" collapsed="false">
      <c r="A145" s="1" t="n">
        <v>136996</v>
      </c>
      <c r="B145" s="1" t="s">
        <v>563</v>
      </c>
      <c r="C145" s="1" t="s">
        <v>1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2" t="s">
        <v>564</v>
      </c>
      <c r="J145" s="2" t="s">
        <v>565</v>
      </c>
      <c r="K145" s="2" t="s">
        <v>566</v>
      </c>
      <c r="L145" s="2" t="s">
        <v>567</v>
      </c>
      <c r="M145" s="2" t="s">
        <v>568</v>
      </c>
      <c r="N145" s="2" t="s">
        <v>569</v>
      </c>
      <c r="O145" s="2" t="s">
        <v>570</v>
      </c>
      <c r="P145" s="2" t="s">
        <v>571</v>
      </c>
    </row>
    <row r="146" customFormat="false" ht="15.75" hidden="false" customHeight="false" outlineLevel="0" collapsed="false">
      <c r="A146" s="1" t="n">
        <v>110925</v>
      </c>
      <c r="B146" s="1" t="s">
        <v>572</v>
      </c>
      <c r="C146" s="1" t="s">
        <v>1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2" t="s">
        <v>573</v>
      </c>
      <c r="J146" s="2" t="s">
        <v>574</v>
      </c>
      <c r="K146" s="2" t="s">
        <v>575</v>
      </c>
      <c r="L146" s="2" t="s">
        <v>576</v>
      </c>
      <c r="M146" s="2" t="s">
        <v>577</v>
      </c>
      <c r="N146" s="2" t="s">
        <v>578</v>
      </c>
      <c r="O146" s="2" t="s">
        <v>579</v>
      </c>
    </row>
    <row r="147" customFormat="false" ht="15.75" hidden="false" customHeight="false" outlineLevel="0" collapsed="false">
      <c r="A147" s="1" t="n">
        <v>186864</v>
      </c>
      <c r="B147" s="1" t="s">
        <v>580</v>
      </c>
      <c r="C147" s="1" t="s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2" t="s">
        <v>581</v>
      </c>
      <c r="J147" s="2" t="s">
        <v>582</v>
      </c>
    </row>
    <row r="148" customFormat="false" ht="15.75" hidden="false" customHeight="false" outlineLevel="0" collapsed="false">
      <c r="A148" s="1" t="n">
        <v>181339</v>
      </c>
      <c r="B148" s="1" t="s">
        <v>583</v>
      </c>
      <c r="C148" s="1" t="s">
        <v>1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2" t="s">
        <v>584</v>
      </c>
      <c r="J148" s="2" t="s">
        <v>585</v>
      </c>
      <c r="K148" s="2" t="s">
        <v>586</v>
      </c>
      <c r="L148" s="2" t="s">
        <v>587</v>
      </c>
    </row>
    <row r="149" customFormat="false" ht="15.75" hidden="false" customHeight="false" outlineLevel="0" collapsed="false">
      <c r="A149" s="1" t="n">
        <v>108195</v>
      </c>
      <c r="B149" s="1" t="s">
        <v>84</v>
      </c>
      <c r="C149" s="1" t="s">
        <v>1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2" t="s">
        <v>588</v>
      </c>
    </row>
    <row r="150" customFormat="false" ht="15.75" hidden="false" customHeight="false" outlineLevel="0" collapsed="false">
      <c r="A150" s="1" t="n">
        <v>52574</v>
      </c>
      <c r="B150" s="1" t="s">
        <v>589</v>
      </c>
      <c r="C150" s="1" t="s">
        <v>1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2" t="s">
        <v>590</v>
      </c>
      <c r="J150" s="2" t="s">
        <v>591</v>
      </c>
    </row>
    <row r="151" customFormat="false" ht="15.75" hidden="false" customHeight="false" outlineLevel="0" collapsed="false">
      <c r="A151" s="1" t="n">
        <v>187836</v>
      </c>
      <c r="B151" s="1" t="s">
        <v>592</v>
      </c>
      <c r="C151" s="1" t="s">
        <v>1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2" t="s">
        <v>593</v>
      </c>
    </row>
    <row r="152" customFormat="false" ht="15.75" hidden="false" customHeight="false" outlineLevel="0" collapsed="false">
      <c r="A152" s="1" t="n">
        <v>50160</v>
      </c>
      <c r="B152" s="1" t="s">
        <v>594</v>
      </c>
      <c r="C152" s="1" t="s">
        <v>1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2" t="s">
        <v>595</v>
      </c>
    </row>
    <row r="153" customFormat="false" ht="15.75" hidden="false" customHeight="false" outlineLevel="0" collapsed="false">
      <c r="A153" s="1" t="n">
        <v>51485</v>
      </c>
      <c r="B153" s="1" t="s">
        <v>596</v>
      </c>
      <c r="C153" s="1" t="s">
        <v>1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2" t="s">
        <v>597</v>
      </c>
    </row>
    <row r="154" customFormat="false" ht="15.75" hidden="false" customHeight="false" outlineLevel="0" collapsed="false">
      <c r="A154" s="1" t="n">
        <v>81414</v>
      </c>
      <c r="B154" s="1" t="s">
        <v>598</v>
      </c>
      <c r="C154" s="1" t="s">
        <v>1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2" t="s">
        <v>599</v>
      </c>
    </row>
    <row r="155" customFormat="false" ht="15.75" hidden="false" customHeight="false" outlineLevel="0" collapsed="false">
      <c r="A155" s="1" t="n">
        <v>175146</v>
      </c>
      <c r="B155" s="1" t="s">
        <v>600</v>
      </c>
      <c r="C155" s="1" t="s">
        <v>1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</row>
    <row r="156" customFormat="false" ht="15.75" hidden="false" customHeight="false" outlineLevel="0" collapsed="false">
      <c r="A156" s="1" t="n">
        <v>118504</v>
      </c>
      <c r="B156" s="1" t="s">
        <v>263</v>
      </c>
      <c r="C156" s="1" t="s">
        <v>601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2" t="s">
        <v>602</v>
      </c>
      <c r="J156" s="2" t="s">
        <v>603</v>
      </c>
      <c r="K156" s="2" t="s">
        <v>604</v>
      </c>
      <c r="L156" s="2" t="s">
        <v>605</v>
      </c>
      <c r="M156" s="2" t="s">
        <v>606</v>
      </c>
      <c r="N156" s="2" t="s">
        <v>607</v>
      </c>
      <c r="O156" s="2" t="s">
        <v>608</v>
      </c>
    </row>
    <row r="157" customFormat="false" ht="15.75" hidden="false" customHeight="false" outlineLevel="0" collapsed="false">
      <c r="A157" s="1" t="n">
        <v>117121</v>
      </c>
      <c r="B157" s="1" t="s">
        <v>609</v>
      </c>
      <c r="C157" s="1" t="s">
        <v>601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2" t="s">
        <v>610</v>
      </c>
      <c r="J157" s="2" t="s">
        <v>611</v>
      </c>
      <c r="K157" s="2" t="s">
        <v>612</v>
      </c>
    </row>
    <row r="158" customFormat="false" ht="15.75" hidden="false" customHeight="false" outlineLevel="0" collapsed="false">
      <c r="A158" s="1" t="n">
        <v>185840</v>
      </c>
      <c r="B158" s="1" t="s">
        <v>613</v>
      </c>
      <c r="C158" s="1" t="s">
        <v>601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0</v>
      </c>
      <c r="I158" s="2" t="s">
        <v>614</v>
      </c>
    </row>
    <row r="159" customFormat="false" ht="15.75" hidden="false" customHeight="false" outlineLevel="0" collapsed="false">
      <c r="A159" s="1" t="n">
        <v>109385</v>
      </c>
      <c r="B159" s="1" t="s">
        <v>615</v>
      </c>
      <c r="C159" s="1" t="s">
        <v>601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2" t="s">
        <v>616</v>
      </c>
    </row>
    <row r="160" customFormat="false" ht="15.75" hidden="false" customHeight="false" outlineLevel="0" collapsed="false">
      <c r="A160" s="1" t="n">
        <v>111245</v>
      </c>
      <c r="B160" s="1" t="s">
        <v>617</v>
      </c>
      <c r="C160" s="1" t="s">
        <v>601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2" t="s">
        <v>618</v>
      </c>
    </row>
    <row r="161" customFormat="false" ht="15.75" hidden="false" customHeight="false" outlineLevel="0" collapsed="false">
      <c r="A161" s="1" t="n">
        <v>119123</v>
      </c>
      <c r="B161" s="1" t="s">
        <v>619</v>
      </c>
      <c r="C161" s="1" t="s">
        <v>601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2" t="s">
        <v>620</v>
      </c>
      <c r="J161" s="2" t="s">
        <v>621</v>
      </c>
      <c r="K161" s="2" t="s">
        <v>622</v>
      </c>
      <c r="L161" s="2" t="s">
        <v>623</v>
      </c>
    </row>
    <row r="162" customFormat="false" ht="15.75" hidden="false" customHeight="false" outlineLevel="0" collapsed="false">
      <c r="A162" s="1" t="n">
        <v>110029</v>
      </c>
      <c r="B162" s="1" t="s">
        <v>624</v>
      </c>
      <c r="C162" s="1" t="s">
        <v>601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2" t="s">
        <v>625</v>
      </c>
      <c r="J162" s="2" t="s">
        <v>626</v>
      </c>
      <c r="K162" s="2" t="s">
        <v>627</v>
      </c>
    </row>
    <row r="163" customFormat="false" ht="15.75" hidden="false" customHeight="false" outlineLevel="0" collapsed="false">
      <c r="A163" s="1" t="n">
        <v>83942</v>
      </c>
      <c r="B163" s="1" t="s">
        <v>628</v>
      </c>
      <c r="C163" s="1" t="s">
        <v>601</v>
      </c>
      <c r="D163" s="1" t="n">
        <v>1.5</v>
      </c>
      <c r="E163" s="1" t="n">
        <v>0</v>
      </c>
      <c r="F163" s="1" t="n">
        <v>0</v>
      </c>
      <c r="G163" s="1" t="n">
        <v>0</v>
      </c>
      <c r="H163" s="1" t="n">
        <v>0</v>
      </c>
      <c r="I163" s="2" t="s">
        <v>629</v>
      </c>
      <c r="J163" s="2" t="s">
        <v>630</v>
      </c>
      <c r="K163" s="2" t="s">
        <v>631</v>
      </c>
      <c r="L163" s="2" t="s">
        <v>632</v>
      </c>
      <c r="M163" s="2" t="s">
        <v>633</v>
      </c>
      <c r="N163" s="2" t="s">
        <v>634</v>
      </c>
    </row>
    <row r="164" customFormat="false" ht="15.75" hidden="false" customHeight="false" outlineLevel="0" collapsed="false">
      <c r="A164" s="1" t="n">
        <v>64385</v>
      </c>
      <c r="B164" s="1" t="s">
        <v>635</v>
      </c>
      <c r="C164" s="1" t="s">
        <v>601</v>
      </c>
      <c r="D164" s="1" t="n">
        <v>7</v>
      </c>
      <c r="E164" s="1" t="n">
        <v>0</v>
      </c>
      <c r="F164" s="1" t="n">
        <v>0</v>
      </c>
      <c r="G164" s="1" t="n">
        <v>0</v>
      </c>
      <c r="H164" s="1" t="n">
        <v>0</v>
      </c>
      <c r="I164" s="2" t="s">
        <v>636</v>
      </c>
      <c r="J164" s="2" t="s">
        <v>637</v>
      </c>
      <c r="K164" s="2" t="s">
        <v>638</v>
      </c>
    </row>
    <row r="165" customFormat="false" ht="15.75" hidden="false" customHeight="false" outlineLevel="0" collapsed="false">
      <c r="A165" s="1" t="n">
        <v>124360</v>
      </c>
      <c r="B165" s="1" t="s">
        <v>639</v>
      </c>
      <c r="C165" s="1" t="s">
        <v>601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0</v>
      </c>
      <c r="I165" s="2" t="s">
        <v>640</v>
      </c>
      <c r="J165" s="2" t="s">
        <v>641</v>
      </c>
      <c r="K165" s="2" t="s">
        <v>642</v>
      </c>
    </row>
    <row r="166" customFormat="false" ht="15.75" hidden="false" customHeight="false" outlineLevel="0" collapsed="false">
      <c r="A166" s="1" t="n">
        <v>60958</v>
      </c>
      <c r="B166" s="1" t="s">
        <v>643</v>
      </c>
      <c r="C166" s="1" t="s">
        <v>601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2" t="s">
        <v>644</v>
      </c>
      <c r="J166" s="2" t="s">
        <v>645</v>
      </c>
    </row>
    <row r="167" customFormat="false" ht="15.75" hidden="false" customHeight="false" outlineLevel="0" collapsed="false">
      <c r="A167" s="1" t="n">
        <v>109357</v>
      </c>
      <c r="B167" s="1" t="s">
        <v>188</v>
      </c>
      <c r="C167" s="1" t="s">
        <v>601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2" t="s">
        <v>646</v>
      </c>
      <c r="J167" s="2" t="s">
        <v>647</v>
      </c>
    </row>
    <row r="168" customFormat="false" ht="15.75" hidden="false" customHeight="false" outlineLevel="0" collapsed="false">
      <c r="A168" s="1" t="n">
        <v>115662</v>
      </c>
      <c r="B168" s="1" t="s">
        <v>648</v>
      </c>
      <c r="C168" s="1" t="s">
        <v>601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2" t="s">
        <v>649</v>
      </c>
      <c r="J168" s="2" t="s">
        <v>650</v>
      </c>
      <c r="K168" s="2" t="s">
        <v>651</v>
      </c>
    </row>
    <row r="169" customFormat="false" ht="15.75" hidden="false" customHeight="false" outlineLevel="0" collapsed="false">
      <c r="A169" s="1" t="n">
        <v>58142</v>
      </c>
      <c r="B169" s="1" t="s">
        <v>652</v>
      </c>
      <c r="C169" s="1" t="s">
        <v>601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2" t="s">
        <v>653</v>
      </c>
      <c r="J169" s="2" t="s">
        <v>654</v>
      </c>
      <c r="K169" s="2" t="s">
        <v>655</v>
      </c>
      <c r="L169" s="2" t="s">
        <v>656</v>
      </c>
      <c r="M169" s="2" t="s">
        <v>657</v>
      </c>
    </row>
    <row r="170" customFormat="false" ht="15.75" hidden="false" customHeight="false" outlineLevel="0" collapsed="false">
      <c r="A170" s="1" t="n">
        <v>122126</v>
      </c>
      <c r="B170" s="1" t="s">
        <v>658</v>
      </c>
      <c r="C170" s="1" t="s">
        <v>601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2" t="s">
        <v>659</v>
      </c>
      <c r="J170" s="2" t="s">
        <v>660</v>
      </c>
      <c r="K170" s="2" t="s">
        <v>661</v>
      </c>
    </row>
    <row r="171" customFormat="false" ht="15.75" hidden="false" customHeight="false" outlineLevel="0" collapsed="false">
      <c r="A171" s="1" t="n">
        <v>184434</v>
      </c>
      <c r="B171" s="1" t="s">
        <v>662</v>
      </c>
      <c r="C171" s="1" t="s">
        <v>601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2" t="s">
        <v>663</v>
      </c>
      <c r="J171" s="2" t="s">
        <v>664</v>
      </c>
    </row>
    <row r="172" customFormat="false" ht="15.75" hidden="false" customHeight="false" outlineLevel="0" collapsed="false">
      <c r="A172" s="1" t="n">
        <v>118586</v>
      </c>
      <c r="B172" s="1" t="s">
        <v>665</v>
      </c>
      <c r="C172" s="1" t="s">
        <v>601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2" t="s">
        <v>666</v>
      </c>
    </row>
    <row r="173" customFormat="false" ht="15.75" hidden="false" customHeight="false" outlineLevel="0" collapsed="false">
      <c r="A173" s="1" t="n">
        <v>114590</v>
      </c>
      <c r="B173" s="1" t="s">
        <v>667</v>
      </c>
      <c r="C173" s="1" t="s">
        <v>601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2" t="s">
        <v>668</v>
      </c>
      <c r="J173" s="2" t="s">
        <v>669</v>
      </c>
    </row>
    <row r="174" customFormat="false" ht="15.75" hidden="false" customHeight="false" outlineLevel="0" collapsed="false">
      <c r="A174" s="1" t="n">
        <v>118508</v>
      </c>
      <c r="B174" s="1" t="s">
        <v>324</v>
      </c>
      <c r="C174" s="1" t="s">
        <v>601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2" t="s">
        <v>670</v>
      </c>
      <c r="J174" s="2" t="s">
        <v>671</v>
      </c>
      <c r="K174" s="2" t="s">
        <v>672</v>
      </c>
    </row>
    <row r="175" customFormat="false" ht="15.75" hidden="false" customHeight="false" outlineLevel="0" collapsed="false">
      <c r="A175" s="1" t="n">
        <v>187396</v>
      </c>
      <c r="B175" s="1" t="s">
        <v>673</v>
      </c>
      <c r="C175" s="1" t="s">
        <v>601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2" t="s">
        <v>674</v>
      </c>
      <c r="J175" s="2" t="s">
        <v>675</v>
      </c>
    </row>
    <row r="176" customFormat="false" ht="15.75" hidden="false" customHeight="false" outlineLevel="0" collapsed="false">
      <c r="A176" s="1" t="n">
        <v>118142</v>
      </c>
      <c r="B176" s="1" t="s">
        <v>676</v>
      </c>
      <c r="C176" s="1" t="s">
        <v>601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2" t="s">
        <v>677</v>
      </c>
      <c r="J176" s="2" t="s">
        <v>678</v>
      </c>
    </row>
    <row r="177" customFormat="false" ht="15.75" hidden="false" customHeight="false" outlineLevel="0" collapsed="false">
      <c r="A177" s="1" t="n">
        <v>97542</v>
      </c>
      <c r="B177" s="1" t="s">
        <v>355</v>
      </c>
      <c r="C177" s="1" t="s">
        <v>601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2" t="s">
        <v>679</v>
      </c>
      <c r="J177" s="2" t="s">
        <v>680</v>
      </c>
      <c r="K177" s="2" t="s">
        <v>681</v>
      </c>
    </row>
    <row r="178" customFormat="false" ht="15.75" hidden="false" customHeight="false" outlineLevel="0" collapsed="false">
      <c r="A178" s="1" t="n">
        <v>111565</v>
      </c>
      <c r="B178" s="1" t="s">
        <v>682</v>
      </c>
      <c r="C178" s="1" t="s">
        <v>601</v>
      </c>
      <c r="D178" s="1" t="n">
        <v>6</v>
      </c>
      <c r="E178" s="1" t="n">
        <v>0</v>
      </c>
      <c r="F178" s="1" t="n">
        <v>0</v>
      </c>
      <c r="G178" s="1" t="n">
        <v>0</v>
      </c>
      <c r="H178" s="1" t="n">
        <v>0</v>
      </c>
      <c r="I178" s="2" t="s">
        <v>683</v>
      </c>
      <c r="J178" s="2" t="s">
        <v>684</v>
      </c>
    </row>
    <row r="179" customFormat="false" ht="15.75" hidden="false" customHeight="false" outlineLevel="0" collapsed="false">
      <c r="A179" s="1" t="n">
        <v>72425</v>
      </c>
      <c r="B179" s="1" t="s">
        <v>685</v>
      </c>
      <c r="C179" s="1" t="s">
        <v>601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  <c r="I179" s="2" t="s">
        <v>686</v>
      </c>
    </row>
    <row r="180" customFormat="false" ht="15.75" hidden="false" customHeight="false" outlineLevel="0" collapsed="false">
      <c r="A180" s="1" t="n">
        <v>187582</v>
      </c>
      <c r="B180" s="1" t="s">
        <v>594</v>
      </c>
      <c r="C180" s="1" t="s">
        <v>601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2" t="s">
        <v>687</v>
      </c>
      <c r="J180" s="2" t="s">
        <v>688</v>
      </c>
      <c r="K180" s="2" t="s">
        <v>689</v>
      </c>
    </row>
    <row r="181" customFormat="false" ht="15.75" hidden="false" customHeight="false" outlineLevel="0" collapsed="false">
      <c r="A181" s="1" t="n">
        <v>99196</v>
      </c>
      <c r="B181" s="1" t="s">
        <v>109</v>
      </c>
      <c r="C181" s="1" t="s">
        <v>690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2" t="s">
        <v>691</v>
      </c>
    </row>
    <row r="182" customFormat="false" ht="15.75" hidden="false" customHeight="false" outlineLevel="0" collapsed="false">
      <c r="A182" s="1" t="n">
        <v>110930</v>
      </c>
      <c r="B182" s="1" t="s">
        <v>692</v>
      </c>
      <c r="C182" s="1" t="s">
        <v>690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2" t="s">
        <v>693</v>
      </c>
      <c r="J182" s="2" t="s">
        <v>694</v>
      </c>
      <c r="K182" s="2" t="s">
        <v>695</v>
      </c>
    </row>
    <row r="183" customFormat="false" ht="15.75" hidden="false" customHeight="false" outlineLevel="0" collapsed="false">
      <c r="A183" s="1" t="n">
        <v>186195</v>
      </c>
      <c r="B183" s="1" t="s">
        <v>696</v>
      </c>
      <c r="C183" s="1" t="s">
        <v>690</v>
      </c>
      <c r="D183" s="1" t="n">
        <v>2</v>
      </c>
      <c r="E183" s="1" t="n">
        <v>0</v>
      </c>
      <c r="F183" s="1" t="n">
        <v>0</v>
      </c>
      <c r="G183" s="1" t="n">
        <v>0</v>
      </c>
      <c r="H183" s="1" t="n">
        <v>0</v>
      </c>
      <c r="I183" s="2" t="s">
        <v>697</v>
      </c>
    </row>
    <row r="184" customFormat="false" ht="15.75" hidden="false" customHeight="false" outlineLevel="0" collapsed="false">
      <c r="A184" s="1" t="n">
        <v>109151</v>
      </c>
      <c r="B184" s="1" t="s">
        <v>698</v>
      </c>
      <c r="C184" s="1" t="s">
        <v>690</v>
      </c>
      <c r="D184" s="1" t="n">
        <v>2</v>
      </c>
      <c r="E184" s="1" t="n">
        <v>0</v>
      </c>
      <c r="F184" s="1" t="n">
        <v>0</v>
      </c>
      <c r="G184" s="1" t="n">
        <v>0</v>
      </c>
      <c r="H184" s="1" t="n">
        <v>0</v>
      </c>
      <c r="I184" s="2" t="s">
        <v>699</v>
      </c>
      <c r="J184" s="2" t="s">
        <v>700</v>
      </c>
      <c r="K184" s="2" t="s">
        <v>701</v>
      </c>
      <c r="L184" s="2" t="s">
        <v>702</v>
      </c>
    </row>
    <row r="185" customFormat="false" ht="15.75" hidden="false" customHeight="false" outlineLevel="0" collapsed="false">
      <c r="A185" s="1" t="n">
        <v>18550</v>
      </c>
      <c r="B185" s="1" t="s">
        <v>703</v>
      </c>
      <c r="C185" s="1" t="s">
        <v>690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2" t="s">
        <v>704</v>
      </c>
    </row>
    <row r="186" customFormat="false" ht="15.75" hidden="false" customHeight="false" outlineLevel="0" collapsed="false">
      <c r="A186" s="1" t="n">
        <v>117431</v>
      </c>
      <c r="B186" s="1" t="s">
        <v>705</v>
      </c>
      <c r="C186" s="1" t="s">
        <v>690</v>
      </c>
      <c r="D186" s="1" t="n">
        <v>2</v>
      </c>
      <c r="E186" s="1" t="n">
        <v>0</v>
      </c>
      <c r="F186" s="1" t="n">
        <v>0</v>
      </c>
      <c r="G186" s="1" t="n">
        <v>0</v>
      </c>
      <c r="H186" s="1" t="n">
        <v>0</v>
      </c>
      <c r="I186" s="2" t="s">
        <v>706</v>
      </c>
    </row>
    <row r="187" customFormat="false" ht="15.75" hidden="false" customHeight="false" outlineLevel="0" collapsed="false">
      <c r="A187" s="1" t="n">
        <v>56735</v>
      </c>
      <c r="B187" s="1" t="s">
        <v>707</v>
      </c>
      <c r="C187" s="1" t="s">
        <v>690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2" t="s">
        <v>708</v>
      </c>
      <c r="J187" s="2" t="s">
        <v>709</v>
      </c>
      <c r="K187" s="2" t="s">
        <v>710</v>
      </c>
    </row>
    <row r="188" customFormat="false" ht="15.75" hidden="false" customHeight="false" outlineLevel="0" collapsed="false">
      <c r="A188" s="1" t="n">
        <v>110020</v>
      </c>
      <c r="B188" s="1" t="s">
        <v>711</v>
      </c>
      <c r="C188" s="1" t="s">
        <v>690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2" t="s">
        <v>712</v>
      </c>
      <c r="J188" s="2" t="s">
        <v>713</v>
      </c>
      <c r="K188" s="2" t="s">
        <v>714</v>
      </c>
      <c r="L188" s="2" t="s">
        <v>715</v>
      </c>
    </row>
    <row r="189" customFormat="false" ht="15.75" hidden="false" customHeight="false" outlineLevel="0" collapsed="false">
      <c r="A189" s="1" t="n">
        <v>119763</v>
      </c>
      <c r="B189" s="1" t="s">
        <v>716</v>
      </c>
      <c r="C189" s="1" t="s">
        <v>690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2" t="s">
        <v>717</v>
      </c>
      <c r="J189" s="2" t="s">
        <v>718</v>
      </c>
    </row>
    <row r="190" customFormat="false" ht="15.75" hidden="false" customHeight="false" outlineLevel="0" collapsed="false">
      <c r="A190" s="1" t="n">
        <v>117902</v>
      </c>
      <c r="B190" s="1" t="s">
        <v>719</v>
      </c>
      <c r="C190" s="1" t="s">
        <v>690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2" t="s">
        <v>720</v>
      </c>
      <c r="J190" s="2" t="s">
        <v>721</v>
      </c>
      <c r="K190" s="2" t="s">
        <v>722</v>
      </c>
    </row>
    <row r="191" customFormat="false" ht="15.75" hidden="false" customHeight="false" outlineLevel="0" collapsed="false">
      <c r="A191" s="1" t="n">
        <v>185795</v>
      </c>
      <c r="B191" s="1" t="s">
        <v>723</v>
      </c>
      <c r="C191" s="1" t="s">
        <v>690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2" t="s">
        <v>724</v>
      </c>
    </row>
    <row r="192" customFormat="false" ht="15.75" hidden="false" customHeight="false" outlineLevel="0" collapsed="false">
      <c r="A192" s="1" t="n">
        <v>118012</v>
      </c>
      <c r="B192" s="1" t="s">
        <v>725</v>
      </c>
      <c r="C192" s="1" t="s">
        <v>690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2" t="s">
        <v>726</v>
      </c>
    </row>
    <row r="193" customFormat="false" ht="15.75" hidden="false" customHeight="false" outlineLevel="0" collapsed="false">
      <c r="A193" s="1" t="n">
        <v>110841</v>
      </c>
      <c r="B193" s="1" t="s">
        <v>727</v>
      </c>
      <c r="C193" s="1" t="s">
        <v>690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2" t="s">
        <v>728</v>
      </c>
      <c r="J193" s="2" t="s">
        <v>729</v>
      </c>
      <c r="K193" s="2" t="s">
        <v>730</v>
      </c>
    </row>
    <row r="194" customFormat="false" ht="15.75" hidden="false" customHeight="false" outlineLevel="0" collapsed="false">
      <c r="A194" s="1" t="n">
        <v>7896</v>
      </c>
      <c r="B194" s="1" t="s">
        <v>731</v>
      </c>
      <c r="C194" s="1" t="s">
        <v>690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2" t="s">
        <v>732</v>
      </c>
      <c r="J194" s="2" t="s">
        <v>733</v>
      </c>
      <c r="K194" s="2" t="s">
        <v>734</v>
      </c>
    </row>
    <row r="195" customFormat="false" ht="15.75" hidden="false" customHeight="false" outlineLevel="0" collapsed="false">
      <c r="A195" s="1" t="n">
        <v>133671</v>
      </c>
      <c r="B195" s="1" t="s">
        <v>427</v>
      </c>
      <c r="C195" s="1" t="s">
        <v>690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2" t="s">
        <v>735</v>
      </c>
      <c r="J195" s="2" t="s">
        <v>736</v>
      </c>
      <c r="K195" s="2" t="s">
        <v>737</v>
      </c>
    </row>
    <row r="196" customFormat="false" ht="15.75" hidden="false" customHeight="false" outlineLevel="0" collapsed="false">
      <c r="A196" s="1" t="n">
        <v>74613</v>
      </c>
      <c r="B196" s="1" t="s">
        <v>738</v>
      </c>
      <c r="C196" s="1" t="s">
        <v>690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2" t="s">
        <v>739</v>
      </c>
      <c r="J196" s="2" t="s">
        <v>740</v>
      </c>
      <c r="K196" s="2" t="s">
        <v>741</v>
      </c>
    </row>
    <row r="197" customFormat="false" ht="15.75" hidden="false" customHeight="false" outlineLevel="0" collapsed="false">
      <c r="A197" s="1" t="n">
        <v>115856</v>
      </c>
      <c r="B197" s="1" t="s">
        <v>40</v>
      </c>
      <c r="C197" s="1" t="s">
        <v>690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2" t="s">
        <v>742</v>
      </c>
      <c r="J197" s="2" t="s">
        <v>743</v>
      </c>
      <c r="K197" s="2" t="s">
        <v>744</v>
      </c>
    </row>
    <row r="198" customFormat="false" ht="15.75" hidden="false" customHeight="false" outlineLevel="0" collapsed="false">
      <c r="A198" s="1" t="n">
        <v>196087</v>
      </c>
      <c r="B198" s="1" t="s">
        <v>745</v>
      </c>
      <c r="C198" s="1" t="s">
        <v>690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2" t="s">
        <v>746</v>
      </c>
      <c r="J198" s="2" t="s">
        <v>747</v>
      </c>
      <c r="K198" s="2" t="s">
        <v>748</v>
      </c>
    </row>
    <row r="199" customFormat="false" ht="15.75" hidden="false" customHeight="false" outlineLevel="0" collapsed="false">
      <c r="A199" s="1" t="n">
        <v>185275</v>
      </c>
      <c r="B199" s="1" t="s">
        <v>749</v>
      </c>
      <c r="C199" s="1" t="s">
        <v>690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2" t="s">
        <v>750</v>
      </c>
      <c r="J199" s="2" t="s">
        <v>751</v>
      </c>
      <c r="K199" s="2" t="s">
        <v>752</v>
      </c>
    </row>
    <row r="200" customFormat="false" ht="15.75" hidden="false" customHeight="false" outlineLevel="0" collapsed="false">
      <c r="A200" s="1" t="n">
        <v>3885</v>
      </c>
      <c r="B200" s="1" t="s">
        <v>753</v>
      </c>
      <c r="C200" s="1" t="s">
        <v>690</v>
      </c>
      <c r="D200" s="1" t="n">
        <v>2</v>
      </c>
      <c r="E200" s="1" t="n">
        <v>0</v>
      </c>
      <c r="F200" s="1" t="n">
        <v>0</v>
      </c>
      <c r="G200" s="1" t="n">
        <v>0</v>
      </c>
      <c r="H200" s="1" t="n">
        <v>0</v>
      </c>
      <c r="I200" s="2" t="s">
        <v>754</v>
      </c>
      <c r="J200" s="2" t="s">
        <v>755</v>
      </c>
      <c r="K200" s="2" t="s">
        <v>756</v>
      </c>
    </row>
    <row r="201" customFormat="false" ht="15.75" hidden="false" customHeight="false" outlineLevel="0" collapsed="false">
      <c r="A201" s="1" t="n">
        <v>124032</v>
      </c>
      <c r="B201" s="1" t="s">
        <v>757</v>
      </c>
      <c r="C201" s="1" t="s">
        <v>690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2" t="s">
        <v>758</v>
      </c>
      <c r="J201" s="2" t="s">
        <v>759</v>
      </c>
      <c r="K201" s="2" t="s">
        <v>760</v>
      </c>
    </row>
    <row r="202" customFormat="false" ht="15.75" hidden="false" customHeight="false" outlineLevel="0" collapsed="false">
      <c r="A202" s="1" t="n">
        <v>3881</v>
      </c>
      <c r="B202" s="1" t="s">
        <v>761</v>
      </c>
      <c r="C202" s="1" t="s">
        <v>690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2" t="s">
        <v>762</v>
      </c>
      <c r="J202" s="2" t="s">
        <v>763</v>
      </c>
    </row>
    <row r="203" customFormat="false" ht="15.75" hidden="false" customHeight="false" outlineLevel="0" collapsed="false">
      <c r="A203" s="1" t="n">
        <v>139314</v>
      </c>
      <c r="B203" s="1" t="s">
        <v>764</v>
      </c>
      <c r="C203" s="1" t="s">
        <v>690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</row>
    <row r="204" customFormat="false" ht="15.75" hidden="false" customHeight="false" outlineLevel="0" collapsed="false">
      <c r="A204" s="1" t="n">
        <v>118283</v>
      </c>
      <c r="B204" s="1" t="s">
        <v>765</v>
      </c>
      <c r="C204" s="1" t="s">
        <v>690</v>
      </c>
      <c r="D204" s="1" t="n">
        <v>0</v>
      </c>
      <c r="E204" s="1" t="n">
        <v>0</v>
      </c>
      <c r="F204" s="1" t="n">
        <v>0.5</v>
      </c>
      <c r="G204" s="1" t="n">
        <v>0</v>
      </c>
      <c r="H204" s="1" t="n">
        <v>0</v>
      </c>
      <c r="I204" s="2" t="s">
        <v>766</v>
      </c>
      <c r="J204" s="2" t="s">
        <v>767</v>
      </c>
      <c r="K204" s="2" t="s">
        <v>768</v>
      </c>
      <c r="L204" s="2" t="s">
        <v>769</v>
      </c>
      <c r="M204" s="2" t="s">
        <v>770</v>
      </c>
      <c r="N204" s="2" t="s">
        <v>771</v>
      </c>
      <c r="O204" s="2" t="s">
        <v>772</v>
      </c>
      <c r="P204" s="2" t="s">
        <v>773</v>
      </c>
    </row>
    <row r="205" customFormat="false" ht="15.75" hidden="false" customHeight="false" outlineLevel="0" collapsed="false">
      <c r="A205" s="1" t="n">
        <v>129372</v>
      </c>
      <c r="B205" s="1" t="s">
        <v>774</v>
      </c>
      <c r="C205" s="1" t="s">
        <v>775</v>
      </c>
      <c r="D205" s="1" t="n">
        <v>3</v>
      </c>
      <c r="E205" s="1" t="n">
        <v>0</v>
      </c>
      <c r="F205" s="1" t="n">
        <v>0</v>
      </c>
      <c r="G205" s="1" t="n">
        <v>0</v>
      </c>
      <c r="H205" s="1" t="n">
        <v>0</v>
      </c>
      <c r="I205" s="2" t="s">
        <v>776</v>
      </c>
      <c r="J205" s="2" t="s">
        <v>777</v>
      </c>
      <c r="K205" s="2" t="s">
        <v>778</v>
      </c>
      <c r="L205" s="2" t="s">
        <v>779</v>
      </c>
    </row>
    <row r="206" customFormat="false" ht="15.75" hidden="false" customHeight="false" outlineLevel="0" collapsed="false">
      <c r="A206" s="1" t="n">
        <v>16020</v>
      </c>
      <c r="B206" s="1" t="s">
        <v>780</v>
      </c>
      <c r="C206" s="1" t="s">
        <v>775</v>
      </c>
      <c r="D206" s="1" t="n">
        <v>2</v>
      </c>
      <c r="E206" s="1" t="n">
        <v>0</v>
      </c>
      <c r="F206" s="1" t="n">
        <v>0</v>
      </c>
      <c r="G206" s="1" t="n">
        <v>0</v>
      </c>
      <c r="H206" s="1" t="n">
        <v>0</v>
      </c>
      <c r="I206" s="2" t="s">
        <v>781</v>
      </c>
      <c r="J206" s="2" t="s">
        <v>782</v>
      </c>
      <c r="K206" s="2" t="s">
        <v>783</v>
      </c>
      <c r="L206" s="2" t="s">
        <v>784</v>
      </c>
      <c r="M206" s="2" t="s">
        <v>785</v>
      </c>
    </row>
    <row r="207" customFormat="false" ht="15.75" hidden="false" customHeight="false" outlineLevel="0" collapsed="false">
      <c r="A207" s="1" t="n">
        <v>82453</v>
      </c>
      <c r="B207" s="1" t="s">
        <v>786</v>
      </c>
      <c r="C207" s="1" t="s">
        <v>775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2" t="s">
        <v>787</v>
      </c>
      <c r="J207" s="2" t="s">
        <v>788</v>
      </c>
    </row>
    <row r="208" customFormat="false" ht="15.75" hidden="false" customHeight="false" outlineLevel="0" collapsed="false">
      <c r="A208" s="1" t="n">
        <v>118418</v>
      </c>
      <c r="B208" s="1" t="s">
        <v>789</v>
      </c>
      <c r="C208" s="1" t="s">
        <v>775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2" t="s">
        <v>790</v>
      </c>
      <c r="J208" s="2" t="s">
        <v>791</v>
      </c>
      <c r="K208" s="2" t="s">
        <v>792</v>
      </c>
    </row>
    <row r="209" customFormat="false" ht="15.75" hidden="false" customHeight="false" outlineLevel="0" collapsed="false">
      <c r="A209" s="1" t="n">
        <v>203256</v>
      </c>
      <c r="B209" s="1" t="s">
        <v>793</v>
      </c>
      <c r="C209" s="1" t="s">
        <v>775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2" t="s">
        <v>794</v>
      </c>
      <c r="J209" s="2" t="s">
        <v>795</v>
      </c>
      <c r="K209" s="2" t="s">
        <v>796</v>
      </c>
    </row>
    <row r="210" customFormat="false" ht="15.75" hidden="false" customHeight="false" outlineLevel="0" collapsed="false">
      <c r="A210" s="1" t="n">
        <v>53495</v>
      </c>
      <c r="B210" s="1" t="s">
        <v>797</v>
      </c>
      <c r="C210" s="1" t="s">
        <v>775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2" t="s">
        <v>798</v>
      </c>
      <c r="J210" s="2" t="s">
        <v>799</v>
      </c>
      <c r="K210" s="2" t="s">
        <v>800</v>
      </c>
      <c r="L210" s="2" t="s">
        <v>801</v>
      </c>
    </row>
    <row r="211" customFormat="false" ht="15.75" hidden="false" customHeight="false" outlineLevel="0" collapsed="false">
      <c r="A211" s="1" t="n">
        <v>82456</v>
      </c>
      <c r="B211" s="1" t="s">
        <v>802</v>
      </c>
      <c r="C211" s="1" t="s">
        <v>775</v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0</v>
      </c>
      <c r="I211" s="2" t="s">
        <v>803</v>
      </c>
      <c r="J211" s="2" t="s">
        <v>804</v>
      </c>
    </row>
    <row r="212" customFormat="false" ht="15.75" hidden="false" customHeight="false" outlineLevel="0" collapsed="false">
      <c r="A212" s="1" t="n">
        <v>122405</v>
      </c>
      <c r="B212" s="1" t="s">
        <v>805</v>
      </c>
      <c r="C212" s="1" t="s">
        <v>775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2" t="s">
        <v>806</v>
      </c>
      <c r="J212" s="2" t="s">
        <v>807</v>
      </c>
    </row>
    <row r="213" customFormat="false" ht="15.75" hidden="false" customHeight="false" outlineLevel="0" collapsed="false">
      <c r="A213" s="1" t="n">
        <v>111890</v>
      </c>
      <c r="B213" s="1" t="s">
        <v>808</v>
      </c>
      <c r="C213" s="1" t="s">
        <v>775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2" t="s">
        <v>809</v>
      </c>
      <c r="J213" s="2" t="s">
        <v>810</v>
      </c>
      <c r="K213" s="2" t="s">
        <v>811</v>
      </c>
      <c r="L213" s="2" t="s">
        <v>812</v>
      </c>
      <c r="M213" s="2" t="s">
        <v>813</v>
      </c>
      <c r="N213" s="2" t="s">
        <v>814</v>
      </c>
      <c r="O213" s="2" t="s">
        <v>815</v>
      </c>
    </row>
    <row r="214" customFormat="false" ht="15.75" hidden="false" customHeight="false" outlineLevel="0" collapsed="false">
      <c r="A214" s="1" t="n">
        <v>117778</v>
      </c>
      <c r="B214" s="1" t="s">
        <v>816</v>
      </c>
      <c r="C214" s="1" t="s">
        <v>775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2" t="s">
        <v>817</v>
      </c>
      <c r="J214" s="2" t="s">
        <v>818</v>
      </c>
      <c r="K214" s="2" t="s">
        <v>819</v>
      </c>
    </row>
    <row r="215" customFormat="false" ht="15.75" hidden="false" customHeight="false" outlineLevel="0" collapsed="false">
      <c r="A215" s="1" t="n">
        <v>212553</v>
      </c>
      <c r="B215" s="1" t="s">
        <v>820</v>
      </c>
      <c r="C215" s="1" t="s">
        <v>775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2" t="s">
        <v>821</v>
      </c>
    </row>
    <row r="216" customFormat="false" ht="15.75" hidden="false" customHeight="false" outlineLevel="0" collapsed="false">
      <c r="A216" s="1" t="n">
        <v>82535</v>
      </c>
      <c r="B216" s="1" t="s">
        <v>822</v>
      </c>
      <c r="C216" s="1" t="s">
        <v>775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2" t="s">
        <v>823</v>
      </c>
      <c r="J216" s="2" t="s">
        <v>824</v>
      </c>
      <c r="K216" s="2" t="s">
        <v>825</v>
      </c>
      <c r="L216" s="2" t="s">
        <v>826</v>
      </c>
    </row>
    <row r="217" customFormat="false" ht="15.75" hidden="false" customHeight="false" outlineLevel="0" collapsed="false">
      <c r="A217" s="1" t="n">
        <v>59433</v>
      </c>
      <c r="B217" s="1" t="s">
        <v>827</v>
      </c>
      <c r="C217" s="1" t="s">
        <v>775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2" t="s">
        <v>828</v>
      </c>
      <c r="J217" s="2" t="s">
        <v>829</v>
      </c>
      <c r="K217" s="2" t="s">
        <v>830</v>
      </c>
    </row>
    <row r="218" customFormat="false" ht="15.75" hidden="false" customHeight="false" outlineLevel="0" collapsed="false">
      <c r="A218" s="1" t="n">
        <v>110088</v>
      </c>
      <c r="B218" s="1" t="s">
        <v>831</v>
      </c>
      <c r="C218" s="1" t="s">
        <v>775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2" t="s">
        <v>832</v>
      </c>
      <c r="J218" s="2" t="s">
        <v>833</v>
      </c>
      <c r="K218" s="2" t="s">
        <v>834</v>
      </c>
    </row>
    <row r="219" customFormat="false" ht="15.75" hidden="false" customHeight="false" outlineLevel="0" collapsed="false">
      <c r="A219" s="1" t="n">
        <v>194729</v>
      </c>
      <c r="B219" s="1" t="s">
        <v>835</v>
      </c>
      <c r="C219" s="1" t="s">
        <v>775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2" t="s">
        <v>836</v>
      </c>
      <c r="J219" s="2" t="s">
        <v>837</v>
      </c>
      <c r="K219" s="2" t="s">
        <v>838</v>
      </c>
    </row>
    <row r="220" customFormat="false" ht="15.75" hidden="false" customHeight="false" outlineLevel="0" collapsed="false">
      <c r="A220" s="1" t="n">
        <v>182905</v>
      </c>
      <c r="B220" s="1" t="s">
        <v>839</v>
      </c>
      <c r="C220" s="1" t="s">
        <v>775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2" t="s">
        <v>840</v>
      </c>
    </row>
    <row r="221" customFormat="false" ht="15.75" hidden="false" customHeight="false" outlineLevel="0" collapsed="false">
      <c r="A221" s="1" t="n">
        <v>142740</v>
      </c>
      <c r="B221" s="1" t="s">
        <v>841</v>
      </c>
      <c r="C221" s="1" t="s">
        <v>775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2" t="s">
        <v>842</v>
      </c>
      <c r="J221" s="2" t="s">
        <v>843</v>
      </c>
      <c r="K221" s="2" t="s">
        <v>844</v>
      </c>
    </row>
    <row r="222" customFormat="false" ht="15.75" hidden="false" customHeight="false" outlineLevel="0" collapsed="false">
      <c r="A222" s="1" t="n">
        <v>110661</v>
      </c>
      <c r="B222" s="1" t="s">
        <v>845</v>
      </c>
      <c r="C222" s="1" t="s">
        <v>775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2" t="s">
        <v>846</v>
      </c>
      <c r="J222" s="2" t="s">
        <v>847</v>
      </c>
      <c r="K222" s="2" t="s">
        <v>848</v>
      </c>
    </row>
    <row r="223" customFormat="false" ht="15.75" hidden="false" customHeight="false" outlineLevel="0" collapsed="false">
      <c r="A223" s="1" t="n">
        <v>87436</v>
      </c>
      <c r="B223" s="1" t="s">
        <v>849</v>
      </c>
      <c r="C223" s="1" t="s">
        <v>775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2" t="s">
        <v>850</v>
      </c>
    </row>
    <row r="224" customFormat="false" ht="15.75" hidden="false" customHeight="false" outlineLevel="0" collapsed="false">
      <c r="A224" s="1" t="n">
        <v>122031</v>
      </c>
      <c r="B224" s="1" t="s">
        <v>851</v>
      </c>
      <c r="C224" s="1" t="s">
        <v>775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2" t="s">
        <v>852</v>
      </c>
      <c r="J224" s="2" t="s">
        <v>853</v>
      </c>
      <c r="K224" s="2" t="s">
        <v>854</v>
      </c>
    </row>
    <row r="225" customFormat="false" ht="15.75" hidden="false" customHeight="false" outlineLevel="0" collapsed="false">
      <c r="A225" s="1" t="n">
        <v>139279</v>
      </c>
      <c r="B225" s="1" t="s">
        <v>855</v>
      </c>
      <c r="C225" s="1" t="s">
        <v>775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2" t="s">
        <v>856</v>
      </c>
    </row>
    <row r="226" customFormat="false" ht="15.75" hidden="false" customHeight="false" outlineLevel="0" collapsed="false">
      <c r="A226" s="1" t="n">
        <v>109503</v>
      </c>
      <c r="B226" s="1" t="s">
        <v>857</v>
      </c>
      <c r="C226" s="1" t="s">
        <v>775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2" t="s">
        <v>858</v>
      </c>
      <c r="J226" s="2" t="s">
        <v>859</v>
      </c>
      <c r="K226" s="2" t="s">
        <v>860</v>
      </c>
    </row>
    <row r="227" customFormat="false" ht="15.75" hidden="false" customHeight="false" outlineLevel="0" collapsed="false">
      <c r="A227" s="1" t="n">
        <v>139239</v>
      </c>
      <c r="B227" s="1" t="s">
        <v>861</v>
      </c>
      <c r="C227" s="1" t="s">
        <v>775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2" t="s">
        <v>862</v>
      </c>
    </row>
    <row r="228" customFormat="false" ht="15.75" hidden="false" customHeight="false" outlineLevel="0" collapsed="false">
      <c r="A228" s="1" t="n">
        <v>115785</v>
      </c>
      <c r="B228" s="1" t="s">
        <v>863</v>
      </c>
      <c r="C228" s="1" t="s">
        <v>775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2" t="s">
        <v>864</v>
      </c>
      <c r="J228" s="2" t="s">
        <v>865</v>
      </c>
      <c r="K228" s="2" t="s">
        <v>866</v>
      </c>
      <c r="L228" s="2" t="s">
        <v>867</v>
      </c>
    </row>
    <row r="229" customFormat="false" ht="15.75" hidden="false" customHeight="false" outlineLevel="0" collapsed="false">
      <c r="A229" s="1" t="n">
        <v>59211</v>
      </c>
      <c r="B229" s="1" t="s">
        <v>868</v>
      </c>
      <c r="C229" s="1" t="s">
        <v>775</v>
      </c>
      <c r="D229" s="1" t="n">
        <v>3</v>
      </c>
      <c r="E229" s="1" t="n">
        <v>0</v>
      </c>
      <c r="F229" s="1" t="n">
        <v>0</v>
      </c>
      <c r="G229" s="1" t="n">
        <v>0</v>
      </c>
      <c r="H229" s="1" t="n">
        <v>0</v>
      </c>
      <c r="I229" s="2" t="s">
        <v>869</v>
      </c>
      <c r="J229" s="2" t="s">
        <v>870</v>
      </c>
      <c r="K229" s="2" t="s">
        <v>871</v>
      </c>
      <c r="L229" s="2" t="s">
        <v>872</v>
      </c>
    </row>
    <row r="230" customFormat="false" ht="15.75" hidden="false" customHeight="false" outlineLevel="0" collapsed="false">
      <c r="A230" s="1" t="n">
        <v>109392</v>
      </c>
      <c r="B230" s="1" t="s">
        <v>873</v>
      </c>
      <c r="C230" s="1" t="s">
        <v>775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2" t="s">
        <v>874</v>
      </c>
      <c r="J230" s="2" t="s">
        <v>875</v>
      </c>
    </row>
    <row r="231" customFormat="false" ht="15.75" hidden="false" customHeight="false" outlineLevel="0" collapsed="false">
      <c r="A231" s="1" t="n">
        <v>118442</v>
      </c>
      <c r="B231" s="1" t="s">
        <v>876</v>
      </c>
      <c r="C231" s="1" t="s">
        <v>775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2" t="s">
        <v>877</v>
      </c>
      <c r="J231" s="2" t="s">
        <v>878</v>
      </c>
    </row>
    <row r="232" customFormat="false" ht="15.75" hidden="false" customHeight="false" outlineLevel="0" collapsed="false">
      <c r="A232" s="1" t="n">
        <v>178304</v>
      </c>
      <c r="B232" s="1" t="s">
        <v>212</v>
      </c>
      <c r="C232" s="1" t="s">
        <v>775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2" t="s">
        <v>879</v>
      </c>
      <c r="J232" s="2" t="s">
        <v>880</v>
      </c>
      <c r="K232" s="2" t="s">
        <v>881</v>
      </c>
    </row>
    <row r="233" customFormat="false" ht="15.75" hidden="false" customHeight="false" outlineLevel="0" collapsed="false">
      <c r="A233" s="1" t="n">
        <v>223687</v>
      </c>
      <c r="B233" s="1" t="s">
        <v>882</v>
      </c>
      <c r="C233" s="1" t="s">
        <v>883</v>
      </c>
      <c r="D233" s="1" t="n">
        <v>1</v>
      </c>
      <c r="E233" s="1" t="n">
        <v>1</v>
      </c>
      <c r="F233" s="1" t="n">
        <v>0</v>
      </c>
      <c r="G233" s="1" t="n">
        <v>0</v>
      </c>
      <c r="H233" s="1" t="n">
        <v>0</v>
      </c>
      <c r="I233" s="2" t="s">
        <v>884</v>
      </c>
      <c r="J233" s="2" t="s">
        <v>885</v>
      </c>
      <c r="K233" s="2" t="s">
        <v>886</v>
      </c>
      <c r="L233" s="2" t="s">
        <v>887</v>
      </c>
    </row>
    <row r="234" customFormat="false" ht="15.75" hidden="false" customHeight="false" outlineLevel="0" collapsed="false">
      <c r="A234" s="1" t="n">
        <v>177663</v>
      </c>
      <c r="B234" s="1" t="s">
        <v>888</v>
      </c>
      <c r="C234" s="1" t="s">
        <v>883</v>
      </c>
      <c r="D234" s="1" t="n">
        <v>7</v>
      </c>
      <c r="E234" s="1" t="n">
        <v>0</v>
      </c>
      <c r="F234" s="1" t="n">
        <v>1</v>
      </c>
      <c r="G234" s="1" t="n">
        <v>7</v>
      </c>
      <c r="H234" s="1" t="n">
        <v>0</v>
      </c>
      <c r="I234" s="2" t="s">
        <v>889</v>
      </c>
      <c r="J234" s="2" t="s">
        <v>890</v>
      </c>
      <c r="K234" s="2" t="s">
        <v>891</v>
      </c>
      <c r="L234" s="2" t="s">
        <v>892</v>
      </c>
    </row>
    <row r="235" customFormat="false" ht="15.75" hidden="false" customHeight="false" outlineLevel="0" collapsed="false">
      <c r="A235" s="1" t="n">
        <v>177676</v>
      </c>
      <c r="B235" s="1" t="s">
        <v>893</v>
      </c>
      <c r="C235" s="1" t="s">
        <v>883</v>
      </c>
      <c r="D235" s="1" t="n">
        <v>7</v>
      </c>
      <c r="E235" s="1" t="n">
        <v>0</v>
      </c>
      <c r="F235" s="1" t="n">
        <v>0</v>
      </c>
      <c r="G235" s="1" t="n">
        <v>7</v>
      </c>
      <c r="H235" s="1" t="n">
        <v>0</v>
      </c>
      <c r="I235" s="2" t="s">
        <v>894</v>
      </c>
      <c r="J235" s="2" t="s">
        <v>895</v>
      </c>
      <c r="K235" s="2" t="s">
        <v>896</v>
      </c>
      <c r="L235" s="2" t="s">
        <v>897</v>
      </c>
    </row>
    <row r="236" customFormat="false" ht="15.75" hidden="false" customHeight="false" outlineLevel="0" collapsed="false">
      <c r="A236" s="1" t="n">
        <v>177707</v>
      </c>
      <c r="B236" s="1" t="s">
        <v>898</v>
      </c>
      <c r="C236" s="1" t="s">
        <v>883</v>
      </c>
      <c r="D236" s="1" t="n">
        <v>7</v>
      </c>
      <c r="E236" s="1" t="n">
        <v>0</v>
      </c>
      <c r="F236" s="1" t="n">
        <v>1</v>
      </c>
      <c r="G236" s="1" t="n">
        <v>5</v>
      </c>
      <c r="H236" s="1" t="n">
        <v>0</v>
      </c>
      <c r="I236" s="2" t="s">
        <v>899</v>
      </c>
      <c r="J236" s="2" t="s">
        <v>900</v>
      </c>
      <c r="K236" s="2" t="s">
        <v>901</v>
      </c>
      <c r="L236" s="2" t="s">
        <v>902</v>
      </c>
    </row>
    <row r="237" customFormat="false" ht="15.75" hidden="false" customHeight="false" outlineLevel="0" collapsed="false">
      <c r="A237" s="1" t="n">
        <v>177668</v>
      </c>
      <c r="B237" s="1" t="s">
        <v>903</v>
      </c>
      <c r="C237" s="1" t="s">
        <v>883</v>
      </c>
      <c r="D237" s="1" t="n">
        <v>7</v>
      </c>
      <c r="E237" s="1" t="n">
        <v>0</v>
      </c>
      <c r="F237" s="1" t="n">
        <v>1</v>
      </c>
      <c r="G237" s="1" t="n">
        <v>5</v>
      </c>
      <c r="H237" s="1" t="n">
        <v>0</v>
      </c>
      <c r="I237" s="2" t="s">
        <v>904</v>
      </c>
      <c r="J237" s="2" t="s">
        <v>905</v>
      </c>
      <c r="K237" s="2" t="s">
        <v>906</v>
      </c>
      <c r="L237" s="2" t="s">
        <v>907</v>
      </c>
    </row>
    <row r="238" customFormat="false" ht="15.75" hidden="false" customHeight="false" outlineLevel="0" collapsed="false">
      <c r="A238" s="1" t="n">
        <v>232137</v>
      </c>
      <c r="B238" s="1" t="s">
        <v>908</v>
      </c>
      <c r="C238" s="1" t="s">
        <v>883</v>
      </c>
      <c r="D238" s="1" t="n">
        <v>7</v>
      </c>
      <c r="E238" s="1" t="n">
        <v>0</v>
      </c>
      <c r="F238" s="1" t="n">
        <v>0</v>
      </c>
      <c r="G238" s="1" t="n">
        <v>4</v>
      </c>
      <c r="H238" s="1" t="n">
        <v>0</v>
      </c>
      <c r="I238" s="2" t="s">
        <v>909</v>
      </c>
      <c r="J238" s="2" t="s">
        <v>910</v>
      </c>
      <c r="K238" s="2" t="s">
        <v>911</v>
      </c>
      <c r="L238" s="2" t="s">
        <v>912</v>
      </c>
    </row>
    <row r="239" customFormat="false" ht="15.75" hidden="false" customHeight="false" outlineLevel="0" collapsed="false">
      <c r="A239" s="1" t="n">
        <v>232149</v>
      </c>
      <c r="B239" s="1" t="s">
        <v>913</v>
      </c>
      <c r="C239" s="1" t="s">
        <v>883</v>
      </c>
      <c r="D239" s="1" t="n">
        <v>7</v>
      </c>
      <c r="E239" s="1" t="n">
        <v>0</v>
      </c>
      <c r="F239" s="1" t="n">
        <v>0</v>
      </c>
      <c r="G239" s="1" t="n">
        <v>4</v>
      </c>
      <c r="H239" s="1" t="n">
        <v>0</v>
      </c>
      <c r="I239" s="2" t="s">
        <v>914</v>
      </c>
      <c r="J239" s="2" t="s">
        <v>915</v>
      </c>
      <c r="K239" s="2" t="s">
        <v>916</v>
      </c>
      <c r="L239" s="2" t="s">
        <v>917</v>
      </c>
    </row>
    <row r="240" customFormat="false" ht="15.75" hidden="false" customHeight="false" outlineLevel="0" collapsed="false">
      <c r="A240" s="1" t="n">
        <v>232005</v>
      </c>
      <c r="B240" s="1" t="s">
        <v>918</v>
      </c>
      <c r="C240" s="1" t="s">
        <v>883</v>
      </c>
      <c r="D240" s="1" t="n">
        <v>7</v>
      </c>
      <c r="E240" s="1" t="n">
        <v>0</v>
      </c>
      <c r="F240" s="1" t="n">
        <v>0</v>
      </c>
      <c r="G240" s="1" t="n">
        <v>3</v>
      </c>
      <c r="H240" s="1" t="n">
        <v>0</v>
      </c>
      <c r="I240" s="2" t="s">
        <v>919</v>
      </c>
      <c r="J240" s="2" t="s">
        <v>920</v>
      </c>
      <c r="K240" s="2" t="s">
        <v>921</v>
      </c>
      <c r="L240" s="2" t="s">
        <v>922</v>
      </c>
    </row>
    <row r="241" customFormat="false" ht="15.75" hidden="false" customHeight="false" outlineLevel="0" collapsed="false">
      <c r="A241" s="1" t="n">
        <v>232058</v>
      </c>
      <c r="B241" s="1" t="s">
        <v>923</v>
      </c>
      <c r="C241" s="1" t="s">
        <v>883</v>
      </c>
      <c r="D241" s="1" t="n">
        <v>7</v>
      </c>
      <c r="E241" s="1" t="n">
        <v>0</v>
      </c>
      <c r="F241" s="1" t="n">
        <v>0</v>
      </c>
      <c r="G241" s="1" t="n">
        <v>3</v>
      </c>
      <c r="H241" s="1" t="n">
        <v>0</v>
      </c>
      <c r="I241" s="2" t="s">
        <v>924</v>
      </c>
      <c r="J241" s="2" t="s">
        <v>925</v>
      </c>
      <c r="K241" s="2" t="s">
        <v>926</v>
      </c>
      <c r="L241" s="2" t="s">
        <v>927</v>
      </c>
    </row>
    <row r="242" customFormat="false" ht="15.75" hidden="false" customHeight="false" outlineLevel="0" collapsed="false">
      <c r="A242" s="1" t="n">
        <v>101655</v>
      </c>
      <c r="B242" s="1" t="s">
        <v>928</v>
      </c>
      <c r="C242" s="1" t="s">
        <v>883</v>
      </c>
      <c r="D242" s="1" t="n">
        <v>7</v>
      </c>
      <c r="E242" s="1" t="n">
        <v>0</v>
      </c>
      <c r="F242" s="1" t="n">
        <v>0</v>
      </c>
      <c r="G242" s="1" t="n">
        <v>3</v>
      </c>
      <c r="H242" s="1" t="n">
        <v>0</v>
      </c>
      <c r="I242" s="2" t="s">
        <v>929</v>
      </c>
      <c r="J242" s="2" t="s">
        <v>930</v>
      </c>
      <c r="K242" s="2" t="s">
        <v>931</v>
      </c>
      <c r="L242" s="2" t="s">
        <v>932</v>
      </c>
    </row>
    <row r="243" customFormat="false" ht="15.75" hidden="false" customHeight="false" outlineLevel="0" collapsed="false">
      <c r="A243" s="1" t="n">
        <v>231999</v>
      </c>
      <c r="B243" s="1" t="s">
        <v>639</v>
      </c>
      <c r="C243" s="1" t="s">
        <v>883</v>
      </c>
      <c r="D243" s="1" t="n">
        <v>7</v>
      </c>
      <c r="E243" s="1" t="n">
        <v>0</v>
      </c>
      <c r="F243" s="1" t="n">
        <v>0</v>
      </c>
      <c r="G243" s="1" t="n">
        <v>3</v>
      </c>
      <c r="H243" s="1" t="n">
        <v>0</v>
      </c>
      <c r="I243" s="2" t="s">
        <v>933</v>
      </c>
      <c r="J243" s="2" t="s">
        <v>934</v>
      </c>
      <c r="K243" s="2" t="s">
        <v>935</v>
      </c>
      <c r="L243" s="2" t="s">
        <v>936</v>
      </c>
    </row>
    <row r="244" customFormat="false" ht="15.75" hidden="false" customHeight="false" outlineLevel="0" collapsed="false">
      <c r="A244" s="1" t="n">
        <v>9944</v>
      </c>
      <c r="B244" s="1" t="s">
        <v>937</v>
      </c>
      <c r="C244" s="1" t="s">
        <v>883</v>
      </c>
      <c r="D244" s="1" t="n">
        <v>7</v>
      </c>
      <c r="E244" s="1" t="n">
        <v>0</v>
      </c>
      <c r="F244" s="1" t="n">
        <v>0</v>
      </c>
      <c r="G244" s="1" t="n">
        <v>3</v>
      </c>
      <c r="H244" s="1" t="n">
        <v>0</v>
      </c>
      <c r="I244" s="2" t="s">
        <v>938</v>
      </c>
      <c r="J244" s="2" t="s">
        <v>939</v>
      </c>
      <c r="K244" s="2" t="s">
        <v>940</v>
      </c>
      <c r="L244" s="2" t="s">
        <v>941</v>
      </c>
    </row>
    <row r="245" customFormat="false" ht="15.75" hidden="false" customHeight="false" outlineLevel="0" collapsed="false">
      <c r="A245" s="1" t="n">
        <v>231966</v>
      </c>
      <c r="B245" s="1" t="s">
        <v>942</v>
      </c>
      <c r="C245" s="1" t="s">
        <v>883</v>
      </c>
      <c r="D245" s="1" t="n">
        <v>7</v>
      </c>
      <c r="E245" s="1" t="n">
        <v>0</v>
      </c>
      <c r="F245" s="1" t="n">
        <v>0</v>
      </c>
      <c r="G245" s="1" t="n">
        <v>3</v>
      </c>
      <c r="H245" s="1" t="n">
        <v>0</v>
      </c>
      <c r="I245" s="2" t="s">
        <v>943</v>
      </c>
      <c r="J245" s="2" t="s">
        <v>944</v>
      </c>
      <c r="K245" s="2" t="s">
        <v>945</v>
      </c>
      <c r="L245" s="2" t="s">
        <v>946</v>
      </c>
    </row>
    <row r="246" customFormat="false" ht="15.75" hidden="false" customHeight="false" outlineLevel="0" collapsed="false">
      <c r="A246" s="1" t="n">
        <v>232142</v>
      </c>
      <c r="B246" s="1" t="s">
        <v>44</v>
      </c>
      <c r="C246" s="1" t="s">
        <v>883</v>
      </c>
      <c r="D246" s="1" t="n">
        <v>7</v>
      </c>
      <c r="E246" s="1" t="n">
        <v>0</v>
      </c>
      <c r="F246" s="1" t="n">
        <v>1</v>
      </c>
      <c r="G246" s="1" t="n">
        <v>1</v>
      </c>
      <c r="H246" s="1" t="n">
        <v>0</v>
      </c>
      <c r="I246" s="2" t="s">
        <v>947</v>
      </c>
      <c r="J246" s="2" t="s">
        <v>948</v>
      </c>
      <c r="K246" s="2" t="s">
        <v>949</v>
      </c>
      <c r="L246" s="2" t="s">
        <v>950</v>
      </c>
    </row>
    <row r="247" customFormat="false" ht="15.75" hidden="false" customHeight="false" outlineLevel="0" collapsed="false">
      <c r="A247" s="1" t="n">
        <v>101634</v>
      </c>
      <c r="B247" s="1" t="s">
        <v>951</v>
      </c>
      <c r="C247" s="1" t="s">
        <v>883</v>
      </c>
      <c r="D247" s="1" t="n">
        <v>0</v>
      </c>
      <c r="E247" s="1" t="n">
        <v>0</v>
      </c>
      <c r="F247" s="1" t="n">
        <v>1</v>
      </c>
      <c r="G247" s="1" t="n">
        <v>7</v>
      </c>
      <c r="H247" s="1" t="n">
        <v>0</v>
      </c>
      <c r="I247" s="2" t="s">
        <v>952</v>
      </c>
      <c r="J247" s="2" t="s">
        <v>953</v>
      </c>
      <c r="K247" s="2" t="s">
        <v>954</v>
      </c>
      <c r="L247" s="2" t="s">
        <v>955</v>
      </c>
    </row>
    <row r="248" customFormat="false" ht="15.75" hidden="false" customHeight="false" outlineLevel="0" collapsed="false">
      <c r="A248" s="1" t="n">
        <v>182640</v>
      </c>
      <c r="B248" s="1" t="s">
        <v>956</v>
      </c>
      <c r="C248" s="1" t="s">
        <v>883</v>
      </c>
      <c r="D248" s="1" t="n">
        <v>1</v>
      </c>
      <c r="E248" s="1" t="n">
        <v>0</v>
      </c>
      <c r="F248" s="1" t="n">
        <v>0</v>
      </c>
      <c r="G248" s="1" t="n">
        <v>7</v>
      </c>
      <c r="H248" s="1" t="n">
        <v>0</v>
      </c>
      <c r="I248" s="2" t="s">
        <v>957</v>
      </c>
      <c r="J248" s="2" t="s">
        <v>958</v>
      </c>
      <c r="K248" s="2" t="s">
        <v>959</v>
      </c>
      <c r="L248" s="2" t="s">
        <v>960</v>
      </c>
    </row>
    <row r="249" customFormat="false" ht="15.75" hidden="false" customHeight="false" outlineLevel="0" collapsed="false">
      <c r="A249" s="1" t="n">
        <v>231982</v>
      </c>
      <c r="B249" s="1" t="s">
        <v>961</v>
      </c>
      <c r="C249" s="1" t="s">
        <v>883</v>
      </c>
      <c r="D249" s="1" t="n">
        <v>2</v>
      </c>
      <c r="E249" s="1" t="n">
        <v>0</v>
      </c>
      <c r="F249" s="1" t="n">
        <v>1</v>
      </c>
      <c r="G249" s="1" t="n">
        <v>3</v>
      </c>
      <c r="H249" s="1" t="n">
        <v>0</v>
      </c>
      <c r="I249" s="2" t="s">
        <v>962</v>
      </c>
      <c r="J249" s="2" t="s">
        <v>963</v>
      </c>
      <c r="K249" s="2" t="s">
        <v>964</v>
      </c>
      <c r="L249" s="2" t="s">
        <v>965</v>
      </c>
    </row>
    <row r="250" customFormat="false" ht="15.75" hidden="false" customHeight="false" outlineLevel="0" collapsed="false">
      <c r="A250" s="1" t="n">
        <v>231977</v>
      </c>
      <c r="B250" s="1" t="s">
        <v>966</v>
      </c>
      <c r="C250" s="1" t="s">
        <v>883</v>
      </c>
      <c r="D250" s="1" t="n">
        <v>2</v>
      </c>
      <c r="E250" s="1" t="n">
        <v>0</v>
      </c>
      <c r="F250" s="1" t="n">
        <v>0</v>
      </c>
      <c r="G250" s="1" t="n">
        <v>4</v>
      </c>
      <c r="H250" s="1" t="n">
        <v>0</v>
      </c>
      <c r="I250" s="2" t="s">
        <v>967</v>
      </c>
      <c r="J250" s="2" t="s">
        <v>968</v>
      </c>
      <c r="K250" s="2" t="s">
        <v>969</v>
      </c>
    </row>
    <row r="251" customFormat="false" ht="15.75" hidden="false" customHeight="false" outlineLevel="0" collapsed="false">
      <c r="A251" s="1" t="n">
        <v>231981</v>
      </c>
      <c r="B251" s="1" t="s">
        <v>970</v>
      </c>
      <c r="C251" s="1" t="s">
        <v>883</v>
      </c>
      <c r="D251" s="1" t="n">
        <v>7</v>
      </c>
      <c r="E251" s="1" t="n">
        <v>0</v>
      </c>
      <c r="F251" s="1" t="n">
        <v>1</v>
      </c>
      <c r="G251" s="1" t="n">
        <v>4</v>
      </c>
      <c r="H251" s="1" t="n">
        <v>0</v>
      </c>
      <c r="I251" s="2" t="s">
        <v>971</v>
      </c>
      <c r="J251" s="2" t="s">
        <v>972</v>
      </c>
      <c r="K251" s="2" t="s">
        <v>973</v>
      </c>
      <c r="L251" s="2" t="s">
        <v>974</v>
      </c>
    </row>
    <row r="252" customFormat="false" ht="15.75" hidden="false" customHeight="false" outlineLevel="0" collapsed="false">
      <c r="A252" s="1" t="n">
        <v>231961</v>
      </c>
      <c r="B252" s="1" t="s">
        <v>975</v>
      </c>
      <c r="C252" s="1" t="s">
        <v>883</v>
      </c>
      <c r="D252" s="1" t="n">
        <v>2</v>
      </c>
      <c r="E252" s="1" t="n">
        <v>0</v>
      </c>
      <c r="F252" s="1" t="n">
        <v>0</v>
      </c>
      <c r="G252" s="1" t="n">
        <v>3</v>
      </c>
      <c r="H252" s="1" t="n">
        <v>0</v>
      </c>
      <c r="I252" s="2" t="s">
        <v>976</v>
      </c>
      <c r="J252" s="2" t="s">
        <v>977</v>
      </c>
      <c r="K252" s="2" t="s">
        <v>978</v>
      </c>
      <c r="L252" s="2" t="s">
        <v>979</v>
      </c>
    </row>
    <row r="253" customFormat="false" ht="15.75" hidden="false" customHeight="false" outlineLevel="0" collapsed="false">
      <c r="A253" s="1" t="n">
        <v>232102</v>
      </c>
      <c r="B253" s="1" t="s">
        <v>980</v>
      </c>
      <c r="C253" s="1" t="s">
        <v>883</v>
      </c>
      <c r="D253" s="1" t="n">
        <v>1</v>
      </c>
      <c r="E253" s="1" t="n">
        <v>0</v>
      </c>
      <c r="F253" s="1" t="n">
        <v>0</v>
      </c>
      <c r="G253" s="1" t="n">
        <v>4</v>
      </c>
      <c r="H253" s="1" t="n">
        <v>0</v>
      </c>
      <c r="I253" s="2" t="s">
        <v>981</v>
      </c>
      <c r="J253" s="2" t="s">
        <v>982</v>
      </c>
      <c r="K253" s="2" t="s">
        <v>983</v>
      </c>
      <c r="L253" s="2" t="s">
        <v>984</v>
      </c>
    </row>
    <row r="254" customFormat="false" ht="15.75" hidden="false" customHeight="false" outlineLevel="0" collapsed="false">
      <c r="A254" s="1" t="n">
        <v>232145</v>
      </c>
      <c r="B254" s="1" t="s">
        <v>985</v>
      </c>
      <c r="C254" s="1" t="s">
        <v>883</v>
      </c>
      <c r="D254" s="1" t="n">
        <v>1</v>
      </c>
      <c r="E254" s="1" t="n">
        <v>0</v>
      </c>
      <c r="F254" s="1" t="n">
        <v>0</v>
      </c>
      <c r="G254" s="1" t="n">
        <v>3</v>
      </c>
      <c r="H254" s="1" t="n">
        <v>0</v>
      </c>
      <c r="I254" s="2" t="s">
        <v>986</v>
      </c>
      <c r="J254" s="2" t="s">
        <v>987</v>
      </c>
      <c r="K254" s="2" t="s">
        <v>988</v>
      </c>
    </row>
    <row r="255" customFormat="false" ht="15.75" hidden="false" customHeight="false" outlineLevel="0" collapsed="false">
      <c r="A255" s="1" t="n">
        <v>181868</v>
      </c>
      <c r="B255" s="1" t="s">
        <v>989</v>
      </c>
      <c r="C255" s="1" t="s">
        <v>883</v>
      </c>
      <c r="D255" s="1" t="n">
        <v>1</v>
      </c>
      <c r="E255" s="1" t="n">
        <v>0</v>
      </c>
      <c r="F255" s="1" t="n">
        <v>0</v>
      </c>
      <c r="G255" s="1" t="n">
        <v>3</v>
      </c>
      <c r="H255" s="1" t="n">
        <v>0</v>
      </c>
      <c r="I255" s="2" t="s">
        <v>990</v>
      </c>
      <c r="J255" s="2" t="s">
        <v>991</v>
      </c>
      <c r="K255" s="2" t="s">
        <v>992</v>
      </c>
    </row>
    <row r="256" customFormat="false" ht="15.75" hidden="false" customHeight="false" outlineLevel="0" collapsed="false">
      <c r="A256" s="1" t="n">
        <v>232000</v>
      </c>
      <c r="B256" s="1" t="s">
        <v>993</v>
      </c>
      <c r="C256" s="1" t="s">
        <v>883</v>
      </c>
      <c r="D256" s="1" t="n">
        <v>1</v>
      </c>
      <c r="E256" s="1" t="n">
        <v>0</v>
      </c>
      <c r="F256" s="1" t="n">
        <v>0</v>
      </c>
      <c r="G256" s="1" t="n">
        <v>3</v>
      </c>
      <c r="H256" s="1" t="n">
        <v>0</v>
      </c>
      <c r="I256" s="2" t="s">
        <v>994</v>
      </c>
      <c r="J256" s="2" t="s">
        <v>995</v>
      </c>
      <c r="K256" s="2" t="s">
        <v>996</v>
      </c>
      <c r="L256" s="2" t="s">
        <v>997</v>
      </c>
    </row>
    <row r="257" customFormat="false" ht="15.75" hidden="false" customHeight="false" outlineLevel="0" collapsed="false">
      <c r="A257" s="1" t="n">
        <v>852629</v>
      </c>
      <c r="B257" s="1" t="s">
        <v>360</v>
      </c>
      <c r="C257" s="1" t="s">
        <v>883</v>
      </c>
      <c r="D257" s="1" t="n">
        <v>1</v>
      </c>
      <c r="E257" s="1" t="n">
        <v>0</v>
      </c>
      <c r="F257" s="1" t="n">
        <v>0</v>
      </c>
      <c r="G257" s="1" t="n">
        <v>3</v>
      </c>
      <c r="H257" s="1" t="n">
        <v>0</v>
      </c>
      <c r="I257" s="2" t="s">
        <v>998</v>
      </c>
      <c r="J257" s="2" t="s">
        <v>999</v>
      </c>
      <c r="K257" s="2" t="s">
        <v>1000</v>
      </c>
    </row>
    <row r="258" customFormat="false" ht="15.75" hidden="false" customHeight="false" outlineLevel="0" collapsed="false">
      <c r="A258" s="1" t="n">
        <v>232023</v>
      </c>
      <c r="B258" s="1" t="s">
        <v>1001</v>
      </c>
      <c r="C258" s="1" t="s">
        <v>883</v>
      </c>
      <c r="D258" s="1" t="n">
        <v>1</v>
      </c>
      <c r="E258" s="1" t="n">
        <v>0</v>
      </c>
      <c r="F258" s="1" t="n">
        <v>0</v>
      </c>
      <c r="G258" s="1" t="n">
        <v>3</v>
      </c>
      <c r="H258" s="1" t="n">
        <v>0</v>
      </c>
      <c r="I258" s="2" t="s">
        <v>1002</v>
      </c>
      <c r="J258" s="2" t="s">
        <v>1003</v>
      </c>
      <c r="K258" s="2" t="s">
        <v>1004</v>
      </c>
      <c r="L258" s="2" t="s">
        <v>1005</v>
      </c>
    </row>
    <row r="259" customFormat="false" ht="15.75" hidden="false" customHeight="false" outlineLevel="0" collapsed="false">
      <c r="A259" s="1" t="n">
        <v>232043</v>
      </c>
      <c r="B259" s="1" t="s">
        <v>1006</v>
      </c>
      <c r="C259" s="1" t="s">
        <v>883</v>
      </c>
      <c r="D259" s="1" t="n">
        <v>0</v>
      </c>
      <c r="E259" s="1" t="n">
        <v>0</v>
      </c>
      <c r="F259" s="1" t="n">
        <v>0</v>
      </c>
      <c r="G259" s="1" t="n">
        <v>3</v>
      </c>
      <c r="H259" s="1" t="n">
        <v>0</v>
      </c>
      <c r="I259" s="2" t="s">
        <v>1007</v>
      </c>
      <c r="J259" s="2" t="s">
        <v>1008</v>
      </c>
      <c r="K259" s="2" t="s">
        <v>1009</v>
      </c>
      <c r="L259" s="2" t="s">
        <v>1010</v>
      </c>
    </row>
    <row r="260" customFormat="false" ht="15.75" hidden="false" customHeight="false" outlineLevel="0" collapsed="false">
      <c r="A260" s="1" t="n">
        <v>197798</v>
      </c>
      <c r="B260" s="1" t="s">
        <v>1011</v>
      </c>
      <c r="C260" s="1" t="s">
        <v>883</v>
      </c>
      <c r="D260" s="1" t="n">
        <v>0</v>
      </c>
      <c r="E260" s="1" t="n">
        <v>0</v>
      </c>
      <c r="F260" s="1" t="n">
        <v>0</v>
      </c>
      <c r="G260" s="1" t="n">
        <v>3</v>
      </c>
      <c r="H260" s="1" t="n">
        <v>0</v>
      </c>
      <c r="I260" s="2" t="s">
        <v>1012</v>
      </c>
      <c r="J260" s="2" t="s">
        <v>1013</v>
      </c>
      <c r="K260" s="2" t="s">
        <v>1014</v>
      </c>
    </row>
    <row r="261" customFormat="false" ht="15.75" hidden="false" customHeight="false" outlineLevel="0" collapsed="false">
      <c r="A261" s="1" t="n">
        <v>232046</v>
      </c>
      <c r="B261" s="1" t="s">
        <v>1015</v>
      </c>
      <c r="C261" s="1" t="s">
        <v>883</v>
      </c>
      <c r="D261" s="1" t="n">
        <v>0</v>
      </c>
      <c r="E261" s="1" t="n">
        <v>0</v>
      </c>
      <c r="F261" s="1" t="n">
        <v>0</v>
      </c>
      <c r="G261" s="1" t="n">
        <v>3</v>
      </c>
      <c r="H261" s="1" t="n">
        <v>0</v>
      </c>
      <c r="I261" s="2" t="s">
        <v>1016</v>
      </c>
      <c r="J261" s="2" t="s">
        <v>1017</v>
      </c>
      <c r="K261" s="2" t="s">
        <v>1018</v>
      </c>
      <c r="L261" s="2" t="s">
        <v>1019</v>
      </c>
    </row>
    <row r="262" customFormat="false" ht="15.75" hidden="false" customHeight="false" outlineLevel="0" collapsed="false">
      <c r="A262" s="1" t="n">
        <v>99971</v>
      </c>
      <c r="B262" s="1" t="s">
        <v>820</v>
      </c>
      <c r="C262" s="1" t="s">
        <v>883</v>
      </c>
      <c r="D262" s="1" t="n">
        <v>2</v>
      </c>
      <c r="E262" s="1" t="n">
        <v>0</v>
      </c>
      <c r="F262" s="1" t="n">
        <v>0</v>
      </c>
      <c r="G262" s="1" t="n">
        <v>0</v>
      </c>
      <c r="H262" s="1" t="n">
        <v>0</v>
      </c>
      <c r="I262" s="2" t="s">
        <v>1020</v>
      </c>
      <c r="J262" s="2" t="s">
        <v>1021</v>
      </c>
      <c r="K262" s="2" t="s">
        <v>1022</v>
      </c>
      <c r="L262" s="2" t="s">
        <v>1023</v>
      </c>
    </row>
    <row r="263" customFormat="false" ht="15.75" hidden="false" customHeight="false" outlineLevel="0" collapsed="false">
      <c r="A263" s="1" t="n">
        <v>232101</v>
      </c>
      <c r="B263" s="1" t="s">
        <v>1024</v>
      </c>
      <c r="C263" s="1" t="s">
        <v>883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2" t="s">
        <v>1025</v>
      </c>
      <c r="J263" s="2" t="s">
        <v>1026</v>
      </c>
      <c r="K263" s="2" t="s">
        <v>1027</v>
      </c>
    </row>
    <row r="264" customFormat="false" ht="15.75" hidden="false" customHeight="false" outlineLevel="0" collapsed="false">
      <c r="A264" s="1" t="n">
        <v>177667</v>
      </c>
      <c r="B264" s="1" t="s">
        <v>882</v>
      </c>
      <c r="C264" s="1" t="s">
        <v>883</v>
      </c>
      <c r="D264" s="1" t="n">
        <v>2</v>
      </c>
      <c r="E264" s="1" t="n">
        <v>0</v>
      </c>
      <c r="F264" s="1" t="n">
        <v>0</v>
      </c>
      <c r="G264" s="1" t="n">
        <v>0</v>
      </c>
      <c r="H264" s="1" t="n">
        <v>0</v>
      </c>
      <c r="I264" s="2" t="s">
        <v>1028</v>
      </c>
      <c r="J264" s="2" t="s">
        <v>1029</v>
      </c>
      <c r="K264" s="2" t="s">
        <v>1030</v>
      </c>
    </row>
    <row r="265" customFormat="false" ht="15.75" hidden="false" customHeight="false" outlineLevel="0" collapsed="false">
      <c r="A265" s="1" t="n">
        <v>231604</v>
      </c>
      <c r="B265" s="1" t="s">
        <v>1031</v>
      </c>
      <c r="C265" s="1" t="s">
        <v>883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0</v>
      </c>
      <c r="I265" s="2" t="s">
        <v>1032</v>
      </c>
      <c r="J265" s="2" t="s">
        <v>1033</v>
      </c>
      <c r="K265" s="2" t="s">
        <v>1034</v>
      </c>
      <c r="L265" s="2" t="s">
        <v>1035</v>
      </c>
    </row>
    <row r="266" customFormat="false" ht="15.75" hidden="false" customHeight="false" outlineLevel="0" collapsed="false">
      <c r="A266" s="1" t="n">
        <v>232013</v>
      </c>
      <c r="B266" s="1" t="s">
        <v>1036</v>
      </c>
      <c r="C266" s="1" t="s">
        <v>883</v>
      </c>
      <c r="D266" s="1" t="n">
        <v>1</v>
      </c>
      <c r="E266" s="1" t="n">
        <v>0</v>
      </c>
      <c r="F266" s="1" t="n">
        <v>0</v>
      </c>
      <c r="G266" s="1" t="n">
        <v>0</v>
      </c>
      <c r="H266" s="1" t="n">
        <v>0</v>
      </c>
      <c r="I266" s="2" t="s">
        <v>1037</v>
      </c>
      <c r="J266" s="2" t="s">
        <v>1038</v>
      </c>
      <c r="K266" s="2" t="s">
        <v>1039</v>
      </c>
      <c r="L266" s="2" t="s">
        <v>1040</v>
      </c>
    </row>
    <row r="267" customFormat="false" ht="15.75" hidden="false" customHeight="false" outlineLevel="0" collapsed="false">
      <c r="A267" s="1" t="n">
        <v>231960</v>
      </c>
      <c r="B267" s="1" t="s">
        <v>1041</v>
      </c>
      <c r="C267" s="1" t="s">
        <v>883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2" t="s">
        <v>1042</v>
      </c>
      <c r="J267" s="2" t="s">
        <v>1043</v>
      </c>
    </row>
    <row r="268" customFormat="false" ht="15.75" hidden="false" customHeight="false" outlineLevel="0" collapsed="false">
      <c r="A268" s="1" t="n">
        <v>231994</v>
      </c>
      <c r="B268" s="1" t="s">
        <v>1044</v>
      </c>
      <c r="C268" s="1" t="s">
        <v>883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2" t="s">
        <v>1045</v>
      </c>
      <c r="J268" s="2" t="s">
        <v>1046</v>
      </c>
    </row>
    <row r="269" customFormat="false" ht="15.75" hidden="false" customHeight="false" outlineLevel="0" collapsed="false">
      <c r="A269" s="1" t="n">
        <v>232025</v>
      </c>
      <c r="B269" s="1" t="s">
        <v>1047</v>
      </c>
      <c r="C269" s="1" t="s">
        <v>883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2" t="s">
        <v>1048</v>
      </c>
      <c r="J269" s="2" t="s">
        <v>1049</v>
      </c>
      <c r="K269" s="2" t="s">
        <v>1050</v>
      </c>
    </row>
    <row r="270" customFormat="false" ht="15.75" hidden="false" customHeight="false" outlineLevel="0" collapsed="false">
      <c r="A270" s="1" t="n">
        <v>231971</v>
      </c>
      <c r="B270" s="1" t="s">
        <v>975</v>
      </c>
      <c r="C270" s="1" t="s">
        <v>883</v>
      </c>
      <c r="D270" s="1" t="n">
        <v>0</v>
      </c>
      <c r="E270" s="1" t="n">
        <v>0</v>
      </c>
      <c r="F270" s="1" t="n">
        <v>0</v>
      </c>
      <c r="G270" s="1" t="n">
        <v>3</v>
      </c>
      <c r="H270" s="1" t="n">
        <v>0</v>
      </c>
      <c r="I270" s="2" t="s">
        <v>1051</v>
      </c>
      <c r="J270" s="2" t="s">
        <v>1052</v>
      </c>
      <c r="K270" s="2" t="s">
        <v>1053</v>
      </c>
      <c r="L270" s="2" t="s">
        <v>1054</v>
      </c>
    </row>
    <row r="271" customFormat="false" ht="15.75" hidden="false" customHeight="false" outlineLevel="0" collapsed="false">
      <c r="A271" s="1" t="n">
        <v>232146</v>
      </c>
      <c r="B271" s="1" t="s">
        <v>1055</v>
      </c>
      <c r="C271" s="1" t="s">
        <v>883</v>
      </c>
      <c r="D271" s="1" t="n">
        <v>0</v>
      </c>
      <c r="E271" s="1" t="n">
        <v>0</v>
      </c>
      <c r="F271" s="1" t="n">
        <v>0</v>
      </c>
      <c r="G271" s="1" t="n">
        <v>3</v>
      </c>
      <c r="H271" s="1" t="n">
        <v>0</v>
      </c>
      <c r="I271" s="2" t="s">
        <v>1056</v>
      </c>
    </row>
    <row r="272" customFormat="false" ht="15.75" hidden="false" customHeight="false" outlineLevel="0" collapsed="false">
      <c r="A272" s="1" t="n">
        <v>231998</v>
      </c>
      <c r="B272" s="1" t="s">
        <v>1057</v>
      </c>
      <c r="C272" s="1" t="s">
        <v>883</v>
      </c>
      <c r="D272" s="1" t="n">
        <v>0</v>
      </c>
      <c r="E272" s="1" t="n">
        <v>0</v>
      </c>
      <c r="F272" s="1" t="n">
        <v>0</v>
      </c>
      <c r="G272" s="1" t="n">
        <v>3</v>
      </c>
      <c r="H272" s="1" t="n">
        <v>0</v>
      </c>
      <c r="I272" s="2" t="s">
        <v>1058</v>
      </c>
      <c r="J272" s="2" t="s">
        <v>1059</v>
      </c>
      <c r="K272" s="2" t="s">
        <v>1060</v>
      </c>
    </row>
    <row r="273" customFormat="false" ht="15.75" hidden="false" customHeight="false" outlineLevel="0" collapsed="false">
      <c r="A273" s="1" t="n">
        <v>230427</v>
      </c>
      <c r="B273" s="1" t="s">
        <v>1061</v>
      </c>
      <c r="C273" s="1" t="s">
        <v>883</v>
      </c>
      <c r="D273" s="1" t="n">
        <v>0</v>
      </c>
      <c r="E273" s="1" t="n">
        <v>0</v>
      </c>
      <c r="F273" s="1" t="n">
        <v>0</v>
      </c>
      <c r="G273" s="1" t="n">
        <v>3</v>
      </c>
      <c r="H273" s="1" t="n">
        <v>0</v>
      </c>
      <c r="I273" s="2" t="s">
        <v>1062</v>
      </c>
      <c r="J273" s="2" t="s">
        <v>1063</v>
      </c>
      <c r="K273" s="2" t="s">
        <v>1064</v>
      </c>
      <c r="L273" s="2" t="s">
        <v>1065</v>
      </c>
    </row>
    <row r="274" customFormat="false" ht="15.75" hidden="false" customHeight="false" outlineLevel="0" collapsed="false">
      <c r="A274" s="1" t="n">
        <v>177698</v>
      </c>
      <c r="B274" s="1" t="s">
        <v>1066</v>
      </c>
      <c r="C274" s="1" t="s">
        <v>883</v>
      </c>
      <c r="D274" s="1" t="n">
        <v>0</v>
      </c>
      <c r="E274" s="1" t="n">
        <v>0</v>
      </c>
      <c r="F274" s="1" t="n">
        <v>0</v>
      </c>
      <c r="G274" s="1" t="n">
        <v>3</v>
      </c>
      <c r="H274" s="1" t="n">
        <v>0</v>
      </c>
      <c r="I274" s="2" t="s">
        <v>1067</v>
      </c>
      <c r="J274" s="2" t="s">
        <v>1068</v>
      </c>
      <c r="K274" s="2" t="s">
        <v>1069</v>
      </c>
    </row>
    <row r="275" customFormat="false" ht="15.75" hidden="false" customHeight="false" outlineLevel="0" collapsed="false">
      <c r="A275" s="1" t="n">
        <v>232103</v>
      </c>
      <c r="B275" s="1" t="s">
        <v>1070</v>
      </c>
      <c r="C275" s="1" t="s">
        <v>883</v>
      </c>
      <c r="D275" s="1" t="n">
        <v>0</v>
      </c>
      <c r="E275" s="1" t="n">
        <v>0</v>
      </c>
      <c r="F275" s="1" t="n">
        <v>0</v>
      </c>
      <c r="G275" s="1" t="n">
        <v>3</v>
      </c>
      <c r="H275" s="1" t="n">
        <v>0</v>
      </c>
      <c r="I275" s="2" t="s">
        <v>1071</v>
      </c>
      <c r="J275" s="2" t="s">
        <v>1072</v>
      </c>
      <c r="K275" s="2" t="s">
        <v>1073</v>
      </c>
      <c r="L275" s="2" t="s">
        <v>1074</v>
      </c>
    </row>
    <row r="276" customFormat="false" ht="15.75" hidden="false" customHeight="false" outlineLevel="0" collapsed="false">
      <c r="A276" s="1" t="n">
        <v>113007</v>
      </c>
      <c r="B276" s="1" t="s">
        <v>1075</v>
      </c>
      <c r="C276" s="1" t="s">
        <v>883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0</v>
      </c>
      <c r="I276" s="2" t="s">
        <v>1076</v>
      </c>
      <c r="J276" s="2" t="s">
        <v>1077</v>
      </c>
      <c r="K276" s="2" t="s">
        <v>1078</v>
      </c>
    </row>
    <row r="277" customFormat="false" ht="15.75" hidden="false" customHeight="false" outlineLevel="0" collapsed="false">
      <c r="A277" s="1" t="n">
        <v>6001</v>
      </c>
      <c r="B277" s="1" t="s">
        <v>1079</v>
      </c>
      <c r="C277" s="1" t="s">
        <v>1080</v>
      </c>
      <c r="D277" s="1" t="n">
        <v>7</v>
      </c>
      <c r="E277" s="1" t="n">
        <v>0</v>
      </c>
      <c r="F277" s="1" t="n">
        <v>0</v>
      </c>
      <c r="G277" s="1" t="n">
        <v>0</v>
      </c>
      <c r="H277" s="1" t="n">
        <v>0</v>
      </c>
      <c r="I277" s="2" t="s">
        <v>1081</v>
      </c>
    </row>
    <row r="278" customFormat="false" ht="15.75" hidden="false" customHeight="false" outlineLevel="0" collapsed="false">
      <c r="A278" s="1" t="n">
        <v>107331</v>
      </c>
      <c r="B278" s="1" t="s">
        <v>324</v>
      </c>
      <c r="C278" s="1" t="s">
        <v>1080</v>
      </c>
      <c r="D278" s="1" t="n">
        <v>1</v>
      </c>
      <c r="E278" s="1" t="n">
        <v>1</v>
      </c>
      <c r="F278" s="1" t="n">
        <v>0</v>
      </c>
      <c r="G278" s="1" t="n">
        <v>0</v>
      </c>
      <c r="H278" s="1" t="n">
        <v>0</v>
      </c>
      <c r="I278" s="2" t="s">
        <v>1082</v>
      </c>
      <c r="J278" s="2" t="s">
        <v>1083</v>
      </c>
    </row>
    <row r="279" customFormat="false" ht="15.75" hidden="false" customHeight="false" outlineLevel="0" collapsed="false">
      <c r="A279" s="1" t="n">
        <v>107327</v>
      </c>
      <c r="B279" s="1" t="s">
        <v>1084</v>
      </c>
      <c r="C279" s="1" t="s">
        <v>1080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2" t="s">
        <v>1085</v>
      </c>
    </row>
    <row r="280" customFormat="false" ht="15.75" hidden="false" customHeight="false" outlineLevel="0" collapsed="false">
      <c r="A280" s="1" t="n">
        <v>107321</v>
      </c>
      <c r="B280" s="1" t="s">
        <v>723</v>
      </c>
      <c r="C280" s="1" t="s">
        <v>1080</v>
      </c>
      <c r="D280" s="1" t="n">
        <v>1</v>
      </c>
      <c r="E280" s="1" t="n">
        <v>2</v>
      </c>
      <c r="F280" s="1" t="n">
        <v>0</v>
      </c>
      <c r="G280" s="1" t="n">
        <v>0</v>
      </c>
      <c r="H280" s="1" t="n">
        <v>0</v>
      </c>
      <c r="I280" s="2" t="s">
        <v>1086</v>
      </c>
      <c r="J280" s="2" t="s">
        <v>1087</v>
      </c>
    </row>
    <row r="281" customFormat="false" ht="15.75" hidden="false" customHeight="false" outlineLevel="0" collapsed="false">
      <c r="A281" s="1" t="n">
        <v>4235</v>
      </c>
      <c r="B281" s="1" t="s">
        <v>1088</v>
      </c>
      <c r="C281" s="1" t="s">
        <v>1080</v>
      </c>
      <c r="D281" s="1" t="n">
        <v>7</v>
      </c>
      <c r="E281" s="1" t="n">
        <v>2</v>
      </c>
      <c r="F281" s="1" t="n">
        <v>0</v>
      </c>
      <c r="G281" s="1" t="n">
        <v>0</v>
      </c>
      <c r="H281" s="1" t="n">
        <v>0</v>
      </c>
      <c r="I281" s="2" t="s">
        <v>1089</v>
      </c>
      <c r="J281" s="2" t="s">
        <v>1090</v>
      </c>
      <c r="K281" s="2" t="s">
        <v>1091</v>
      </c>
      <c r="L281" s="2" t="s">
        <v>1092</v>
      </c>
    </row>
    <row r="282" customFormat="false" ht="15.75" hidden="false" customHeight="false" outlineLevel="0" collapsed="false">
      <c r="A282" s="1" t="n">
        <v>107332</v>
      </c>
      <c r="B282" s="1" t="s">
        <v>1093</v>
      </c>
      <c r="C282" s="1" t="s">
        <v>1080</v>
      </c>
      <c r="D282" s="1" t="n">
        <v>7</v>
      </c>
      <c r="E282" s="1" t="n">
        <v>0</v>
      </c>
      <c r="F282" s="1" t="n">
        <v>0</v>
      </c>
      <c r="G282" s="1" t="n">
        <v>0</v>
      </c>
      <c r="H282" s="1" t="n">
        <v>0</v>
      </c>
      <c r="I282" s="2" t="s">
        <v>1094</v>
      </c>
      <c r="J282" s="2" t="s">
        <v>1095</v>
      </c>
    </row>
    <row r="283" customFormat="false" ht="15.75" hidden="false" customHeight="false" outlineLevel="0" collapsed="false">
      <c r="A283" s="1" t="n">
        <v>113019</v>
      </c>
      <c r="B283" s="1" t="s">
        <v>1096</v>
      </c>
      <c r="C283" s="1" t="s">
        <v>1080</v>
      </c>
      <c r="D283" s="1" t="n">
        <v>7</v>
      </c>
      <c r="E283" s="1" t="n">
        <v>0</v>
      </c>
      <c r="F283" s="1" t="n">
        <v>0</v>
      </c>
      <c r="G283" s="1" t="n">
        <v>0</v>
      </c>
      <c r="H283" s="1" t="n">
        <v>0</v>
      </c>
      <c r="I283" s="2" t="s">
        <v>1097</v>
      </c>
      <c r="J283" s="2" t="s">
        <v>1098</v>
      </c>
      <c r="K283" s="2" t="s">
        <v>1099</v>
      </c>
    </row>
    <row r="284" customFormat="false" ht="15.75" hidden="false" customHeight="false" outlineLevel="0" collapsed="false">
      <c r="A284" s="1" t="n">
        <v>232007</v>
      </c>
      <c r="B284" s="1" t="s">
        <v>1100</v>
      </c>
      <c r="C284" s="1" t="s">
        <v>1080</v>
      </c>
      <c r="D284" s="1" t="n">
        <v>0</v>
      </c>
      <c r="E284" s="1" t="n">
        <v>1</v>
      </c>
      <c r="F284" s="1" t="n">
        <v>0</v>
      </c>
      <c r="G284" s="1" t="n">
        <v>0</v>
      </c>
      <c r="H284" s="1" t="n">
        <v>0</v>
      </c>
      <c r="I284" s="2" t="s">
        <v>1101</v>
      </c>
      <c r="J284" s="2" t="s">
        <v>1102</v>
      </c>
      <c r="K284" s="2" t="s">
        <v>1103</v>
      </c>
    </row>
    <row r="285" customFormat="false" ht="15.75" hidden="false" customHeight="false" outlineLevel="0" collapsed="false">
      <c r="A285" s="1" t="n">
        <v>231833</v>
      </c>
      <c r="B285" s="1" t="s">
        <v>1104</v>
      </c>
      <c r="C285" s="1" t="s">
        <v>1080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0</v>
      </c>
      <c r="I285" s="2" t="s">
        <v>1105</v>
      </c>
      <c r="J285" s="2" t="s">
        <v>1106</v>
      </c>
      <c r="K285" s="2" t="s">
        <v>1107</v>
      </c>
      <c r="L285" s="2" t="s">
        <v>1108</v>
      </c>
    </row>
    <row r="286" customFormat="false" ht="15.75" hidden="false" customHeight="false" outlineLevel="0" collapsed="false">
      <c r="A286" s="1" t="n">
        <v>231963</v>
      </c>
      <c r="B286" s="1" t="s">
        <v>1109</v>
      </c>
      <c r="C286" s="1" t="s">
        <v>1080</v>
      </c>
      <c r="D286" s="1" t="n">
        <v>7</v>
      </c>
      <c r="E286" s="1" t="n">
        <v>0</v>
      </c>
      <c r="F286" s="1" t="n">
        <v>0</v>
      </c>
      <c r="G286" s="1" t="n">
        <v>0</v>
      </c>
      <c r="H286" s="1" t="n">
        <v>0</v>
      </c>
      <c r="I286" s="2" t="s">
        <v>1110</v>
      </c>
      <c r="J286" s="2" t="s">
        <v>1111</v>
      </c>
    </row>
    <row r="287" customFormat="false" ht="15.75" hidden="false" customHeight="false" outlineLevel="0" collapsed="false">
      <c r="A287" s="1" t="n">
        <v>196774</v>
      </c>
      <c r="B287" s="1" t="s">
        <v>1112</v>
      </c>
      <c r="C287" s="1" t="s">
        <v>1080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0</v>
      </c>
      <c r="I287" s="2" t="s">
        <v>1113</v>
      </c>
      <c r="J287" s="2" t="s">
        <v>1114</v>
      </c>
      <c r="K287" s="2" t="s">
        <v>1115</v>
      </c>
    </row>
    <row r="288" customFormat="false" ht="15.75" hidden="false" customHeight="false" outlineLevel="0" collapsed="false">
      <c r="A288" s="1" t="n">
        <v>99291</v>
      </c>
      <c r="B288" s="1" t="s">
        <v>1116</v>
      </c>
      <c r="C288" s="1" t="s">
        <v>1080</v>
      </c>
      <c r="D288" s="1" t="n">
        <v>7</v>
      </c>
      <c r="E288" s="1" t="n">
        <v>2</v>
      </c>
      <c r="F288" s="1" t="n">
        <v>0</v>
      </c>
      <c r="G288" s="1" t="n">
        <v>0</v>
      </c>
      <c r="H288" s="1" t="n">
        <v>0</v>
      </c>
      <c r="I288" s="2" t="s">
        <v>1117</v>
      </c>
      <c r="J288" s="2" t="s">
        <v>1118</v>
      </c>
    </row>
    <row r="289" customFormat="false" ht="15.75" hidden="false" customHeight="false" outlineLevel="0" collapsed="false">
      <c r="A289" s="1" t="n">
        <v>194915</v>
      </c>
      <c r="B289" s="1" t="s">
        <v>1119</v>
      </c>
      <c r="C289" s="1" t="s">
        <v>1080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2" t="s">
        <v>1120</v>
      </c>
      <c r="J289" s="2" t="s">
        <v>1121</v>
      </c>
      <c r="K289" s="2" t="s">
        <v>1122</v>
      </c>
      <c r="L289" s="2" t="s">
        <v>1123</v>
      </c>
    </row>
    <row r="290" customFormat="false" ht="15.75" hidden="false" customHeight="false" outlineLevel="0" collapsed="false">
      <c r="A290" s="1" t="n">
        <v>231996</v>
      </c>
      <c r="B290" s="1" t="s">
        <v>1124</v>
      </c>
      <c r="C290" s="1" t="s">
        <v>1080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2" t="s">
        <v>1125</v>
      </c>
      <c r="J290" s="2" t="s">
        <v>1126</v>
      </c>
    </row>
    <row r="291" customFormat="false" ht="15.75" hidden="false" customHeight="false" outlineLevel="0" collapsed="false">
      <c r="A291" s="1" t="n">
        <v>195421</v>
      </c>
      <c r="B291" s="1" t="s">
        <v>1127</v>
      </c>
      <c r="C291" s="1" t="s">
        <v>1080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2" t="s">
        <v>1128</v>
      </c>
      <c r="J291" s="2" t="s">
        <v>1129</v>
      </c>
      <c r="K291" s="2" t="s">
        <v>1130</v>
      </c>
    </row>
    <row r="292" customFormat="false" ht="15.75" hidden="false" customHeight="false" outlineLevel="0" collapsed="false">
      <c r="A292" s="1" t="n">
        <v>158514</v>
      </c>
      <c r="B292" s="1" t="s">
        <v>140</v>
      </c>
      <c r="C292" s="1" t="s">
        <v>1080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2" t="s">
        <v>1131</v>
      </c>
      <c r="J292" s="2" t="s">
        <v>1132</v>
      </c>
      <c r="K292" s="2" t="s">
        <v>1133</v>
      </c>
    </row>
    <row r="293" customFormat="false" ht="15.75" hidden="false" customHeight="false" outlineLevel="0" collapsed="false">
      <c r="A293" s="1" t="n">
        <v>107333</v>
      </c>
      <c r="B293" s="1" t="s">
        <v>1134</v>
      </c>
      <c r="C293" s="1" t="s">
        <v>1080</v>
      </c>
      <c r="D293" s="1" t="n">
        <v>1</v>
      </c>
      <c r="E293" s="1" t="n">
        <v>1</v>
      </c>
      <c r="F293" s="1" t="n">
        <v>0</v>
      </c>
      <c r="G293" s="1" t="n">
        <v>0</v>
      </c>
      <c r="H293" s="1" t="n">
        <v>0</v>
      </c>
      <c r="I293" s="2" t="s">
        <v>1135</v>
      </c>
      <c r="J293" s="2" t="s">
        <v>1136</v>
      </c>
      <c r="K293" s="2" t="s">
        <v>1137</v>
      </c>
    </row>
    <row r="294" customFormat="false" ht="15.75" hidden="false" customHeight="false" outlineLevel="0" collapsed="false">
      <c r="A294" s="1" t="n">
        <v>177724</v>
      </c>
      <c r="B294" s="1" t="s">
        <v>1138</v>
      </c>
      <c r="C294" s="1" t="s">
        <v>1080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2" t="s">
        <v>1139</v>
      </c>
      <c r="J294" s="2" t="s">
        <v>1140</v>
      </c>
      <c r="K294" s="2" t="s">
        <v>1141</v>
      </c>
    </row>
    <row r="295" customFormat="false" ht="15.75" hidden="false" customHeight="false" outlineLevel="0" collapsed="false">
      <c r="A295" s="1" t="n">
        <v>128152</v>
      </c>
      <c r="B295" s="1" t="s">
        <v>1142</v>
      </c>
      <c r="C295" s="1" t="s">
        <v>1080</v>
      </c>
      <c r="D295" s="1" t="n">
        <v>0</v>
      </c>
      <c r="E295" s="1" t="n">
        <v>1</v>
      </c>
      <c r="F295" s="1" t="n">
        <v>0</v>
      </c>
      <c r="G295" s="1" t="n">
        <v>0</v>
      </c>
      <c r="H295" s="1" t="n">
        <v>0</v>
      </c>
      <c r="I295" s="2" t="s">
        <v>1143</v>
      </c>
      <c r="J295" s="2" t="s">
        <v>1144</v>
      </c>
      <c r="K295" s="2" t="s">
        <v>1145</v>
      </c>
      <c r="L295" s="2" t="s">
        <v>1146</v>
      </c>
    </row>
    <row r="296" customFormat="false" ht="15.75" hidden="false" customHeight="false" outlineLevel="0" collapsed="false">
      <c r="A296" s="1" t="n">
        <v>206155</v>
      </c>
      <c r="B296" s="1" t="s">
        <v>1147</v>
      </c>
      <c r="C296" s="1" t="s">
        <v>1080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0</v>
      </c>
      <c r="I296" s="2" t="s">
        <v>1148</v>
      </c>
      <c r="J296" s="2" t="s">
        <v>1149</v>
      </c>
      <c r="K296" s="2" t="s">
        <v>1150</v>
      </c>
    </row>
    <row r="297" customFormat="false" ht="15.75" hidden="false" customHeight="false" outlineLevel="0" collapsed="false">
      <c r="A297" s="1" t="n">
        <v>133459</v>
      </c>
      <c r="B297" s="1" t="s">
        <v>1151</v>
      </c>
      <c r="C297" s="1" t="s">
        <v>1080</v>
      </c>
      <c r="D297" s="1" t="n">
        <v>7</v>
      </c>
      <c r="E297" s="1" t="n">
        <v>0</v>
      </c>
      <c r="F297" s="1" t="n">
        <v>0</v>
      </c>
      <c r="G297" s="1" t="n">
        <v>0</v>
      </c>
      <c r="H297" s="1" t="n">
        <v>0</v>
      </c>
      <c r="I297" s="2" t="s">
        <v>1152</v>
      </c>
      <c r="J297" s="2" t="s">
        <v>1153</v>
      </c>
      <c r="K297" s="2" t="s">
        <v>1154</v>
      </c>
      <c r="L297" s="2" t="s">
        <v>1155</v>
      </c>
    </row>
    <row r="298" customFormat="false" ht="15.75" hidden="false" customHeight="false" outlineLevel="0" collapsed="false">
      <c r="A298" s="1" t="n">
        <v>182555</v>
      </c>
      <c r="B298" s="1" t="s">
        <v>1156</v>
      </c>
      <c r="C298" s="1" t="s">
        <v>1080</v>
      </c>
      <c r="D298" s="1" t="n">
        <v>0</v>
      </c>
      <c r="E298" s="1" t="n">
        <v>2</v>
      </c>
      <c r="F298" s="1" t="n">
        <v>0</v>
      </c>
      <c r="G298" s="1" t="n">
        <v>0</v>
      </c>
      <c r="H298" s="1" t="n">
        <v>0</v>
      </c>
      <c r="I298" s="2" t="s">
        <v>1157</v>
      </c>
      <c r="J298" s="2" t="s">
        <v>1158</v>
      </c>
      <c r="K298" s="2" t="s">
        <v>1159</v>
      </c>
    </row>
    <row r="299" customFormat="false" ht="15.75" hidden="false" customHeight="false" outlineLevel="0" collapsed="false">
      <c r="A299" s="1" t="n">
        <v>107334</v>
      </c>
      <c r="B299" s="1" t="s">
        <v>1160</v>
      </c>
      <c r="C299" s="1" t="s">
        <v>1080</v>
      </c>
      <c r="D299" s="1" t="n">
        <v>2</v>
      </c>
      <c r="E299" s="1" t="n">
        <v>0</v>
      </c>
      <c r="F299" s="1" t="n">
        <v>0</v>
      </c>
      <c r="G299" s="1" t="n">
        <v>0</v>
      </c>
      <c r="H299" s="1" t="n">
        <v>0</v>
      </c>
      <c r="I299" s="2" t="s">
        <v>1161</v>
      </c>
      <c r="J299" s="2" t="s">
        <v>1162</v>
      </c>
      <c r="K299" s="2" t="s">
        <v>1163</v>
      </c>
      <c r="L299" s="2" t="s">
        <v>1164</v>
      </c>
    </row>
    <row r="300" customFormat="false" ht="15.75" hidden="false" customHeight="false" outlineLevel="0" collapsed="false">
      <c r="A300" s="1" t="n">
        <v>99922</v>
      </c>
      <c r="B300" s="1" t="s">
        <v>1165</v>
      </c>
      <c r="C300" s="1" t="s">
        <v>1080</v>
      </c>
      <c r="D300" s="1" t="n">
        <v>7</v>
      </c>
      <c r="E300" s="1" t="n">
        <v>4</v>
      </c>
      <c r="F300" s="1" t="n">
        <v>0</v>
      </c>
      <c r="G300" s="1" t="n">
        <v>0</v>
      </c>
      <c r="H300" s="1" t="n">
        <v>0</v>
      </c>
      <c r="I300" s="2" t="s">
        <v>1166</v>
      </c>
      <c r="J300" s="2" t="s">
        <v>1167</v>
      </c>
      <c r="K300" s="2" t="s">
        <v>1168</v>
      </c>
      <c r="L300" s="2" t="s">
        <v>1169</v>
      </c>
    </row>
    <row r="301" customFormat="false" ht="15.75" hidden="false" customHeight="false" outlineLevel="0" collapsed="false">
      <c r="A301" s="1" t="n">
        <v>107329</v>
      </c>
      <c r="B301" s="1" t="s">
        <v>1170</v>
      </c>
      <c r="C301" s="1" t="s">
        <v>1080</v>
      </c>
      <c r="D301" s="1" t="n">
        <v>7</v>
      </c>
      <c r="E301" s="1" t="n">
        <v>0</v>
      </c>
      <c r="F301" s="1" t="n">
        <v>0</v>
      </c>
      <c r="G301" s="1" t="n">
        <v>0</v>
      </c>
      <c r="H301" s="1" t="n">
        <v>0</v>
      </c>
      <c r="I301" s="2" t="s">
        <v>1171</v>
      </c>
      <c r="J301" s="2" t="s">
        <v>1172</v>
      </c>
      <c r="K301" s="2" t="s">
        <v>1173</v>
      </c>
      <c r="L301" s="2" t="s">
        <v>1174</v>
      </c>
    </row>
    <row r="302" customFormat="false" ht="15.75" hidden="false" customHeight="false" outlineLevel="0" collapsed="false">
      <c r="A302" s="1" t="n">
        <v>273</v>
      </c>
      <c r="B302" s="1" t="s">
        <v>1175</v>
      </c>
      <c r="C302" s="1" t="s">
        <v>1080</v>
      </c>
      <c r="D302" s="1" t="n">
        <v>7</v>
      </c>
      <c r="E302" s="1" t="n">
        <v>2</v>
      </c>
      <c r="F302" s="1" t="n">
        <v>0</v>
      </c>
      <c r="G302" s="1" t="n">
        <v>0</v>
      </c>
      <c r="H302" s="1" t="n">
        <v>0</v>
      </c>
      <c r="I302" s="2" t="s">
        <v>1176</v>
      </c>
      <c r="J302" s="2" t="s">
        <v>1177</v>
      </c>
    </row>
    <row r="303" customFormat="false" ht="15.75" hidden="false" customHeight="false" outlineLevel="0" collapsed="false">
      <c r="A303" s="1" t="n">
        <v>4060</v>
      </c>
      <c r="B303" s="1" t="s">
        <v>1178</v>
      </c>
      <c r="C303" s="1" t="s">
        <v>1080</v>
      </c>
      <c r="D303" s="1" t="n">
        <v>7</v>
      </c>
      <c r="E303" s="1" t="n">
        <v>2</v>
      </c>
      <c r="F303" s="1" t="n">
        <v>1</v>
      </c>
      <c r="G303" s="1" t="n">
        <v>0</v>
      </c>
      <c r="H303" s="1" t="n">
        <v>0</v>
      </c>
      <c r="I303" s="2" t="s">
        <v>1179</v>
      </c>
      <c r="J303" s="2" t="s">
        <v>1180</v>
      </c>
      <c r="K303" s="2" t="s">
        <v>1181</v>
      </c>
      <c r="L303" s="2" t="s">
        <v>1182</v>
      </c>
      <c r="M303" s="2" t="s">
        <v>1183</v>
      </c>
      <c r="N303" s="2" t="s">
        <v>1184</v>
      </c>
      <c r="O303" s="2" t="s">
        <v>1185</v>
      </c>
      <c r="P303" s="2" t="s">
        <v>1186</v>
      </c>
    </row>
    <row r="304" customFormat="false" ht="15.75" hidden="false" customHeight="false" outlineLevel="0" collapsed="false">
      <c r="A304" s="1" t="n">
        <v>101189</v>
      </c>
      <c r="B304" s="1" t="s">
        <v>1187</v>
      </c>
      <c r="C304" s="1" t="s">
        <v>1080</v>
      </c>
      <c r="D304" s="1" t="n">
        <v>7</v>
      </c>
      <c r="E304" s="1" t="n">
        <v>6</v>
      </c>
      <c r="F304" s="1" t="n">
        <v>0</v>
      </c>
      <c r="G304" s="1" t="n">
        <v>0</v>
      </c>
      <c r="H304" s="1" t="n">
        <v>0</v>
      </c>
      <c r="I304" s="2" t="s">
        <v>1188</v>
      </c>
      <c r="J304" s="2" t="s">
        <v>1189</v>
      </c>
      <c r="K304" s="2" t="s">
        <v>1190</v>
      </c>
      <c r="L304" s="2" t="s">
        <v>1191</v>
      </c>
      <c r="M304" s="2" t="s">
        <v>1192</v>
      </c>
    </row>
    <row r="305" customFormat="false" ht="15.75" hidden="false" customHeight="false" outlineLevel="0" collapsed="false">
      <c r="A305" s="1" t="n">
        <v>100814</v>
      </c>
      <c r="B305" s="1" t="s">
        <v>1193</v>
      </c>
      <c r="C305" s="1" t="s">
        <v>1194</v>
      </c>
      <c r="D305" s="1" t="n">
        <v>7</v>
      </c>
      <c r="E305" s="1" t="n">
        <v>0</v>
      </c>
      <c r="F305" s="1" t="n">
        <v>0</v>
      </c>
      <c r="G305" s="1" t="n">
        <v>0</v>
      </c>
      <c r="H305" s="1" t="n">
        <v>0</v>
      </c>
      <c r="I305" s="2" t="s">
        <v>1195</v>
      </c>
      <c r="J305" s="2" t="s">
        <v>1196</v>
      </c>
      <c r="K305" s="2" t="s">
        <v>1197</v>
      </c>
    </row>
    <row r="306" customFormat="false" ht="15.75" hidden="false" customHeight="false" outlineLevel="0" collapsed="false">
      <c r="A306" s="1" t="n">
        <v>232105</v>
      </c>
      <c r="B306" s="1" t="s">
        <v>1119</v>
      </c>
      <c r="C306" s="1" t="s">
        <v>1194</v>
      </c>
      <c r="D306" s="1" t="n">
        <v>7</v>
      </c>
      <c r="E306" s="1" t="n">
        <v>1</v>
      </c>
      <c r="F306" s="1" t="n">
        <v>0</v>
      </c>
      <c r="G306" s="1" t="n">
        <v>0</v>
      </c>
      <c r="H306" s="1" t="n">
        <v>0</v>
      </c>
      <c r="I306" s="2" t="s">
        <v>1198</v>
      </c>
      <c r="J306" s="2" t="s">
        <v>1199</v>
      </c>
      <c r="K306" s="2" t="s">
        <v>1200</v>
      </c>
    </row>
    <row r="307" customFormat="false" ht="15.75" hidden="false" customHeight="false" outlineLevel="0" collapsed="false">
      <c r="A307" s="1" t="n">
        <v>107325</v>
      </c>
      <c r="B307" s="1" t="s">
        <v>598</v>
      </c>
      <c r="C307" s="1" t="s">
        <v>1194</v>
      </c>
      <c r="D307" s="1" t="n">
        <v>7</v>
      </c>
      <c r="E307" s="1" t="n">
        <v>0</v>
      </c>
      <c r="F307" s="1" t="n">
        <v>0</v>
      </c>
      <c r="G307" s="1" t="n">
        <v>0</v>
      </c>
      <c r="H307" s="1" t="n">
        <v>0</v>
      </c>
      <c r="I307" s="2" t="s">
        <v>1201</v>
      </c>
      <c r="J307" s="2" t="s">
        <v>1202</v>
      </c>
    </row>
  </sheetData>
  <autoFilter ref="A1:P312">
    <sortState ref="A2:P312">
      <sortCondition ref="A2:A312" customList=""/>
    </sortState>
  </autoFilter>
  <hyperlinks>
    <hyperlink ref="I2" r:id="rId1" display="https://drive.google.com/file/d/11DyCmGNVTG_ivDFBkITgp5iXayINvjDm/view?usp=drivesdk"/>
    <hyperlink ref="J2" r:id="rId2" display="https://drive.google.com/file/d/1HtN-xkextwP5jX3ZNHzyi7ZxRy1vfE2K/view?usp=drivesdk"/>
    <hyperlink ref="K2" r:id="rId3" display="https://drive.google.com/file/d/1eZT1Q65jK3nmfGTxsd1ibuYnZhmrfHNq/view?usp=drivesdk"/>
    <hyperlink ref="L2" r:id="rId4" display="https://drive.google.com/file/d/1ZU_MLXeTHxn-5eq8b2jGGm9zGDRZorXx/view?usp=drivesdk"/>
    <hyperlink ref="M2" r:id="rId5" display="https://drive.google.com/file/d/107Eb0U6cyS8F8-DFrehECDfwVveJZTqu/view?usp=drivesdk"/>
    <hyperlink ref="N2" r:id="rId6" display="https://drive.google.com/file/d/1Y4nh1L8uY_fRECrWcmtf1K2HeR5cuFnw/view?usp=drivesdk"/>
    <hyperlink ref="O2" r:id="rId7" display="https://drive.google.com/file/d/1BPEHm6ZXHCgRfFmFRQUT6pSiB9cVuwuY/view?usp=drivesdk"/>
    <hyperlink ref="I3" r:id="rId8" display="https://drive.google.com/file/d/1EWBC07aFDCDgahCeuqVgE54hrquVbSc-/view?usp=drivesdk"/>
    <hyperlink ref="J3" r:id="rId9" display="https://drive.google.com/file/d/1MzglUGxXQT7PWJ1PmlnKAvUI3DZe089Y/view?usp=drivesdk"/>
    <hyperlink ref="K3" r:id="rId10" display="https://drive.google.com/file/d/1oWgpZWjX25_BrcwzPD8TlAv56TVQXetw/view?usp=drivesdk"/>
    <hyperlink ref="L3" r:id="rId11" display="https://drive.google.com/file/d/1YTGacUl6IeRadlsOuAiJbRqouTTvE777/view?usp=drivesdk"/>
    <hyperlink ref="M3" r:id="rId12" display="https://drive.google.com/file/d/1znuL8Ylf7f3Tl07WEivm4XxmLSfVukT7/view?usp=drivesdk"/>
    <hyperlink ref="I4" r:id="rId13" display="https://drive.google.com/file/d/1IPFA-ms8bEi33KUPGkQ0cFlHHp8IrZB4/view?usp=drivesdk"/>
    <hyperlink ref="J4" r:id="rId14" display="https://drive.google.com/file/d/12MMwL-ynA92Sl5eW_WQNCkhCy7nOyb41/view?usp=drivesdk"/>
    <hyperlink ref="I5" r:id="rId15" display="https://drive.google.com/file/d/1GVkL87DN76YIEr0KPF0U_iQmM14TmFwX/view?usp=drivesdk"/>
    <hyperlink ref="J5" r:id="rId16" display="https://drive.google.com/file/d/1vkURYVCjNWV4I9-ao8QQM6X_RXH3vFqs/view?usp=drivesdk"/>
    <hyperlink ref="I6" r:id="rId17" display="https://drive.google.com/file/d/12qfaI6trCToyD5w8vXP63rO7Xh5PYwwe/view?usp=drivesdk"/>
    <hyperlink ref="I7" r:id="rId18" display="https://drive.google.com/file/d/18TuqNSldFtjJdgIYZoCrtbK0dMfbISSY/view?usp=drivesdk"/>
    <hyperlink ref="I8" r:id="rId19" display="https://drive.google.com/file/d/15vJx6KqD4KFCL-i0Ki6OFEuxj__ymFrz/view?usp=drivesdk"/>
    <hyperlink ref="I9" r:id="rId20" display="https://drive.google.com/file/d/1ku-vTjU9obw3YDh05cYCh8ITvz_SRzgj/view?usp=drivesdk"/>
    <hyperlink ref="J9" r:id="rId21" display="https://drive.google.com/file/d/1blYmeVBhkTlwm2Hy51MT8MMiTNHn4AAQ/view?usp=drivesdk"/>
    <hyperlink ref="I10" r:id="rId22" display="https://drive.google.com/file/d/1NPafRRwQMa3vy74bKJgh9W4ysZ-6zf9u/view?usp=drivesdk"/>
    <hyperlink ref="J10" r:id="rId23" display="https://drive.google.com/file/d/1rsAa8FdDdVTxsMYhZYWdky2fwHHpQ3cG/view?usp=drivesdk"/>
    <hyperlink ref="I11" r:id="rId24" display="https://drive.google.com/file/d/1IOEmhmAQboPoz1QuC3d2HuRG8qIpDYS2/view?usp=drivesdk"/>
    <hyperlink ref="J11" r:id="rId25" display="https://drive.google.com/file/d/1o2IKPy73RKFglyzNf5U-hNOckpsZAIQx/view?usp=drivesdk"/>
    <hyperlink ref="I12" r:id="rId26" display="https://drive.google.com/file/d/1Oml4Q7sOyqZRh-2a7pW2nfUwv312SXaT/view?usp=drivesdk"/>
    <hyperlink ref="I13" r:id="rId27" display="https://drive.google.com/file/d/1HtRThoTc_QWkE7Fmx-Gzffzoq4Y-zxE9/view?usp=drivesdk"/>
    <hyperlink ref="I14" r:id="rId28" display="https://drive.google.com/file/d/1cDF0pLBKDffctIX50Exf3tAXe1V6RKjC/view?usp=drivesdk"/>
    <hyperlink ref="I15" r:id="rId29" display="https://drive.google.com/file/d/1TXx3yi1X3M7MyfsNVTS4fxDfj-qWxuxl/view?usp=drivesdk"/>
    <hyperlink ref="I16" r:id="rId30" display="https://drive.google.com/file/d/1dnqUkA8vLB29qo7iNkaMq_XGPY8ISr2i/view?usp=drivesdk"/>
    <hyperlink ref="I17" r:id="rId31" display="https://drive.google.com/file/d/1n9fUjJBhhPhk9J0T9e8J1mLwwScn0Lao/view?usp=drivesdk"/>
    <hyperlink ref="J17" r:id="rId32" display="https://drive.google.com/file/d/1PFLtk2_7h275wEnzgLcNElT4h_MUNC7N/view?usp=drivesdk"/>
    <hyperlink ref="I18" r:id="rId33" display="https://drive.google.com/file/d/1i85GIcMvPscivRLONpOQQQyDClC9N7ar/view?usp=drivesdk"/>
    <hyperlink ref="J18" r:id="rId34" display="https://drive.google.com/file/d/1uSswBPaqjWZJrccSXjK2yFxMFd8cMK6s/view?usp=drivesdk"/>
    <hyperlink ref="I19" r:id="rId35" display="https://drive.google.com/file/d/1elDhD-OY-t6BPbY0x11nsmTSUfwYdHQg/view?usp=drivesdk"/>
    <hyperlink ref="J19" r:id="rId36" display="https://drive.google.com/file/d/1S5EpKPtg4Hqcr9mnPkH2xe8JZUOZyZAY/view?usp=drivesdk"/>
    <hyperlink ref="K19" r:id="rId37" display="https://drive.google.com/file/d/1zA2spbK8YEwBB-tjf4AKfLpgHUhITEZ-/view?usp=drivesdk"/>
    <hyperlink ref="I20" r:id="rId38" display="https://drive.google.com/file/d/1XS_SQalBk-Y7KuQxz1z2i-mmADKdqCQe/view?usp=drivesdk"/>
    <hyperlink ref="J20" r:id="rId39" display="https://drive.google.com/file/d/12Owkhne6KSMexCmQKDOBjwNfkiCy4Jjw/view?usp=drivesdk"/>
    <hyperlink ref="K20" r:id="rId40" display="https://drive.google.com/file/d/1b90E__hlfp5mUOBcK9H2_UcwQZ74WNJB/view?usp=drivesdk"/>
    <hyperlink ref="L20" r:id="rId41" display="https://drive.google.com/file/d/1lJYQcwyloEVXF3XAP9Og5UqzYRYGoTUc/view?usp=drivesdk"/>
    <hyperlink ref="I21" r:id="rId42" display="https://drive.google.com/file/d/1ugMOpblkWYJkokPFQyvtUHVIWywsxB4f/view?usp=drivesdk"/>
    <hyperlink ref="J21" r:id="rId43" display="https://drive.google.com/file/d/1Bp9lBvMoUICePULZ7rxotKNnzKGOl1i0/view?usp=drivesdk"/>
    <hyperlink ref="K21" r:id="rId44" display="https://drive.google.com/file/d/1g8DR91c5UC4As_NSl4CvrDCshzxH2ijC/view?usp=drivesdk"/>
    <hyperlink ref="L21" r:id="rId45" display="https://drive.google.com/file/d/1jkg5PSPWcyyN06tiuKFaf2yqZAIQp9-v/view?usp=drivesdk"/>
    <hyperlink ref="I23" r:id="rId46" display="https://drive.google.com/file/d/1VCZBPprNaCMdUpYEwnG8xByTRFQbLVJ3/view?usp=drivesdk"/>
    <hyperlink ref="J23" r:id="rId47" display="https://drive.google.com/file/d/1Zpz-sQly7pSuEgCgHtfUn8_TdUdqd8dU/view?usp=drivesdk"/>
    <hyperlink ref="K23" r:id="rId48" display="https://drive.google.com/file/d/146BjmAS3wqExeBAgvZEPxzOZ4vbi7-m1/view?usp=drivesdk"/>
    <hyperlink ref="L23" r:id="rId49" display="https://drive.google.com/file/d/1OCYiVQPA-KRI19PjyXagY2mlx0gKxq_i/view?usp=drivesdk"/>
    <hyperlink ref="I24" r:id="rId50" display="https://drive.google.com/file/d/19Tki1n01ji0F6Kk2c4JrYlQwojtmfvW4/view?usp=drivesdk"/>
    <hyperlink ref="J24" r:id="rId51" display="https://drive.google.com/file/d/1h99HWDSBxO6GeXeXW4UznspzEiVXF-4l/view?usp=drivesdk"/>
    <hyperlink ref="K24" r:id="rId52" display="https://drive.google.com/file/d/1Zka1HBvZjh7KWe3VCARggz-TnAlFRUJm/view?usp=drivesdk"/>
    <hyperlink ref="L24" r:id="rId53" display="https://drive.google.com/file/d/1d2F-2vL5lY5Vb38HlP9Vwqbq7NXKSGwd/view?usp=drivesdk"/>
    <hyperlink ref="I25" r:id="rId54" display="https://drive.google.com/file/d/1rYcSocIQ3zaNOiebP_iZQ3hEgIPnqqu3/view?usp=drivesdk"/>
    <hyperlink ref="J25" r:id="rId55" display="https://drive.google.com/file/d/1jLoSjYiNrDKYs45mw7Q8MUNPiImYvudJ/view?usp=drivesdk"/>
    <hyperlink ref="K25" r:id="rId56" display="https://drive.google.com/file/d/16pCLv7_bSQhA-g71MCzi7h57KcqXM_Iy/view?usp=drivesdk"/>
    <hyperlink ref="L25" r:id="rId57" display="https://drive.google.com/file/d/1J4kxPjXYWPOEM26jawngwzrJddMC9P3K/view?usp=drivesdk"/>
    <hyperlink ref="I26" r:id="rId58" display="https://drive.google.com/file/d/1jeaFCCUxj5D0DBbmP5p9K0NylgEeBXb1/view?usp=drivesdk"/>
    <hyperlink ref="J26" r:id="rId59" display="https://drive.google.com/file/d/1NECfY3EXgdUmmqmVuDiJEd11saT-owKb/view?usp=drivesdk"/>
    <hyperlink ref="K26" r:id="rId60" display="https://drive.google.com/file/d/10AmW4F_lWiCtCWfI-fdkBvboITpyKurg/view?usp=drivesdk"/>
    <hyperlink ref="L26" r:id="rId61" display="https://drive.google.com/file/d/1Ryun7BTGNZhmt6TXZUEo2ipdYDdS7zcB/view?usp=drivesdk"/>
    <hyperlink ref="I27" r:id="rId62" display="https://drive.google.com/file/d/1usFDPjQ0bx7KwtGjfYFQX4FLK_UeFdcG/view?usp=drivesdk"/>
    <hyperlink ref="J27" r:id="rId63" display="https://drive.google.com/file/d/1dygbDv7m2JxOi7dmATTAKF5UDfz6-hEV/view?usp=drivesdk"/>
    <hyperlink ref="K27" r:id="rId64" display="https://drive.google.com/file/d/1wrFhVsZVWjDZuMTgPKD_FeLvJB-26npy/view?usp=drivesdk"/>
    <hyperlink ref="L27" r:id="rId65" display="https://drive.google.com/file/d/1KYf5DKIs_zflhqSGEP0uiRvny7yITpXZ/view?usp=drivesdk"/>
    <hyperlink ref="I28" r:id="rId66" display="https://drive.google.com/file/d/1AGsbmUxGBHIpaiJIzAOIjP2AgtRPpo10/view?usp=drivesdk"/>
    <hyperlink ref="J28" r:id="rId67" display="https://drive.google.com/file/d/1fAtbDu1KiwFYDzwzWuovrCrEc6OIwt2j/view?usp=drivesdk"/>
    <hyperlink ref="I29" r:id="rId68" display="https://drive.google.com/file/d/1xmi8HhEne-XSPV5_75Caz64anAPFntsy/view?usp=drivesdk"/>
    <hyperlink ref="J29" r:id="rId69" display="https://drive.google.com/file/d/1xDDhi1B8xB-1mjCfTIVqpIe23wqclHDR/view?usp=drivesdk"/>
    <hyperlink ref="K29" r:id="rId70" display="https://drive.google.com/file/d/19_ghNUg5_rBAGX8a3AAjwR-DOwFkImKl/view?usp=drivesdk"/>
    <hyperlink ref="I30" r:id="rId71" display="https://drive.google.com/file/d/17MCY7DnwacUgqS9nnO_5FrzIWrlA0Bes/view?usp=drivesdk"/>
    <hyperlink ref="J30" r:id="rId72" display="https://drive.google.com/file/d/1oZ_IEv-WTRqxq0-7nnoaZnnoCE6s1fJc/view?usp=drivesdk"/>
    <hyperlink ref="K30" r:id="rId73" display="https://drive.google.com/file/d/1OCgakN8BZBLd7h0QdRD2rq-WCabwPTSd/view?usp=drivesdk"/>
    <hyperlink ref="L30" r:id="rId74" display="https://drive.google.com/file/d/1vnss1A3B0MzRWtypVz4W77iTaoKIJsuH/view?usp=drivesdk"/>
    <hyperlink ref="I31" r:id="rId75" display="https://drive.google.com/file/d/1CEue2-2gqriODsNjhQFskdeCKugWxIic/view?usp=drivesdk"/>
    <hyperlink ref="J31" r:id="rId76" display="https://drive.google.com/file/d/1DiQ9NiD-2SFeXpSV0jDxY5X9pW9VmTs7/view?usp=drivesdk"/>
    <hyperlink ref="K31" r:id="rId77" display="https://drive.google.com/file/d/1KWOXmSPvkE_L61EGyOG8mXeVAV0veVFB/view?usp=drivesdk"/>
    <hyperlink ref="I32" r:id="rId78" display="https://drive.google.com/file/d/1IgbeVKCkSLFIwjud2HgrnCIUQUPIoJM7/view?usp=drivesdk"/>
    <hyperlink ref="I33" r:id="rId79" display="https://drive.google.com/file/d/1WRzunmP2eC_QdEPXjjRbnr_vMX196fT1/view?usp=drivesdk"/>
    <hyperlink ref="J33" r:id="rId80" display="https://drive.google.com/file/d/1ZmvPMz6sP6rowJXp1a1g-Kv_6177_hm7/view?usp=drivesdk"/>
    <hyperlink ref="K33" r:id="rId81" display="https://drive.google.com/file/d/1-Osw0Tn-YmPZXy4Yfu6YLSt8ecsr0zPk/view?usp=drivesdk"/>
    <hyperlink ref="L33" r:id="rId82" display="https://drive.google.com/file/d/1TBXwGSr57m20I07r3qe32mm4sVy3Y4f7/view?usp=drivesdk"/>
    <hyperlink ref="I34" r:id="rId83" display="https://drive.google.com/file/d/1rmNLwsx59Qx4W2-mByQyC3f4QTAyuSjw/view?usp=drivesdk"/>
    <hyperlink ref="J34" r:id="rId84" display="https://drive.google.com/file/d/1D5u0R93iNNZJdLDOXXZoACiosKiH_x50/view?usp=drivesdk"/>
    <hyperlink ref="K34" r:id="rId85" display="https://drive.google.com/file/d/10Yld1EfqOEp3zeYR7waqJUusz5P76NjD/view?usp=drivesdk"/>
    <hyperlink ref="L34" r:id="rId86" display="https://drive.google.com/file/d/1Vnz8m1ONpyyVVI8OsBapI-hjY2LEhoyn/view?usp=drivesdk"/>
    <hyperlink ref="I35" r:id="rId87" display="https://drive.google.com/file/d/1--d4xMXodBCFH_9fLl2K4rIG_uxVFCjr/view?usp=drivesdk"/>
    <hyperlink ref="J35" r:id="rId88" display="https://drive.google.com/file/d/1Z94BP3UGA8qYLP-4jISUsqVmyic8lcsY/view?usp=drivesdk"/>
    <hyperlink ref="I36" r:id="rId89" display="https://drive.google.com/file/d/1c01n9iGXwRQlmJCq1vL7tEhMy_RZ2CD7/view?usp=drivesdk"/>
    <hyperlink ref="J36" r:id="rId90" display="https://drive.google.com/file/d/1DZpJ29fJdG-cLNZKT1YQjbEy2Tep1J6Z/view?usp=drivesdk"/>
    <hyperlink ref="I37" r:id="rId91" display="https://drive.google.com/file/d/1abV_IEfeUOoUFjw8legxMWgyY_Oz7ZbN/view?usp=drivesdk"/>
    <hyperlink ref="J37" r:id="rId92" display="https://drive.google.com/file/d/1KLAlYwJ4YVKSzA-0m4P7CkaVBixc3es4/view?usp=drivesdk"/>
    <hyperlink ref="K37" r:id="rId93" display="https://drive.google.com/file/d/1NMbYP9jTl5oHJpR9rByoLWIj7IGuOwJZ/view?usp=drivesdk"/>
    <hyperlink ref="I38" r:id="rId94" display="https://drive.google.com/file/d/1mJXbYdt71KGqCmdXiJY4xzxD-KL0FiOt/view?usp=drivesdk"/>
    <hyperlink ref="J38" r:id="rId95" display="https://drive.google.com/file/d/1QSXcqD4tjrkP1Myh0NPMZXRx6c3-2ya4/view?usp=drivesdk"/>
    <hyperlink ref="I39" r:id="rId96" display="https://drive.google.com/file/d/1ISP0-XXiWrc0x7q8IO1rm7Y7bZ8JskY1/view?usp=drivesdk"/>
    <hyperlink ref="J39" r:id="rId97" display="https://drive.google.com/file/d/1KihAV4QbUYvjtEsIskinRr9Rr6gA29he/view?usp=drivesdk"/>
    <hyperlink ref="K39" r:id="rId98" display="https://drive.google.com/file/d/12f_fDKG5R8VXoS-zgdQ8rAM2QsDAeH_J/view?usp=drivesdk"/>
    <hyperlink ref="L39" r:id="rId99" display="https://drive.google.com/file/d/10wMg9NgDzALkcHieCPg6D2_26nuEw9px/view?usp=drivesdk"/>
    <hyperlink ref="I40" r:id="rId100" display="https://drive.google.com/file/d/1H46UyJ-qhljzlujWzwA-I97cpafozqLp/view?usp=drivesdk"/>
    <hyperlink ref="J40" r:id="rId101" display="https://drive.google.com/file/d/1dVL6Eunm-sQgfY9nCOOhqvIZ6pNacN-i/view?usp=drivesdk"/>
    <hyperlink ref="I41" r:id="rId102" display="https://drive.google.com/file/d/1iag5WOefLxiqnbcOUNeySMoMsOGBbxeU/view?usp=drivesdk"/>
    <hyperlink ref="J41" r:id="rId103" display="https://drive.google.com/file/d/13rYBSXWAhmE1_631Azr9hqu6HZN7CHuI/view?usp=drivesdk"/>
    <hyperlink ref="K41" r:id="rId104" display="https://drive.google.com/file/d/13XjOrduQbcpf4O7cugGiVh9LLK4RhoQF/view?usp=drivesdk"/>
    <hyperlink ref="L41" r:id="rId105" display="https://drive.google.com/file/d/1rqtC_Nlr9WMX5dxzyddAQv1lrvdqggiS/view?usp=drivesdk"/>
    <hyperlink ref="I42" r:id="rId106" display="https://drive.google.com/file/d/1hvj6PIno1wY0A5gqZXIZCPc2PfG-Uc88/view?usp=drivesdk"/>
    <hyperlink ref="J42" r:id="rId107" display="https://drive.google.com/file/d/146Dga4JtEmU--yax25VopTz38LXUsWlQ/view?usp=drivesdk"/>
    <hyperlink ref="K42" r:id="rId108" display="https://drive.google.com/file/d/1tyKENWgYb_3AMbVukMF6hSspD0wdn2f3/view?usp=drivesdk"/>
    <hyperlink ref="L42" r:id="rId109" display="https://drive.google.com/file/d/1FS-AoUqjhNS9c0-YJ1DiXQ4bC_SMsfUi/view?usp=drivesdk"/>
    <hyperlink ref="I43" r:id="rId110" display="https://drive.google.com/file/d/1MFJ7LNMD5IBQWrZ_6l-tdkK_SftCOF5i/view?usp=drivesdk"/>
    <hyperlink ref="J43" r:id="rId111" display="https://drive.google.com/file/d/1K8AHOgQV3jYxdYXf7nK6sIabx_DEtbd7/view?usp=drivesdk"/>
    <hyperlink ref="I44" r:id="rId112" display="https://drive.google.com/file/d/11Jw71eSPwkx7Bf13Ypyx3jL4nasOkG10/view?usp=drivesdk"/>
    <hyperlink ref="J44" r:id="rId113" display="https://drive.google.com/file/d/1KUz_mc222xmN5rNgyIVvh5teRBB-qYRm/view?usp=drivesdk"/>
    <hyperlink ref="K44" r:id="rId114" display="https://drive.google.com/file/d/1eNJ2lDZuSWDvgud6yN1DQ4gpQ0Xta4QB/view?usp=drivesdk"/>
    <hyperlink ref="I45" r:id="rId115" display="https://drive.google.com/file/d/1xiNsCcvKI7XGtTYGUWS4A0Ez5L0fAB1s/view?usp=drivesdk"/>
    <hyperlink ref="J45" r:id="rId116" display="https://drive.google.com/file/d/1AKw71qER-2oDQ_KMx7KJv4jShwLxK-16/view?usp=drivesdk"/>
    <hyperlink ref="K45" r:id="rId117" display="https://drive.google.com/file/d/1Gu3KXm-BxaGTFi_oj6vaMmtOZnjeZLLH/view?usp=drivesdk"/>
    <hyperlink ref="L45" r:id="rId118" display="https://drive.google.com/file/d/1y_bgGyglXoKBfeczbclwjzh9OFDf6uG4/view?usp=drivesdk"/>
    <hyperlink ref="I46" r:id="rId119" display="https://drive.google.com/file/d/1t9UzzA7b1AwAjPsQ0XUCgmh1ImyaK5xz/view?usp=drivesdk"/>
    <hyperlink ref="J46" r:id="rId120" display="https://drive.google.com/file/d/1ED_5OHzGASD8-jLv_sCsxj0QJH2HZAKN/view?usp=drivesdk"/>
    <hyperlink ref="K46" r:id="rId121" display="https://drive.google.com/file/d/1n4Ihd7hQpWnx69XXs_lF3IFPx7U-CL9T/view?usp=drivesdk"/>
    <hyperlink ref="L46" r:id="rId122" display="https://drive.google.com/file/d/12Ct-H0eDTmGzJIhjBJY6NeggTPqdNvfZ/view?usp=drivesdk"/>
    <hyperlink ref="I47" r:id="rId123" display="https://drive.google.com/file/d/1_ea7AitcrJ2RSR4VEi_q1q8M6PenHzu7/view?usp=drivesdk"/>
    <hyperlink ref="J47" r:id="rId124" display="https://drive.google.com/file/d/1M27LDkBMiBHRjiHuTBI18dOW8sMmrFkv/view?usp=drivesdk"/>
    <hyperlink ref="I48" r:id="rId125" display="https://drive.google.com/file/d/1OXP0J8t3jObJ-lGRTwuv_HnuL8gjBXHj/view?usp=drivesdk"/>
    <hyperlink ref="J48" r:id="rId126" display="https://drive.google.com/file/d/1hOhm6uS9KZc41ow1ZnGTSQoxsMDltSTU/view?usp=drivesdk"/>
    <hyperlink ref="K48" r:id="rId127" display="https://drive.google.com/file/d/1shwbzTplHls8GXEZtSL5dpwbetbvbnEO/view?usp=drivesdk"/>
    <hyperlink ref="L48" r:id="rId128" display="https://drive.google.com/file/d/1fabroA3mXvTWT-4rf8JqyAmeo2Sb3UcY/view?usp=drivesdk"/>
    <hyperlink ref="I49" r:id="rId129" display="https://drive.google.com/file/d/12oFrpKcauDnSpY2IPiB5o3TpHwmqeWKu/view?usp=drivesdk"/>
    <hyperlink ref="J49" r:id="rId130" display="https://drive.google.com/file/d/1O51dFTMGSEto5v_snqVRKfOrr1WbgPqz/view?usp=drivesdk"/>
    <hyperlink ref="K49" r:id="rId131" display="https://drive.google.com/file/d/1-wv2zFFFBUF4XiOxdEbC6-WADab8sx2W/view?usp=drivesdk"/>
    <hyperlink ref="L49" r:id="rId132" display="https://drive.google.com/file/d/1Pnct-jROeQEN0XwN9X02aaENH38zoS48/view?usp=drivesdk"/>
    <hyperlink ref="I50" r:id="rId133" display="https://drive.google.com/file/d/18KS0Rv71909PM6wVDP5zj408x-Fw2eU5/view?usp=drivesdk"/>
    <hyperlink ref="J50" r:id="rId134" display="https://drive.google.com/file/d/1w-crruHoUsvabo1rkHsbNYgXDOjZpA_I/view?usp=drivesdk"/>
    <hyperlink ref="K50" r:id="rId135" display="https://drive.google.com/file/d/18HfvBH_KhwnW_3AVDe2XIQ9Q0O0aj5fs/view?usp=drivesdk"/>
    <hyperlink ref="I51" r:id="rId136" display="https://drive.google.com/file/d/1XUAeZ7BC0vm5fdMOc3BYbEGAzFR7jSLB/view?usp=drivesdk"/>
    <hyperlink ref="J51" r:id="rId137" display="https://drive.google.com/file/d/1CP8Up5bvOPm7yByAIgn7UQ_WtjCmwOyM/view?usp=drivesdk"/>
    <hyperlink ref="K51" r:id="rId138" display="https://drive.google.com/file/d/1uZFdncf9IscB6-c_bdy6FzbcjeTP_RII/view?usp=drivesdk"/>
    <hyperlink ref="I52" r:id="rId139" display="https://drive.google.com/file/d/18gnObGo-HIfCNQIZdsTHYZTpJITDOh_I/view?usp=drivesdk"/>
    <hyperlink ref="J52" r:id="rId140" display="https://drive.google.com/file/d/1lBIxnRN1bBbtmZYfokv-cNqLVTVEyV0E/view?usp=drivesdk"/>
    <hyperlink ref="K52" r:id="rId141" display="https://drive.google.com/file/d/1UyLTmhYkiOkKU_UCjN8YyNMyZ5hTUXwK/view?usp=drivesdk"/>
    <hyperlink ref="L52" r:id="rId142" display="https://drive.google.com/file/d/1BJ5GP_xBpS4684RS9-SkV2ha_lUanbx3/view?usp=drivesdk"/>
    <hyperlink ref="M52" r:id="rId143" display="https://drive.google.com/file/d/1p9Se1PIpzu2QBsyfDd8qNEIbShK9WN1t/view?usp=drivesdk"/>
    <hyperlink ref="N52" r:id="rId144" display="https://drive.google.com/file/d/10qVbKHZBcYO_vJ7iWYZyaNfYHrczHpgF/view?usp=drivesdk"/>
    <hyperlink ref="I53" r:id="rId145" display="https://drive.google.com/file/d/1NVkJxyajBsnaKph4DC4Ae8kLzL7aglVH/view?usp=drivesdk"/>
    <hyperlink ref="J53" r:id="rId146" display="https://drive.google.com/file/d/1ETpAXwtavsNHCMVLvgBj3QP3CXrfq1ij/view?usp=drivesdk"/>
    <hyperlink ref="K53" r:id="rId147" display="https://drive.google.com/file/d/1hAoPqmVwp07lI8CuajZXH1Lo7l1sXCaB/view?usp=drivesdk"/>
    <hyperlink ref="L53" r:id="rId148" display="https://drive.google.com/file/d/1tT-zLt-6q3OkvRbvqibSQnv5G9cmDy77/view?usp=drivesdk"/>
    <hyperlink ref="I54" r:id="rId149" display="https://drive.google.com/file/d/1rJUADVHsc0fOgGUEl0yavJkfyyqf8Q5M/view?usp=drivesdk"/>
    <hyperlink ref="J54" r:id="rId150" display="https://drive.google.com/file/d/1lOX9-Xv825EQaSjiQ3m55GI2soZM8UmQ/view?usp=drivesdk"/>
    <hyperlink ref="I55" r:id="rId151" display="https://drive.google.com/file/d/1FSS9bMwF-W7RhRdXfxeJ1M0FhwpsEYJ5/view?usp=drivesdk"/>
    <hyperlink ref="J55" r:id="rId152" display="https://drive.google.com/file/d/1PFjzRZzmBeQE8TUhNn1im0NJIPjc5CV5/view?usp=drivesdk"/>
    <hyperlink ref="K55" r:id="rId153" display="https://drive.google.com/file/d/1fIUjlS_y3Zubf5q4W7MsQWn9664k-syk/view?usp=drivesdk"/>
    <hyperlink ref="I56" r:id="rId154" display="https://drive.google.com/file/d/18ePMci0q1WNpVojBHksvBPyD_N-oY6fC/view?usp=drivesdk"/>
    <hyperlink ref="J56" r:id="rId155" display="https://drive.google.com/file/d/1zcHsipFLfTZUbgHvcrLzVm63P4epFJAA/view?usp=drivesdk"/>
    <hyperlink ref="K56" r:id="rId156" display="https://drive.google.com/file/d/1UbqLU1WNxGcGGsIdJ2796TKnPcyFMVU4/view?usp=drivesdk"/>
    <hyperlink ref="I57" r:id="rId157" display="https://drive.google.com/file/d/1m4LSkqq2tqLfG6kfJp6w1_F8IknwE10j/view?usp=drivesdk"/>
    <hyperlink ref="J57" r:id="rId158" display="https://drive.google.com/file/d/1zkbu6H3iXg1cjAQSLtHxLIjBAVTuLqdq/view?usp=drivesdk"/>
    <hyperlink ref="K57" r:id="rId159" display="https://drive.google.com/file/d/1MaO81CnsVpacQGC8-ASGzYsAK3DAl2ri/view?usp=drivesdk"/>
    <hyperlink ref="I58" r:id="rId160" display="https://drive.google.com/file/d/1kpfUZWJssYprHQBTdCqkUg-F819MNBpU/view?usp=drivesdk"/>
    <hyperlink ref="J58" r:id="rId161" display="https://drive.google.com/file/d/14fjho6RrhMIOoYnBGwq9_wgXXGchaF-m/view?usp=drivesdk"/>
    <hyperlink ref="K58" r:id="rId162" display="https://drive.google.com/file/d/13MKYO61P6jYkgOir5iH9h59byEG9miVV/view?usp=drivesdk"/>
    <hyperlink ref="I59" r:id="rId163" display="https://drive.google.com/file/d/1wH9uMb4KSYpuv1awKtAp3QXmvGe0V4GZ/view?usp=drivesdk"/>
    <hyperlink ref="J59" r:id="rId164" display="https://drive.google.com/file/d/1GhdBSYQDL40GDsjWogYwBwbe___Al0OM/view?usp=drivesdk"/>
    <hyperlink ref="K59" r:id="rId165" display="https://drive.google.com/file/d/1eFQua7TBToKKRn_1W6IZgKNrbeblhzYs/view?usp=drivesdk"/>
    <hyperlink ref="I60" r:id="rId166" display="https://drive.google.com/file/d/1wv1O8CGH1P9CCZm9PboeIy5FbNKzitJw/view?usp=drivesdk"/>
    <hyperlink ref="I61" r:id="rId167" display="https://drive.google.com/file/d/1Ol9QF9zq1UwtdNzxb2tgk68E2t3wNlJu/view?usp=drivesdk"/>
    <hyperlink ref="J61" r:id="rId168" display="https://drive.google.com/file/d/10TiNhqxSqsiUwc5kpRc7OJ4Z1i9fyvk8/view?usp=drivesdk"/>
    <hyperlink ref="K61" r:id="rId169" display="https://drive.google.com/file/d/1LT09QoEOVlV9HUAg-zMxtbJRrRTpBlGn/view?usp=drivesdk"/>
    <hyperlink ref="I62" r:id="rId170" display="https://drive.google.com/file/d/1DO4g_VSkSGQFmkS82mPxVmgRV7Quek5s/view?usp=drivesdk"/>
    <hyperlink ref="J62" r:id="rId171" display="https://drive.google.com/file/d/1fH_A2OvwE3F2DcAlWAwWgK8rPsRDElH2/view?usp=drivesdk"/>
    <hyperlink ref="K62" r:id="rId172" display="https://drive.google.com/file/d/1iF0hY6HJlD4TUo95iKZK7BXt5NGdpRck/view?usp=drivesdk"/>
    <hyperlink ref="I63" r:id="rId173" display="https://drive.google.com/file/d/1FVzNNc93cdrvbHyttTY7IQxtRsazrJHg/view?usp=drivesdk"/>
    <hyperlink ref="J63" r:id="rId174" display="https://drive.google.com/file/d/1LRz6IvLhqH9fuI95S5zCdyyhp855n68Z/view?usp=drivesdk"/>
    <hyperlink ref="K63" r:id="rId175" display="https://drive.google.com/file/d/1vqP69IXS5P6VAIbmLT8ZYYtLVF2oUkkE/view?usp=drivesdk"/>
    <hyperlink ref="I64" r:id="rId176" display="https://drive.google.com/file/d/1KG3n_JAIcRG8WGj8SawdUqup6FcGL6uq/view?usp=drivesdk"/>
    <hyperlink ref="J64" r:id="rId177" display="https://drive.google.com/file/d/12a2pH11DEr5aCX9LV4nOb3PqDq5bNzbZ/view?usp=drivesdk"/>
    <hyperlink ref="I65" r:id="rId178" display="https://drive.google.com/file/d/1V4FasFvh43lkvwHvkQFqox_iXQdVhWbm/view?usp=drivesdk"/>
    <hyperlink ref="I66" r:id="rId179" display="https://drive.google.com/file/d/1abJ9sKuB854PttaHNdCaryIFqRUq4LMb/view?usp=drivesdk"/>
    <hyperlink ref="J66" r:id="rId180" display="https://drive.google.com/file/d/1Wh5GAtQotcE6-vafUqkVxIKTiqxiRDL4/view?usp=drivesdk"/>
    <hyperlink ref="K66" r:id="rId181" display="https://drive.google.com/file/d/1Su9zmPMlhYnp-w1v17fyHkgMvTrVNfPL/view?usp=drivesdk"/>
    <hyperlink ref="I67" r:id="rId182" display="https://drive.google.com/file/d/1vQXWm3R6j_JX5ELAq8tqmcP4h57T9GWM/view?usp=drivesdk"/>
    <hyperlink ref="J67" r:id="rId183" display="https://drive.google.com/file/d/1RhKFMe47J3cpOeCu-opfcgz91fGRveyt/view?usp=drivesdk"/>
    <hyperlink ref="K67" r:id="rId184" display="https://drive.google.com/file/d/198PpIAmcR4quNYD9FtB15cuMescS5KKP/view?usp=drivesdk"/>
    <hyperlink ref="I68" r:id="rId185" display="https://drive.google.com/file/d/1ga5BBthqh6iIGDM8WU3OV2pZW7CEHgZA/view?usp=drivesdk"/>
    <hyperlink ref="J68" r:id="rId186" display="https://drive.google.com/file/d/1KXqy4La7YVkBeR1mnXfPmDvFliwkJb2D/view?usp=drivesdk"/>
    <hyperlink ref="K68" r:id="rId187" display="https://drive.google.com/file/d/1nKlpd_1CMicK3s402ilGGa1zGqNbAkOX/view?usp=drivesdk"/>
    <hyperlink ref="I69" r:id="rId188" display="https://drive.google.com/file/d/1DST_4btsURE97yWiD-gplMjCVoJjbTxI/view?usp=drivesdk"/>
    <hyperlink ref="J69" r:id="rId189" display="https://drive.google.com/file/d/1Tnyzh0w-D1-s4eO4KHTKHaiondwrc4ro/view?usp=drivesdk"/>
    <hyperlink ref="K69" r:id="rId190" display="https://drive.google.com/file/d/1Vt9fVBBK8SNNeryaino2wU1x4DJvCGkx/view?usp=drivesdk"/>
    <hyperlink ref="I70" r:id="rId191" display="https://drive.google.com/file/d/1monlEb_AT_0LZFlsyF-Pt4IdwTSZ0oGw/view?usp=drivesdk"/>
    <hyperlink ref="J70" r:id="rId192" display="https://drive.google.com/file/d/1w4HYX8v6o4giuc2I4WrWcMXDbv0MrZW6/view?usp=drivesdk"/>
    <hyperlink ref="K70" r:id="rId193" display="https://drive.google.com/file/d/1RMkDGZaJ_Hhtobp50Xn5hTKA9rHYFE-s/view?usp=drivesdk"/>
    <hyperlink ref="I71" r:id="rId194" display="https://drive.google.com/file/d/1QRIpZMVf-aCGs2Cs1HjChy3AK8ivQLmi/view?usp=drivesdk"/>
    <hyperlink ref="J71" r:id="rId195" display="https://drive.google.com/file/d/1wwAwhI8SiqbnWwWJZ6SM2RPxj5F2TVtB/view?usp=drivesdk"/>
    <hyperlink ref="K71" r:id="rId196" display="https://drive.google.com/file/d/1PaWLjACglloF6-vVBFVq1lEv-kInOV6B/view?usp=drivesdk"/>
    <hyperlink ref="I72" r:id="rId197" display="https://drive.google.com/file/d/1N7IX0Dn9oEqcy9JhtRlNywqUcUjwhHX7/view?usp=drivesdk"/>
    <hyperlink ref="J72" r:id="rId198" display="https://drive.google.com/file/d/1tRNeNWPePQx5PeSmurtPIAaRop4BRfvC/view?usp=drivesdk"/>
    <hyperlink ref="K72" r:id="rId199" display="https://drive.google.com/file/d/13mM246MSB8kTySX3wLtPKCdKZFG3sxlr/view?usp=drivesdk"/>
    <hyperlink ref="I73" r:id="rId200" display="https://drive.google.com/file/d/1BDmUdJT_kBA1eS7-z02-3S2n2Oybkuj9/view?usp=drivesdk"/>
    <hyperlink ref="J73" r:id="rId201" display="https://drive.google.com/file/d/1LBhroW4Wvzt6T_N6-Z9iPSs8BAoM26DP/view?usp=drivesdk"/>
    <hyperlink ref="K73" r:id="rId202" display="https://drive.google.com/file/d/1O8euPVTvHArVlPNX7rnAP731pqZdMc5o/view?usp=drivesdk"/>
    <hyperlink ref="I74" r:id="rId203" display="https://drive.google.com/file/d/1rwA3xihgZNh9O9YAK50KJoYoT8uN4Vvy/view?usp=drivesdk"/>
    <hyperlink ref="J74" r:id="rId204" display="https://drive.google.com/file/d/1WL2-S7KWwsmNgxIv1UfTeCRKTkanqSZV/view?usp=drivesdk"/>
    <hyperlink ref="K74" r:id="rId205" display="https://drive.google.com/file/d/1xJrAcZiSpN8VfuvKsFnobZk6sr5a4n81/view?usp=drivesdk"/>
    <hyperlink ref="I75" r:id="rId206" display="https://drive.google.com/file/d/1IhE5sKnNckMSr4kUpHN5Jvie2NHMe55a/view?usp=drivesdk"/>
    <hyperlink ref="J75" r:id="rId207" display="https://drive.google.com/file/d/1v_aTxVlI3GLHQgY3r0rWXjVn73LGYMdT/view?usp=drivesdk"/>
    <hyperlink ref="K75" r:id="rId208" display="https://drive.google.com/file/d/1pCSozqfdBQ3WT6_Vl1vf7FcDEYllYcax/view?usp=drivesdk"/>
    <hyperlink ref="I76" r:id="rId209" display="https://drive.google.com/file/d/1-iBZ8iHM_Rc-sDtK-BaX-KkBy-Rc6kHh/view?usp=drivesdk"/>
    <hyperlink ref="J76" r:id="rId210" display="https://drive.google.com/file/d/1kkAuVFUxZs3Ko1wwSaR2z24nmDjmx-fD/view?usp=drivesdk"/>
    <hyperlink ref="I77" r:id="rId211" display="https://drive.google.com/file/d/1u1Mmr9PIk3ur60PeMs6RpYT8_8q0ajFg/view?usp=drivesdk"/>
    <hyperlink ref="J77" r:id="rId212" display="https://drive.google.com/file/d/1W_4AFAiFMnc4XK7ZpljLpQHkHsscY29_/view?usp=drivesdk"/>
    <hyperlink ref="K77" r:id="rId213" display="https://drive.google.com/file/d/1yxPw35_2TbVTKDrkISthVYQkEgF1OX4E/view?usp=drivesdk"/>
    <hyperlink ref="I78" r:id="rId214" display="https://drive.google.com/file/d/1TS87HyjfhEKAGkV1rLBb0GZCw9O1kj5n/view?usp=drivesdk"/>
    <hyperlink ref="J78" r:id="rId215" display="https://drive.google.com/file/d/1rneWLK-KIPtSE6Pz_aX-J4YCuyrPc83Y/view?usp=drivesdk"/>
    <hyperlink ref="K78" r:id="rId216" display="https://drive.google.com/file/d/1KchufPUKrjrLLoAcGhLv8jO2SYaQ5zaT/view?usp=drivesdk"/>
    <hyperlink ref="I79" r:id="rId217" display="https://drive.google.com/file/d/1MC2VZMwERNAOgChWh-QWvWBo5kGx3AHG/view?usp=drivesdk"/>
    <hyperlink ref="J79" r:id="rId218" display="https://drive.google.com/file/d/1BNiVVQIHdjwc6DyczMEtGTrwAHhHyVHK/view?usp=drivesdk"/>
    <hyperlink ref="K79" r:id="rId219" display="https://drive.google.com/file/d/1uGylT1Dc7Y7hWLRqAM7eXUiWs-oSB8Xv/view?usp=drivesdk"/>
    <hyperlink ref="I80" r:id="rId220" display="https://drive.google.com/file/d/1ADKcm9hQc4UF6eulOERevAEJa_8LpRbP/view?usp=drivesdk"/>
    <hyperlink ref="J80" r:id="rId221" display="https://drive.google.com/file/d/1yFmeXLQmXhX9skUvYtpkFEY8-JdXXMPG/view?usp=drivesdk"/>
    <hyperlink ref="K80" r:id="rId222" display="https://drive.google.com/file/d/1DCB9JaIEKkEjfsEmMB5PNCMHWShuCOG_/view?usp=drivesdk"/>
    <hyperlink ref="I81" r:id="rId223" display="https://drive.google.com/file/d/1IQgfVelIKe6lpWbsWAkRlEIdcYch-YYN/view?usp=drivesdk"/>
    <hyperlink ref="J81" r:id="rId224" display="https://drive.google.com/file/d/1E1VElBcJ5OdOB8vCr1hYmGgvpiUN6shA/view?usp=drivesdk"/>
    <hyperlink ref="K81" r:id="rId225" display="https://drive.google.com/file/d/1bp7ykyVeCJ06vxMRMIlUvSCzVTkn4gJs/view?usp=drivesdk"/>
    <hyperlink ref="I82" r:id="rId226" display="https://drive.google.com/file/d/17OVHkb5lsTens0h3sdGMxFg6UsJ1l_bm/view?usp=drivesdk"/>
    <hyperlink ref="J82" r:id="rId227" display="https://drive.google.com/file/d/186tKLS169lbDZp5cBbmYYNSreA7rW7QG/view?usp=drivesdk"/>
    <hyperlink ref="K82" r:id="rId228" display="https://drive.google.com/file/d/1D82sMWC4o-y1YWiT4Ls-gkwnlJNWtBTd/view?usp=drivesdk"/>
    <hyperlink ref="I83" r:id="rId229" display="https://drive.google.com/file/d/1MKjGPtS9_-YGeMjuf8SesiysHq4rlDH5/view?usp=drivesdk"/>
    <hyperlink ref="J83" r:id="rId230" display="https://drive.google.com/file/d/1obBIg1JLKUNMDpmWaRnPlOo--pyKwtF-/view?usp=drivesdk"/>
    <hyperlink ref="K83" r:id="rId231" display="https://drive.google.com/file/d/1Gz-ag-FBvYA9eeH2vqG18zgeebnwrxJ1/view?usp=drivesdk"/>
    <hyperlink ref="L83" r:id="rId232" display="https://drive.google.com/file/d/1PcltE8ojKffIRB8XCUxt8hQHyADW8p54/view?usp=drivesdk"/>
    <hyperlink ref="M83" r:id="rId233" display="https://drive.google.com/file/d/1pAFcpt6AoiEm9cxqgWVyu1luGFeHfJcO/view?usp=drivesdk"/>
    <hyperlink ref="I84" r:id="rId234" display="https://drive.google.com/file/d/1e0LAGnUG6OBuOFHYTNw0nWl--bs7Nug5/view?usp=drivesdk"/>
    <hyperlink ref="J84" r:id="rId235" display="https://drive.google.com/file/d/1ruMUrqM3jGTo5BbKpf5OcCWF1n0CJWXP/view?usp=drivesdk"/>
    <hyperlink ref="K84" r:id="rId236" display="https://drive.google.com/file/d/1dGrA6qqSizTc81mIaau_wBtE6I8jfSaf/view?usp=drivesdk"/>
    <hyperlink ref="I85" r:id="rId237" display="https://drive.google.com/file/d/1iZ2QM4ulRmMGpxdrJMWtsabpQf3bBRXh/view?usp=drivesdk"/>
    <hyperlink ref="J85" r:id="rId238" display="https://drive.google.com/file/d/1gU2YWKVzOxoVpynNZqJHkXV-rryDSSzm/view?usp=drivesdk"/>
    <hyperlink ref="K85" r:id="rId239" display="https://drive.google.com/file/d/1UtLFd0Wn9P6U5yD_tgDgh5s5i613Mxru/view?usp=drivesdk"/>
    <hyperlink ref="L85" r:id="rId240" display="https://drive.google.com/file/d/11vH7dNqil5rBfxfrObV6b1gIsEzoCJDC/view?usp=drivesdk"/>
    <hyperlink ref="I86" r:id="rId241" display="https://drive.google.com/file/d/17Ng2P3BZXlGJTxLA_mrSXdLOFMB298t6/view?usp=drivesdk"/>
    <hyperlink ref="J86" r:id="rId242" display="https://drive.google.com/file/d/1nny3sHz6YcTtF49VANPduO2iUkpo9jjc/view?usp=drivesdk"/>
    <hyperlink ref="K86" r:id="rId243" display="https://drive.google.com/file/d/12imvTrOkvspyJ96bD7Fgol14jvj9tF3r/view?usp=drivesdk"/>
    <hyperlink ref="I87" r:id="rId244" display="https://drive.google.com/file/d/118i7Vy0-laFOvb3_YX8tI2Xrxw3JMK6n/view?usp=drivesdk"/>
    <hyperlink ref="J87" r:id="rId245" display="https://drive.google.com/file/d/1A28cfBfrETk_tZASelACc80P4ZZhDr0e/view?usp=drivesdk"/>
    <hyperlink ref="K87" r:id="rId246" display="https://drive.google.com/file/d/1o8l53mbxnvg1Xqa7hJVonJ1I1TenFtqP/view?usp=drivesdk"/>
    <hyperlink ref="I88" r:id="rId247" display="https://drive.google.com/file/d/1opCibKlUFUgYI3esCBAqV0F68e0spvzR/view?usp=drivesdk"/>
    <hyperlink ref="J88" r:id="rId248" display="https://drive.google.com/file/d/1SLZZC0O1FC2VC4l_jliSwlZHVRRDPD4Q/view?usp=drivesdk"/>
    <hyperlink ref="K88" r:id="rId249" display="https://drive.google.com/file/d/1TmVOA_j1PSPVyV3MaYoKXdTGsyMTmeZh/view?usp=drivesdk"/>
    <hyperlink ref="L88" r:id="rId250" display="https://drive.google.com/file/d/1HvGsdPCRh43rkIoU6XvnrJqpLlbMa5WO/view?usp=drivesdk"/>
    <hyperlink ref="I89" r:id="rId251" display="https://drive.google.com/file/d/1jx91Z3YuTFueSQP3ViDel2-JFhXS0DMz/view?usp=drivesdk"/>
    <hyperlink ref="J89" r:id="rId252" display="https://drive.google.com/file/d/1rIBrpjpOd-x_28U2bYs3tl7fpz0rUoi3/view?usp=drivesdk"/>
    <hyperlink ref="K89" r:id="rId253" display="https://drive.google.com/file/d/19EeZB3B8xB5dI8Dy--outYg0lvIdU6jX/view?usp=drivesdk"/>
    <hyperlink ref="L89" r:id="rId254" display="https://drive.google.com/file/d/1JJdc70FPdya4ZXGj8nVaE8N_Giw8OqcS/view?usp=drivesdk"/>
    <hyperlink ref="M89" r:id="rId255" display="https://drive.google.com/file/d/1SB4TaV0pFOdECOHwcOGG48nFhlnZ98FJ/view?usp=drivesdk"/>
    <hyperlink ref="N89" r:id="rId256" display="https://drive.google.com/file/d/148-bumVwi9kfv8q8jh8Ur1UJuuz7K97O/view?usp=drivesdk"/>
    <hyperlink ref="I90" r:id="rId257" display="https://drive.google.com/file/d/1912yTEs4WNOqgm-IY-2O320XxULwO-Wn/view?usp=drivesdk"/>
    <hyperlink ref="J90" r:id="rId258" display="https://drive.google.com/file/d/1gFyU3t0kANHfFUv-ubK8_eGj5kfHu48K/view?usp=drivesdk"/>
    <hyperlink ref="K90" r:id="rId259" display="https://drive.google.com/file/d/1QuyJ0_6EnqrJL0jkLdPxTBSZYTuD9P9F/view?usp=drivesdk"/>
    <hyperlink ref="L90" r:id="rId260" display="https://drive.google.com/file/d/1UTvXU9n4Y-yGp4BwuP4_RFfwFyaOxx8C/view?usp=drivesdk"/>
    <hyperlink ref="I91" r:id="rId261" display="https://drive.google.com/file/d/1vMqhOd8aoFBUhTNWcrkfUNXjD9FH1Rwl/view?usp=drivesdk"/>
    <hyperlink ref="J91" r:id="rId262" display="https://drive.google.com/file/d/1IBusWQC_8p80lMH0uD-_JKJbNZeMPaP5/view?usp=drivesdk"/>
    <hyperlink ref="K91" r:id="rId263" display="https://drive.google.com/file/d/1LucdyhZDlmU057dGs8zPVZ851fuQrqb0/view?usp=drivesdk"/>
    <hyperlink ref="L91" r:id="rId264" display="https://drive.google.com/file/d/10pRlpfa8hOWXA5ACavL0A-0kZSdJKrfb/view?usp=drivesdk"/>
    <hyperlink ref="I93" r:id="rId265" display="https://drive.google.com/file/d/1hkxdseUuEYzuchtZ3pBM6SieJYtBIIAW/view?usp=drivesdk"/>
    <hyperlink ref="J93" r:id="rId266" display="https://drive.google.com/file/d/1enVL_fXpGkwV9Q4AM4ZwwSj9Rq_bohCN/view?usp=drivesdk"/>
    <hyperlink ref="K93" r:id="rId267" display="https://drive.google.com/file/d/1_hZiCUs9HkmWhF8TTbWJCx20jSBvkpIS/view?usp=drivesdk"/>
    <hyperlink ref="L93" r:id="rId268" display="https://drive.google.com/file/d/1S3HTa5rAvzv4k76wNOS_O7vVZAGg1Nw0/view?usp=drivesdk"/>
    <hyperlink ref="I94" r:id="rId269" display="https://drive.google.com/file/d/1pEbOQOGDcusC9kF4PxHzEQwiUxRTblEN/view?usp=drivesdk"/>
    <hyperlink ref="J94" r:id="rId270" display="https://drive.google.com/file/d/1D9d-jTyLSaiedNVwjQ3VsaYoOzWGMkdU/view?usp=drivesdk"/>
    <hyperlink ref="K94" r:id="rId271" display="https://drive.google.com/file/d/1SqajHUl_C2yqUpS6H6cBkZWI-UsZeogk/view?usp=drivesdk"/>
    <hyperlink ref="L94" r:id="rId272" display="https://drive.google.com/file/d/1wAsHy89GBMmbNbE5HgcFp_oX1claEodo/view?usp=drivesdk"/>
    <hyperlink ref="I95" r:id="rId273" display="https://drive.google.com/file/d/1d9-bMCqTAjgvpJe4Y2CQ5V0COb4C8tI1/view?usp=drivesdk"/>
    <hyperlink ref="J95" r:id="rId274" display="https://drive.google.com/file/d/1ftURJbUhqAD0r5xi_JP-0WKvtm1HdaOI/view?usp=drivesdk"/>
    <hyperlink ref="K95" r:id="rId275" display="https://drive.google.com/file/d/1tYfXVq7d0BAgmcw58IG5w4nGcdCwnFdW/view?usp=drivesdk"/>
    <hyperlink ref="I96" r:id="rId276" display="https://drive.google.com/file/d/1_lA6C0F60gdT6qUaxaQyTCtpkXss1gOp/view?usp=drivesdk"/>
    <hyperlink ref="J96" r:id="rId277" display="https://drive.google.com/file/d/16hA1xMSor7-LfGzVSEtq0xxRa0JHYD8C/view?usp=drivesdk"/>
    <hyperlink ref="K96" r:id="rId278" display="https://drive.google.com/file/d/1cVHEcq6_hU2eUYpCeL8KoojCtU7w35HK/view?usp=drivesdk"/>
    <hyperlink ref="L96" r:id="rId279" display="https://drive.google.com/file/d/1ao3dMKyoOErzJ9BZ5aFg_KLSoDlyRQxo/view?usp=drivesdk"/>
    <hyperlink ref="M96" r:id="rId280" display="https://drive.google.com/file/d/126olD4ONekjjp6M2HrqY9EKZDd58T2Iz/view?usp=drivesdk"/>
    <hyperlink ref="I97" r:id="rId281" display="https://drive.google.com/file/d/1xIetJMVSs2bpd3Sg_Othsn1Q-nmoE411/view?usp=drivesdk"/>
    <hyperlink ref="J97" r:id="rId282" display="https://drive.google.com/file/d/1k9Kd6nv5_KLewFw5ViOUdRYAGJZmjlKj/view?usp=drivesdk"/>
    <hyperlink ref="K97" r:id="rId283" display="https://drive.google.com/file/d/1JRqLNP_x28niIJyVxt6ZgW9xl77lTJI8/view?usp=drivesdk"/>
    <hyperlink ref="L97" r:id="rId284" display="https://drive.google.com/file/d/1dPBdi5KID3n2lUcqGqwfHbuvCBHuqJOH/view?usp=drivesdk"/>
    <hyperlink ref="I98" r:id="rId285" display="https://drive.google.com/file/d/1SVrMhJaR2kn7u4nGLVlq9jdMulXlSQSs/view?usp=drivesdk"/>
    <hyperlink ref="J98" r:id="rId286" display="https://drive.google.com/file/d/1ouZDrKd6S6P5UNcL3VJoJkZXXRo2d8fP/view?usp=drivesdk"/>
    <hyperlink ref="K98" r:id="rId287" display="https://drive.google.com/file/d/1OcHt-13eHnjCMOntiDGzkGWjEQAZQYfy/view?usp=drivesdk"/>
    <hyperlink ref="I99" r:id="rId288" display="https://drive.google.com/file/d/1t0my085jQNqdAzHtZlMyQQjL-mXGF83J/view?usp=drivesdk"/>
    <hyperlink ref="J99" r:id="rId289" display="https://drive.google.com/file/d/1lQFteNfFByrHhpo5JO2oQe6XFfmn-v65/view?usp=drivesdk"/>
    <hyperlink ref="K99" r:id="rId290" display="https://drive.google.com/file/d/1s5p0BweN70mQNAthv0-v9rl_PgUbjHbz/view?usp=drivesdk"/>
    <hyperlink ref="L99" r:id="rId291" display="https://drive.google.com/file/d/1H2YHLXq7z15CXx6VjhzOU9dwdI_BnXEW/view?usp=drivesdk"/>
    <hyperlink ref="I100" r:id="rId292" display="https://drive.google.com/file/d/1M-siiZpRydUdcrGDmvPHN2_vLA87a1cj/view?usp=drivesdk"/>
    <hyperlink ref="J100" r:id="rId293" display="https://drive.google.com/file/d/1AzEaN_1wetrg7BarDIW_ep_Q9TYVk5x9/view?usp=drivesdk"/>
    <hyperlink ref="I101" r:id="rId294" display="https://drive.google.com/file/d/1RPtRgmfUEy8kaNRBiBO90rIizzAqW_RU/view?usp=drivesdk"/>
    <hyperlink ref="J101" r:id="rId295" display="https://drive.google.com/file/d/1RZn_yn2wNUfHOotc_Mx3WASGsHAuhxCf/view?usp=drivesdk"/>
    <hyperlink ref="K101" r:id="rId296" display="https://drive.google.com/file/d/1jKl1IjGBqX0dqOAzVg9iCH41yu9hkjw5/view?usp=drivesdk"/>
    <hyperlink ref="L101" r:id="rId297" display="https://drive.google.com/file/d/1swfNqtE0E3uAtZFxihPM7TC3mOL6SLPP/view?usp=drivesdk"/>
    <hyperlink ref="I102" r:id="rId298" display="https://drive.google.com/file/d/1r791JvRnVjOEp7rC_thxjKWi3SLBy6XO/view?usp=drivesdk"/>
    <hyperlink ref="J102" r:id="rId299" display="https://drive.google.com/file/d/1dY2Bva8I6fPFahQ-MUxmNAAFgq1NByVo/view?usp=drivesdk"/>
    <hyperlink ref="K102" r:id="rId300" display="https://drive.google.com/file/d/1vO3fcxja4HspAajCedaJ2NVakvqvkQKy/view?usp=drivesdk"/>
    <hyperlink ref="I103" r:id="rId301" display="https://drive.google.com/file/d/1MyUp0lu2kAbfU1cmu-n6if7F1cVnJbZk/view?usp=drivesdk"/>
    <hyperlink ref="J103" r:id="rId302" display="https://drive.google.com/file/d/1S-IyZ9EvuWeQCRa4_Jlf81jKF1q-WVrI/view?usp=drivesdk"/>
    <hyperlink ref="I104" r:id="rId303" display="https://drive.google.com/file/d/1SLLD9Bxp2QEIcl9P4qb3kWxUjDINjPim/view?usp=drivesdk"/>
    <hyperlink ref="J104" r:id="rId304" display="https://drive.google.com/file/d/1cW5PJZFlI1lmDIQTGQ64Gm29fPrVoIar/view?usp=drivesdk"/>
    <hyperlink ref="K104" r:id="rId305" display="https://drive.google.com/file/d/1wyK3uKuzYJ3yfzYkpq12ghj4Lts7o_Rq/view?usp=drivesdk"/>
    <hyperlink ref="I105" r:id="rId306" display="https://drive.google.com/file/d/16_qBZnXFIByIW3_O8rM4uMlQzdtZTSZU/view?usp=drivesdk"/>
    <hyperlink ref="J105" r:id="rId307" display="https://drive.google.com/file/d/1Gtr2ECFdH9-klH-siZ61uHvlZoDjyMx5/view?usp=drivesdk"/>
    <hyperlink ref="K105" r:id="rId308" display="https://drive.google.com/file/d/102JvpfDQypuOgz9lU_af4NDa7Ks0LbSC/view?usp=drivesdk"/>
    <hyperlink ref="L105" r:id="rId309" display="https://drive.google.com/file/d/1rMkfdhY3UPCG6zOuQlaKaTyenFelT7Xz/view?usp=drivesdk"/>
    <hyperlink ref="I106" r:id="rId310" display="https://drive.google.com/file/d/1LITAmnOJsTPNgDhQe7XLZQZPpBA9-rc2/view?usp=drivesdk"/>
    <hyperlink ref="J106" r:id="rId311" display="https://drive.google.com/file/d/17ZCZnlDJZ6eJfTtzOTx_-35_jyqE80c5/view?usp=drivesdk"/>
    <hyperlink ref="K106" r:id="rId312" display="https://drive.google.com/file/d/1BeqJWPTq8uGWc_mtfQ1d5pRm034aGNIz/view?usp=drivesdk"/>
    <hyperlink ref="L106" r:id="rId313" display="https://drive.google.com/file/d/1uF35u4GCb13Xxdbe-ZYvGAgqps_TWoT_/view?usp=drivesdk"/>
    <hyperlink ref="I107" r:id="rId314" display="https://drive.google.com/file/d/1g6eHNIrGRYSGX_Nv4fWCq6uHGEyNDQys/view?usp=drivesdk"/>
    <hyperlink ref="J107" r:id="rId315" display="https://drive.google.com/file/d/12z7fEDelrCWBrRDxN9jD6bfVVDnBdFW2/view?usp=drivesdk"/>
    <hyperlink ref="K107" r:id="rId316" display="https://drive.google.com/file/d/1P1C-yEHRm9lZR2nTwLakt_411b8wBnRT/view?usp=drivesdk"/>
    <hyperlink ref="L107" r:id="rId317" display="https://drive.google.com/file/d/1icEmvJ-5EY6kkUK7lMcA0CvQPeyNGQk7/view?usp=drivesdk"/>
    <hyperlink ref="I108" r:id="rId318" display="https://drive.google.com/file/d/15UpumuLiZL4znR8nkMq99lGrY1PxfFbK/view?usp=drivesdk"/>
    <hyperlink ref="I109" r:id="rId319" display="https://drive.google.com/file/d/11GQYSO-bx5P0Ppmx9vq69JVSpU0RtUHE/view?usp=drivesdk"/>
    <hyperlink ref="J109" r:id="rId320" display="https://drive.google.com/file/d/1wGzebfIecQsr3VhGE3aUmWAxrL6HRDFp/view?usp=drivesdk"/>
    <hyperlink ref="I110" r:id="rId321" display="https://drive.google.com/file/d/1YOF6Gc2cIaDAhfSaHXNzPOOq4riBLoxC/view?usp=drivesdk"/>
    <hyperlink ref="J110" r:id="rId322" display="https://drive.google.com/file/d/1ZW4T5b2V_kdsILdQGxG8HubYaekqfzjV/view?usp=drivesdk"/>
    <hyperlink ref="K110" r:id="rId323" display="https://drive.google.com/file/d/1BNYv3_SH_WtVlnnVnGt7ivgKkyu2LCz3/view?usp=drivesdk"/>
    <hyperlink ref="I111" r:id="rId324" display="https://drive.google.com/file/d/1-3KLOo9uVBGGRmaxs9U_Ao7sypDhHoi3/view?usp=drivesdk"/>
    <hyperlink ref="J111" r:id="rId325" display="https://drive.google.com/file/d/1o5UFmXRkA82lA8mPwMPinuiC1d3uF1Hz/view?usp=drivesdk"/>
    <hyperlink ref="K111" r:id="rId326" display="https://drive.google.com/file/d/1wOcCEqHUg6SV5Qo-96s1Bl3PvGUCBC0C/view?usp=drivesdk"/>
    <hyperlink ref="L111" r:id="rId327" display="https://drive.google.com/file/d/1jtOcmHXg7yCVz_7O6h5aYuKzMShIrd-v/view?usp=drivesdk"/>
    <hyperlink ref="I112" r:id="rId328" display="https://drive.google.com/file/d/1dUEKHr1J6XzAjrlclp40pMKhnQccNbhP/view?usp=drivesdk"/>
    <hyperlink ref="J112" r:id="rId329" display="https://drive.google.com/file/d/1bM-Y2fxQxBl13cGk_R3NeJo6TXgQXIoj/view?usp=drivesdk"/>
    <hyperlink ref="K112" r:id="rId330" display="https://drive.google.com/file/d/1cuQlf2L0gzHrZQBGX47nvyi8t17eJYuG/view?usp=drivesdk"/>
    <hyperlink ref="I113" r:id="rId331" display="https://drive.google.com/file/d/1NA4nlDKQ1XubahrjLTc8fBWczh-jtmmY/view?usp=drivesdk"/>
    <hyperlink ref="J113" r:id="rId332" display="https://drive.google.com/file/d/151eaziXYr1acIesn2t2B8biFe0XhLMNK/view?usp=drivesdk"/>
    <hyperlink ref="K113" r:id="rId333" display="https://drive.google.com/file/d/1PuX5yOgehDnlmCYm5rhuFrrnoP-cuLIs/view?usp=drivesdk"/>
    <hyperlink ref="L113" r:id="rId334" display="https://drive.google.com/file/d/1iZNYjwdpeArWrwhh76l9-EtNGOvUCV2e/view?usp=drivesdk"/>
    <hyperlink ref="I114" r:id="rId335" display="https://drive.google.com/file/d/1YF-2u-BYNNexSKrEQB1O6JeLeB-unJWz/view?usp=drivesdk"/>
    <hyperlink ref="I115" r:id="rId336" display="https://drive.google.com/file/d/1XPJl0egSnRbWii2v7Av9guZ7yq-xRR_m/view?usp=drivesdk"/>
    <hyperlink ref="J115" r:id="rId337" display="https://drive.google.com/file/d/19sY9V6rbqvjaAN08Ymof41apwy9ibHsL/view?usp=drivesdk"/>
    <hyperlink ref="K115" r:id="rId338" display="https://drive.google.com/file/d/1RTo_F7gglrg1YaIY1UcdAlSw2QJc6rPy/view?usp=drivesdk"/>
    <hyperlink ref="L115" r:id="rId339" display="https://drive.google.com/file/d/1RNBJFod8suiB0dbcSIehlwwHUyvN0AKj/view?usp=drivesdk"/>
    <hyperlink ref="M115" r:id="rId340" display="https://drive.google.com/file/d/13sEUq7OdGoi2kV6Ii1m_VgIbKNAA2tO7/view?usp=drivesdk"/>
    <hyperlink ref="N115" r:id="rId341" display="https://drive.google.com/file/d/1HHF73GNjQMW1btivkx-DmcnZNmwaciIb/view?usp=drivesdk"/>
    <hyperlink ref="O115" r:id="rId342" display="https://drive.google.com/file/d/184p1DYuOnLPjO-rBrFX0JstK9DINyeBl/view?usp=drivesdk"/>
    <hyperlink ref="P115" r:id="rId343" display="https://drive.google.com/file/d/1OHxWRj1LXc45MuY3Evd2VHHRvpK6j4Er/view?usp=drivesdk"/>
    <hyperlink ref="I116" r:id="rId344" display="https://drive.google.com/file/d/1ojSZ7ypabYAorLVx89_C7VXOPXLvRLLU/view?usp=drivesdk"/>
    <hyperlink ref="I117" r:id="rId345" display="https://drive.google.com/file/d/1T6D3Olt4ST2_dGJXYtzuaZCx_6s7QDEM/view?usp=drivesdk"/>
    <hyperlink ref="J117" r:id="rId346" display="https://drive.google.com/file/d/1KwwfEV5Mathz-q8ie5Lpx5UJvJe_lOFi/view?usp=drivesdk"/>
    <hyperlink ref="I118" r:id="rId347" display="https://drive.google.com/file/d/10tGQAOP9o4zf5c0X4aAlpjl0I500lSdX/view?usp=drivesdk"/>
    <hyperlink ref="J118" r:id="rId348" display="https://drive.google.com/file/d/1W2lzDSpKzdaQTNILXpgqR8e-sj4p_GC7/view?usp=drivesdk"/>
    <hyperlink ref="K118" r:id="rId349" display="https://drive.google.com/file/d/114crIuij3jN9OLHc26UMm_YUIaU-84Wt/view?usp=drivesdk"/>
    <hyperlink ref="I119" r:id="rId350" display="https://drive.google.com/file/d/1TaQ8ERM7BFSs9xnDrEsKKMHDYt657XmU/view?usp=drivesdk"/>
    <hyperlink ref="I120" r:id="rId351" display="https://drive.google.com/file/d/18R3b5zVTuQkJ7-uicW5TsAmKHYvpR61N/view?usp=drivesdk"/>
    <hyperlink ref="I121" r:id="rId352" display="https://drive.google.com/file/d/13IGVF-BagckC1X2qLYj_v614hs21wEpo/view?usp=drivesdk"/>
    <hyperlink ref="J121" r:id="rId353" display="https://drive.google.com/file/d/1uTHKYKTVnU8X4H4zUVnMRiPYoLYth6Ok/view?usp=drivesdk"/>
    <hyperlink ref="I122" r:id="rId354" display="https://drive.google.com/file/d/1-NBwPSSQvxen1GepPtGDyGz3yssVmgxG/view?usp=drivesdk"/>
    <hyperlink ref="I123" r:id="rId355" display="https://drive.google.com/file/d/1ATEPZ2TZWNbDR0d17X1XtC61RVgt5VgF/view?usp=drivesdk"/>
    <hyperlink ref="J123" r:id="rId356" display="https://drive.google.com/file/d/1PQ14XD6BEBA1WNlfMQXDw07K1NUt5Ag5/view?usp=drivesdk"/>
    <hyperlink ref="K123" r:id="rId357" display="https://drive.google.com/file/d/1R4znWVe04CmmsBSEjMnoGqYLv2hhlXnA/view?usp=drivesdk"/>
    <hyperlink ref="L123" r:id="rId358" display="https://drive.google.com/file/d/1BONtbdDTT7FkTC9kd541mFzAHNauKzWs/view?usp=drivesdk"/>
    <hyperlink ref="I124" r:id="rId359" display="https://drive.google.com/file/d/1Wc0wjd_Wq1hmNxMZvtsCBqiZxurGUSwS/view?usp=drivesdk"/>
    <hyperlink ref="J124" r:id="rId360" display="https://drive.google.com/file/d/1n6rmXEE1seCrTNqGtvMlUxhGXLhfEJvQ/view?usp=drivesdk"/>
    <hyperlink ref="K124" r:id="rId361" display="https://drive.google.com/file/d/1DfqyPmwAW6YIPyNbRH0_D3STF6uxx4Ur/view?usp=drivesdk"/>
    <hyperlink ref="L124" r:id="rId362" display="https://drive.google.com/file/d/1x5QVEWRBPWctffkrafkqCs_p9bQb21rY/view?usp=drivesdk"/>
    <hyperlink ref="I125" r:id="rId363" display="https://drive.google.com/file/d/1vy3dkFVkK9Smqp9hoxPr7o8SomqyZ6LE/view?usp=drivesdk"/>
    <hyperlink ref="J125" r:id="rId364" display="https://drive.google.com/file/d/1-lLcaJJ3t1p0WCS5tbS2CZAr0mPGOfoe/view?usp=drivesdk"/>
    <hyperlink ref="K125" r:id="rId365" display="https://drive.google.com/file/d/1cBppetxD8Qsfsf14YHyBxTD0JO8SJa5Q/view?usp=drivesdk"/>
    <hyperlink ref="L125" r:id="rId366" display="https://drive.google.com/file/d/1Gs9b0TCjjMil4yN6l8yocmhkBy6QiTcz/view?usp=drivesdk"/>
    <hyperlink ref="M125" r:id="rId367" display="https://drive.google.com/file/d/1HAEOXr9w4K-e9v3yEVY1icsr4AeN4_Of/view?usp=drivesdk"/>
    <hyperlink ref="I126" r:id="rId368" display="https://drive.google.com/file/d/1G6Crq6DRJYilnSx-p5_7tZREP2ONKnd2/view?usp=drivesdk"/>
    <hyperlink ref="J126" r:id="rId369" display="https://drive.google.com/file/d/1vRdjxSqjCyJZaGFp_HFyd5hG-D0C4JR1/view?usp=drivesdk"/>
    <hyperlink ref="I127" r:id="rId370" display="https://drive.google.com/file/d/1ba3-MYHjKHQf5Po8u17zxMhdWVzX3yFf/view?usp=drivesdk"/>
    <hyperlink ref="I128" r:id="rId371" display="https://drive.google.com/file/d/1_b9Md0kAsqUDizY0qm3X3CPvzQEAY-p4/view?usp=drivesdk"/>
    <hyperlink ref="Q128" r:id="rId372" display="https://drive.google.com/file/d/1kG-tEFhBR1fTVB2iN-ZEFkLAem7KgF76/view?usp=drivesdk"/>
    <hyperlink ref="R128" r:id="rId373" display="https://drive.google.com/file/d/1o6GbTuqs921U7XtiPqtMBl1H78lDDxIf/view?usp=drivesdk"/>
    <hyperlink ref="S128" r:id="rId374" display="https://drive.google.com/file/d/1P4gmm9id3xAooxCpRUkvkzq2CeNnetX5/view?usp=drivesdk"/>
    <hyperlink ref="I129" r:id="rId375" display="https://drive.google.com/file/d/1MxKDZLhcngL5No-5v5Nf7PsjHg7SrcgI/view?usp=drivesdk"/>
    <hyperlink ref="J129" r:id="rId376" display="https://drive.google.com/file/d/10tZ-jPlH9XXPU_dBVw9h1KYk0Bcpoaes/view?usp=drivesdk"/>
    <hyperlink ref="K129" r:id="rId377" display="https://drive.google.com/file/d/1kgCFDN9L-qRWfiIZO321OH86uX4ssddE/view?usp=drivesdk"/>
    <hyperlink ref="I130" r:id="rId378" display="https://drive.google.com/file/d/1B95WrowhGy2wOqzlGi8R3DUOrIGSKvsE/view?usp=drivesdk"/>
    <hyperlink ref="J130" r:id="rId379" display="https://drive.google.com/file/d/1GCnKivWXpeoYSBVZfmlzSyRCmmSrO8mR/view?usp=drivesdk"/>
    <hyperlink ref="K130" r:id="rId380" display="https://drive.google.com/file/d/1VdVmxKwsDVe3ggvM8HHule8MNYp1h_7P/view?usp=drivesdk"/>
    <hyperlink ref="L130" r:id="rId381" display="https://drive.google.com/file/d/1t2E9chjv4DAQV-uzYGudybGjX_dDy6mw/view?usp=drivesdk"/>
    <hyperlink ref="I131" r:id="rId382" display="https://drive.google.com/file/d/1S8a1g9lEnG-UNN2b4lDjS6uGux_jQXW4/view?usp=drivesdk"/>
    <hyperlink ref="J131" r:id="rId383" display="https://drive.google.com/file/d/1vU-D64e8p3gvY2G8OI3HLTDm9dz997OY/view?usp=drivesdk"/>
    <hyperlink ref="K131" r:id="rId384" display="https://drive.google.com/file/d/1PEdvnCkLlUGJchkx_rCCssvFkKk-mmpP/view?usp=drivesdk"/>
    <hyperlink ref="L131" r:id="rId385" display="https://drive.google.com/file/d/1ZBxI1tSb58GZbFMvgld1MR80qtAhCQs3/view?usp=drivesdk"/>
    <hyperlink ref="M131" r:id="rId386" display="https://drive.google.com/file/d/1kUikGVQ5LVnQ0rKaVlMcEXXzubGNk_r4/view?usp=drivesdk"/>
    <hyperlink ref="I132" r:id="rId387" display="https://drive.google.com/file/d/1luiiRj3SYGHKUz0FpCPFBjC2pe_GEGYE/view?usp=drivesdk"/>
    <hyperlink ref="J132" r:id="rId388" display="https://drive.google.com/file/d/1xXY1DY05UcIIXwx11IN1nTK1BHfJr3IK/view?usp=drivesdk"/>
    <hyperlink ref="K132" r:id="rId389" display="https://drive.google.com/file/d/1K4zlBQvYd9db2tJ0M315OOeYU0GMBNQg/view?usp=drivesdk"/>
    <hyperlink ref="L132" r:id="rId390" display="https://drive.google.com/file/d/1PE8wxlJ_rNjRRFKLS0pluLR5VcMwPBwX/view?usp=drivesdk"/>
    <hyperlink ref="M132" r:id="rId391" display="https://drive.google.com/file/d/1lVuIYMu7Xec9gum1mQd5Y7oQP8JAtM8D/view?usp=drivesdk"/>
    <hyperlink ref="N132" r:id="rId392" display="https://drive.google.com/file/d/1Rtpq8-pLvT6mEZsAs6HZLDn7to6MNdVB/view?usp=drivesdk"/>
    <hyperlink ref="I133" r:id="rId393" display="https://drive.google.com/file/d/1Cy610pyKl6wNYkOO-Ku4r6mqs9c8PAvn/view?usp=drivesdk"/>
    <hyperlink ref="J133" r:id="rId394" display="https://drive.google.com/file/d/1bAMILx7rbp3jV22lYo6drVD5ddIdr_2f/view?usp=drivesdk"/>
    <hyperlink ref="K133" r:id="rId395" display="https://drive.google.com/file/d/1Qdz5RX1DSLx0oCScSHCDtNMdG-jGev0X/view?usp=drivesdk"/>
    <hyperlink ref="I134" r:id="rId396" display="https://drive.google.com/file/d/1lKFjRO508MCkvvPokmPw5T_9rQQUaido/view?usp=drivesdk"/>
    <hyperlink ref="J134" r:id="rId397" display="https://drive.google.com/file/d/13yZY8HxyEudOM-S2LjnspXOfo3Nz4gEl/view?usp=drivesdk"/>
    <hyperlink ref="I135" r:id="rId398" display="https://drive.google.com/file/d/1PIQ7bZ64PnWV77vNhctjQXseG7EkKtlH/view?usp=drivesdk"/>
    <hyperlink ref="J135" r:id="rId399" display="https://drive.google.com/file/d/1WqRCOP8f-tzPjHp6FtxkRGvJIPDiLSLy/view?usp=drivesdk"/>
    <hyperlink ref="K135" r:id="rId400" display="https://drive.google.com/file/d/15g-7I8hxQvxrMMhT7-fwmtVniR1HaBqS/view?usp=drivesdk"/>
    <hyperlink ref="I136" r:id="rId401" display="https://drive.google.com/file/d/1gY9VF_HOO-dgZPiWHOJlCs7jRHDbZrd1/view?usp=drivesdk"/>
    <hyperlink ref="J136" r:id="rId402" display="https://drive.google.com/file/d/1FamPTRONmhZieGNvZaFCuS088TvtYemU/view?usp=drivesdk"/>
    <hyperlink ref="I137" r:id="rId403" display="https://drive.google.com/file/d/1jfWk1rvhRhM2h2yBPbov7SrtkJVqfX-f/view?usp=drivesdk"/>
    <hyperlink ref="J137" r:id="rId404" display="https://drive.google.com/file/d/1QVWam82pm3DpRaMCsrGL_VhkorDhNhnU/view?usp=drivesdk"/>
    <hyperlink ref="I138" r:id="rId405" display="https://drive.google.com/file/d/1c3En2jxg0UJeOVKMQYVd2iBwNxQ1T8za/view?usp=drivesdk"/>
    <hyperlink ref="J138" r:id="rId406" display="https://drive.google.com/file/d/1qNgJNBPZP0Mgv4uwSZZQet1ZjPpuRpAV/view?usp=drivesdk"/>
    <hyperlink ref="K138" r:id="rId407" display="https://drive.google.com/file/d/1Z9gajJhMnPAnBM-KazRx0lRIO5R3vMVw/view?usp=drivesdk"/>
    <hyperlink ref="L138" r:id="rId408" display="https://drive.google.com/file/d/1E1LVsOz1n1o72Y8W7RJb7ZtaWcCyOsRM/view?usp=drivesdk"/>
    <hyperlink ref="I139" r:id="rId409" display="https://drive.google.com/file/d/1kdXMk1geM-cJMmgtlASVwMBD4CW6bwPu/view?usp=drivesdk"/>
    <hyperlink ref="J139" r:id="rId410" display="https://drive.google.com/file/d/1ZHzPl6Ga9-3Jj0quZ2i8S4wsRjpv_hXS/view?usp=drivesdk"/>
    <hyperlink ref="K139" r:id="rId411" display="https://drive.google.com/file/d/1IXE5KKe_XBdGKbUAHbToJdO5EHPh1AS3/view?usp=drivesdk"/>
    <hyperlink ref="L139" r:id="rId412" display="https://drive.google.com/file/d/1BHDH7aAG2ncfP5YMdvVc2lpsY7lQ8jeM/view?usp=drivesdk"/>
    <hyperlink ref="M139" r:id="rId413" display="https://drive.google.com/file/d/1eL6DClf2nGDwwdTQCB6JRPd6DP2XXE8Y/view?usp=drivesdk"/>
    <hyperlink ref="N139" r:id="rId414" display="https://drive.google.com/file/d/18DDN5n42FXTqcfW--DCGMwsxGpDNqLCh/view?usp=drivesdk"/>
    <hyperlink ref="I140" r:id="rId415" display="https://drive.google.com/file/d/1qIDB4Q9pIZoP_8_Y82LI4jBCQKRkbj5J/view?usp=drivesdk"/>
    <hyperlink ref="J140" r:id="rId416" display="https://drive.google.com/file/d/1tjINLwN8mKfVPX411Ig9xow-6e4JsHJp/view?usp=drivesdk"/>
    <hyperlink ref="K140" r:id="rId417" display="https://drive.google.com/file/d/1H4qI35hWwyuwCfKidlJfNVoJnd8WjHAx/view?usp=drivesdk"/>
    <hyperlink ref="L140" r:id="rId418" display="https://drive.google.com/file/d/1RKJ0HIcVvBqOZsucRvvct69N7cDlNyVv/view?usp=drivesdk"/>
    <hyperlink ref="I141" r:id="rId419" display="https://drive.google.com/file/d/1EpLY-1p9wFdp298-Jv7MM4T_JvHyoxS0/view?usp=drivesdk"/>
    <hyperlink ref="J141" r:id="rId420" display="https://drive.google.com/file/d/1TyO6wcJ9TaOGBeElWOQ0qAyzKKmvCxx7/view?usp=drivesdk"/>
    <hyperlink ref="K141" r:id="rId421" display="https://drive.google.com/file/d/1tZaMOiUj9n4_W4WcFAOxB0hgl_iWsFG3/view?usp=drivesdk"/>
    <hyperlink ref="I142" r:id="rId422" display="https://drive.google.com/file/d/1mOLY7-j49Gi2Y8hxU3Gp6sLJyxo1qhQg/view?usp=drivesdk"/>
    <hyperlink ref="J142" r:id="rId423" display="https://drive.google.com/file/d/1RfLwWhs1S9F6FTb3BCN4YwYruXZ4AInB/view?usp=drivesdk"/>
    <hyperlink ref="K142" r:id="rId424" display="https://drive.google.com/file/d/1Rv95Fu2rhkVvs0_LUVrj_ucl6DKK18c4/view?usp=drivesdk"/>
    <hyperlink ref="I143" r:id="rId425" display="https://drive.google.com/file/d/1iH_tcJMQoqBocPY9lg5sHYZN-vsve9SM/view?usp=drivesdk"/>
    <hyperlink ref="J143" r:id="rId426" display="https://drive.google.com/file/d/1ute6ysQgO0-aBd7uO1gzFAQQ32IYt0-F/view?usp=drivesdk"/>
    <hyperlink ref="K143" r:id="rId427" display="https://drive.google.com/file/d/1kPZ4J8afkZEhg0-tQ94EaZUn0NezkOI6/view?usp=drivesdk"/>
    <hyperlink ref="L143" r:id="rId428" display="https://drive.google.com/file/d/1HgQmjtR2P-4GhpHB7xOMNTLaQeVQb7V2/view?usp=drivesdk"/>
    <hyperlink ref="M143" r:id="rId429" display="https://drive.google.com/file/d/1LvRcHsscjlFvOPiGDKbAfGBYaXpxZaEV/view?usp=drivesdk"/>
    <hyperlink ref="N143" r:id="rId430" display="https://drive.google.com/file/d/1FVPDW-fG87PiD0VmdPfX8rlbzG16l0Xq/view?usp=drivesdk"/>
    <hyperlink ref="I144" r:id="rId431" display="https://drive.google.com/file/d/1mq7O3llfq_ZGqfp0YBoZEV6SbSzIalHm/view?usp=drivesdk"/>
    <hyperlink ref="I145" r:id="rId432" display="https://drive.google.com/file/d/1cCxb-_angEGcVKT5QOglETTgjE93PHc1/view?usp=drivesdk"/>
    <hyperlink ref="J145" r:id="rId433" display="https://drive.google.com/file/d/19wJLYCCiFxLundf8Q5WFLLhXB9xxeBjX/view?usp=drivesdk"/>
    <hyperlink ref="K145" r:id="rId434" display="https://drive.google.com/file/d/1-N66V44sOh7rWQ5z0NdwdLCz7uL6rtUR/view?usp=drivesdk"/>
    <hyperlink ref="L145" r:id="rId435" display="https://drive.google.com/file/d/1MpOXnLxOTnAxKV-6q07IxDhf6ZC1E4c2/view?usp=drivesdk"/>
    <hyperlink ref="M145" r:id="rId436" display="https://drive.google.com/file/d/1GwgshzBABOxf9sd_C1AhtO3Hkyf7HngW/view?usp=drivesdk"/>
    <hyperlink ref="N145" r:id="rId437" display="https://drive.google.com/file/d/18mL_pzCo7lz-QWc9UehPTaKhFD4KWATN/view?usp=drivesdk"/>
    <hyperlink ref="O145" r:id="rId438" display="https://drive.google.com/file/d/1SOPc3-ufTvqZZzMwVwelSuMpQnUMV3AN/view?usp=drivesdk"/>
    <hyperlink ref="P145" r:id="rId439" display="https://drive.google.com/file/d/1aHZrNs3NVFa_-RQV6iPy7CozYJW59_lI/view?usp=drivesdk"/>
    <hyperlink ref="I146" r:id="rId440" display="https://drive.google.com/file/d/1jtOTp42zvlAot--NK013VgW4JRVUbULH/view?usp=drivesdk"/>
    <hyperlink ref="J146" r:id="rId441" display="https://drive.google.com/file/d/1MiYWt4nhtcaWmjQA3yuTg9_6QAQ1ZVX3/view?usp=drivesdk"/>
    <hyperlink ref="K146" r:id="rId442" display="https://drive.google.com/file/d/1erqgInc85Q5xPMmBPx0M1lF4vy9ljqGD/view?usp=drivesdk"/>
    <hyperlink ref="L146" r:id="rId443" display="https://drive.google.com/file/d/1AMl3oXZCi-iTRa_UPxH3vBI-iKB66jIp/view?usp=drivesdk"/>
    <hyperlink ref="M146" r:id="rId444" display="https://drive.google.com/file/d/1JqirA9DQysRk8jTgZg2MNgXXPZ7E5BVP/view?usp=drivesdk"/>
    <hyperlink ref="N146" r:id="rId445" display="https://drive.google.com/file/d/1JsVT5MgtvqFksbF4JHscpsZjKkZhjaKH/view?usp=drivesdk"/>
    <hyperlink ref="O146" r:id="rId446" display="https://drive.google.com/file/d/1cAgD1CrhxwiLE2h-JmkqPIX-TxfJ5-qy/view?usp=drivesdk"/>
    <hyperlink ref="I147" r:id="rId447" display="https://drive.google.com/file/d/1Vl4y_xdv2YXoglLIqja9heSbCbgrFli-/view?usp=drivesdk"/>
    <hyperlink ref="J147" r:id="rId448" display="https://drive.google.com/file/d/1izxTwMNfV3fWGT86xuRgQ9PBj1-Vfr_l/view?usp=drivesdk"/>
    <hyperlink ref="I148" r:id="rId449" display="https://drive.google.com/file/d/1vpcdPq7ZWEatZ-_oJrAPh4GZOi1wrYel/view?usp=drivesdk"/>
    <hyperlink ref="J148" r:id="rId450" display="https://drive.google.com/file/d/1SMU-WjD8thqN8AuhuWPQu4yTuGYY5aQz/view?usp=drivesdk"/>
    <hyperlink ref="K148" r:id="rId451" display="https://drive.google.com/file/d/12nFUHpeRQIpo9EkkbQdiUR7aNE7rXzwx/view?usp=drivesdk"/>
    <hyperlink ref="L148" r:id="rId452" display="https://drive.google.com/file/d/1pxkFpAVR9pSA0Ku4UUVxtnf8zpgRuFlj/view?usp=drivesdk"/>
    <hyperlink ref="I149" r:id="rId453" display="https://drive.google.com/file/d/1soId_lvFtCul9ESEO9QTIiyBsbYFnGI5/view?usp=drivesdk"/>
    <hyperlink ref="I150" r:id="rId454" display="https://drive.google.com/file/d/1KrSVdoUuBXoTj8KPotMf87s9SOpiXAtp/view?usp=drivesdk"/>
    <hyperlink ref="J150" r:id="rId455" display="https://drive.google.com/file/d/1YAqYdO0nepfwxAiI6YsoVQaDx4Y6hf2x/view?usp=drivesdk"/>
    <hyperlink ref="I151" r:id="rId456" display="https://drive.google.com/file/d/15AxcF8JYkdSuplcw-fN53RKhH0_IlYI2/view?usp=drivesdk"/>
    <hyperlink ref="I152" r:id="rId457" display="https://drive.google.com/file/d/1W0Se4ifjuidu-OgEDZrAdEbQiqNoIUs0/view?usp=drivesdk"/>
    <hyperlink ref="I153" r:id="rId458" display="https://drive.google.com/file/d/12hYCqj_yj3lPLwl3OCu8_k_5zlecryVX/view?usp=drivesdk"/>
    <hyperlink ref="I154" r:id="rId459" display="https://drive.google.com/file/d/1KYAghFnyqMq1WLxy4R869R170qnJduEq/view?usp=drivesdk"/>
    <hyperlink ref="I156" r:id="rId460" display="https://drive.google.com/file/d/15CtbxtaiSvJfd3jjxhAeqiXNxzfa_XsP/view?usp=drivesdk"/>
    <hyperlink ref="J156" r:id="rId461" display="https://drive.google.com/file/d/1uTQiKWUZ_UuQg9XU4grE37GdPPGNpmgJ/view?usp=drivesdk"/>
    <hyperlink ref="K156" r:id="rId462" display="https://drive.google.com/file/d/1LsLczcfgK13I9xqSktA2OMoeN_HEx6or/view?usp=drivesdk"/>
    <hyperlink ref="L156" r:id="rId463" display="https://drive.google.com/file/d/1vnLobZwe3ZZdfdDbC3ETtLE9_EBM-t58/view?usp=drivesdk"/>
    <hyperlink ref="M156" r:id="rId464" display="https://drive.google.com/file/d/1m1KGJeBJcx5e9KgVAcG4lV_hAArCgkxB/view?usp=drivesdk"/>
    <hyperlink ref="N156" r:id="rId465" display="https://drive.google.com/file/d/1E8-_tly271l8B79lH6Pub8f1V3ub7JJQ/view?usp=drivesdk"/>
    <hyperlink ref="O156" r:id="rId466" display="https://drive.google.com/file/d/1EkC4KLNz6QUgqTa4DAPyUHYfLxFxF4oA/view?usp=drivesdk"/>
    <hyperlink ref="I157" r:id="rId467" display="https://drive.google.com/file/d/1k33oNA5KISoIoYQAV5eld3p5ISP898KP/view?usp=drivesdk"/>
    <hyperlink ref="J157" r:id="rId468" display="https://drive.google.com/file/d/1DU4w8Q8g-naR5H2-ad9jRKM7Xd7mA9By/view?usp=drivesdk"/>
    <hyperlink ref="K157" r:id="rId469" display="https://drive.google.com/file/d/1MfWo47fGNr8f8_zF5RCElWwiNCxkMyDQ/view?usp=drivesdk"/>
    <hyperlink ref="I158" r:id="rId470" display="https://drive.google.com/file/d/1bZ0EYOpaLJMxOsvZ3h0GbUuoseeuysBj/view?usp=drivesdk"/>
    <hyperlink ref="I159" r:id="rId471" display="https://drive.google.com/file/d/1Dhd3lcXVqPS1w1ou1rlfeP7aT7cdJJCW/view?usp=drivesdk"/>
    <hyperlink ref="I160" r:id="rId472" display="https://drive.google.com/file/d/1_qOt3Vtk-iE0DaBnCzBz7XbLH7mKUpN-/view?usp=drivesdk"/>
    <hyperlink ref="I161" r:id="rId473" display="https://drive.google.com/file/d/1u0kNQGnzbesCMBsWQg4_qp_v-tEZSTzu/view?usp=drivesdk"/>
    <hyperlink ref="J161" r:id="rId474" display="https://drive.google.com/file/d/1_vtEaj0xQckQunXQA7U-c13An_yfjG1A/view?usp=drivesdk"/>
    <hyperlink ref="K161" r:id="rId475" display="https://drive.google.com/file/d/1PLsKafUYor4bdZiAJHcTyTk1afyZOOo1/view?usp=drivesdk"/>
    <hyperlink ref="L161" r:id="rId476" display="https://drive.google.com/file/d/1PTs_DjSpz2MWxvuj-KEBMoMpdlkL6Zj-/view?usp=drivesdk"/>
    <hyperlink ref="I162" r:id="rId477" display="https://drive.google.com/file/d/1YLXUc8cjOSM7vV4qu7Jvw38KUkS4m4D7/view?usp=drivesdk"/>
    <hyperlink ref="J162" r:id="rId478" display="https://drive.google.com/file/d/1Wum6KeJud60Y7zRQUo1BD9YQ4TWND8kI/view?usp=drivesdk"/>
    <hyperlink ref="K162" r:id="rId479" display="https://drive.google.com/file/d/1wPJPW9Bwsd5UIG4ATDxxjGAcGMInFaaW/view?usp=drivesdk"/>
    <hyperlink ref="I163" r:id="rId480" display="https://drive.google.com/file/d/1XbF5B50cBg50EIyDTKQixGWdUZfJZ4d-/view?usp=drivesdk"/>
    <hyperlink ref="J163" r:id="rId481" display="https://drive.google.com/file/d/1Loxqjic7_Mjdo4R1tFteyhvJ7jYNvsNA/view?usp=drivesdk"/>
    <hyperlink ref="K163" r:id="rId482" display="https://drive.google.com/file/d/1v3R3O_yXuZLtd4N_5NiR6ZiOUmAX20Hp/view?usp=drivesdk"/>
    <hyperlink ref="L163" r:id="rId483" display="https://drive.google.com/file/d/1Jy_IBh0TdNCiC4NPeDY_N7skF3M2z5He/view?usp=drivesdk"/>
    <hyperlink ref="M163" r:id="rId484" display="https://drive.google.com/file/d/1JFu2QgcXxAoUPEPFTMqyu3lb8aHKZt5R/view?usp=drivesdk"/>
    <hyperlink ref="N163" r:id="rId485" display="https://drive.google.com/file/d/1zPMTSS-hnxfs8FgDgbTQTXgkgiWSIpc5/view?usp=drivesdk"/>
    <hyperlink ref="I164" r:id="rId486" display="https://drive.google.com/file/d/16AfQ2lL7stHth59Pp4Qh5fA7vcdtVxEE/view?usp=drivesdk"/>
    <hyperlink ref="J164" r:id="rId487" display="https://drive.google.com/file/d/1RI_h9HrzXcpdBwEOBC6CVyIRz-CWYxtE/view?usp=drivesdk"/>
    <hyperlink ref="K164" r:id="rId488" display="https://drive.google.com/file/d/1u-biHRBvOso5vahAt_hqc4tz7z9cMKkI/view?usp=drivesdk"/>
    <hyperlink ref="I165" r:id="rId489" display="https://drive.google.com/file/d/18XdUEBAPMZczyBm5pUkkRmy2FZWszqo-/view?usp=drivesdk"/>
    <hyperlink ref="J165" r:id="rId490" display="https://drive.google.com/file/d/1h87gb74tqWHgVnoLvyXRruX-3FLCCNzi/view?usp=drivesdk"/>
    <hyperlink ref="K165" r:id="rId491" display="https://drive.google.com/file/d/1lUCd1tGuq3XEhljBMcEY6GUFWogmrq_3/view?usp=drivesdk"/>
    <hyperlink ref="I166" r:id="rId492" display="https://drive.google.com/file/d/1lI19SzhRGReguTBYPwDvY3Buzrkvv1Jy/view?usp=drivesdk"/>
    <hyperlink ref="J166" r:id="rId493" display="https://drive.google.com/file/d/11MQgHulNvCbjzkY6IOls-Mi-V6_OFXrG/view?usp=drivesdk"/>
    <hyperlink ref="I167" r:id="rId494" display="https://drive.google.com/file/d/107gj_F_LqJelgZm5VV8hjR-mVynfeTak/view?usp=drivesdk"/>
    <hyperlink ref="J167" r:id="rId495" display="https://drive.google.com/file/d/14o7Xow1ITbvV-wXSOZAUCEPK6k2uVJeM/view?usp=drivesdk"/>
    <hyperlink ref="I168" r:id="rId496" display="https://drive.google.com/file/d/1BtZsA9ZaVXRemqTt9weHvxyiXbsi6qhI/view?usp=drivesdk"/>
    <hyperlink ref="J168" r:id="rId497" display="https://drive.google.com/file/d/1XuZ8J2yIbNJdbqh0B6cctctT07NEtQ0j/view?usp=drivesdk"/>
    <hyperlink ref="K168" r:id="rId498" display="https://drive.google.com/file/d/1V4CrxICNgzGZPw12BNOx_GUdBMC4EZjn/view?usp=drivesdk"/>
    <hyperlink ref="I169" r:id="rId499" display="https://drive.google.com/file/d/1Y1TKkRkLoYpHf0gKqNOOjH5PWIeaeX_k/view?usp=drivesdk"/>
    <hyperlink ref="J169" r:id="rId500" display="https://drive.google.com/file/d/1_b_Rhe7P3NcRQnSmoXsWKx5XaybwcWZH/view?usp=drivesdk"/>
    <hyperlink ref="K169" r:id="rId501" display="https://drive.google.com/file/d/1vCH89swGyrZF1EDo5am4BGKCxX6slOe-/view?usp=drivesdk"/>
    <hyperlink ref="L169" r:id="rId502" display="https://drive.google.com/file/d/1KqXhF5VdKrCvpRzuWUBPo2J6iWggCsMK/view?usp=drivesdk"/>
    <hyperlink ref="M169" r:id="rId503" display="https://drive.google.com/file/d/1EkQ9sgsVn5BTG1rtTGstwdHuwSTQb396/view?usp=drivesdk"/>
    <hyperlink ref="I170" r:id="rId504" display="https://drive.google.com/file/d/10ZMWtjoGKfNzwF9FHENyULxYQ9lk-tT2/view?usp=drivesdk"/>
    <hyperlink ref="J170" r:id="rId505" display="https://drive.google.com/file/d/1KHMYrF-H3KL8gZVUuTS9zJLEjn_xVsf7/view?usp=drivesdk"/>
    <hyperlink ref="K170" r:id="rId506" display="https://drive.google.com/file/d/16MIPvmwOi0uJ-hJvn5C4JIi3Rl34asOd/view?usp=drivesdk"/>
    <hyperlink ref="I171" r:id="rId507" display="https://drive.google.com/file/d/1PM1IHpXk-s9Lxufh1CkbA7FyfhOMtZQc/view?usp=drivesdk"/>
    <hyperlink ref="J171" r:id="rId508" display="https://drive.google.com/file/d/1uvvElu5Ss6MIAa_WuBnNk1x3PUQc4lq0/view?usp=drivesdk"/>
    <hyperlink ref="I172" r:id="rId509" display="https://drive.google.com/file/d/1icXsKTI62074mpL9lwwBxNKapagxKvvl/view?usp=drivesdk"/>
    <hyperlink ref="I173" r:id="rId510" display="https://drive.google.com/file/d/15T577v3XVklThpo1jT51172PJhJyrh2E/view?usp=drivesdk"/>
    <hyperlink ref="J173" r:id="rId511" display="https://drive.google.com/file/d/1q_9tGEUuN52UEnSyCDHejslHCR4gdsKN/view?usp=drivesdk"/>
    <hyperlink ref="I174" r:id="rId512" display="https://drive.google.com/file/d/1CY0WunX-QbjGsKtwkab3wQ13sk0J4r_H/view?usp=drivesdk"/>
    <hyperlink ref="J174" r:id="rId513" display="https://drive.google.com/file/d/19GH5Or6xHyzxxpuh0Cmpti9rZrTgJyO7/view?usp=drivesdk"/>
    <hyperlink ref="K174" r:id="rId514" display="https://drive.google.com/file/d/1ZZqv37BedKAejFEBAcEzVU5JPEETbU_v/view?usp=drivesdk"/>
    <hyperlink ref="I175" r:id="rId515" display="https://drive.google.com/file/d/1CxqhqId37RibXopQv9AM5IkR6zeqspNx/view?usp=drivesdk"/>
    <hyperlink ref="J175" r:id="rId516" display="https://drive.google.com/file/d/142F4ccrDGwMhtba8Vh3ySOBdpxW5PHrY/view?usp=drivesdk"/>
    <hyperlink ref="I176" r:id="rId517" display="https://drive.google.com/file/d/1lTUFmayJGEhsrHtcUKWhwEbTp29CXLo9/view?usp=drivesdk"/>
    <hyperlink ref="J176" r:id="rId518" display="https://drive.google.com/file/d/1G-ht4dDh-V2bVGe5frRpxU3Gybvtvwja/view?usp=drivesdk"/>
    <hyperlink ref="I177" r:id="rId519" display="https://drive.google.com/file/d/1GZbk0zFAQRg4kzG-ZcEuEkMCHdv_P7U1/view?usp=drivesdk"/>
    <hyperlink ref="J177" r:id="rId520" display="https://drive.google.com/file/d/1zBSGUkp5mVFVeB0lCChZA9voUr3yAl-g/view?usp=drivesdk"/>
    <hyperlink ref="K177" r:id="rId521" display="https://drive.google.com/file/d/1_JEwHdbeuiK95dqR58xvAs8dMQ0FypZ5/view?usp=drivesdk"/>
    <hyperlink ref="I178" r:id="rId522" display="https://drive.google.com/file/d/1hLsyKxocVxYewDQKpmnEqd6zteeQbTsN/view?usp=drivesdk"/>
    <hyperlink ref="J178" r:id="rId523" display="https://drive.google.com/file/d/1lvrn3fn4VsqirJRnzJRGakXLJbTWCTNj/view?usp=drivesdk"/>
    <hyperlink ref="I179" r:id="rId524" display="https://drive.google.com/file/d/1yNQ_5W8tC_qJDREXXw8yhJi_pvQpfAxX/view?usp=drivesdk"/>
    <hyperlink ref="I180" r:id="rId525" display="https://drive.google.com/file/d/1BvqVmAIR_OFDkBkUgBVL4T_0E21j360_/view?usp=drivesdk"/>
    <hyperlink ref="J180" r:id="rId526" display="https://drive.google.com/file/d/1ENegCBXnghClPXcThc2djqS__WNUriqa/view?usp=drivesdk"/>
    <hyperlink ref="K180" r:id="rId527" display="https://drive.google.com/file/d/1ofYX-fyj_mOwaa8orSsZ112cQCA4Xz5O/view?usp=drivesdk"/>
    <hyperlink ref="I181" r:id="rId528" display="https://drive.google.com/file/d/1tnUdjMcpFqq0SBwdDghSS6Y-Zhj-OjZq/view?usp=drivesdk"/>
    <hyperlink ref="I182" r:id="rId529" display="https://drive.google.com/file/d/1Anu2cmLML2YAJ5EkD-2IClzU-izmquey/view?usp=drivesdk"/>
    <hyperlink ref="J182" r:id="rId530" display="https://drive.google.com/file/d/1HKcWa0TL27IBWpBqrgz26PgeufOLFOz7/view?usp=drivesdk"/>
    <hyperlink ref="K182" r:id="rId531" display="https://drive.google.com/file/d/1pBiJusNXDljG6sCEnMx-V1wdaq4pvXna/view?usp=drivesdk"/>
    <hyperlink ref="I183" r:id="rId532" display="https://drive.google.com/file/d/1GpNDDgiBtvSXKF8wXJZ6F4dHPvVZ8UGG/view?usp=drivesdk"/>
    <hyperlink ref="I184" r:id="rId533" display="https://drive.google.com/file/d/1oo3yMIyHM3M7mHmRKBAZ9ZbwK_iAlfXr/view?usp=drivesdk"/>
    <hyperlink ref="J184" r:id="rId534" display="https://drive.google.com/file/d/1MEGmt6uwlBvrqve3enaFZATzx1epyDH4/view?usp=drivesdk"/>
    <hyperlink ref="K184" r:id="rId535" display="https://drive.google.com/file/d/1sAJ8QncNpM2fWKlxvCEHHau3-7qeeO9_/view?usp=drivesdk"/>
    <hyperlink ref="L184" r:id="rId536" display="https://drive.google.com/file/d/1tV77zcYByuS-xmgSNYaRr-5JqbokkDRZ/view?usp=drivesdk"/>
    <hyperlink ref="I185" r:id="rId537" display="https://drive.google.com/file/d/1AFlMIJBYO4g6rXo3fmdZvRYB2_UPP8Xc/view?usp=drivesdk"/>
    <hyperlink ref="I186" r:id="rId538" display="https://drive.google.com/file/d/1rFpNl5_YWOIST2OusI9M7-82S9QdIeWs/view?usp=drivesdk"/>
    <hyperlink ref="I187" r:id="rId539" display="https://drive.google.com/file/d/1G9g1Z49M45PnD1Bkut9ajFklnzdwDkeE/view?usp=drivesdk"/>
    <hyperlink ref="J187" r:id="rId540" display="https://drive.google.com/file/d/1TzZeVmDWu-HwrxuQDrLYQs_zvTxm-YBf/view?usp=drivesdk"/>
    <hyperlink ref="K187" r:id="rId541" display="https://drive.google.com/file/d/1NBGONNyA2NzfAvV12eQb1PjjhbiGM1xl/view?usp=drivesdk"/>
    <hyperlink ref="I188" r:id="rId542" display="https://drive.google.com/file/d/1U2nWvu-78SAMAm-kQx0aNgFwn5ZDxs3S/view?usp=drivesdk"/>
    <hyperlink ref="J188" r:id="rId543" display="https://drive.google.com/file/d/1qaQXLlTX6JgnHxFsciqSVyNsoYOQWZbl/view?usp=drivesdk"/>
    <hyperlink ref="K188" r:id="rId544" display="https://drive.google.com/file/d/1oUvgzV2WaooK16hhYt_Wo0Pht590CrT3/view?usp=drivesdk"/>
    <hyperlink ref="L188" r:id="rId545" display="https://drive.google.com/file/d/1c9oeSMndih_JXQwob_VxppKunnLZm-A4/view?usp=drivesdk"/>
    <hyperlink ref="I189" r:id="rId546" display="https://drive.google.com/file/d/1L10QzOzNge6Xy1tKx_IDIuxYGWULX-gx/view?usp=drivesdk"/>
    <hyperlink ref="J189" r:id="rId547" display="https://drive.google.com/file/d/1E_zh5P3MS-HdHKftro1lQETPTG26Z5D6/view?usp=drivesdk"/>
    <hyperlink ref="I190" r:id="rId548" display="https://drive.google.com/file/d/1Fww5uPqthqfZSTDQ5zNRV4VXowyiJXn8/view?usp=drivesdk"/>
    <hyperlink ref="J190" r:id="rId549" display="https://drive.google.com/file/d/18pRrg1GqOShR85Z1-FB_j9QBGq8Geux8/view?usp=drivesdk"/>
    <hyperlink ref="K190" r:id="rId550" display="https://drive.google.com/file/d/1G7UN9ZZO_2f7d_Cs_LATUSI9WfPscfg9/view?usp=drivesdk"/>
    <hyperlink ref="I191" r:id="rId551" display="https://drive.google.com/file/d/1ec_jkdIpQ9e3BL-V2VkUle7WAIgDX_ra/view?usp=drivesdk"/>
    <hyperlink ref="I192" r:id="rId552" display="https://drive.google.com/file/d/1ksTywo8n2zcJ0T9JAb1Km6GeEt6Fl6CD/view?usp=drivesdk"/>
    <hyperlink ref="I193" r:id="rId553" display="https://drive.google.com/file/d/1gW4gwk7BJZaM6tz1INqyloCjDKCNdukm/view?usp=drivesdk"/>
    <hyperlink ref="J193" r:id="rId554" display="https://drive.google.com/file/d/1NXvIXsV5PrCjzsIjvDFNOJCCuumM01u3/view?usp=drivesdk"/>
    <hyperlink ref="K193" r:id="rId555" display="https://drive.google.com/file/d/1LJhdYVR-nyUCVgoH72NHqytcE6VM3xt4/view?usp=drivesdk"/>
    <hyperlink ref="I194" r:id="rId556" display="https://drive.google.com/file/d/10gFJzRV6R9HW8OVHV-8FMuAksbENXKxA/view?usp=drivesdk"/>
    <hyperlink ref="J194" r:id="rId557" display="https://drive.google.com/file/d/1JHeTkDL0Qm_gZxQm5NA6FcWus-E5a8tB/view?usp=drivesdk"/>
    <hyperlink ref="K194" r:id="rId558" display="https://drive.google.com/file/d/1UsE_Qq1ZlKVBq_37jKbrg8m0BrgdECUl/view?usp=drivesdk"/>
    <hyperlink ref="I195" r:id="rId559" display="https://drive.google.com/file/d/1CYpNvucVLodWkelQeQi8rhojXemesVtC/view?usp=drivesdk"/>
    <hyperlink ref="J195" r:id="rId560" display="https://drive.google.com/file/d/13ZeicHQuon1N6sIj18433Hkdo8X-Idhp/view?usp=drivesdk"/>
    <hyperlink ref="K195" r:id="rId561" display="https://drive.google.com/file/d/1csaRdIJpiHDh2GbQzW8PMg3Wtb4m4a_w/view?usp=drivesdk"/>
    <hyperlink ref="I196" r:id="rId562" display="https://drive.google.com/file/d/12Ss0UNZUWIjjzaETWHvYhE3rGGaoHrAi/view?usp=drivesdk"/>
    <hyperlink ref="J196" r:id="rId563" display="https://drive.google.com/file/d/11R_n2HBcPj0LcbikS0Y4Px83_lNvHnTk/view?usp=drivesdk"/>
    <hyperlink ref="K196" r:id="rId564" display="https://drive.google.com/file/d/1pcVKYrGnT7ujQa7QQfG46d8Vo0u5Utpk/view?usp=drivesdk"/>
    <hyperlink ref="I197" r:id="rId565" display="https://drive.google.com/file/d/19V3tMU9A3gd_Gr339NSAXG8d1PM1Vjad/view?usp=drivesdk"/>
    <hyperlink ref="J197" r:id="rId566" display="https://drive.google.com/file/d/13MCPLBX0-q5WWlGD5pvJu878mzk7PtGE/view?usp=drivesdk"/>
    <hyperlink ref="K197" r:id="rId567" display="https://drive.google.com/file/d/1y7bGkCJUde39iZxpCSCETN5lNWb3hXDc/view?usp=drivesdk"/>
    <hyperlink ref="I198" r:id="rId568" display="https://drive.google.com/file/d/1ZwtJ5BA-Uv6fykIDa4GszHV9pST4T-d0/view?usp=drivesdk"/>
    <hyperlink ref="J198" r:id="rId569" display="https://drive.google.com/file/d/1OdOTtdytqUwVpuJOy3P1ZwzpK01_gUFr/view?usp=drivesdk"/>
    <hyperlink ref="K198" r:id="rId570" display="https://drive.google.com/file/d/1niiY-3tAQmCYu5b1kMlP7szexj8EG9D3/view?usp=drivesdk"/>
    <hyperlink ref="I199" r:id="rId571" display="https://drive.google.com/file/d/1Ww0XK-pY_Mx2OC7GR-Z-G4BXIbE0pCli/view?usp=drivesdk"/>
    <hyperlink ref="J199" r:id="rId572" display="https://drive.google.com/file/d/1lv3RkVT8KeYWVEntQFVcwsk8FK1cq2dC/view?usp=drivesdk"/>
    <hyperlink ref="K199" r:id="rId573" display="https://drive.google.com/file/d/1AMet25YLsOSk8OH81qo2waET4Q3SqP8M/view?usp=drivesdk"/>
    <hyperlink ref="I200" r:id="rId574" display="https://drive.google.com/file/d/1lZfumh3SjSmOWdFGzCrMP5pwB5Lwa4lD/view?usp=drivesdk"/>
    <hyperlink ref="J200" r:id="rId575" display="https://drive.google.com/file/d/1wlK9XnKfmnuIVPp4uVMmTiDs3P9lWzLS/view?usp=drivesdk"/>
    <hyperlink ref="K200" r:id="rId576" display="https://drive.google.com/file/d/1gNne1z92E8lpjUxk4ur8Wqfee0qr5l_W/view?usp=drivesdk"/>
    <hyperlink ref="I201" r:id="rId577" display="https://drive.google.com/file/d/1FCuoQio0GLpofPktV1ByV1wIf3z0uazb/view?usp=drivesdk"/>
    <hyperlink ref="J201" r:id="rId578" display="https://drive.google.com/file/d/1qo8kMYWi5p3jUUEu8Z7XtlDtuHR3ap5K/view?usp=drivesdk"/>
    <hyperlink ref="K201" r:id="rId579" display="https://drive.google.com/file/d/1BTZPVlOKb6kDgUfeirEt9Q1pHvsf_4TH/view?usp=drivesdk"/>
    <hyperlink ref="I202" r:id="rId580" display="https://drive.google.com/file/d/1HluCkFQ6f1Ya5O-U7y-BeIwiCo1NHKDZ/view?usp=drivesdk"/>
    <hyperlink ref="J202" r:id="rId581" display="https://drive.google.com/file/d/14wOlcrZgQn22ixCCCMSHHYbH1Sxc_E8E/view?usp=drivesdk"/>
    <hyperlink ref="I204" r:id="rId582" display="https://drive.google.com/file/d/1kYH3VEUdMg8CKdnPmMAv7c7cmHQK6jMf/view?usp=drivesdk"/>
    <hyperlink ref="J204" r:id="rId583" display="https://drive.google.com/file/d/1z3kye5qxljHLcSV1UYnz5WIqvaih6t5x/view?usp=drivesdk"/>
    <hyperlink ref="K204" r:id="rId584" display="https://drive.google.com/file/d/1Cc5i8lRznC05gFyEYwWuAKbdg7CtNKRJ/view?usp=drivesdk"/>
    <hyperlink ref="L204" r:id="rId585" display="https://drive.google.com/file/d/1cDe-X5SgQbz5s57mHDG-YMYop1mEFwsu/view?usp=drivesdk"/>
    <hyperlink ref="M204" r:id="rId586" display="https://drive.google.com/file/d/199yUztWUCmTRUSjiOzACA5jqWg-k2efR/view?usp=drivesdk"/>
    <hyperlink ref="N204" r:id="rId587" display="https://drive.google.com/file/d/1qhUNeFhj_q1PN3RfvxsHkSoHuBOz-X1O/view?usp=drivesdk"/>
    <hyperlink ref="O204" r:id="rId588" display="https://drive.google.com/file/d/1zDG2N6Pwd1n4m5kA_sjBWn_Aq9Tzzwcn/view?usp=drivesdk"/>
    <hyperlink ref="P204" r:id="rId589" display="https://drive.google.com/file/d/1lsd_Bse9Cxg6YhQeOVsPZjcQ6IbPcYhy/view?usp=drivesdk"/>
    <hyperlink ref="I205" r:id="rId590" display="https://drive.google.com/file/d/1BNKOyAlA7KsJW1zcarKihQvaggPMZG3W/view?usp=drivesdk"/>
    <hyperlink ref="J205" r:id="rId591" display="https://drive.google.com/file/d/1S8dfUWaKsot4ZCXz-Ksaftg-9tMSYxu7/view?usp=drivesdk"/>
    <hyperlink ref="K205" r:id="rId592" display="https://drive.google.com/file/d/1fTNCn9SHphJgqWTyoI1rL5oo2D3Xk5NE/view?usp=drivesdk"/>
    <hyperlink ref="L205" r:id="rId593" display="https://drive.google.com/file/d/17BHL2YYjEyzwov6rB3lNlsHelCdaCYE4/view?usp=drivesdk"/>
    <hyperlink ref="I206" r:id="rId594" display="https://drive.google.com/file/d/1DmO8ms8AVbW_EkYLfVyV9FBtmwa-HPCN/view?usp=drivesdk"/>
    <hyperlink ref="J206" r:id="rId595" display="https://drive.google.com/file/d/1eUWjABPKrWxmwiB2Ud5LKsNgoROj1cPE/view?usp=drivesdk"/>
    <hyperlink ref="K206" r:id="rId596" display="https://drive.google.com/file/d/1AKuJQ2Zv7fLSAbUfxZqtMotkga8OqYAP/view?usp=drivesdk"/>
    <hyperlink ref="L206" r:id="rId597" display="https://drive.google.com/file/d/1cqJ-drvLnJivgGG-8c5WMLMQxCEVTTmn/view?usp=drivesdk"/>
    <hyperlink ref="M206" r:id="rId598" display="https://drive.google.com/file/d/1uOu-aCOuv9yuvES7MvK_qn2z_zmIvWs6/view?usp=drivesdk"/>
    <hyperlink ref="I207" r:id="rId599" display="https://drive.google.com/file/d/1bMtc-eGsZMujyobvub6oEFnOxOy8s1fr/view?usp=drivesdk"/>
    <hyperlink ref="J207" r:id="rId600" display="https://drive.google.com/file/d/1UIfIlNb1PigCYgVPite_zWXMxST_cXRD/view?usp=drivesdk"/>
    <hyperlink ref="I208" r:id="rId601" display="https://drive.google.com/file/d/121pFvuGAr-8BiPysJ-UW7e4Hxwr9hZcC/view?usp=drivesdk"/>
    <hyperlink ref="J208" r:id="rId602" display="https://drive.google.com/file/d/1xX7-g7m9ZtbI7DzNUba9_LyeBDPiiAuC/view?usp=drivesdk"/>
    <hyperlink ref="K208" r:id="rId603" display="https://drive.google.com/file/d/1JEYKlbe6O4hGchmP8Udj90unmGQ5dlBa/view?usp=drivesdk"/>
    <hyperlink ref="I209" r:id="rId604" display="https://drive.google.com/file/d/1zuv9cmf53_Y0my3dsdFbFPtTXL_9MrkA/view?usp=drivesdk"/>
    <hyperlink ref="J209" r:id="rId605" display="https://drive.google.com/file/d/17wkhrgBMk6n3A-EUHJd2KXbEqMkwk8th/view?usp=drivesdk"/>
    <hyperlink ref="K209" r:id="rId606" display="https://drive.google.com/file/d/19ZDTKMwm84E-Zyo_j7teDI8pOOxwcu4a/view?usp=drivesdk"/>
    <hyperlink ref="I210" r:id="rId607" display="https://drive.google.com/file/d/194z6pvKS1XyFV71k-lj-V2CZ41m44eOs/view?usp=drivesdk"/>
    <hyperlink ref="J210" r:id="rId608" display="https://drive.google.com/file/d/1RpfBe0AgAGaWxsJ3io5zZOBSKSGSoBiv/view?usp=drivesdk"/>
    <hyperlink ref="K210" r:id="rId609" display="https://drive.google.com/file/d/18i9n1Bjd2b_Yl2j41UBBzdB17F1uSO3V/view?usp=drivesdk"/>
    <hyperlink ref="L210" r:id="rId610" display="https://drive.google.com/file/d/1HlvZupRd1gi2oYd_9Fq46CfWXyZUd1CZ/view?usp=drivesdk"/>
    <hyperlink ref="I211" r:id="rId611" display="https://drive.google.com/file/d/1FjN6f1D_JWG2ouNmxi_ZnGwg8FHjfuic/view?usp=drivesdk"/>
    <hyperlink ref="J211" r:id="rId612" display="https://drive.google.com/file/d/1efAOZVOIoP5AoaCcTfjJXlgmB8bmkGtP/view?usp=drivesdk"/>
    <hyperlink ref="I212" r:id="rId613" display="https://drive.google.com/file/d/1ufjJXAtXkJoMyB47Bo-xSNylUcpU3vHA/view?usp=drivesdk"/>
    <hyperlink ref="J212" r:id="rId614" display="https://drive.google.com/file/d/1p96EXE1Fw7pxpAGDQF9w8IpcTErA1lD9/view?usp=drivesdk"/>
    <hyperlink ref="I213" r:id="rId615" display="https://drive.google.com/file/d/1zhOKGxzKHdFFhR1BwOIPxo6PX5GClYki/view?usp=drivesdk"/>
    <hyperlink ref="J213" r:id="rId616" display="https://drive.google.com/file/d/1fP6kERGX8w6PYkuogF7ftpoWghLtA1DX/view?usp=drivesdk"/>
    <hyperlink ref="K213" r:id="rId617" display="https://drive.google.com/file/d/1zGUrNI7X_0S9JiSEMuFNEZ7gFOYq_Vi4/view?usp=drivesdk"/>
    <hyperlink ref="L213" r:id="rId618" display="https://drive.google.com/file/d/17LaEYN4Yp_HhQnZSUy7GDiIFnim7MPl1/view?usp=drivesdk"/>
    <hyperlink ref="M213" r:id="rId619" display="https://drive.google.com/file/d/1UUYwVD-xHF7SdBOm3BPxuJEL_O3xlK12/view?usp=drivesdk"/>
    <hyperlink ref="N213" r:id="rId620" display="https://drive.google.com/file/d/14OUOmyexRMD3V2WZ7wG3EJMiXtdCcITY/view?usp=drivesdk"/>
    <hyperlink ref="O213" r:id="rId621" display="https://drive.google.com/file/d/1XAfmKdF6St59fZ3ojief1f4ECFofa9v3/view?usp=drivesdk"/>
    <hyperlink ref="I214" r:id="rId622" display="https://drive.google.com/file/d/1_KFMOBKaEW9NT6z2PC0y2r1DBpVcP4pc/view?usp=drivesdk"/>
    <hyperlink ref="J214" r:id="rId623" display="https://drive.google.com/file/d/1mztbH_3cig2TQq0MkVLY8t_XaQcAwFPE/view?usp=drivesdk"/>
    <hyperlink ref="K214" r:id="rId624" display="https://drive.google.com/file/d/14jb36yZrhclSP6EPSgX4zLOJrm5LJ-CE/view?usp=drivesdk"/>
    <hyperlink ref="I215" r:id="rId625" display="https://drive.google.com/file/d/14d2_-mSy8lTOghqylynbWdKnOyoq2AbP/view?usp=drivesdk"/>
    <hyperlink ref="I216" r:id="rId626" display="https://drive.google.com/file/d/1_6DB6A3PIlNRkvY-DqjpDrP3_fdL37hy/view?usp=drivesdk"/>
    <hyperlink ref="J216" r:id="rId627" display="https://drive.google.com/file/d/1FUBQuWZscoNYhtfws9iCtAVVTfOHboRQ/view?usp=drivesdk"/>
    <hyperlink ref="K216" r:id="rId628" display="https://drive.google.com/file/d/1fqWJS75yIgX0I1NBivn8bZbW4ZjUdqfF/view?usp=drivesdk"/>
    <hyperlink ref="L216" r:id="rId629" display="https://drive.google.com/file/d/1DCYfCh4JCfFFKwY_9ASzuFrLJYNpkpUC/view?usp=drivesdk"/>
    <hyperlink ref="I217" r:id="rId630" display="https://drive.google.com/file/d/1SxTbK3ZSLm9oE3iKeefY0_XaS0_RnpFp/view?usp=drivesdk"/>
    <hyperlink ref="J217" r:id="rId631" display="https://drive.google.com/file/d/1-wZsLKoW9MRAIhzQw3z6i7cbG1ivxy1o/view?usp=drivesdk"/>
    <hyperlink ref="K217" r:id="rId632" display="https://drive.google.com/file/d/1_YL8ltY1wcv0TkHBJzZnBQw8zs85ZwRF/view?usp=drivesdk"/>
    <hyperlink ref="I218" r:id="rId633" display="https://drive.google.com/file/d/1tCfknQPK1YHcRraIllLe-0tCMT9kKYmm/view?usp=drivesdk"/>
    <hyperlink ref="J218" r:id="rId634" display="https://drive.google.com/file/d/1odX6sXYcwp5KDmyo-l1ozp_QGsIfRhNa/view?usp=drivesdk"/>
    <hyperlink ref="K218" r:id="rId635" display="https://drive.google.com/file/d/196lycX2TjsMdZbXQjoZSNowRM_t-gRC9/view?usp=drivesdk"/>
    <hyperlink ref="I219" r:id="rId636" display="https://drive.google.com/file/d/1CUtZg1AD0vJsZ6IGbhtiXaqQb0kgt9ee/view?usp=drivesdk"/>
    <hyperlink ref="J219" r:id="rId637" display="https://drive.google.com/file/d/18uvTTOyy7uXV1hLdF731ErngHOIZNt8t/view?usp=drivesdk"/>
    <hyperlink ref="K219" r:id="rId638" display="https://drive.google.com/file/d/1GA7zaWyf90aop2K571weqASOKZVKzjWO/view?usp=drivesdk"/>
    <hyperlink ref="I220" r:id="rId639" display="https://drive.google.com/file/d/1dI29wxluGoEXdxyVjhWKipJIaC7EYhGG/view?usp=drivesdk"/>
    <hyperlink ref="I221" r:id="rId640" display="https://drive.google.com/file/d/1xk1Gm-la_IKM3Fv5BZ7tp44BpzUg___F/view?usp=drivesdk"/>
    <hyperlink ref="J221" r:id="rId641" display="https://drive.google.com/file/d/1zMxNUkfAxEwLFvpgYgI7dmosi8nawboW/view?usp=drivesdk"/>
    <hyperlink ref="K221" r:id="rId642" display="https://drive.google.com/file/d/1sm2iBqaonoJY0denDzJ31naDf3H3DSk0/view?usp=drivesdk"/>
    <hyperlink ref="I222" r:id="rId643" display="https://drive.google.com/file/d/1vRD3Uek_KspdzoI2Bf8zfVbaQLjjvlD_/view?usp=drivesdk"/>
    <hyperlink ref="J222" r:id="rId644" display="https://drive.google.com/file/d/14LyB5PNBZqLa-HFKhKHlBEE3Zg18DM2d/view?usp=drivesdk"/>
    <hyperlink ref="K222" r:id="rId645" display="https://drive.google.com/file/d/14-NZvDar8h9DcIQmLXCUL7x2Pvi1qDLZ/view?usp=drivesdk"/>
    <hyperlink ref="I223" r:id="rId646" display="https://drive.google.com/file/d/1NZDjqPR0KIkZS2GV_0n4wluoEBhv8_6u/view?usp=drivesdk"/>
    <hyperlink ref="I224" r:id="rId647" display="https://drive.google.com/file/d/1hujaeRW2QsVHN6K0iYaVFCXgvatwt3EF/view?usp=drivesdk"/>
    <hyperlink ref="J224" r:id="rId648" display="https://drive.google.com/file/d/1XeI4vfrbTXrz27dgIIzol-obQ-zU1dKN/view?usp=drivesdk"/>
    <hyperlink ref="K224" r:id="rId649" display="https://drive.google.com/file/d/1uDK2D77MDI1ppgGYxdc-YAYq34FWCv2-/view?usp=drivesdk"/>
    <hyperlink ref="I225" r:id="rId650" display="https://drive.google.com/file/d/15k9G4xx-3FqQRoLiXahhW_SfBM71Kmuf/view?usp=drivesdk"/>
    <hyperlink ref="I226" r:id="rId651" display="https://drive.google.com/file/d/1JsWpEpLwEHsIgFT30QNw6G_FAm9_6Ycq/view?usp=drivesdk"/>
    <hyperlink ref="J226" r:id="rId652" display="https://drive.google.com/file/d/12Nrbhaj4Y1EsnYRMkzqbCi4pefYFRZ4T/view?usp=drivesdk"/>
    <hyperlink ref="K226" r:id="rId653" display="https://drive.google.com/file/d/1DVUGZYey6sXN3SjjzJ6XMb6SDzDClZM_/view?usp=drivesdk"/>
    <hyperlink ref="I227" r:id="rId654" display="https://drive.google.com/file/d/1f0gKh27jRcQdzxlvDDbLISqnRkXLjzwu/view?usp=drivesdk"/>
    <hyperlink ref="I228" r:id="rId655" display="https://drive.google.com/file/d/1hZi-qvrSNCVbJLlW6jjqKptzwzcdtfjU/view?usp=drivesdk"/>
    <hyperlink ref="J228" r:id="rId656" display="https://drive.google.com/file/d/1KFhZ6nSlVlgzK3r9aQBRAzBxQPraGaMv/view?usp=drivesdk"/>
    <hyperlink ref="K228" r:id="rId657" display="https://drive.google.com/file/d/1c43uM9DBxkgeipPy3RSKsumICMzwNwgA/view?usp=drivesdk"/>
    <hyperlink ref="L228" r:id="rId658" display="https://drive.google.com/file/d/1yHjewCat100BKGReM3Pf7K2hDLKq2moo/view?usp=drivesdk"/>
    <hyperlink ref="I229" r:id="rId659" display="https://drive.google.com/file/d/1449VNBl8sHF6lRawh98Gp_SFHEdofMCF/view?usp=drivesdk"/>
    <hyperlink ref="J229" r:id="rId660" display="https://drive.google.com/file/d/1aO6Q3nhZXi5iduLo-jS6OXr-WSbZz3A6/view?usp=drivesdk"/>
    <hyperlink ref="K229" r:id="rId661" display="https://drive.google.com/file/d/1u2_6h8LoEotYs0qTjJCl2d8ZMvZDANam/view?usp=drivesdk"/>
    <hyperlink ref="L229" r:id="rId662" display="https://drive.google.com/file/d/1PIu9cT6toC-fpfVI8sgcEFcbDi7beRAL/view?usp=drivesdk"/>
    <hyperlink ref="I230" r:id="rId663" display="https://drive.google.com/file/d/1E06t8SBOrg27cOQYif_2NNa7C4QXgCDE/view?usp=drivesdk"/>
    <hyperlink ref="J230" r:id="rId664" display="https://drive.google.com/file/d/1vw0R4DsUyS2cwdNaLqGt0BO1KpO3pzXF/view?usp=drivesdk"/>
    <hyperlink ref="I231" r:id="rId665" display="https://drive.google.com/file/d/1kCy8vPU_66qkv-DKGuKuneXK95ISDAu4/view?usp=drivesdk"/>
    <hyperlink ref="J231" r:id="rId666" display="https://drive.google.com/file/d/1X9UfJYQi91XliSdKVU9MHf8Pko-PkPkJ/view?usp=drivesdk"/>
    <hyperlink ref="I232" r:id="rId667" display="https://drive.google.com/file/d/1C2W5uI5-fhxOEgDM0d5WF_jT3VY5xCLd/view?usp=drivesdk"/>
    <hyperlink ref="J232" r:id="rId668" display="https://drive.google.com/file/d/1FMbhYcyrW23gj6i7F2n-EOR6ennBQKv7/view?usp=drivesdk"/>
    <hyperlink ref="K232" r:id="rId669" display="https://drive.google.com/file/d/1stx8PREUG7B6TOLj359VF53-Po12_qYQ/view?usp=drivesdk"/>
    <hyperlink ref="I233" r:id="rId670" display="https://drive.google.com/file/d/1smpC0ZWYGWUZdqAY-4gZkf5wRQRVlZa5/view?usp=drivesdk"/>
    <hyperlink ref="J233" r:id="rId671" display="https://drive.google.com/file/d/1iAnf-puddszOT8KZz2ZkWfeJw30geL-K/view?usp=drivesdk"/>
    <hyperlink ref="K233" r:id="rId672" display="https://drive.google.com/file/d/13fvgVg9DZgATYxE9lEl6WRpDvclLF5yy/view?usp=drivesdk"/>
    <hyperlink ref="L233" r:id="rId673" display="https://drive.google.com/file/d/1ReD91EgIYpbNqEb30szeHmOLi0WwWQ5-/view?usp=drivesdk"/>
    <hyperlink ref="I234" r:id="rId674" display="https://drive.google.com/file/d/1rk7iU1FFgdDhrGMRUTq1J5bSwq_fjEKl/view?usp=drivesdk"/>
    <hyperlink ref="J234" r:id="rId675" display="https://drive.google.com/file/d/15sRmmZKHtmE4v-u2xB1uHLolW0Y8p-ZT/view?usp=drivesdk"/>
    <hyperlink ref="K234" r:id="rId676" display="https://drive.google.com/file/d/1YMmanCG5X_L45n35HZL_tE63V9Ydchvq/view?usp=drivesdk"/>
    <hyperlink ref="L234" r:id="rId677" display="https://drive.google.com/file/d/1V0G6sQj-exkDPaNKPaG0-lQxLyG8TITT/view?usp=drivesdk"/>
    <hyperlink ref="I235" r:id="rId678" display="https://drive.google.com/file/d/1CXJFoKlSyGs46yRtJQlFl9-FMq85Haoj/view?usp=drivesdk"/>
    <hyperlink ref="J235" r:id="rId679" display="https://drive.google.com/file/d/1cVVT7jOs5kBISMs5Z1HWqCkHr91aIsms/view?usp=drivesdk"/>
    <hyperlink ref="K235" r:id="rId680" display="https://drive.google.com/file/d/1Hk36Hm8vCgH0-ZF81BBCmhUBOJ63eSJK/view?usp=drivesdk"/>
    <hyperlink ref="L235" r:id="rId681" display="https://drive.google.com/file/d/1oqjb62C8K19vVPwEy7P3-Ao-e0xrGEAf/view?usp=drivesdk"/>
    <hyperlink ref="I236" r:id="rId682" display="https://drive.google.com/file/d/1R0nYF38IlJ6DIFm0BykLH6NRXq_GxKC1/view?usp=drivesdk"/>
    <hyperlink ref="J236" r:id="rId683" display="https://drive.google.com/file/d/1svjbI7eQ8fe8sx4PLeNUulvV2-urdYaQ/view?usp=drivesdk"/>
    <hyperlink ref="K236" r:id="rId684" display="https://drive.google.com/file/d/1G841t2dsQ_hZSNCKKDlOnGSGCsa4fiXn/view?usp=drivesdk"/>
    <hyperlink ref="L236" r:id="rId685" display="https://drive.google.com/file/d/1-XQAB5hhW49CyXs3aiX02aumPtmK0gGc/view?usp=drivesdk"/>
    <hyperlink ref="I237" r:id="rId686" display="https://drive.google.com/file/d/15_EH1MbSyb6QQRUVQl5OZTx5eYycee4u/view?usp=drivesdk"/>
    <hyperlink ref="J237" r:id="rId687" display="https://drive.google.com/file/d/1afnE5fUxWEMLU2dEtUZlJLTt-XRbVxDn/view?usp=drivesdk"/>
    <hyperlink ref="K237" r:id="rId688" display="https://drive.google.com/file/d/1njb8MkNGZvhSiKhD8yj6-MakvJQux6Jm/view?usp=drivesdk"/>
    <hyperlink ref="L237" r:id="rId689" display="https://drive.google.com/file/d/1HNwlKnY-WLFdyw6gyrySdD0QfQc6HqY0/view?usp=drivesdk"/>
    <hyperlink ref="I238" r:id="rId690" display="https://drive.google.com/file/d/1FK25pAn17bA6j3hKPoLYhtQYCzmjRYlV/view?usp=drivesdk"/>
    <hyperlink ref="J238" r:id="rId691" display="https://drive.google.com/file/d/1gYBMx15oUvt1telLnYn6ttONo9UsQbNB/view?usp=drivesdk"/>
    <hyperlink ref="K238" r:id="rId692" display="https://drive.google.com/file/d/1OFMs3REg_ZFzmqsMYmQYl50VN4agVEbV/view?usp=drivesdk"/>
    <hyperlink ref="L238" r:id="rId693" display="https://drive.google.com/file/d/1w0wRkjuMEAhch7vx8E_Bf0v4y0ylAyk6/view?usp=drivesdk"/>
    <hyperlink ref="I239" r:id="rId694" display="https://drive.google.com/file/d/12y_tmVrIIJglqGHYK6QWMN5cjljStQXb/view?usp=drivesdk"/>
    <hyperlink ref="J239" r:id="rId695" display="https://drive.google.com/file/d/1z5tjhYCM4IwWJcvCZYGolLenKEnNzjeE/view?usp=drivesdk"/>
    <hyperlink ref="K239" r:id="rId696" display="https://drive.google.com/file/d/1dehbaaSDBxyr6m7Rz13lQBy5MJbXSTpF/view?usp=drivesdk"/>
    <hyperlink ref="L239" r:id="rId697" display="https://drive.google.com/file/d/1gsc40ZyfjQTOb4Cwx3wSalR1uuBlsI8u/view?usp=drivesdk"/>
    <hyperlink ref="I240" r:id="rId698" display="https://drive.google.com/file/d/1tQQY9R4KLTsI0E4RMCJnnkw1W6w5BK9w/view?usp=drivesdk"/>
    <hyperlink ref="J240" r:id="rId699" display="https://drive.google.com/file/d/1kEsT4AupKemPsq33SSpoB4obIFrxR9rb/view?usp=drivesdk"/>
    <hyperlink ref="K240" r:id="rId700" display="https://drive.google.com/file/d/1RDglwhT28NsVyEDOmNYHoIEgEm21f4zC/view?usp=drivesdk"/>
    <hyperlink ref="L240" r:id="rId701" display="https://drive.google.com/file/d/1URw_9Oq9WCkQjEkr50JuXxF_wjXxhOi9/view?usp=drivesdk"/>
    <hyperlink ref="I241" r:id="rId702" display="https://drive.google.com/file/d/1buuD_7CjXj-LzvHHHDFRvoTeaByJ8Nlo/view?usp=drivesdk"/>
    <hyperlink ref="J241" r:id="rId703" display="https://drive.google.com/file/d/1muZ8DoN-qp4IzmkwKmaevfeLq1bfGbqK/view?usp=drivesdk"/>
    <hyperlink ref="K241" r:id="rId704" display="https://drive.google.com/file/d/1sMPFfBxtXXiTtQIFqMfa2Ylp9ybfGA_-/view?usp=drivesdk"/>
    <hyperlink ref="L241" r:id="rId705" display="https://drive.google.com/file/d/1VF3NqDysYucqK_pnVEbkCPGHvmriimNc/view?usp=drivesdk"/>
    <hyperlink ref="I242" r:id="rId706" display="https://drive.google.com/file/d/1h8G9cSlQXZrZJ1WWU6cU4_Ozg51yzRwK/view?usp=drivesdk"/>
    <hyperlink ref="J242" r:id="rId707" display="https://drive.google.com/file/d/12I140GX4jNlPKcECA2SrCMQI6dI6aCQG/view?usp=drivesdk"/>
    <hyperlink ref="K242" r:id="rId708" display="https://drive.google.com/file/d/1XfLtzVARhmXWVrjZPFNXMVE8jx8q32gQ/view?usp=drivesdk"/>
    <hyperlink ref="L242" r:id="rId709" display="https://drive.google.com/file/d/1yTp7pyot4nX9tqgHoT4_ToTjDq06AouZ/view?usp=drivesdk"/>
    <hyperlink ref="I243" r:id="rId710" display="https://drive.google.com/file/d/1QYuPkZgpviqha0462bZGx0aJv3xT1-_f/view?usp=drivesdk"/>
    <hyperlink ref="J243" r:id="rId711" display="https://drive.google.com/file/d/1fJUAVeaF6CZbT4FR4CMP4gXDgmAhtzPh/view?usp=drivesdk"/>
    <hyperlink ref="K243" r:id="rId712" display="https://drive.google.com/file/d/1gOeovizrSbpzd9RBq5N-_cpg1no8bJ9n/view?usp=drivesdk"/>
    <hyperlink ref="L243" r:id="rId713" display="https://drive.google.com/file/d/1IEqb2800F3Pjk7GxON3fOOUmwiDlYe63/view?usp=drivesdk"/>
    <hyperlink ref="I244" r:id="rId714" display="https://drive.google.com/file/d/18TSUN5C44Sm_uQFoGeXkZ956XfDBTqiQ/view?usp=drivesdk"/>
    <hyperlink ref="J244" r:id="rId715" display="https://drive.google.com/file/d/1brgHQ_fpvMggE5PzOEhFR9DGoSrIjLTf/view?usp=drivesdk"/>
    <hyperlink ref="K244" r:id="rId716" display="https://drive.google.com/file/d/1aUv1SKdUbDQeerJ68vZFlkLc1MmoKgtI/view?usp=drivesdk"/>
    <hyperlink ref="L244" r:id="rId717" display="https://drive.google.com/file/d/1Kdi8KOIeMpNr-tDqUy4OmwN3edHHyHL5/view?usp=drivesdk"/>
    <hyperlink ref="I245" r:id="rId718" display="https://drive.google.com/file/d/19amSdUgB3GtiYINNLKM9L_9l1JuNrxEi/view?usp=drivesdk"/>
    <hyperlink ref="J245" r:id="rId719" display="https://drive.google.com/file/d/16ZjO8wBq9TEYSzQGOD9b6UUgCNuFDjjS/view?usp=drivesdk"/>
    <hyperlink ref="K245" r:id="rId720" display="https://drive.google.com/file/d/1mI1V_-6fifjPWDRnrhXfRXepBztcHhtw/view?usp=drivesdk"/>
    <hyperlink ref="L245" r:id="rId721" display="https://drive.google.com/file/d/1b6MqMK33fWd4EgDppDtwnaiyFKYJHZFC/view?usp=drivesdk"/>
    <hyperlink ref="I246" r:id="rId722" display="https://drive.google.com/file/d/1SnWgjUeaO1oL5y0juViZ10ATPBvkYhjo/view?usp=drivesdk"/>
    <hyperlink ref="J246" r:id="rId723" display="https://drive.google.com/file/d/11r63SQcwLMKKgmk2kxl_XAac0oQ7oyqC/view?usp=drivesdk"/>
    <hyperlink ref="K246" r:id="rId724" display="https://drive.google.com/file/d/1w4gRB-P0JB-FuzJ2E92P-2PnPcSabe-4/view?usp=drivesdk"/>
    <hyperlink ref="L246" r:id="rId725" display="https://drive.google.com/file/d/176r6v1sai2C43jjmQc8UlE3IgJXHys8U/view?usp=drivesdk"/>
    <hyperlink ref="I247" r:id="rId726" display="https://drive.google.com/file/d/1yzGtbtbIpuO3m3fFj5nvxgjW8kIkzfAd/view?usp=drivesdk"/>
    <hyperlink ref="J247" r:id="rId727" display="https://drive.google.com/file/d/1wRDOVkH6axPjfma6yuM2EKwVvE3r4g25/view?usp=drivesdk"/>
    <hyperlink ref="K247" r:id="rId728" display="https://drive.google.com/file/d/1-GgFTgCV-bhh-1EdiaGTxGZbhxiYiLM2/view?usp=drivesdk"/>
    <hyperlink ref="L247" r:id="rId729" display="https://drive.google.com/file/d/1ntguzcSvAX58enlAchVpN15gk-yQBzqk/view?usp=drivesdk"/>
    <hyperlink ref="I248" r:id="rId730" display="https://drive.google.com/file/d/1VksmXCOUWbogIYRMwGkl0X3gNnQN1XaB/view?usp=drivesdk"/>
    <hyperlink ref="J248" r:id="rId731" display="https://drive.google.com/file/d/1efDwMGjrxmUp_nxNx5d1kmhN0E2KdHbC/view?usp=drivesdk"/>
    <hyperlink ref="K248" r:id="rId732" display="https://drive.google.com/file/d/1VUV4JONFyHbJLaHDmZnF7usPS29b_5NH/view?usp=drivesdk"/>
    <hyperlink ref="L248" r:id="rId733" display="https://drive.google.com/file/d/1VOf84rxNYTjKcaw132P-W6Xnu23XIN7U/view?usp=drivesdk"/>
    <hyperlink ref="I249" r:id="rId734" display="https://drive.google.com/file/d/1SQlsfA0dGALmno1Nn_3b8nyazXRgXyxw/view?usp=drivesdk"/>
    <hyperlink ref="J249" r:id="rId735" display="https://drive.google.com/file/d/14M_jkFCX7ldKKeVK7MGpf4QvPmTI61XC/view?usp=drivesdk"/>
    <hyperlink ref="K249" r:id="rId736" display="https://drive.google.com/file/d/1wIeH1FsIS-zC3WlRWn1o-PBfcRfMDZeQ/view?usp=drivesdk"/>
    <hyperlink ref="L249" r:id="rId737" display="https://drive.google.com/file/d/1LJZI8X1p85uHXdSXTa4-_vr9YuHX2DJ7/view?usp=drivesdk"/>
    <hyperlink ref="I250" r:id="rId738" display="https://drive.google.com/file/d/1Df2Szk1UqQJwCrnM1D1CXPlCV9LZrv_B/view?usp=drivesdk"/>
    <hyperlink ref="J250" r:id="rId739" display="https://drive.google.com/file/d/1R6KWwEZfBrIzHNt1aww8ZFx4hmWKhmkg/view?usp=drivesdk"/>
    <hyperlink ref="K250" r:id="rId740" display="https://drive.google.com/file/d/1yG-U3raW1ldDj2JE-On5ZUDNvWEHEAi2/view?usp=drivesdk"/>
    <hyperlink ref="I251" r:id="rId741" display="https://drive.google.com/file/d/1ut4X5hmfeY_Ie5SvtkkYxZ9jOqe378Vd/view?usp=drivesdk"/>
    <hyperlink ref="J251" r:id="rId742" display="https://drive.google.com/file/d/1SWyBJ35fuO2wz_2be6s_6K7dIMYOH1l8/view?usp=drivesdk"/>
    <hyperlink ref="K251" r:id="rId743" display="https://drive.google.com/file/d/1esLfQPb0XAIYsji8Wh8MRKdjXHlu5x1t/view?usp=drivesdk"/>
    <hyperlink ref="L251" r:id="rId744" display="https://drive.google.com/file/d/16ZiAPeFvOvCJ6l2CG4qoQduU6tt6egPw/view?usp=drivesdk"/>
    <hyperlink ref="I252" r:id="rId745" display="https://drive.google.com/file/d/1E0n7htNG94TWgCOK0_KAKUxZRpgDEnuS/view?usp=drivesdk"/>
    <hyperlink ref="J252" r:id="rId746" display="https://drive.google.com/file/d/1zpb4u8a6AZgQP9qKH0-WbRV03MmpLFE9/view?usp=drivesdk"/>
    <hyperlink ref="K252" r:id="rId747" display="https://drive.google.com/file/d/16F0eJfkONIquYdIQyUi6__yyP9QAscDl/view?usp=drivesdk"/>
    <hyperlink ref="L252" r:id="rId748" display="https://drive.google.com/file/d/1sDEbm2mjA_vR7KQH2Lji64K-4cyiNoXE/view?usp=drivesdk"/>
    <hyperlink ref="I253" r:id="rId749" display="https://drive.google.com/file/d/1RAhgJToNLix74xCokEawjckJKlQxJOIW/view?usp=drivesdk"/>
    <hyperlink ref="J253" r:id="rId750" display="https://drive.google.com/file/d/1CTNRSSJr7VxcaV3Pl87zM8S7nmzqAWIC/view?usp=drivesdk"/>
    <hyperlink ref="K253" r:id="rId751" display="https://drive.google.com/file/d/1UOrHD8pagbcDG_WP8mCitoCIlG4GSCsi/view?usp=drivesdk"/>
    <hyperlink ref="L253" r:id="rId752" display="https://drive.google.com/file/d/1oEVzcQ2By1REL1alEh-zNmWizk-csmjU/view?usp=drivesdk"/>
    <hyperlink ref="I254" r:id="rId753" display="https://drive.google.com/file/d/1EV3dFQlQlHcSCZdD80J1hqk46YC68Z0l/view?usp=drivesdk"/>
    <hyperlink ref="J254" r:id="rId754" display="https://drive.google.com/file/d/1yfVEg4T9pu6nOuABqX4RzCouxknx9cD9/view?usp=drivesdk"/>
    <hyperlink ref="K254" r:id="rId755" display="https://drive.google.com/file/d/1IqFIB2sBZ139POEuGGGJFte6brhZwhk5/view?usp=drivesdk"/>
    <hyperlink ref="I255" r:id="rId756" display="https://drive.google.com/file/d/1xlwfAQ8bvHoe3AAb_IHYOFA9kIbza80p/view?usp=drivesdk"/>
    <hyperlink ref="J255" r:id="rId757" display="https://drive.google.com/file/d/1ZJuq1chyvfMcy49IHmiG_YB-y55HWRui/view?usp=drivesdk"/>
    <hyperlink ref="K255" r:id="rId758" display="https://drive.google.com/file/d/1ITCxW4ChJ5RWRChKr8DtFMMlys_HKzgs/view?usp=drivesdk"/>
    <hyperlink ref="I256" r:id="rId759" display="https://drive.google.com/file/d/1W5xjt_TeMJT7s7ex19xaLBTbhhHKFx0-/view?usp=drivesdk"/>
    <hyperlink ref="J256" r:id="rId760" display="https://drive.google.com/file/d/1igMIw2gamcWyiQ1KY2oTDr5rAqahwAkk/view?usp=drivesdk"/>
    <hyperlink ref="K256" r:id="rId761" display="https://drive.google.com/file/d/1pQaWanPQ2L5D4Ymj6gnuyUV24HsBYnJK/view?usp=drivesdk"/>
    <hyperlink ref="L256" r:id="rId762" display="https://drive.google.com/file/d/14_spcPMagdrrzHfyELGNQ3dcH52j9TS2/view?usp=drivesdk"/>
    <hyperlink ref="I257" r:id="rId763" display="https://drive.google.com/file/d/1UXJwZzcnNJsXDqWHZ14e6ZVQ1siz4CVf/view?usp=drivesdk"/>
    <hyperlink ref="J257" r:id="rId764" display="https://drive.google.com/file/d/1S-qWmnFQGUFrdutfsZroJn35zG4p2dFs/view?usp=drivesdk"/>
    <hyperlink ref="K257" r:id="rId765" display="https://drive.google.com/file/d/1Lr1sbQf77ucY5B9m4RoqXNrCnFLMO6GJ/view?usp=drivesdk"/>
    <hyperlink ref="I258" r:id="rId766" display="https://drive.google.com/file/d/10onsQD71yQyA2pg0jnaV2ya8mj-8PVx4/view?usp=drivesdk"/>
    <hyperlink ref="J258" r:id="rId767" display="https://drive.google.com/file/d/15AH-IBqmFJFZ2TSRsF_3QlaNsN6B9FBi/view?usp=drivesdk"/>
    <hyperlink ref="K258" r:id="rId768" display="https://drive.google.com/file/d/19OrRlzlSdIniYKXDAdw-KdhNt4bYgP4O/view?usp=drivesdk"/>
    <hyperlink ref="L258" r:id="rId769" display="https://drive.google.com/file/d/1K9VlqcoVJVmUQZc_wQCKL3-8tC4zlH10/view?usp=drivesdk"/>
    <hyperlink ref="I259" r:id="rId770" display="https://drive.google.com/file/d/1ECC4dQDePOucSVVrOIb23i7BZs5DPf_a/view?usp=drivesdk"/>
    <hyperlink ref="J259" r:id="rId771" display="https://drive.google.com/file/d/1ZPjanrnL2TkAPfQ8x74OlV65Mb8j8rae/view?usp=drivesdk"/>
    <hyperlink ref="K259" r:id="rId772" display="https://drive.google.com/file/d/1ztPgYmcJrA1FN4YJ1CTd3xfKgnCEPa4H/view?usp=drivesdk"/>
    <hyperlink ref="L259" r:id="rId773" display="https://drive.google.com/file/d/18WtMhJw1D3FmFwT6QqcWmCNyNAtXmp-n/view?usp=drivesdk"/>
    <hyperlink ref="I260" r:id="rId774" display="https://drive.google.com/file/d/1o5bCvyA2Fj-tbx--yV-SDykEQ3F1LxGi/view?usp=drivesdk"/>
    <hyperlink ref="J260" r:id="rId775" display="https://drive.google.com/file/d/1QkozD-L435dmzLpmAyeeyMWaeCRWe0IZ/view?usp=drivesdk"/>
    <hyperlink ref="K260" r:id="rId776" display="https://drive.google.com/file/d/1l5PZ898zIOuU8aDwaBPmn119aS2M0oem/view?usp=drivesdk"/>
    <hyperlink ref="I261" r:id="rId777" display="https://drive.google.com/file/d/1qJyPsjzRJXDAyBa-7RFdZRZzJzlVrPHR/view?usp=drivesdk"/>
    <hyperlink ref="J261" r:id="rId778" display="https://drive.google.com/file/d/1VrGbUEoMuyC6oSFQwtdp5p_tcxbo-qY_/view?usp=drivesdk"/>
    <hyperlink ref="K261" r:id="rId779" display="https://drive.google.com/file/d/15cHiW4ivf1ztn21U7y_KKhDZwfjIZ22C/view?usp=drivesdk"/>
    <hyperlink ref="L261" r:id="rId780" display="https://drive.google.com/file/d/1A7NL-XjUytfC40QuhYC3CP_6nMwStwat/view?usp=drivesdk"/>
    <hyperlink ref="I262" r:id="rId781" display="https://drive.google.com/file/d/1xUzzKOkhfngMBaiNNrn88sZVI-Vk7GeV/view?usp=drivesdk"/>
    <hyperlink ref="J262" r:id="rId782" display="https://drive.google.com/file/d/1E3y51tScjfw3IfR1o4F2ci0d7v50mdWd/view?usp=drivesdk"/>
    <hyperlink ref="K262" r:id="rId783" display="https://drive.google.com/file/d/1Xy04WP4gYwCCK3pqjakyn87AlNGGxvF4/view?usp=drivesdk"/>
    <hyperlink ref="L262" r:id="rId784" display="https://drive.google.com/file/d/1EF1jG1BngzfS5WvnFRLVHlG0GgZUbl7N/view?usp=drivesdk"/>
    <hyperlink ref="I263" r:id="rId785" display="https://drive.google.com/file/d/1uj20gR354pu6lQM2z08O7hsm5-8aIuXN/view?usp=drivesdk"/>
    <hyperlink ref="J263" r:id="rId786" display="https://drive.google.com/file/d/1Y4WLXjucZg0xE4i-9si7layyZkB4Bs6Z/view?usp=drivesdk"/>
    <hyperlink ref="K263" r:id="rId787" display="https://drive.google.com/file/d/1wdkIFvWo556_acQzAnCt1SDi-IGsWYjw/view?usp=drivesdk"/>
    <hyperlink ref="I264" r:id="rId788" display="https://drive.google.com/file/d/1Bx-Gncj0Y0-xXlUvoNUuN2_ac8fSH4-G/view?usp=drivesdk"/>
    <hyperlink ref="J264" r:id="rId789" display="https://drive.google.com/file/d/18r3thyJs-7hQfP-Q16xWbb1hOu5Z2ByH/view?usp=drivesdk"/>
    <hyperlink ref="K264" r:id="rId790" display="https://drive.google.com/file/d/1nv5XOmqlPQsXsbmBLn2KAugW2UUz4KQV/view?usp=drivesdk"/>
    <hyperlink ref="I265" r:id="rId791" display="https://drive.google.com/file/d/1rEr-4oeBhzieZrIV0rhzTKZ7WEHJN2eg/view?usp=drivesdk"/>
    <hyperlink ref="J265" r:id="rId792" display="https://drive.google.com/file/d/1eoEnngl2LHtmpop67GdDtm4I7hWg9kXG/view?usp=drivesdk"/>
    <hyperlink ref="K265" r:id="rId793" display="https://drive.google.com/file/d/1WpljIQZX96q7jehlqkHkIQ5BoE9YKPIO/view?usp=drivesdk"/>
    <hyperlink ref="L265" r:id="rId794" display="https://drive.google.com/file/d/1_nOlPsX3AOMpIumy4Yl5w7_lwqG3lspp/view?usp=drivesdk"/>
    <hyperlink ref="I266" r:id="rId795" display="https://drive.google.com/file/d/1CpAMqpB2MnwIoO0uVSQ4bWTGQb6fuRJt/view?usp=drivesdk"/>
    <hyperlink ref="J266" r:id="rId796" display="https://drive.google.com/file/d/1ocjvZEuTlY9Uvk7mNp5GWuS1d8KUH8In/view?usp=drivesdk"/>
    <hyperlink ref="K266" r:id="rId797" display="https://drive.google.com/file/d/1HdvGKhEaf50SgjCNqK3eDGX7ytYXT3Ft/view?usp=drivesdk"/>
    <hyperlink ref="L266" r:id="rId798" display="https://drive.google.com/file/d/1yF_n79GaAHpiGVfkXzcwI8Tj2UhlRBYA/view?usp=drivesdk"/>
    <hyperlink ref="I267" r:id="rId799" display="https://drive.google.com/file/d/107efS1IeCW-hAi6Mux3CTSXvoa6D-QNR/view?usp=drivesdk"/>
    <hyperlink ref="J267" r:id="rId800" display="https://drive.google.com/file/d/1qMNjDp3qOAC8tmQ4w0YQOImuIuqJYPIs/view?usp=drivesdk"/>
    <hyperlink ref="I268" r:id="rId801" display="https://drive.google.com/file/d/127LmZFInBMU3Humjbs8bSpStfcoCYWIi/view?usp=drivesdk"/>
    <hyperlink ref="J268" r:id="rId802" display="https://drive.google.com/file/d/1X8O9RFF1h1GSzajWz7yMu3pC1YV9bCzA/view?usp=drivesdk"/>
    <hyperlink ref="I269" r:id="rId803" display="https://drive.google.com/file/d/10eXQ9bzZ2IwXOBlKmWQHcjBqK4J-4-g-/view?usp=drivesdk"/>
    <hyperlink ref="J269" r:id="rId804" display="https://drive.google.com/file/d/1EM1siaoX-EbQjLKAlqU6gZ4vdi9WcwUM/view?usp=drivesdk"/>
    <hyperlink ref="K269" r:id="rId805" display="https://drive.google.com/file/d/1-pgim-1xXqsp5vQYgQzS3TTqhS_XRFJV/view?usp=drivesdk"/>
    <hyperlink ref="I270" r:id="rId806" display="https://drive.google.com/file/d/1ZSm1C90TFm5N3jvyQ_q6eTfLPcfVxHZy/view?usp=drivesdk"/>
    <hyperlink ref="J270" r:id="rId807" display="https://drive.google.com/file/d/1xKdwWy5sViJ8-EeuUmFMwm9Mp3Ib5YZi/view?usp=drivesdk"/>
    <hyperlink ref="K270" r:id="rId808" display="https://drive.google.com/file/d/1GCbLcQJesK9yrEllhDh7DcOaKtnSKOs_/view?usp=drivesdk"/>
    <hyperlink ref="L270" r:id="rId809" display="https://drive.google.com/file/d/1SVeVqfOY2k556QI4-u5F36mDzLC2C45B/view?usp=drivesdk"/>
    <hyperlink ref="I271" r:id="rId810" display="https://drive.google.com/file/d/1Lv60O9uAiwO2-vy6DFE58JgXUg6YitQK/view?usp=drivesdk"/>
    <hyperlink ref="I272" r:id="rId811" display="https://drive.google.com/file/d/1MaXxvHYUySVTQe-YNthNWN4K0vcyIDEA/view?usp=drivesdk"/>
    <hyperlink ref="J272" r:id="rId812" display="https://drive.google.com/file/d/16b8VRzcrKSNROZgEm4lPsEOECzBpTLAn/view?usp=drivesdk"/>
    <hyperlink ref="K272" r:id="rId813" display="https://drive.google.com/file/d/1IGluykln0hSdCfYEHTVSJzINZvvBiJbl/view?usp=drivesdk"/>
    <hyperlink ref="I273" r:id="rId814" display="https://drive.google.com/file/d/1T6t2dhALIqcfpFqz_RK6--iHoCzhZ0pK/view?usp=drivesdk"/>
    <hyperlink ref="J273" r:id="rId815" display="https://drive.google.com/file/d/1BHWAN4KNhbI33qod3DVbE8LioKN77EyW/view?usp=drivesdk"/>
    <hyperlink ref="K273" r:id="rId816" display="https://drive.google.com/file/d/1Ilfn66IY0SIfNmhQHIZE4uYFvjuw51Pn/view?usp=drivesdk"/>
    <hyperlink ref="L273" r:id="rId817" display="https://drive.google.com/file/d/1uzo0eh2S1GkK8YQKlZVp9UMGjUKMK1Ac/view?usp=drivesdk"/>
    <hyperlink ref="I274" r:id="rId818" display="https://drive.google.com/file/d/1b2xovyNLp3CixMRWd-5xbQPpW6sYKakP/view?usp=drivesdk"/>
    <hyperlink ref="J274" r:id="rId819" display="https://drive.google.com/file/d/1ZJOI-FJbF1Qe9Ylu5YrmqNYUKUStENJM/view?usp=drivesdk"/>
    <hyperlink ref="K274" r:id="rId820" display="https://drive.google.com/file/d/1hYxTUj-lSewUp7GW-6_ZLXLGv8OTN86Z/view?usp=drivesdk"/>
    <hyperlink ref="I275" r:id="rId821" display="https://drive.google.com/file/d/18ZS3JIWc9AHNzzfxdnJ_pGTQ0COAVVvB/view?usp=drivesdk"/>
    <hyperlink ref="J275" r:id="rId822" display="https://drive.google.com/file/d/1jw00vlu0R8a_DTuUJcmQI2Ll_fKYsnR2/view?usp=drivesdk"/>
    <hyperlink ref="K275" r:id="rId823" display="https://drive.google.com/file/d/1tmzLZhEOMT4P_COZf4X7pD0Nz3E-mTvg/view?usp=drivesdk"/>
    <hyperlink ref="L275" r:id="rId824" display="https://drive.google.com/file/d/1wFI7Zh8N85PRzFumijMu7ROIxUO4HuXi/view?usp=drivesdk"/>
    <hyperlink ref="I276" r:id="rId825" display="https://drive.google.com/file/d/1WrRsh6R1LdjHFqDy2_Rnmty9cvHV9Njr/view?usp=drivesdk"/>
    <hyperlink ref="J276" r:id="rId826" display="https://drive.google.com/file/d/1INCtwSg8sQUxg0LjzwOiKvy93EWWfTVE/view?usp=drivesdk"/>
    <hyperlink ref="K276" r:id="rId827" display="https://drive.google.com/file/d/1VWly9H79ZLYvOB9TA_5xUzCUJlOvUDPy/view?usp=drivesdk"/>
    <hyperlink ref="I277" r:id="rId828" display="https://drive.google.com/file/d/1rySbEtOTFS7Mw2eOuJuEgxwmEUm1ze4x/view?usp=drivesdk"/>
    <hyperlink ref="I278" r:id="rId829" display="https://drive.google.com/file/d/19fEhwMWQqiNLbl8dLSUIex2-gLx9QPkj/view?usp=drivesdk"/>
    <hyperlink ref="J278" r:id="rId830" display="https://drive.google.com/file/d/1PF4G7H2JIaf8bMYIcblthijhWSua6CCE/view?usp=drivesdk"/>
    <hyperlink ref="I279" r:id="rId831" display="https://drive.google.com/file/d/1rBdI5Ag1NLQMsCH7SmI0Z3oV1gLQovMX/view?usp=drivesdk"/>
    <hyperlink ref="I280" r:id="rId832" display="https://drive.google.com/file/d/1ZglI6HQkIDSHfAHRomaq7ETGqn0kd-_M/view?usp=drivesdk"/>
    <hyperlink ref="J280" r:id="rId833" display="https://drive.google.com/file/d/1C83otnIl_P5Nwp8quD__i69mN-xvEbzQ/view?usp=drivesdk"/>
    <hyperlink ref="I281" r:id="rId834" display="https://drive.google.com/file/d/1nvvgc6TMH7WcY7kqaapR_5-Ask4ruT7H/view?usp=drivesdk"/>
    <hyperlink ref="J281" r:id="rId835" display="https://drive.google.com/file/d/1pysc6fMtX7Vid5IiosVIMl8KAXBv0bgc/view?usp=drivesdk"/>
    <hyperlink ref="K281" r:id="rId836" display="https://drive.google.com/file/d/1LUcYAtItt9GAYUzMOBRzVc8jONPehZqM/view?usp=drivesdk"/>
    <hyperlink ref="L281" r:id="rId837" display="https://drive.google.com/file/d/19VaXwBG-qk02D7df4Cvy_nLaGRys7a3K/view?usp=drivesdk"/>
    <hyperlink ref="I282" r:id="rId838" display="https://drive.google.com/file/d/1yKLS_f0vJtxkOUmQehxgCQRwYtbr5uPw/view?usp=drivesdk"/>
    <hyperlink ref="J282" r:id="rId839" display="https://drive.google.com/file/d/1gCpeuocYNjlJh_z3hjhTKF5nW5YMh8IL/view?usp=drivesdk"/>
    <hyperlink ref="I283" r:id="rId840" display="https://drive.google.com/file/d/13CKOaa8KSs87nlPGqV-SEPZZh6llOILO/view?usp=drivesdk"/>
    <hyperlink ref="J283" r:id="rId841" display="https://drive.google.com/file/d/1KXLCrgxs2Xu4blm-IN159f8UR7c55Xf5/view?usp=drivesdk"/>
    <hyperlink ref="K283" r:id="rId842" display="https://drive.google.com/file/d/1_WGm5kUU5d7WDBSObbl6ImwJWQjVG6HG/view?usp=drivesdk"/>
    <hyperlink ref="I284" r:id="rId843" display="https://drive.google.com/file/d/1mb5jD6Vukc6q6uKQEFuqy7pxyWmtiNuF/view?usp=drivesdk"/>
    <hyperlink ref="J284" r:id="rId844" display="https://drive.google.com/file/d/1L_AUcH2ASepuW6PBteCYOeRCxPK328zD/view?usp=drivesdk"/>
    <hyperlink ref="K284" r:id="rId845" display="https://drive.google.com/file/d/1ND6gKjOV_QaQz5OHa4ythQiTop6SG_AK/view?usp=drivesdk"/>
    <hyperlink ref="I285" r:id="rId846" display="https://drive.google.com/file/d/1ZFlPpspZoWbSike-DLk-Xrx0aKk4L2bd/view?usp=drivesdk"/>
    <hyperlink ref="J285" r:id="rId847" display="https://drive.google.com/file/d/1BIBomGvYikxWmkMiJ_g_6p-hetlH_5tP/view?usp=drivesdk"/>
    <hyperlink ref="K285" r:id="rId848" display="https://drive.google.com/file/d/1YSYb-RG2ql6XaiFdySZ-7nzVXSPBYkHX/view?usp=drivesdk"/>
    <hyperlink ref="L285" r:id="rId849" display="https://drive.google.com/file/d/1Nhc6M4h1mnZ9R1vVQCdPt5NyZGIC09Hb/view?usp=drivesdk"/>
    <hyperlink ref="I286" r:id="rId850" display="https://drive.google.com/file/d/1y8no7jpz2Qkg8R6U-qjyasK7jsrdTxOx/view?usp=drivesdk"/>
    <hyperlink ref="J286" r:id="rId851" display="https://drive.google.com/file/d/1i5Aovuhd62ksHkGY7L1t37KWL4WNDSzQ/view?usp=drivesdk"/>
    <hyperlink ref="I287" r:id="rId852" display="https://drive.google.com/file/d/13E6eiyaOGX6TpMCyT3fxY9S5jPmCAWED/view?usp=drivesdk"/>
    <hyperlink ref="J287" r:id="rId853" display="https://drive.google.com/file/d/1Ux4u5NaTEjgnC-Y3jGO_SQ-Nkqrh8ieF/view?usp=drivesdk"/>
    <hyperlink ref="K287" r:id="rId854" display="https://drive.google.com/file/d/1TRNnUn8D-UGLJJe-JzkcswwZJe18MJKO/view?usp=drivesdk"/>
    <hyperlink ref="I288" r:id="rId855" display="https://drive.google.com/file/d/1rUvQ1PQ5E9cLyEaip0bdhIOElWEgP8LF/view?usp=drivesdk"/>
    <hyperlink ref="J288" r:id="rId856" display="https://drive.google.com/file/d/14JlujivcOFYZMQim5_FtNocnI8AkF4um/view?usp=drivesdk"/>
    <hyperlink ref="I289" r:id="rId857" display="https://drive.google.com/file/d/12o7Ue8ATkYnIpaASNXZMsUrc6KplcgOe/view?usp=drivesdk"/>
    <hyperlink ref="J289" r:id="rId858" display="https://drive.google.com/file/d/1ROvW9jhxUdmPM81cd-5Dr-_4K8SgxcgQ/view?usp=drivesdk"/>
    <hyperlink ref="K289" r:id="rId859" display="https://drive.google.com/file/d/1ouYVQCcziSYfZDB-WrgNNYCAl-wMvrig/view?usp=drivesdk"/>
    <hyperlink ref="L289" r:id="rId860" display="https://drive.google.com/file/d/1b9maSG4WSXg-Tg-oMied6iYmB9OO-_gY/view?usp=drivesdk"/>
    <hyperlink ref="I290" r:id="rId861" display="https://drive.google.com/file/d/1jJKtImzEOlBj64qt7ujjoGse94rHxe06/view?usp=drivesdk"/>
    <hyperlink ref="J290" r:id="rId862" display="https://drive.google.com/file/d/1vqyRsw1dwAaVIIvAa4SyeRoomP1qdLY3/view?usp=drivesdk"/>
    <hyperlink ref="I291" r:id="rId863" display="https://drive.google.com/file/d/1xrTR1ecOsJcDQYNVRYWmdI9oIXWdEQzd/view?usp=drivesdk"/>
    <hyperlink ref="J291" r:id="rId864" display="https://drive.google.com/file/d/1Ia6O73LHBWD3GtDMveD7YBPb8uiqLbTZ/view?usp=drivesdk"/>
    <hyperlink ref="K291" r:id="rId865" display="https://drive.google.com/file/d/1pSs5lebmRIcqd-8FSvHeqhItSQQ8Hiu5/view?usp=drivesdk"/>
    <hyperlink ref="I292" r:id="rId866" display="https://drive.google.com/file/d/1zKDXxEXb8qxZVT0jDjMtIREOgdSkjpna/view?usp=drivesdk"/>
    <hyperlink ref="J292" r:id="rId867" display="https://drive.google.com/file/d/1kPOgm8nNlXmbiJ1VN69Ksx3GknkYqc0O/view?usp=drivesdk"/>
    <hyperlink ref="K292" r:id="rId868" display="https://drive.google.com/file/d/1tpHeC_VLDgea3A6ManjHt9lQuAWUYXEN/view?usp=drivesdk"/>
    <hyperlink ref="I293" r:id="rId869" display="https://drive.google.com/file/d/12VdsIMKLwLFWMckHNKXTGoR0BMzrmhd0/view?usp=drivesdk"/>
    <hyperlink ref="J293" r:id="rId870" display="https://drive.google.com/file/d/1It63m_hYOoKHvp4dq7uUd3R-kCJruEk9/view?usp=drivesdk"/>
    <hyperlink ref="K293" r:id="rId871" display="https://drive.google.com/file/d/1ELOV6dSIA-aziirlMAV36ILw9YtZrQBx/view?usp=drivesdk"/>
    <hyperlink ref="I294" r:id="rId872" display="https://drive.google.com/file/d/1RRQVGgfUXbyFc94y1MdK4d2sTxRBbg6f/view?usp=drivesdk"/>
    <hyperlink ref="J294" r:id="rId873" display="https://drive.google.com/file/d/1-7DR9heFSnYW_UnvjrxG48HH8u16Nn7H/view?usp=drivesdk"/>
    <hyperlink ref="K294" r:id="rId874" display="https://drive.google.com/file/d/1HZRvA-X9PjlivI7J1tEp7SO3lGa6eked/view?usp=drivesdk"/>
    <hyperlink ref="I295" r:id="rId875" display="https://drive.google.com/file/d/1AX5PxOYo_6JfmLMs0r7UhSUQJM8Gpw_7/view?usp=drivesdk"/>
    <hyperlink ref="J295" r:id="rId876" display="https://drive.google.com/file/d/1L_5rceRUnXA52cSsSEZSZxHq-d6MDcu_/view?usp=drivesdk"/>
    <hyperlink ref="K295" r:id="rId877" display="https://drive.google.com/file/d/1Y3HwF-v1iP-kjtRuMnSAwJDg4IIdO545/view?usp=drivesdk"/>
    <hyperlink ref="L295" r:id="rId878" display="https://drive.google.com/file/d/1ojGsWkX1xlIU1L2AeuX5mb2Tv3BMLQpd/view?usp=drivesdk"/>
    <hyperlink ref="I296" r:id="rId879" display="https://drive.google.com/file/d/15gC6FQyz8lYdgTGclURR9X4W-7GRRvBE/view?usp=drivesdk"/>
    <hyperlink ref="J296" r:id="rId880" display="https://drive.google.com/file/d/1glC_TOadgtbUqQ0nvSXEPzhMQUWI31oy/view?usp=drivesdk"/>
    <hyperlink ref="K296" r:id="rId881" display="https://drive.google.com/file/d/1yQukabKXz6mXJRUBOunnGa6i09q6rIub/view?usp=drivesdk"/>
    <hyperlink ref="I297" r:id="rId882" display="https://drive.google.com/file/d/1fHJa6s5mCC7_yiFYn8mpel4NyKJjP9g3/view?usp=drivesdk"/>
    <hyperlink ref="J297" r:id="rId883" display="https://drive.google.com/file/d/1CPM02t4IO-9xwGeneeSFbpWyxCLVd3wr/view?usp=drivesdk"/>
    <hyperlink ref="K297" r:id="rId884" display="https://drive.google.com/file/d/1S2YEvoEErPGKkYXafdHJJ4HjcgCg0s6_/view?usp=drivesdk"/>
    <hyperlink ref="L297" r:id="rId885" display="https://drive.google.com/file/d/1NdggyvuGvNj9fIxLXqEoo5EzVhxFkHd_/view?usp=drivesdk"/>
    <hyperlink ref="I298" r:id="rId886" display="https://drive.google.com/file/d/1_4IJxlm78EFhK0_Bk9yWTUGDUgTIFJvE/view?usp=drivesdk"/>
    <hyperlink ref="J298" r:id="rId887" display="https://drive.google.com/file/d/1ikNKwtRJPCb1I9bEWc2xVyqBeLOIk_6f/view?usp=drivesdk"/>
    <hyperlink ref="K298" r:id="rId888" display="https://drive.google.com/file/d/1OKWLSB-HYAH-jDljxg1emBGUZ5hafMto/view?usp=drivesdk"/>
    <hyperlink ref="I299" r:id="rId889" display="https://drive.google.com/file/d/1Ba6SAUyg8oZV08twFGmiODcYDav87J8G/view?usp=drivesdk"/>
    <hyperlink ref="J299" r:id="rId890" display="https://drive.google.com/file/d/1SRrV1qp_R0-e4vA1kuD0LD-tzveoMsIT/view?usp=drivesdk"/>
    <hyperlink ref="K299" r:id="rId891" display="https://drive.google.com/file/d/1r7USJbEWQFEVVWr5Wk6ES_mgsRq90wyO/view?usp=drivesdk"/>
    <hyperlink ref="L299" r:id="rId892" display="https://drive.google.com/file/d/1FNOZ5_eCn74Uzmy9MfF4cISmYq3DBpBh/view?usp=drivesdk"/>
    <hyperlink ref="I300" r:id="rId893" display="https://drive.google.com/file/d/10FCw5lIzjTEs9NO83KBoDd2lnEptnI4x/view?usp=drivesdk"/>
    <hyperlink ref="J300" r:id="rId894" display="https://drive.google.com/file/d/1WSQ_WL0YnCmZ-KxSA1PP1T8vyh6TiQUJ/view?usp=drivesdk"/>
    <hyperlink ref="K300" r:id="rId895" display="https://drive.google.com/file/d/1lHRoiYdhgxRjfEWB3eBDTKrGl3lPrhqU/view?usp=drivesdk"/>
    <hyperlink ref="L300" r:id="rId896" display="https://drive.google.com/file/d/1MnbERxzYZi_o1p5kSiEQgUGyJheIIrfO/view?usp=drivesdk"/>
    <hyperlink ref="I301" r:id="rId897" display="https://drive.google.com/file/d/15rfhV9Aw5XA-b7F1lmngyAJSxE0p9GfS/view?usp=drivesdk"/>
    <hyperlink ref="J301" r:id="rId898" display="https://drive.google.com/file/d/11uNMeCYWwtuiqBt3-BuxToVCCCYHr6r9/view?usp=drivesdk"/>
    <hyperlink ref="K301" r:id="rId899" display="https://drive.google.com/file/d/1W-cYKQAY7K6MXmwSqJ-CLoOIozxlfnZA/view?usp=drivesdk"/>
    <hyperlink ref="L301" r:id="rId900" display="https://drive.google.com/file/d/1-VsJrRriSTEF_eKMzyJdgPWHjE3pMLz3/view?usp=drivesdk"/>
    <hyperlink ref="I302" r:id="rId901" display="https://drive.google.com/file/d/1WsKrIBmDlvqRE16ot-O6zXy70fGv8wSl/view?usp=drivesdk"/>
    <hyperlink ref="J302" r:id="rId902" display="https://drive.google.com/file/d/15KP2NLnP66lsFEm_iAUMJZK-N7iRHFIx/view?usp=drivesdk"/>
    <hyperlink ref="I303" r:id="rId903" display="https://drive.google.com/file/d/1Vh5WTPNZDfx_Bu5iYyGtbHk6Q4QyOh7a/view?usp=drivesdk"/>
    <hyperlink ref="J303" r:id="rId904" display="https://drive.google.com/file/d/1XEJKVJeo0urdBPgA-1yUdrzwhSVAAASg/view?usp=drivesdk"/>
    <hyperlink ref="K303" r:id="rId905" display="https://drive.google.com/file/d/1g3tmztarVCcxEuFb0hAckt3sH5qJHYlo/view?usp=drivesdk"/>
    <hyperlink ref="L303" r:id="rId906" display="https://drive.google.com/file/d/1pOlmWjTUbq6IURThZWANAwQYXZFb5s8F/view?usp=drivesdk"/>
    <hyperlink ref="M303" r:id="rId907" display="https://drive.google.com/file/d/1H-AQORDIAIfXh7C9FX3jymmPKPde7jMr/view?usp=drivesdk"/>
    <hyperlink ref="N303" r:id="rId908" display="https://drive.google.com/file/d/1WFojztUmkIa3XHWsm6yxWmB1MwEM46VQ/view?usp=drivesdk"/>
    <hyperlink ref="O303" r:id="rId909" display="https://drive.google.com/file/d/1osPo2WpAFgnhU2sGdXTemqNsdVbbj3Ra/view?usp=drivesdk"/>
    <hyperlink ref="P303" r:id="rId910" display="https://drive.google.com/file/d/1gDRdeFPabG19GcoW_EfXGhZajKUrfYHu/view?usp=drivesdk"/>
    <hyperlink ref="I304" r:id="rId911" display="https://drive.google.com/file/d/1tyH3_W_ucU1uSP8STjTBvRepfeXNA2C7/view?usp=drivesdk"/>
    <hyperlink ref="J304" r:id="rId912" display="https://drive.google.com/file/d/1Ho-VMQIpBDE6F5c5Vock5ep60tkvJZ4_/view?usp=drivesdk"/>
    <hyperlink ref="K304" r:id="rId913" display="https://drive.google.com/file/d/1M4FV-8JoqLv7xl9VfSh4jNeRb8C6rGng/view?usp=drivesdk"/>
    <hyperlink ref="L304" r:id="rId914" display="https://drive.google.com/file/d/16x2aQjyIK5iYxVfLzuoLQ4JbvTxP8PYQ/view?usp=drivesdk"/>
    <hyperlink ref="M304" r:id="rId915" display="https://drive.google.com/file/d/18r9FEJV_WXiLYW_8czWs70l7aF-axgWP/view?usp=drivesdk"/>
    <hyperlink ref="I305" r:id="rId916" display="https://drive.google.com/file/d/1Gk5NJ4KCI-nYGz-UkTEbJAD8gib5Ylba/view?usp=drivesdk"/>
    <hyperlink ref="J305" r:id="rId917" display="https://drive.google.com/file/d/1n_Befmd1OD5MTzgBvPXpdCBhFKOniUNW/view?usp=drivesdk"/>
    <hyperlink ref="K305" r:id="rId918" display="https://drive.google.com/file/d/1uZoqlk-yf0Yz4BR1KgH9yLiIUh1Ccb1C/view?usp=drivesdk"/>
    <hyperlink ref="I306" r:id="rId919" display="https://drive.google.com/file/d/1TGz1evnEPOaVEQiY5-IxU1FoVJguDdVR/view?usp=drivesdk"/>
    <hyperlink ref="J306" r:id="rId920" display="https://drive.google.com/file/d/1Oix5vnFhPR-eSNy1wbJ1_QtR7QVcH82Y/view?usp=drivesdk"/>
    <hyperlink ref="K306" r:id="rId921" display="https://drive.google.com/file/d/1aIZ13sD1_CDdynhxCNxZXWGjFUUVN7a9/view?usp=drivesdk"/>
    <hyperlink ref="I307" r:id="rId922" display="https://drive.google.com/file/d/10IhBt-QBW8Q6YCicKW1tGbilSdKgRKIs/view?usp=drivesdk"/>
    <hyperlink ref="J307" r:id="rId923" display="https://drive.google.com/file/d/1Xi34HlH3N5rFjsJM_Lyplo7u-WyY5ujR/view?usp=drivesd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2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n">
        <v>1234</v>
      </c>
      <c r="B1" s="1" t="s">
        <v>0</v>
      </c>
      <c r="C1" s="1" t="s">
        <v>1</v>
      </c>
      <c r="D1" s="1" t="n">
        <v>1</v>
      </c>
      <c r="E1" s="1" t="n">
        <v>0</v>
      </c>
      <c r="F1" s="1" t="n">
        <v>0</v>
      </c>
      <c r="G1" s="1" t="n">
        <v>0</v>
      </c>
      <c r="H1" s="1" t="n">
        <v>5</v>
      </c>
    </row>
    <row r="2" customFormat="false" ht="15.75" hidden="false" customHeight="false" outlineLevel="0" collapsed="false">
      <c r="A2" s="1" t="n">
        <v>186864</v>
      </c>
      <c r="B2" s="1" t="s">
        <v>580</v>
      </c>
      <c r="C2" s="1" t="s">
        <v>1</v>
      </c>
      <c r="D2" s="1" t="n">
        <v>0</v>
      </c>
      <c r="E2" s="1" t="n">
        <v>2</v>
      </c>
      <c r="F2" s="1" t="n">
        <v>0</v>
      </c>
      <c r="G2" s="1" t="n">
        <v>0</v>
      </c>
      <c r="H2" s="1" t="n">
        <v>0</v>
      </c>
      <c r="I2" s="2" t="s">
        <v>1203</v>
      </c>
      <c r="J2" s="2" t="s">
        <v>1204</v>
      </c>
      <c r="K2" s="2" t="s">
        <v>1205</v>
      </c>
    </row>
    <row r="3" customFormat="false" ht="15.75" hidden="false" customHeight="false" outlineLevel="0" collapsed="false">
      <c r="A3" s="1" t="n">
        <v>108195</v>
      </c>
      <c r="B3" s="1" t="s">
        <v>84</v>
      </c>
      <c r="C3" s="1" t="s">
        <v>1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0</v>
      </c>
      <c r="I3" s="2" t="s">
        <v>1206</v>
      </c>
    </row>
    <row r="4" customFormat="false" ht="15.75" hidden="false" customHeight="false" outlineLevel="0" collapsed="false">
      <c r="A4" s="1" t="n">
        <v>81407</v>
      </c>
      <c r="B4" s="1" t="s">
        <v>396</v>
      </c>
      <c r="C4" s="1" t="s">
        <v>1</v>
      </c>
      <c r="D4" s="1" t="n">
        <v>7</v>
      </c>
      <c r="E4" s="1" t="n">
        <v>7</v>
      </c>
      <c r="F4" s="1" t="n">
        <v>0</v>
      </c>
      <c r="G4" s="1" t="n">
        <v>0</v>
      </c>
      <c r="H4" s="1" t="n">
        <v>0</v>
      </c>
      <c r="I4" s="2" t="s">
        <v>1207</v>
      </c>
      <c r="J4" s="2" t="s">
        <v>1208</v>
      </c>
      <c r="K4" s="2" t="s">
        <v>1209</v>
      </c>
      <c r="L4" s="2" t="s">
        <v>1210</v>
      </c>
      <c r="M4" s="2" t="s">
        <v>1211</v>
      </c>
      <c r="N4" s="2" t="s">
        <v>1212</v>
      </c>
      <c r="O4" s="2" t="s">
        <v>1213</v>
      </c>
      <c r="P4" s="2" t="s">
        <v>1214</v>
      </c>
    </row>
    <row r="5" customFormat="false" ht="15.75" hidden="false" customHeight="false" outlineLevel="0" collapsed="false">
      <c r="A5" s="1" t="n">
        <v>51485</v>
      </c>
      <c r="B5" s="1" t="s">
        <v>596</v>
      </c>
      <c r="C5" s="1" t="s">
        <v>1</v>
      </c>
      <c r="D5" s="1" t="n">
        <v>4</v>
      </c>
      <c r="E5" s="1" t="n">
        <v>0</v>
      </c>
      <c r="F5" s="1" t="n">
        <v>0</v>
      </c>
      <c r="G5" s="1" t="n">
        <v>0</v>
      </c>
      <c r="H5" s="1" t="n">
        <v>0</v>
      </c>
      <c r="I5" s="2" t="s">
        <v>1215</v>
      </c>
      <c r="J5" s="2" t="s">
        <v>1216</v>
      </c>
      <c r="K5" s="2" t="s">
        <v>1217</v>
      </c>
      <c r="L5" s="2" t="s">
        <v>1218</v>
      </c>
    </row>
    <row r="6" customFormat="false" ht="15.75" hidden="false" customHeight="false" outlineLevel="0" collapsed="false">
      <c r="A6" s="1" t="n">
        <v>187836</v>
      </c>
      <c r="B6" s="1" t="s">
        <v>592</v>
      </c>
      <c r="C6" s="1" t="s">
        <v>1</v>
      </c>
      <c r="D6" s="1" t="n">
        <v>1</v>
      </c>
      <c r="E6" s="1" t="n">
        <v>3</v>
      </c>
      <c r="F6" s="1" t="n">
        <v>0</v>
      </c>
      <c r="G6" s="1" t="n">
        <v>0</v>
      </c>
      <c r="H6" s="1" t="n">
        <v>0</v>
      </c>
      <c r="I6" s="2" t="s">
        <v>1219</v>
      </c>
      <c r="J6" s="2" t="s">
        <v>1220</v>
      </c>
      <c r="K6" s="2" t="s">
        <v>1221</v>
      </c>
      <c r="L6" s="2" t="s">
        <v>1222</v>
      </c>
      <c r="M6" s="2" t="s">
        <v>1223</v>
      </c>
    </row>
    <row r="7" customFormat="false" ht="15.75" hidden="false" customHeight="false" outlineLevel="0" collapsed="false">
      <c r="A7" s="1" t="n">
        <v>72371</v>
      </c>
      <c r="B7" s="1" t="s">
        <v>554</v>
      </c>
      <c r="C7" s="1" t="s">
        <v>1</v>
      </c>
      <c r="D7" s="1" t="n">
        <v>7</v>
      </c>
      <c r="E7" s="1" t="n">
        <v>4</v>
      </c>
      <c r="F7" s="1" t="n">
        <v>0</v>
      </c>
      <c r="G7" s="1" t="n">
        <v>0</v>
      </c>
      <c r="H7" s="1" t="n">
        <v>0</v>
      </c>
      <c r="I7" s="2" t="s">
        <v>1224</v>
      </c>
      <c r="J7" s="2" t="s">
        <v>1225</v>
      </c>
      <c r="K7" s="2" t="s">
        <v>1226</v>
      </c>
      <c r="L7" s="2" t="s">
        <v>1227</v>
      </c>
      <c r="M7" s="2" t="s">
        <v>1228</v>
      </c>
    </row>
    <row r="8" customFormat="false" ht="15.75" hidden="false" customHeight="false" outlineLevel="0" collapsed="false">
      <c r="A8" s="1" t="n">
        <v>50160</v>
      </c>
      <c r="B8" s="1" t="s">
        <v>594</v>
      </c>
      <c r="C8" s="1" t="s">
        <v>1</v>
      </c>
      <c r="D8" s="1" t="n">
        <v>7</v>
      </c>
      <c r="E8" s="1" t="n">
        <v>0</v>
      </c>
      <c r="F8" s="1" t="n">
        <v>0</v>
      </c>
      <c r="G8" s="1" t="n">
        <v>0</v>
      </c>
      <c r="H8" s="1" t="n">
        <v>0</v>
      </c>
      <c r="I8" s="2" t="s">
        <v>1229</v>
      </c>
      <c r="J8" s="2" t="s">
        <v>1230</v>
      </c>
      <c r="K8" s="2" t="s">
        <v>1231</v>
      </c>
      <c r="L8" s="2" t="s">
        <v>1232</v>
      </c>
    </row>
    <row r="9" customFormat="false" ht="15.75" hidden="false" customHeight="false" outlineLevel="0" collapsed="false">
      <c r="A9" s="1" t="n">
        <v>110925</v>
      </c>
      <c r="B9" s="1" t="s">
        <v>572</v>
      </c>
      <c r="C9" s="1" t="s">
        <v>1</v>
      </c>
      <c r="D9" s="1" t="n">
        <v>7</v>
      </c>
      <c r="E9" s="1" t="n">
        <v>4</v>
      </c>
      <c r="F9" s="1" t="n">
        <v>0</v>
      </c>
      <c r="G9" s="1" t="n">
        <v>0</v>
      </c>
      <c r="H9" s="1" t="n">
        <v>0</v>
      </c>
      <c r="I9" s="2" t="s">
        <v>1233</v>
      </c>
      <c r="J9" s="2" t="s">
        <v>1234</v>
      </c>
      <c r="K9" s="2" t="s">
        <v>1235</v>
      </c>
      <c r="L9" s="2" t="s">
        <v>1236</v>
      </c>
    </row>
    <row r="10" customFormat="false" ht="15.75" hidden="false" customHeight="false" outlineLevel="0" collapsed="false">
      <c r="A10" s="1" t="n">
        <v>81414</v>
      </c>
      <c r="B10" s="1" t="s">
        <v>598</v>
      </c>
      <c r="C10" s="1" t="s">
        <v>1</v>
      </c>
      <c r="D10" s="1" t="n">
        <v>7</v>
      </c>
      <c r="E10" s="1" t="n">
        <v>2</v>
      </c>
      <c r="F10" s="1" t="n">
        <v>0</v>
      </c>
      <c r="G10" s="1" t="n">
        <v>0</v>
      </c>
      <c r="H10" s="1" t="n">
        <v>0</v>
      </c>
      <c r="I10" s="2" t="s">
        <v>1237</v>
      </c>
    </row>
    <row r="11" customFormat="false" ht="15.75" hidden="false" customHeight="false" outlineLevel="0" collapsed="false">
      <c r="A11" s="1" t="n">
        <v>187841</v>
      </c>
      <c r="B11" s="1" t="s">
        <v>460</v>
      </c>
      <c r="C11" s="1" t="s">
        <v>1</v>
      </c>
      <c r="D11" s="1" t="n">
        <v>1</v>
      </c>
      <c r="E11" s="1" t="n">
        <v>4</v>
      </c>
      <c r="F11" s="1" t="n">
        <v>0</v>
      </c>
      <c r="G11" s="1" t="n">
        <v>0</v>
      </c>
      <c r="H11" s="1" t="n">
        <v>0</v>
      </c>
      <c r="I11" s="2" t="s">
        <v>1238</v>
      </c>
      <c r="J11" s="2" t="s">
        <v>1239</v>
      </c>
      <c r="K11" s="2" t="s">
        <v>1240</v>
      </c>
    </row>
    <row r="12" customFormat="false" ht="15.75" hidden="false" customHeight="false" outlineLevel="0" collapsed="false">
      <c r="A12" s="1" t="n">
        <v>206976</v>
      </c>
      <c r="B12" s="1" t="s">
        <v>1241</v>
      </c>
      <c r="C12" s="1" t="s">
        <v>1</v>
      </c>
      <c r="D12" s="1" t="n">
        <v>7</v>
      </c>
      <c r="E12" s="1" t="n">
        <v>2</v>
      </c>
      <c r="F12" s="1" t="n">
        <v>0</v>
      </c>
      <c r="G12" s="1" t="n">
        <v>0</v>
      </c>
      <c r="H12" s="1" t="n">
        <v>0</v>
      </c>
      <c r="I12" s="2" t="s">
        <v>1242</v>
      </c>
    </row>
    <row r="13" customFormat="false" ht="15.75" hidden="false" customHeight="false" outlineLevel="0" collapsed="false">
      <c r="A13" s="1" t="n">
        <v>212268</v>
      </c>
      <c r="B13" s="1" t="s">
        <v>550</v>
      </c>
      <c r="C13" s="1" t="s">
        <v>1</v>
      </c>
      <c r="D13" s="1" t="n">
        <v>7</v>
      </c>
      <c r="E13" s="1" t="n">
        <v>0</v>
      </c>
      <c r="F13" s="1" t="n">
        <v>0</v>
      </c>
      <c r="G13" s="1" t="n">
        <v>0</v>
      </c>
      <c r="H13" s="1" t="n">
        <v>0</v>
      </c>
      <c r="I13" s="2" t="s">
        <v>1243</v>
      </c>
      <c r="J13" s="2" t="s">
        <v>1244</v>
      </c>
      <c r="K13" s="2" t="s">
        <v>1245</v>
      </c>
      <c r="L13" s="2" t="s">
        <v>1246</v>
      </c>
    </row>
    <row r="14" customFormat="false" ht="15.75" hidden="false" customHeight="false" outlineLevel="0" collapsed="false">
      <c r="A14" s="1" t="n">
        <v>181339</v>
      </c>
      <c r="B14" s="1" t="s">
        <v>583</v>
      </c>
      <c r="C14" s="1" t="s">
        <v>1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2" t="s">
        <v>1247</v>
      </c>
      <c r="J14" s="2" t="s">
        <v>1248</v>
      </c>
      <c r="K14" s="2" t="s">
        <v>1249</v>
      </c>
      <c r="L14" s="2" t="s">
        <v>1250</v>
      </c>
    </row>
    <row r="15" customFormat="false" ht="15.75" hidden="false" customHeight="false" outlineLevel="0" collapsed="false">
      <c r="A15" s="1" t="n">
        <v>52574</v>
      </c>
      <c r="B15" s="1" t="s">
        <v>589</v>
      </c>
      <c r="C15" s="1" t="s">
        <v>1</v>
      </c>
      <c r="D15" s="1" t="n">
        <v>7</v>
      </c>
      <c r="E15" s="1" t="n">
        <v>2</v>
      </c>
      <c r="F15" s="1" t="n">
        <v>0</v>
      </c>
      <c r="G15" s="1" t="n">
        <v>0</v>
      </c>
      <c r="H15" s="1" t="n">
        <v>0</v>
      </c>
      <c r="I15" s="2" t="s">
        <v>1251</v>
      </c>
    </row>
    <row r="16" customFormat="false" ht="15.75" hidden="false" customHeight="false" outlineLevel="0" collapsed="false">
      <c r="A16" s="1" t="n">
        <v>81422</v>
      </c>
      <c r="B16" s="1" t="s">
        <v>477</v>
      </c>
      <c r="C16" s="1" t="s">
        <v>1</v>
      </c>
      <c r="D16" s="1" t="n">
        <v>7</v>
      </c>
      <c r="E16" s="1" t="n">
        <v>4</v>
      </c>
      <c r="F16" s="1" t="n">
        <v>0</v>
      </c>
      <c r="G16" s="1" t="n">
        <v>0</v>
      </c>
      <c r="H16" s="1" t="n">
        <v>0</v>
      </c>
      <c r="I16" s="2" t="s">
        <v>1252</v>
      </c>
      <c r="J16" s="2" t="s">
        <v>1253</v>
      </c>
      <c r="K16" s="2" t="s">
        <v>1254</v>
      </c>
    </row>
    <row r="17" customFormat="false" ht="15.75" hidden="false" customHeight="false" outlineLevel="0" collapsed="false">
      <c r="A17" s="1" t="n">
        <v>136996</v>
      </c>
      <c r="B17" s="1" t="s">
        <v>563</v>
      </c>
      <c r="C17" s="1" t="s">
        <v>1</v>
      </c>
      <c r="D17" s="1" t="n">
        <v>7</v>
      </c>
      <c r="E17" s="1" t="n">
        <v>0</v>
      </c>
      <c r="F17" s="1" t="n">
        <v>0</v>
      </c>
      <c r="G17" s="1" t="n">
        <v>0</v>
      </c>
      <c r="H17" s="1" t="n">
        <v>0</v>
      </c>
      <c r="I17" s="2" t="s">
        <v>1255</v>
      </c>
      <c r="J17" s="2" t="s">
        <v>1256</v>
      </c>
      <c r="K17" s="2" t="s">
        <v>1257</v>
      </c>
    </row>
    <row r="18" customFormat="false" ht="15.75" hidden="false" customHeight="false" outlineLevel="0" collapsed="false">
      <c r="A18" s="1" t="n">
        <v>119572</v>
      </c>
      <c r="B18" s="1" t="s">
        <v>454</v>
      </c>
      <c r="C18" s="1" t="s">
        <v>1</v>
      </c>
      <c r="D18" s="1" t="n">
        <v>7</v>
      </c>
      <c r="E18" s="1" t="n">
        <v>2</v>
      </c>
      <c r="F18" s="1" t="n">
        <v>0</v>
      </c>
      <c r="G18" s="1" t="n">
        <v>0</v>
      </c>
      <c r="H18" s="1" t="n">
        <v>0</v>
      </c>
      <c r="I18" s="2" t="s">
        <v>1258</v>
      </c>
      <c r="J18" s="2" t="s">
        <v>1259</v>
      </c>
      <c r="K18" s="2" t="s">
        <v>1260</v>
      </c>
    </row>
    <row r="19" customFormat="false" ht="15.75" hidden="false" customHeight="false" outlineLevel="0" collapsed="false">
      <c r="A19" s="1" t="n">
        <v>111815</v>
      </c>
      <c r="B19" s="1" t="s">
        <v>517</v>
      </c>
      <c r="C19" s="1" t="s">
        <v>1</v>
      </c>
      <c r="D19" s="1" t="n">
        <v>7</v>
      </c>
      <c r="E19" s="1" t="n">
        <v>2</v>
      </c>
      <c r="F19" s="1" t="n">
        <v>0</v>
      </c>
      <c r="G19" s="1" t="n">
        <v>0</v>
      </c>
      <c r="H19" s="1" t="n">
        <v>0</v>
      </c>
      <c r="I19" s="2" t="s">
        <v>1261</v>
      </c>
    </row>
    <row r="20" customFormat="false" ht="15.75" hidden="false" customHeight="false" outlineLevel="0" collapsed="false">
      <c r="A20" s="1" t="n">
        <v>127024</v>
      </c>
      <c r="B20" s="1" t="s">
        <v>491</v>
      </c>
      <c r="C20" s="1" t="s">
        <v>1</v>
      </c>
      <c r="D20" s="1" t="n">
        <v>7</v>
      </c>
      <c r="E20" s="1" t="n">
        <v>0</v>
      </c>
      <c r="F20" s="1" t="n">
        <v>0</v>
      </c>
      <c r="G20" s="1" t="n">
        <v>0</v>
      </c>
      <c r="H20" s="1" t="n">
        <v>0</v>
      </c>
      <c r="I20" s="2" t="s">
        <v>1262</v>
      </c>
    </row>
    <row r="21" customFormat="false" ht="15.75" hidden="false" customHeight="false" outlineLevel="0" collapsed="false">
      <c r="A21" s="1" t="n">
        <v>81436</v>
      </c>
      <c r="B21" s="1" t="s">
        <v>451</v>
      </c>
      <c r="C21" s="1" t="s">
        <v>1</v>
      </c>
      <c r="D21" s="1" t="n">
        <v>7</v>
      </c>
      <c r="E21" s="1" t="n">
        <v>3</v>
      </c>
      <c r="F21" s="1" t="n">
        <v>0</v>
      </c>
      <c r="G21" s="1" t="n">
        <v>0</v>
      </c>
      <c r="H21" s="1" t="n">
        <v>0</v>
      </c>
      <c r="I21" s="2" t="s">
        <v>1263</v>
      </c>
    </row>
    <row r="22" customFormat="false" ht="15.75" hidden="false" customHeight="false" outlineLevel="0" collapsed="false">
      <c r="A22" s="1" t="n">
        <v>155666</v>
      </c>
      <c r="B22" s="1" t="s">
        <v>541</v>
      </c>
      <c r="C22" s="1" t="s">
        <v>1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2" t="s">
        <v>1264</v>
      </c>
      <c r="J22" s="2" t="s">
        <v>1265</v>
      </c>
    </row>
    <row r="23" customFormat="false" ht="15.75" hidden="false" customHeight="false" outlineLevel="0" collapsed="false">
      <c r="A23" s="1" t="n">
        <v>118935</v>
      </c>
      <c r="B23" s="1" t="s">
        <v>500</v>
      </c>
      <c r="C23" s="1" t="s">
        <v>1</v>
      </c>
      <c r="D23" s="1" t="n">
        <v>0</v>
      </c>
      <c r="E23" s="1" t="n">
        <v>2</v>
      </c>
      <c r="F23" s="1" t="n">
        <v>0</v>
      </c>
      <c r="G23" s="1" t="n">
        <v>0</v>
      </c>
      <c r="H23" s="1" t="n">
        <v>0</v>
      </c>
      <c r="I23" s="2" t="s">
        <v>1266</v>
      </c>
      <c r="J23" s="2" t="s">
        <v>1267</v>
      </c>
      <c r="K23" s="2" t="s">
        <v>1268</v>
      </c>
      <c r="L23" s="2" t="s">
        <v>1269</v>
      </c>
    </row>
    <row r="24" customFormat="false" ht="15.75" hidden="false" customHeight="false" outlineLevel="0" collapsed="false">
      <c r="A24" s="1" t="n">
        <v>186921</v>
      </c>
      <c r="B24" s="1" t="s">
        <v>527</v>
      </c>
      <c r="C24" s="1" t="s">
        <v>1</v>
      </c>
      <c r="D24" s="1" t="n">
        <v>0</v>
      </c>
      <c r="E24" s="1" t="n">
        <v>2</v>
      </c>
      <c r="F24" s="1" t="n">
        <v>0</v>
      </c>
      <c r="G24" s="1" t="n">
        <v>0</v>
      </c>
      <c r="H24" s="1" t="n">
        <v>0</v>
      </c>
      <c r="I24" s="2" t="s">
        <v>1270</v>
      </c>
      <c r="J24" s="2" t="s">
        <v>1271</v>
      </c>
    </row>
    <row r="25" customFormat="false" ht="15.75" hidden="false" customHeight="false" outlineLevel="0" collapsed="false">
      <c r="A25" s="1" t="n">
        <v>118299</v>
      </c>
      <c r="B25" s="1" t="s">
        <v>495</v>
      </c>
      <c r="C25" s="1" t="s">
        <v>1</v>
      </c>
      <c r="D25" s="1" t="n">
        <v>7</v>
      </c>
      <c r="E25" s="1" t="n">
        <v>4</v>
      </c>
      <c r="F25" s="1" t="n">
        <v>0</v>
      </c>
      <c r="G25" s="1" t="n">
        <v>0</v>
      </c>
      <c r="H25" s="1" t="n">
        <v>0</v>
      </c>
      <c r="I25" s="2" t="s">
        <v>1272</v>
      </c>
      <c r="J25" s="2" t="s">
        <v>1273</v>
      </c>
      <c r="K25" s="2" t="s">
        <v>1274</v>
      </c>
    </row>
    <row r="26" customFormat="false" ht="15.75" hidden="false" customHeight="false" outlineLevel="0" collapsed="false">
      <c r="A26" s="1" t="n">
        <v>118641</v>
      </c>
      <c r="B26" s="1" t="s">
        <v>472</v>
      </c>
      <c r="C26" s="1" t="s">
        <v>1</v>
      </c>
      <c r="D26" s="1" t="n">
        <v>7</v>
      </c>
      <c r="E26" s="1" t="n">
        <v>4</v>
      </c>
      <c r="F26" s="1" t="n">
        <v>0</v>
      </c>
      <c r="G26" s="1" t="n">
        <v>0</v>
      </c>
      <c r="H26" s="1" t="n">
        <v>0</v>
      </c>
      <c r="I26" s="2" t="s">
        <v>1275</v>
      </c>
      <c r="J26" s="2" t="s">
        <v>1276</v>
      </c>
      <c r="K26" s="2" t="s">
        <v>1277</v>
      </c>
    </row>
    <row r="27" customFormat="false" ht="15.75" hidden="false" customHeight="false" outlineLevel="0" collapsed="false">
      <c r="A27" s="1" t="n">
        <v>96536</v>
      </c>
      <c r="B27" s="1" t="s">
        <v>520</v>
      </c>
      <c r="C27" s="1" t="s">
        <v>1</v>
      </c>
      <c r="D27" s="1" t="n">
        <v>0</v>
      </c>
      <c r="E27" s="1" t="n">
        <v>2</v>
      </c>
      <c r="F27" s="1" t="n">
        <v>0</v>
      </c>
      <c r="G27" s="1" t="n">
        <v>0</v>
      </c>
      <c r="H27" s="1" t="n">
        <v>0</v>
      </c>
      <c r="I27" s="2" t="s">
        <v>1278</v>
      </c>
      <c r="J27" s="2" t="s">
        <v>1279</v>
      </c>
    </row>
    <row r="28" customFormat="false" ht="15.75" hidden="false" customHeight="false" outlineLevel="0" collapsed="false">
      <c r="A28" s="1" t="n">
        <v>115673</v>
      </c>
      <c r="B28" s="1" t="s">
        <v>458</v>
      </c>
      <c r="C28" s="1" t="s">
        <v>1</v>
      </c>
      <c r="D28" s="1" t="n">
        <v>4</v>
      </c>
      <c r="E28" s="1" t="n">
        <v>0</v>
      </c>
      <c r="F28" s="1" t="n">
        <v>0</v>
      </c>
      <c r="G28" s="1" t="n">
        <v>0</v>
      </c>
      <c r="H28" s="1" t="n">
        <v>0</v>
      </c>
      <c r="I28" s="2" t="s">
        <v>1280</v>
      </c>
      <c r="J28" s="2" t="s">
        <v>1281</v>
      </c>
      <c r="K28" s="2" t="s">
        <v>1282</v>
      </c>
    </row>
    <row r="29" customFormat="false" ht="15.75" hidden="false" customHeight="false" outlineLevel="0" collapsed="false">
      <c r="A29" s="1" t="n">
        <v>175146</v>
      </c>
      <c r="B29" s="1" t="s">
        <v>600</v>
      </c>
      <c r="C29" s="1" t="s">
        <v>1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2" t="s">
        <v>1283</v>
      </c>
    </row>
    <row r="30" customFormat="false" ht="15.75" hidden="false" customHeight="false" outlineLevel="0" collapsed="false">
      <c r="A30" s="1" t="n">
        <v>118196</v>
      </c>
      <c r="B30" s="1" t="s">
        <v>513</v>
      </c>
      <c r="C30" s="1" t="s">
        <v>1</v>
      </c>
      <c r="D30" s="1" t="n">
        <v>7</v>
      </c>
      <c r="E30" s="1" t="n">
        <v>2</v>
      </c>
      <c r="F30" s="1" t="n">
        <v>0</v>
      </c>
      <c r="G30" s="1" t="n">
        <v>0</v>
      </c>
      <c r="H30" s="1" t="n">
        <v>0</v>
      </c>
      <c r="I30" s="2" t="s">
        <v>1284</v>
      </c>
      <c r="J30" s="2" t="s">
        <v>1285</v>
      </c>
      <c r="K30" s="2" t="s">
        <v>1286</v>
      </c>
    </row>
    <row r="31" customFormat="false" ht="15.75" hidden="false" customHeight="false" outlineLevel="0" collapsed="false">
      <c r="A31" s="1" t="n">
        <v>155702</v>
      </c>
      <c r="B31" s="1" t="s">
        <v>462</v>
      </c>
      <c r="C31" s="1" t="s">
        <v>1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2" t="s">
        <v>1287</v>
      </c>
      <c r="J31" s="2" t="s">
        <v>1288</v>
      </c>
    </row>
    <row r="32" customFormat="false" ht="15.75" hidden="false" customHeight="false" outlineLevel="0" collapsed="false">
      <c r="A32" s="1" t="n">
        <v>181570</v>
      </c>
      <c r="B32" s="1" t="s">
        <v>546</v>
      </c>
      <c r="C32" s="1" t="s">
        <v>1</v>
      </c>
      <c r="D32" s="1" t="n">
        <v>1</v>
      </c>
      <c r="E32" s="1" t="n">
        <v>2</v>
      </c>
      <c r="F32" s="1" t="n">
        <v>0</v>
      </c>
      <c r="G32" s="1" t="n">
        <v>0</v>
      </c>
      <c r="H32" s="1" t="n">
        <v>0</v>
      </c>
      <c r="I32" s="2" t="s">
        <v>1289</v>
      </c>
      <c r="J32" s="2" t="s">
        <v>1290</v>
      </c>
      <c r="K32" s="2" t="s">
        <v>1291</v>
      </c>
    </row>
    <row r="33" customFormat="false" ht="15.75" hidden="false" customHeight="false" outlineLevel="0" collapsed="false">
      <c r="A33" s="1" t="n">
        <v>196624</v>
      </c>
      <c r="B33" s="1" t="s">
        <v>524</v>
      </c>
      <c r="C33" s="1" t="s">
        <v>1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2" t="s">
        <v>1292</v>
      </c>
    </row>
    <row r="34" customFormat="false" ht="15.75" hidden="false" customHeight="false" outlineLevel="0" collapsed="false">
      <c r="A34" s="1" t="n">
        <v>73757</v>
      </c>
      <c r="B34" s="1" t="s">
        <v>530</v>
      </c>
      <c r="C34" s="1" t="s">
        <v>1</v>
      </c>
      <c r="D34" s="1" t="n">
        <v>7</v>
      </c>
      <c r="E34" s="1" t="n">
        <v>3</v>
      </c>
      <c r="F34" s="1" t="n">
        <v>0</v>
      </c>
      <c r="G34" s="1" t="n">
        <v>0</v>
      </c>
      <c r="H34" s="1" t="n">
        <v>0</v>
      </c>
      <c r="I34" s="2" t="s">
        <v>1293</v>
      </c>
      <c r="J34" s="2" t="s">
        <v>1294</v>
      </c>
      <c r="K34" s="2" t="s">
        <v>1295</v>
      </c>
      <c r="L34" s="2" t="s">
        <v>1296</v>
      </c>
      <c r="M34" s="2" t="s">
        <v>1297</v>
      </c>
      <c r="N34" s="2" t="s">
        <v>1298</v>
      </c>
    </row>
    <row r="35" customFormat="false" ht="15.75" hidden="false" customHeight="false" outlineLevel="0" collapsed="false">
      <c r="A35" s="1" t="n">
        <v>183220</v>
      </c>
      <c r="B35" s="1" t="s">
        <v>467</v>
      </c>
      <c r="C35" s="1" t="s">
        <v>1</v>
      </c>
      <c r="D35" s="1" t="n">
        <v>7</v>
      </c>
      <c r="E35" s="1" t="n">
        <v>2</v>
      </c>
      <c r="F35" s="1" t="n">
        <v>0</v>
      </c>
      <c r="G35" s="1" t="n">
        <v>0</v>
      </c>
      <c r="H35" s="1" t="n">
        <v>0</v>
      </c>
      <c r="I35" s="2" t="s">
        <v>1299</v>
      </c>
    </row>
    <row r="36" customFormat="false" ht="15.75" hidden="false" customHeight="false" outlineLevel="0" collapsed="false">
      <c r="A36" s="1" t="n">
        <v>204719</v>
      </c>
      <c r="B36" s="1" t="s">
        <v>360</v>
      </c>
      <c r="C36" s="1" t="s">
        <v>1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2" t="s">
        <v>1300</v>
      </c>
      <c r="J36" s="2" t="s">
        <v>1301</v>
      </c>
      <c r="K36" s="2" t="s">
        <v>1302</v>
      </c>
    </row>
    <row r="37" customFormat="false" ht="15.75" hidden="false" customHeight="false" outlineLevel="0" collapsed="false">
      <c r="A37" s="1" t="n">
        <v>119856</v>
      </c>
      <c r="B37" s="1" t="s">
        <v>485</v>
      </c>
      <c r="C37" s="1" t="s">
        <v>1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2" t="s">
        <v>1303</v>
      </c>
    </row>
    <row r="38" customFormat="false" ht="15.75" hidden="false" customHeight="false" outlineLevel="0" collapsed="false">
      <c r="A38" s="1" t="n">
        <v>109300</v>
      </c>
      <c r="B38" s="1" t="s">
        <v>25</v>
      </c>
      <c r="C38" s="1" t="s">
        <v>1</v>
      </c>
      <c r="D38" s="1" t="n">
        <v>7</v>
      </c>
      <c r="E38" s="1" t="n">
        <v>2</v>
      </c>
      <c r="F38" s="1" t="n">
        <v>0</v>
      </c>
      <c r="G38" s="1" t="n">
        <v>0</v>
      </c>
      <c r="H38" s="1" t="n">
        <v>0</v>
      </c>
      <c r="I38" s="2" t="s">
        <v>1304</v>
      </c>
      <c r="J38" s="2" t="s">
        <v>1305</v>
      </c>
      <c r="K38" s="2" t="s">
        <v>1306</v>
      </c>
    </row>
    <row r="39" customFormat="false" ht="15.75" hidden="false" customHeight="false" outlineLevel="0" collapsed="false">
      <c r="A39" s="1" t="n">
        <v>174358</v>
      </c>
      <c r="B39" s="1" t="s">
        <v>465</v>
      </c>
      <c r="C39" s="1" t="s">
        <v>1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2" t="s">
        <v>1307</v>
      </c>
    </row>
    <row r="40" customFormat="false" ht="15.75" hidden="false" customHeight="false" outlineLevel="0" collapsed="false">
      <c r="A40" s="1" t="n">
        <v>119874</v>
      </c>
      <c r="B40" s="1" t="s">
        <v>130</v>
      </c>
      <c r="C40" s="1" t="s">
        <v>1</v>
      </c>
      <c r="D40" s="1" t="n">
        <v>7</v>
      </c>
      <c r="E40" s="1" t="n">
        <v>3</v>
      </c>
      <c r="F40" s="1" t="n">
        <v>0</v>
      </c>
      <c r="G40" s="1" t="n">
        <v>0</v>
      </c>
      <c r="H40" s="1" t="n">
        <v>0</v>
      </c>
      <c r="I40" s="2" t="s">
        <v>1308</v>
      </c>
      <c r="J40" s="2" t="s">
        <v>1309</v>
      </c>
    </row>
    <row r="41" customFormat="false" ht="15.75" hidden="false" customHeight="false" outlineLevel="0" collapsed="false">
      <c r="A41" s="1" t="n">
        <v>127016</v>
      </c>
      <c r="B41" s="1" t="s">
        <v>506</v>
      </c>
      <c r="C41" s="1" t="s">
        <v>1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2" t="s">
        <v>1310</v>
      </c>
      <c r="J41" s="2" t="s">
        <v>1311</v>
      </c>
    </row>
    <row r="42" customFormat="false" ht="15.75" hidden="false" customHeight="false" outlineLevel="0" collapsed="false">
      <c r="A42" s="1" t="n">
        <v>109467</v>
      </c>
      <c r="B42" s="1" t="s">
        <v>561</v>
      </c>
      <c r="C42" s="1" t="s">
        <v>1</v>
      </c>
      <c r="D42" s="1" t="n">
        <v>4</v>
      </c>
      <c r="E42" s="1" t="n">
        <v>0</v>
      </c>
      <c r="F42" s="1" t="n">
        <v>0</v>
      </c>
      <c r="G42" s="1" t="n">
        <v>0</v>
      </c>
      <c r="H42" s="1" t="n">
        <v>0</v>
      </c>
      <c r="I42" s="2" t="s">
        <v>1312</v>
      </c>
    </row>
    <row r="43" customFormat="false" ht="15.75" hidden="false" customHeight="false" outlineLevel="0" collapsed="false">
      <c r="A43" s="1" t="n">
        <v>181340</v>
      </c>
      <c r="B43" s="1" t="s">
        <v>1313</v>
      </c>
      <c r="C43" s="1" t="s">
        <v>1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2" t="s">
        <v>1314</v>
      </c>
      <c r="J43" s="2" t="s">
        <v>1315</v>
      </c>
    </row>
    <row r="44" customFormat="false" ht="15.75" hidden="false" customHeight="false" outlineLevel="0" collapsed="false">
      <c r="A44" s="1" t="n">
        <v>1234</v>
      </c>
      <c r="B44" s="1" t="s">
        <v>0</v>
      </c>
      <c r="C44" s="1" t="s">
        <v>1</v>
      </c>
      <c r="D44" s="1" t="n">
        <v>1</v>
      </c>
      <c r="E44" s="1" t="n">
        <v>1</v>
      </c>
      <c r="F44" s="1" t="n">
        <v>2</v>
      </c>
      <c r="G44" s="1" t="n">
        <v>0</v>
      </c>
      <c r="H44" s="1" t="n">
        <v>0</v>
      </c>
      <c r="I44" s="2" t="s">
        <v>1316</v>
      </c>
    </row>
    <row r="45" customFormat="false" ht="15.75" hidden="false" customHeight="false" outlineLevel="0" collapsed="false">
      <c r="A45" s="1" t="n">
        <v>72425</v>
      </c>
      <c r="B45" s="1" t="s">
        <v>685</v>
      </c>
      <c r="C45" s="1" t="s">
        <v>601</v>
      </c>
      <c r="D45" s="1" t="n">
        <v>7</v>
      </c>
      <c r="E45" s="1" t="n">
        <v>2</v>
      </c>
      <c r="F45" s="1" t="n">
        <v>0</v>
      </c>
      <c r="G45" s="1" t="n">
        <v>0</v>
      </c>
      <c r="H45" s="1" t="n">
        <v>0</v>
      </c>
      <c r="I45" s="2" t="s">
        <v>1317</v>
      </c>
      <c r="J45" s="2" t="s">
        <v>1318</v>
      </c>
      <c r="K45" s="2" t="s">
        <v>1319</v>
      </c>
    </row>
    <row r="46" customFormat="false" ht="15.75" hidden="false" customHeight="false" outlineLevel="0" collapsed="false">
      <c r="A46" s="1" t="n">
        <v>110029</v>
      </c>
      <c r="B46" s="1" t="s">
        <v>624</v>
      </c>
      <c r="C46" s="1" t="s">
        <v>601</v>
      </c>
      <c r="D46" s="1" t="n">
        <v>0</v>
      </c>
      <c r="E46" s="1" t="n">
        <v>2</v>
      </c>
      <c r="F46" s="1" t="n">
        <v>0</v>
      </c>
      <c r="G46" s="1" t="n">
        <v>0</v>
      </c>
      <c r="H46" s="1" t="n">
        <v>0</v>
      </c>
      <c r="I46" s="2" t="s">
        <v>1320</v>
      </c>
      <c r="J46" s="2" t="s">
        <v>1321</v>
      </c>
      <c r="K46" s="2" t="s">
        <v>1322</v>
      </c>
    </row>
    <row r="47" customFormat="false" ht="15.75" hidden="false" customHeight="false" outlineLevel="0" collapsed="false">
      <c r="A47" s="1" t="n">
        <v>187396</v>
      </c>
      <c r="B47" s="1" t="s">
        <v>673</v>
      </c>
      <c r="C47" s="1" t="s">
        <v>601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2" t="s">
        <v>1323</v>
      </c>
      <c r="J47" s="2" t="s">
        <v>1324</v>
      </c>
      <c r="K47" s="2" t="s">
        <v>1325</v>
      </c>
    </row>
    <row r="48" customFormat="false" ht="15.75" hidden="false" customHeight="false" outlineLevel="0" collapsed="false">
      <c r="A48" s="1" t="n">
        <v>118586</v>
      </c>
      <c r="B48" s="1" t="s">
        <v>665</v>
      </c>
      <c r="C48" s="1" t="s">
        <v>601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2" t="s">
        <v>1326</v>
      </c>
    </row>
    <row r="49" customFormat="false" ht="15.75" hidden="false" customHeight="false" outlineLevel="0" collapsed="false">
      <c r="A49" s="1" t="n">
        <v>118504</v>
      </c>
      <c r="B49" s="1" t="s">
        <v>263</v>
      </c>
      <c r="C49" s="1" t="s">
        <v>601</v>
      </c>
      <c r="D49" s="1" t="n">
        <v>7</v>
      </c>
      <c r="E49" s="1" t="n">
        <v>4</v>
      </c>
      <c r="F49" s="1" t="n">
        <v>0</v>
      </c>
      <c r="G49" s="1" t="n">
        <v>0</v>
      </c>
      <c r="H49" s="1" t="n">
        <v>0</v>
      </c>
      <c r="I49" s="2" t="s">
        <v>1327</v>
      </c>
      <c r="J49" s="2" t="s">
        <v>1328</v>
      </c>
      <c r="K49" s="2" t="s">
        <v>1329</v>
      </c>
      <c r="L49" s="2" t="s">
        <v>1330</v>
      </c>
    </row>
    <row r="50" customFormat="false" ht="15.75" hidden="false" customHeight="false" outlineLevel="0" collapsed="false">
      <c r="A50" s="1" t="n">
        <v>184434</v>
      </c>
      <c r="B50" s="1" t="s">
        <v>662</v>
      </c>
      <c r="C50" s="1" t="s">
        <v>601</v>
      </c>
      <c r="D50" s="1" t="n">
        <v>0</v>
      </c>
      <c r="E50" s="1" t="n">
        <v>1</v>
      </c>
      <c r="F50" s="1" t="n">
        <v>0</v>
      </c>
      <c r="G50" s="1" t="n">
        <v>0</v>
      </c>
      <c r="H50" s="1" t="n">
        <v>0</v>
      </c>
      <c r="I50" s="2" t="s">
        <v>1331</v>
      </c>
      <c r="J50" s="2" t="s">
        <v>1332</v>
      </c>
      <c r="K50" s="2" t="s">
        <v>1333</v>
      </c>
    </row>
    <row r="51" customFormat="false" ht="15.75" hidden="false" customHeight="false" outlineLevel="0" collapsed="false">
      <c r="A51" s="1" t="n">
        <v>119123</v>
      </c>
      <c r="B51" s="1" t="s">
        <v>619</v>
      </c>
      <c r="C51" s="1" t="s">
        <v>601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2" t="s">
        <v>1334</v>
      </c>
      <c r="J51" s="2" t="s">
        <v>1335</v>
      </c>
      <c r="K51" s="2" t="s">
        <v>1336</v>
      </c>
    </row>
    <row r="52" customFormat="false" ht="15.75" hidden="false" customHeight="false" outlineLevel="0" collapsed="false">
      <c r="A52" s="1" t="n">
        <v>122126</v>
      </c>
      <c r="B52" s="1" t="s">
        <v>658</v>
      </c>
      <c r="C52" s="1" t="s">
        <v>601</v>
      </c>
      <c r="D52" s="1" t="n">
        <v>0</v>
      </c>
      <c r="E52" s="1" t="n">
        <v>3</v>
      </c>
      <c r="F52" s="1" t="n">
        <v>0</v>
      </c>
      <c r="G52" s="1" t="n">
        <v>0</v>
      </c>
      <c r="H52" s="1" t="n">
        <v>0</v>
      </c>
      <c r="I52" s="2" t="s">
        <v>1337</v>
      </c>
      <c r="J52" s="2" t="s">
        <v>1338</v>
      </c>
      <c r="K52" s="2" t="s">
        <v>1339</v>
      </c>
    </row>
    <row r="53" customFormat="false" ht="15.75" hidden="false" customHeight="false" outlineLevel="0" collapsed="false">
      <c r="A53" s="1" t="n">
        <v>118508</v>
      </c>
      <c r="B53" s="1" t="s">
        <v>324</v>
      </c>
      <c r="C53" s="1" t="s">
        <v>601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2" t="s">
        <v>1340</v>
      </c>
      <c r="J53" s="2" t="s">
        <v>1341</v>
      </c>
    </row>
    <row r="54" customFormat="false" ht="15.75" hidden="false" customHeight="false" outlineLevel="0" collapsed="false">
      <c r="A54" s="1" t="n">
        <v>111245</v>
      </c>
      <c r="B54" s="1" t="s">
        <v>617</v>
      </c>
      <c r="C54" s="1" t="s">
        <v>601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2" t="s">
        <v>1342</v>
      </c>
      <c r="J54" s="2" t="s">
        <v>1343</v>
      </c>
      <c r="K54" s="2" t="s">
        <v>1344</v>
      </c>
      <c r="L54" s="2" t="s">
        <v>1345</v>
      </c>
    </row>
    <row r="55" customFormat="false" ht="15.75" hidden="false" customHeight="false" outlineLevel="0" collapsed="false">
      <c r="A55" s="1" t="n">
        <v>111565</v>
      </c>
      <c r="B55" s="1" t="s">
        <v>682</v>
      </c>
      <c r="C55" s="1" t="s">
        <v>601</v>
      </c>
      <c r="D55" s="1" t="n">
        <v>3</v>
      </c>
      <c r="E55" s="1" t="n">
        <v>2</v>
      </c>
      <c r="F55" s="1" t="n">
        <v>0</v>
      </c>
      <c r="G55" s="1" t="n">
        <v>0</v>
      </c>
      <c r="H55" s="1" t="n">
        <v>0</v>
      </c>
      <c r="I55" s="2" t="s">
        <v>1346</v>
      </c>
      <c r="J55" s="2" t="s">
        <v>1347</v>
      </c>
    </row>
    <row r="56" customFormat="false" ht="15.75" hidden="false" customHeight="false" outlineLevel="0" collapsed="false">
      <c r="A56" s="1" t="n">
        <v>114590</v>
      </c>
      <c r="B56" s="1" t="s">
        <v>667</v>
      </c>
      <c r="C56" s="1" t="s">
        <v>601</v>
      </c>
      <c r="D56" s="1" t="n">
        <v>7</v>
      </c>
      <c r="E56" s="1" t="n">
        <v>0</v>
      </c>
      <c r="F56" s="1" t="n">
        <v>0</v>
      </c>
      <c r="G56" s="1" t="n">
        <v>0</v>
      </c>
      <c r="H56" s="1" t="n">
        <v>0</v>
      </c>
      <c r="I56" s="2" t="s">
        <v>1348</v>
      </c>
      <c r="J56" s="2" t="s">
        <v>1349</v>
      </c>
      <c r="K56" s="2" t="s">
        <v>1350</v>
      </c>
    </row>
    <row r="57" customFormat="false" ht="15.75" hidden="false" customHeight="false" outlineLevel="0" collapsed="false">
      <c r="A57" s="1" t="n">
        <v>115662</v>
      </c>
      <c r="B57" s="1" t="s">
        <v>648</v>
      </c>
      <c r="C57" s="1" t="s">
        <v>601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2" t="s">
        <v>1351</v>
      </c>
      <c r="J57" s="2" t="s">
        <v>1352</v>
      </c>
      <c r="K57" s="2" t="s">
        <v>1353</v>
      </c>
    </row>
    <row r="58" customFormat="false" ht="15.75" hidden="false" customHeight="false" outlineLevel="0" collapsed="false">
      <c r="A58" s="1" t="n">
        <v>109385</v>
      </c>
      <c r="B58" s="1" t="s">
        <v>615</v>
      </c>
      <c r="C58" s="1" t="s">
        <v>601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2" t="s">
        <v>1354</v>
      </c>
    </row>
    <row r="59" customFormat="false" ht="15.75" hidden="false" customHeight="false" outlineLevel="0" collapsed="false">
      <c r="A59" s="1" t="n">
        <v>58142</v>
      </c>
      <c r="B59" s="1" t="s">
        <v>652</v>
      </c>
      <c r="C59" s="1" t="s">
        <v>601</v>
      </c>
      <c r="D59" s="1" t="n">
        <v>7</v>
      </c>
      <c r="E59" s="1" t="n">
        <v>2</v>
      </c>
      <c r="F59" s="1" t="n">
        <v>0</v>
      </c>
      <c r="G59" s="1" t="n">
        <v>0</v>
      </c>
      <c r="H59" s="1" t="n">
        <v>0</v>
      </c>
      <c r="I59" s="2" t="s">
        <v>1355</v>
      </c>
    </row>
    <row r="60" customFormat="false" ht="15.75" hidden="false" customHeight="false" outlineLevel="0" collapsed="false">
      <c r="A60" s="1" t="n">
        <v>109357</v>
      </c>
      <c r="B60" s="1" t="s">
        <v>188</v>
      </c>
      <c r="C60" s="1" t="s">
        <v>601</v>
      </c>
      <c r="D60" s="1" t="n">
        <v>4</v>
      </c>
      <c r="E60" s="1" t="n">
        <v>0</v>
      </c>
      <c r="F60" s="1" t="n">
        <v>0</v>
      </c>
      <c r="G60" s="1" t="n">
        <v>0</v>
      </c>
      <c r="H60" s="1" t="n">
        <v>0</v>
      </c>
      <c r="I60" s="2" t="s">
        <v>1356</v>
      </c>
    </row>
    <row r="61" customFormat="false" ht="15.75" hidden="false" customHeight="false" outlineLevel="0" collapsed="false">
      <c r="A61" s="1" t="n">
        <v>60958</v>
      </c>
      <c r="B61" s="1" t="s">
        <v>643</v>
      </c>
      <c r="C61" s="1" t="s">
        <v>601</v>
      </c>
      <c r="D61" s="1" t="n">
        <v>7</v>
      </c>
      <c r="E61" s="1" t="n">
        <v>2</v>
      </c>
      <c r="F61" s="1" t="n">
        <v>0</v>
      </c>
      <c r="G61" s="1" t="n">
        <v>0</v>
      </c>
      <c r="H61" s="1" t="n">
        <v>0</v>
      </c>
      <c r="I61" s="2" t="s">
        <v>1357</v>
      </c>
      <c r="J61" s="2" t="s">
        <v>1358</v>
      </c>
      <c r="K61" s="2" t="s">
        <v>1359</v>
      </c>
    </row>
    <row r="62" customFormat="false" ht="15.75" hidden="false" customHeight="false" outlineLevel="0" collapsed="false">
      <c r="A62" s="1" t="n">
        <v>117121</v>
      </c>
      <c r="B62" s="1" t="s">
        <v>609</v>
      </c>
      <c r="C62" s="1" t="s">
        <v>601</v>
      </c>
      <c r="D62" s="1" t="n">
        <v>0</v>
      </c>
      <c r="E62" s="1" t="n">
        <v>3</v>
      </c>
      <c r="F62" s="1" t="n">
        <v>0</v>
      </c>
      <c r="G62" s="1" t="n">
        <v>0</v>
      </c>
      <c r="H62" s="1" t="n">
        <v>0</v>
      </c>
      <c r="I62" s="2" t="s">
        <v>1360</v>
      </c>
      <c r="J62" s="2" t="s">
        <v>1361</v>
      </c>
      <c r="K62" s="2" t="s">
        <v>1362</v>
      </c>
    </row>
    <row r="63" customFormat="false" ht="15.75" hidden="false" customHeight="false" outlineLevel="0" collapsed="false">
      <c r="A63" s="1" t="n">
        <v>118142</v>
      </c>
      <c r="B63" s="1" t="s">
        <v>676</v>
      </c>
      <c r="C63" s="1" t="s">
        <v>601</v>
      </c>
      <c r="D63" s="1" t="n">
        <v>7</v>
      </c>
      <c r="E63" s="1" t="n">
        <v>3</v>
      </c>
      <c r="F63" s="1" t="n">
        <v>0</v>
      </c>
      <c r="G63" s="1" t="n">
        <v>0</v>
      </c>
      <c r="H63" s="1" t="n">
        <v>0</v>
      </c>
      <c r="I63" s="2" t="s">
        <v>1363</v>
      </c>
      <c r="J63" s="2" t="s">
        <v>1364</v>
      </c>
    </row>
    <row r="64" customFormat="false" ht="15.75" hidden="false" customHeight="false" outlineLevel="0" collapsed="false">
      <c r="A64" s="1" t="n">
        <v>97542</v>
      </c>
      <c r="B64" s="1" t="s">
        <v>355</v>
      </c>
      <c r="C64" s="1" t="s">
        <v>601</v>
      </c>
      <c r="D64" s="1" t="n">
        <v>7</v>
      </c>
      <c r="E64" s="1" t="n">
        <v>2</v>
      </c>
      <c r="F64" s="1" t="n">
        <v>0</v>
      </c>
      <c r="G64" s="1" t="n">
        <v>0</v>
      </c>
      <c r="H64" s="1" t="n">
        <v>0</v>
      </c>
      <c r="I64" s="2" t="s">
        <v>1365</v>
      </c>
      <c r="J64" s="2" t="s">
        <v>1366</v>
      </c>
      <c r="K64" s="2" t="s">
        <v>1367</v>
      </c>
      <c r="L64" s="2" t="s">
        <v>1368</v>
      </c>
    </row>
    <row r="65" customFormat="false" ht="15.75" hidden="false" customHeight="false" outlineLevel="0" collapsed="false">
      <c r="A65" s="1" t="n">
        <v>187582</v>
      </c>
      <c r="B65" s="1" t="s">
        <v>594</v>
      </c>
      <c r="C65" s="1" t="s">
        <v>601</v>
      </c>
      <c r="D65" s="1" t="n">
        <v>5</v>
      </c>
      <c r="E65" s="1" t="n">
        <v>2</v>
      </c>
      <c r="F65" s="1" t="n">
        <v>0</v>
      </c>
      <c r="G65" s="1" t="n">
        <v>0</v>
      </c>
      <c r="H65" s="1" t="n">
        <v>0</v>
      </c>
      <c r="I65" s="2" t="s">
        <v>1369</v>
      </c>
      <c r="J65" s="2" t="s">
        <v>1370</v>
      </c>
    </row>
    <row r="66" customFormat="false" ht="15.75" hidden="false" customHeight="false" outlineLevel="0" collapsed="false">
      <c r="A66" s="1" t="n">
        <v>185840</v>
      </c>
      <c r="B66" s="1" t="s">
        <v>613</v>
      </c>
      <c r="C66" s="1" t="s">
        <v>601</v>
      </c>
      <c r="D66" s="1" t="n">
        <v>7</v>
      </c>
      <c r="E66" s="1" t="n">
        <v>2</v>
      </c>
      <c r="F66" s="1" t="n">
        <v>0</v>
      </c>
      <c r="G66" s="1" t="n">
        <v>0</v>
      </c>
      <c r="H66" s="1" t="n">
        <v>0</v>
      </c>
      <c r="I66" s="2" t="s">
        <v>1371</v>
      </c>
      <c r="J66" s="2" t="s">
        <v>1372</v>
      </c>
      <c r="K66" s="2" t="s">
        <v>1373</v>
      </c>
    </row>
    <row r="67" customFormat="false" ht="15.75" hidden="false" customHeight="false" outlineLevel="0" collapsed="false">
      <c r="A67" s="1" t="n">
        <v>83942</v>
      </c>
      <c r="B67" s="1" t="s">
        <v>628</v>
      </c>
      <c r="C67" s="1" t="s">
        <v>601</v>
      </c>
      <c r="D67" s="1" t="n">
        <v>7</v>
      </c>
      <c r="E67" s="1" t="n">
        <v>3</v>
      </c>
      <c r="F67" s="1" t="n">
        <v>0</v>
      </c>
      <c r="G67" s="1" t="n">
        <v>0</v>
      </c>
      <c r="H67" s="1" t="n">
        <v>0</v>
      </c>
      <c r="I67" s="2" t="s">
        <v>1374</v>
      </c>
      <c r="J67" s="2" t="s">
        <v>1375</v>
      </c>
      <c r="K67" s="2" t="s">
        <v>1376</v>
      </c>
    </row>
    <row r="68" customFormat="false" ht="15.75" hidden="false" customHeight="false" outlineLevel="0" collapsed="false">
      <c r="A68" s="1" t="n">
        <v>124360</v>
      </c>
      <c r="B68" s="1" t="s">
        <v>639</v>
      </c>
      <c r="C68" s="1" t="s">
        <v>601</v>
      </c>
      <c r="D68" s="1" t="n">
        <v>7</v>
      </c>
      <c r="E68" s="1" t="n">
        <v>3</v>
      </c>
      <c r="F68" s="1" t="n">
        <v>0</v>
      </c>
      <c r="G68" s="1" t="n">
        <v>0</v>
      </c>
      <c r="H68" s="1" t="n">
        <v>0</v>
      </c>
      <c r="I68" s="2" t="s">
        <v>1377</v>
      </c>
      <c r="J68" s="2" t="s">
        <v>1378</v>
      </c>
      <c r="K68" s="2" t="s">
        <v>1379</v>
      </c>
      <c r="L68" s="2" t="s">
        <v>1380</v>
      </c>
    </row>
    <row r="69" customFormat="false" ht="15.75" hidden="false" customHeight="false" outlineLevel="0" collapsed="false">
      <c r="A69" s="1" t="n">
        <v>64385</v>
      </c>
      <c r="B69" s="1" t="s">
        <v>635</v>
      </c>
      <c r="C69" s="1" t="s">
        <v>601</v>
      </c>
      <c r="D69" s="1" t="n">
        <v>7</v>
      </c>
      <c r="E69" s="1" t="n">
        <v>2</v>
      </c>
      <c r="F69" s="1" t="n">
        <v>0</v>
      </c>
      <c r="G69" s="1" t="n">
        <v>0</v>
      </c>
      <c r="H69" s="1" t="n">
        <v>0</v>
      </c>
      <c r="I69" s="2" t="s">
        <v>1381</v>
      </c>
      <c r="J69" s="2" t="s">
        <v>1382</v>
      </c>
      <c r="K69" s="2" t="s">
        <v>1383</v>
      </c>
    </row>
    <row r="70" customFormat="false" ht="15.75" hidden="false" customHeight="false" outlineLevel="0" collapsed="false">
      <c r="A70" s="1" t="n">
        <v>7896</v>
      </c>
      <c r="B70" s="1" t="s">
        <v>731</v>
      </c>
      <c r="C70" s="1" t="s">
        <v>690</v>
      </c>
      <c r="D70" s="1" t="n">
        <v>7</v>
      </c>
      <c r="E70" s="1" t="n">
        <v>2</v>
      </c>
      <c r="F70" s="1" t="n">
        <v>2</v>
      </c>
      <c r="G70" s="1" t="n">
        <v>0</v>
      </c>
      <c r="H70" s="1" t="n">
        <v>0</v>
      </c>
      <c r="I70" s="2" t="s">
        <v>1384</v>
      </c>
      <c r="J70" s="2" t="s">
        <v>1385</v>
      </c>
      <c r="K70" s="2" t="s">
        <v>1386</v>
      </c>
    </row>
    <row r="71" customFormat="false" ht="15.75" hidden="false" customHeight="false" outlineLevel="0" collapsed="false">
      <c r="A71" s="1" t="n">
        <v>56735</v>
      </c>
      <c r="B71" s="1" t="s">
        <v>707</v>
      </c>
      <c r="C71" s="1" t="s">
        <v>690</v>
      </c>
      <c r="D71" s="1" t="n">
        <v>7</v>
      </c>
      <c r="E71" s="1" t="n">
        <v>3</v>
      </c>
      <c r="F71" s="1" t="n">
        <v>0</v>
      </c>
      <c r="G71" s="1" t="n">
        <v>0</v>
      </c>
      <c r="H71" s="1" t="n">
        <v>0</v>
      </c>
      <c r="I71" s="2" t="s">
        <v>1387</v>
      </c>
      <c r="J71" s="2" t="s">
        <v>1388</v>
      </c>
      <c r="K71" s="2" t="s">
        <v>1389</v>
      </c>
    </row>
    <row r="72" customFormat="false" ht="15.75" hidden="false" customHeight="false" outlineLevel="0" collapsed="false">
      <c r="A72" s="1" t="n">
        <v>18550</v>
      </c>
      <c r="B72" s="1" t="s">
        <v>703</v>
      </c>
      <c r="C72" s="1" t="s">
        <v>690</v>
      </c>
      <c r="D72" s="1" t="n">
        <v>7</v>
      </c>
      <c r="E72" s="1" t="n">
        <v>2</v>
      </c>
      <c r="F72" s="1" t="n">
        <v>0</v>
      </c>
      <c r="G72" s="1" t="n">
        <v>0</v>
      </c>
      <c r="H72" s="1" t="n">
        <v>0</v>
      </c>
      <c r="I72" s="2" t="s">
        <v>1390</v>
      </c>
    </row>
    <row r="73" customFormat="false" ht="15.75" hidden="false" customHeight="false" outlineLevel="0" collapsed="false">
      <c r="A73" s="1" t="n">
        <v>110930</v>
      </c>
      <c r="B73" s="1" t="s">
        <v>692</v>
      </c>
      <c r="C73" s="1" t="s">
        <v>690</v>
      </c>
      <c r="D73" s="1" t="n">
        <v>7</v>
      </c>
      <c r="E73" s="1" t="n">
        <v>2</v>
      </c>
      <c r="F73" s="1" t="n">
        <v>0</v>
      </c>
      <c r="G73" s="1" t="n">
        <v>0</v>
      </c>
      <c r="H73" s="1" t="n">
        <v>0</v>
      </c>
      <c r="I73" s="2" t="s">
        <v>1391</v>
      </c>
      <c r="J73" s="2" t="s">
        <v>1392</v>
      </c>
      <c r="K73" s="2" t="s">
        <v>1393</v>
      </c>
    </row>
    <row r="74" customFormat="false" ht="15.75" hidden="false" customHeight="false" outlineLevel="0" collapsed="false">
      <c r="A74" s="1" t="n">
        <v>118283</v>
      </c>
      <c r="B74" s="1" t="s">
        <v>765</v>
      </c>
      <c r="C74" s="1" t="s">
        <v>690</v>
      </c>
      <c r="D74" s="1" t="n">
        <v>7</v>
      </c>
      <c r="E74" s="1" t="n">
        <v>2</v>
      </c>
      <c r="F74" s="1" t="n">
        <v>0</v>
      </c>
      <c r="G74" s="1" t="n">
        <v>0</v>
      </c>
      <c r="H74" s="1" t="n">
        <v>0</v>
      </c>
      <c r="I74" s="2" t="s">
        <v>1394</v>
      </c>
      <c r="J74" s="2" t="s">
        <v>1395</v>
      </c>
      <c r="K74" s="2" t="s">
        <v>1396</v>
      </c>
    </row>
    <row r="75" customFormat="false" ht="15.75" hidden="false" customHeight="false" outlineLevel="0" collapsed="false">
      <c r="A75" s="1" t="n">
        <v>124032</v>
      </c>
      <c r="B75" s="1" t="s">
        <v>757</v>
      </c>
      <c r="C75" s="1" t="s">
        <v>690</v>
      </c>
      <c r="D75" s="1" t="n">
        <v>7</v>
      </c>
      <c r="E75" s="1" t="n">
        <v>2</v>
      </c>
      <c r="F75" s="1" t="n">
        <v>0</v>
      </c>
      <c r="G75" s="1" t="n">
        <v>0</v>
      </c>
      <c r="H75" s="1" t="n">
        <v>0</v>
      </c>
      <c r="I75" s="2" t="s">
        <v>1397</v>
      </c>
      <c r="J75" s="2" t="s">
        <v>1398</v>
      </c>
    </row>
    <row r="76" customFormat="false" ht="15.75" hidden="false" customHeight="false" outlineLevel="0" collapsed="false">
      <c r="A76" s="1" t="n">
        <v>109151</v>
      </c>
      <c r="B76" s="1" t="s">
        <v>698</v>
      </c>
      <c r="C76" s="1" t="s">
        <v>690</v>
      </c>
      <c r="D76" s="1" t="n">
        <v>7</v>
      </c>
      <c r="E76" s="1" t="n">
        <v>0</v>
      </c>
      <c r="F76" s="1" t="n">
        <v>0</v>
      </c>
      <c r="G76" s="1" t="n">
        <v>0</v>
      </c>
      <c r="H76" s="1" t="n">
        <v>0</v>
      </c>
      <c r="I76" s="2" t="s">
        <v>1399</v>
      </c>
      <c r="J76" s="2" t="s">
        <v>1400</v>
      </c>
      <c r="K76" s="2" t="s">
        <v>1401</v>
      </c>
      <c r="L76" s="2" t="s">
        <v>1402</v>
      </c>
    </row>
    <row r="77" customFormat="false" ht="15.75" hidden="false" customHeight="false" outlineLevel="0" collapsed="false">
      <c r="A77" s="1" t="n">
        <v>133671</v>
      </c>
      <c r="B77" s="1" t="s">
        <v>427</v>
      </c>
      <c r="C77" s="1" t="s">
        <v>690</v>
      </c>
      <c r="D77" s="1" t="n">
        <v>0</v>
      </c>
      <c r="E77" s="1" t="n">
        <v>2</v>
      </c>
      <c r="F77" s="1" t="n">
        <v>0</v>
      </c>
      <c r="G77" s="1" t="n">
        <v>0</v>
      </c>
      <c r="H77" s="1" t="n">
        <v>0</v>
      </c>
      <c r="I77" s="2" t="s">
        <v>1403</v>
      </c>
      <c r="J77" s="2" t="s">
        <v>1404</v>
      </c>
    </row>
    <row r="78" customFormat="false" ht="15.75" hidden="false" customHeight="false" outlineLevel="0" collapsed="false">
      <c r="A78" s="1" t="n">
        <v>99196</v>
      </c>
      <c r="B78" s="1" t="s">
        <v>109</v>
      </c>
      <c r="C78" s="1" t="s">
        <v>690</v>
      </c>
      <c r="D78" s="1" t="n">
        <v>7</v>
      </c>
      <c r="E78" s="1" t="n">
        <v>2</v>
      </c>
      <c r="F78" s="1" t="n">
        <v>0</v>
      </c>
      <c r="G78" s="1" t="n">
        <v>0</v>
      </c>
      <c r="H78" s="1" t="n">
        <v>0</v>
      </c>
      <c r="I78" s="2" t="s">
        <v>1405</v>
      </c>
      <c r="J78" s="2" t="s">
        <v>1406</v>
      </c>
      <c r="K78" s="2" t="s">
        <v>1407</v>
      </c>
    </row>
    <row r="79" customFormat="false" ht="15.75" hidden="false" customHeight="false" outlineLevel="0" collapsed="false">
      <c r="A79" s="1" t="n">
        <v>118012</v>
      </c>
      <c r="B79" s="1" t="s">
        <v>725</v>
      </c>
      <c r="C79" s="1" t="s">
        <v>690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2" t="s">
        <v>1408</v>
      </c>
      <c r="J79" s="2" t="s">
        <v>1409</v>
      </c>
    </row>
    <row r="80" customFormat="false" ht="15.75" hidden="false" customHeight="false" outlineLevel="0" collapsed="false">
      <c r="A80" s="1" t="n">
        <v>119763</v>
      </c>
      <c r="B80" s="1" t="s">
        <v>716</v>
      </c>
      <c r="C80" s="1" t="s">
        <v>690</v>
      </c>
      <c r="D80" s="1" t="n">
        <v>0</v>
      </c>
      <c r="E80" s="1" t="n">
        <v>2</v>
      </c>
      <c r="F80" s="1" t="n">
        <v>0</v>
      </c>
      <c r="G80" s="1" t="n">
        <v>0</v>
      </c>
      <c r="H80" s="1" t="n">
        <v>0</v>
      </c>
      <c r="I80" s="2" t="s">
        <v>1410</v>
      </c>
      <c r="J80" s="2" t="s">
        <v>1411</v>
      </c>
      <c r="K80" s="2" t="s">
        <v>1412</v>
      </c>
    </row>
    <row r="81" customFormat="false" ht="15.75" hidden="false" customHeight="false" outlineLevel="0" collapsed="false">
      <c r="A81" s="1" t="n">
        <v>185275</v>
      </c>
      <c r="B81" s="1" t="s">
        <v>749</v>
      </c>
      <c r="C81" s="1" t="s">
        <v>690</v>
      </c>
      <c r="D81" s="1" t="n">
        <v>0</v>
      </c>
      <c r="E81" s="1" t="n">
        <v>2</v>
      </c>
      <c r="F81" s="1" t="n">
        <v>0</v>
      </c>
      <c r="G81" s="1" t="n">
        <v>0</v>
      </c>
      <c r="H81" s="1" t="n">
        <v>0</v>
      </c>
      <c r="I81" s="2" t="s">
        <v>1413</v>
      </c>
      <c r="J81" s="2" t="s">
        <v>1414</v>
      </c>
    </row>
    <row r="82" customFormat="false" ht="15.75" hidden="false" customHeight="false" outlineLevel="0" collapsed="false">
      <c r="A82" s="1" t="n">
        <v>110020</v>
      </c>
      <c r="B82" s="1" t="s">
        <v>711</v>
      </c>
      <c r="C82" s="1" t="s">
        <v>690</v>
      </c>
      <c r="D82" s="1" t="n">
        <v>0</v>
      </c>
      <c r="E82" s="1" t="n">
        <v>2</v>
      </c>
      <c r="F82" s="1" t="n">
        <v>0</v>
      </c>
      <c r="G82" s="1" t="n">
        <v>0</v>
      </c>
      <c r="H82" s="1" t="n">
        <v>0</v>
      </c>
      <c r="I82" s="2" t="s">
        <v>1415</v>
      </c>
      <c r="J82" s="2" t="s">
        <v>1416</v>
      </c>
      <c r="K82" s="2" t="s">
        <v>1417</v>
      </c>
      <c r="L82" s="2" t="s">
        <v>1418</v>
      </c>
      <c r="M82" s="2" t="s">
        <v>1419</v>
      </c>
      <c r="N82" s="2" t="s">
        <v>1420</v>
      </c>
      <c r="O82" s="2" t="s">
        <v>1421</v>
      </c>
      <c r="P82" s="2" t="s">
        <v>1422</v>
      </c>
    </row>
    <row r="83" customFormat="false" ht="15.75" hidden="false" customHeight="false" outlineLevel="0" collapsed="false">
      <c r="A83" s="1" t="n">
        <v>117902</v>
      </c>
      <c r="B83" s="1" t="s">
        <v>719</v>
      </c>
      <c r="C83" s="1" t="s">
        <v>690</v>
      </c>
      <c r="D83" s="1" t="n">
        <v>3</v>
      </c>
      <c r="E83" s="1" t="n">
        <v>0</v>
      </c>
      <c r="F83" s="1" t="n">
        <v>0</v>
      </c>
      <c r="G83" s="1" t="n">
        <v>0</v>
      </c>
      <c r="H83" s="1" t="n">
        <v>0</v>
      </c>
      <c r="I83" s="2" t="s">
        <v>1423</v>
      </c>
      <c r="J83" s="2" t="s">
        <v>1424</v>
      </c>
      <c r="K83" s="2" t="s">
        <v>1425</v>
      </c>
    </row>
    <row r="84" customFormat="false" ht="15.75" hidden="false" customHeight="false" outlineLevel="0" collapsed="false">
      <c r="A84" s="1" t="n">
        <v>115856</v>
      </c>
      <c r="B84" s="1" t="s">
        <v>40</v>
      </c>
      <c r="C84" s="1" t="s">
        <v>690</v>
      </c>
      <c r="D84" s="1" t="n">
        <v>7</v>
      </c>
      <c r="E84" s="1" t="n">
        <v>2</v>
      </c>
      <c r="F84" s="1" t="n">
        <v>0</v>
      </c>
      <c r="G84" s="1" t="n">
        <v>0</v>
      </c>
      <c r="H84" s="1" t="n">
        <v>0</v>
      </c>
      <c r="I84" s="2" t="s">
        <v>1426</v>
      </c>
      <c r="J84" s="2" t="s">
        <v>1427</v>
      </c>
      <c r="K84" s="2" t="s">
        <v>1428</v>
      </c>
    </row>
    <row r="85" customFormat="false" ht="15.75" hidden="false" customHeight="false" outlineLevel="0" collapsed="false">
      <c r="A85" s="1" t="n">
        <v>117431</v>
      </c>
      <c r="B85" s="1" t="s">
        <v>705</v>
      </c>
      <c r="C85" s="1" t="s">
        <v>690</v>
      </c>
      <c r="D85" s="1" t="n">
        <v>0</v>
      </c>
      <c r="E85" s="1" t="n">
        <v>2</v>
      </c>
      <c r="F85" s="1" t="n">
        <v>0</v>
      </c>
      <c r="G85" s="1" t="n">
        <v>0</v>
      </c>
      <c r="H85" s="1" t="n">
        <v>0</v>
      </c>
      <c r="I85" s="2" t="s">
        <v>1429</v>
      </c>
    </row>
    <row r="86" customFormat="false" ht="15.75" hidden="false" customHeight="false" outlineLevel="0" collapsed="false">
      <c r="A86" s="1" t="n">
        <v>83273</v>
      </c>
      <c r="B86" s="1" t="s">
        <v>1430</v>
      </c>
      <c r="C86" s="1" t="s">
        <v>690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2" t="s">
        <v>1431</v>
      </c>
    </row>
    <row r="87" customFormat="false" ht="15.75" hidden="false" customHeight="false" outlineLevel="0" collapsed="false">
      <c r="A87" s="1" t="n">
        <v>3885</v>
      </c>
      <c r="B87" s="1" t="s">
        <v>753</v>
      </c>
      <c r="C87" s="1" t="s">
        <v>690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2" t="s">
        <v>1432</v>
      </c>
      <c r="J87" s="2" t="s">
        <v>1433</v>
      </c>
      <c r="K87" s="2" t="s">
        <v>1434</v>
      </c>
      <c r="L87" s="2" t="s">
        <v>1435</v>
      </c>
      <c r="M87" s="2" t="s">
        <v>1436</v>
      </c>
    </row>
    <row r="88" customFormat="false" ht="15.75" hidden="false" customHeight="false" outlineLevel="0" collapsed="false">
      <c r="A88" s="1" t="n">
        <v>185512</v>
      </c>
      <c r="B88" s="1" t="s">
        <v>1437</v>
      </c>
      <c r="C88" s="1" t="s">
        <v>690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2" t="s">
        <v>1438</v>
      </c>
      <c r="J88" s="2" t="s">
        <v>1439</v>
      </c>
      <c r="K88" s="2" t="s">
        <v>1440</v>
      </c>
    </row>
    <row r="89" customFormat="false" ht="15.75" hidden="false" customHeight="false" outlineLevel="0" collapsed="false">
      <c r="A89" s="1" t="n">
        <v>185795</v>
      </c>
      <c r="B89" s="1" t="s">
        <v>723</v>
      </c>
      <c r="C89" s="1" t="s">
        <v>690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2" t="s">
        <v>1441</v>
      </c>
    </row>
    <row r="90" customFormat="false" ht="15.75" hidden="false" customHeight="false" outlineLevel="0" collapsed="false">
      <c r="A90" s="1" t="n">
        <v>3881</v>
      </c>
      <c r="B90" s="1" t="s">
        <v>761</v>
      </c>
      <c r="C90" s="1" t="s">
        <v>690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2" t="s">
        <v>1442</v>
      </c>
      <c r="J90" s="2" t="s">
        <v>1443</v>
      </c>
    </row>
    <row r="91" customFormat="false" ht="15.75" hidden="false" customHeight="false" outlineLevel="0" collapsed="false">
      <c r="A91" s="1" t="n">
        <v>196087</v>
      </c>
      <c r="B91" s="1" t="s">
        <v>745</v>
      </c>
      <c r="C91" s="1" t="s">
        <v>690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2" t="s">
        <v>1444</v>
      </c>
    </row>
    <row r="92" customFormat="false" ht="15.75" hidden="false" customHeight="false" outlineLevel="0" collapsed="false">
      <c r="A92" s="1" t="n">
        <v>186195</v>
      </c>
      <c r="B92" s="1" t="s">
        <v>696</v>
      </c>
      <c r="C92" s="1" t="s">
        <v>690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2" t="s">
        <v>1445</v>
      </c>
      <c r="J92" s="2" t="s">
        <v>1446</v>
      </c>
    </row>
    <row r="93" customFormat="false" ht="15.75" hidden="false" customHeight="false" outlineLevel="0" collapsed="false">
      <c r="A93" s="1" t="n">
        <v>139314</v>
      </c>
      <c r="B93" s="1" t="s">
        <v>764</v>
      </c>
      <c r="C93" s="1" t="s">
        <v>690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2" t="s">
        <v>1447</v>
      </c>
      <c r="J93" s="2" t="s">
        <v>1448</v>
      </c>
      <c r="K93" s="2" t="s">
        <v>1449</v>
      </c>
      <c r="L93" s="2" t="s">
        <v>1450</v>
      </c>
      <c r="M93" s="2" t="s">
        <v>1451</v>
      </c>
    </row>
    <row r="94" customFormat="false" ht="15.75" hidden="false" customHeight="false" outlineLevel="0" collapsed="false">
      <c r="A94" s="1" t="n">
        <v>110841</v>
      </c>
      <c r="B94" s="1" t="s">
        <v>727</v>
      </c>
      <c r="C94" s="1" t="s">
        <v>690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2" t="s">
        <v>1452</v>
      </c>
      <c r="J94" s="2" t="s">
        <v>1453</v>
      </c>
      <c r="K94" s="2" t="s">
        <v>1454</v>
      </c>
    </row>
    <row r="95" customFormat="false" ht="15.75" hidden="false" customHeight="false" outlineLevel="0" collapsed="false">
      <c r="A95" s="1" t="n">
        <v>74613</v>
      </c>
      <c r="B95" s="1" t="s">
        <v>738</v>
      </c>
      <c r="C95" s="1" t="s">
        <v>690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2" t="s">
        <v>1455</v>
      </c>
      <c r="J95" s="2" t="s">
        <v>1456</v>
      </c>
      <c r="K95" s="2" t="s">
        <v>1457</v>
      </c>
      <c r="L95" s="2" t="s">
        <v>1458</v>
      </c>
    </row>
    <row r="96" customFormat="false" ht="15.75" hidden="false" customHeight="false" outlineLevel="0" collapsed="false">
      <c r="A96" s="1" t="n">
        <v>110661</v>
      </c>
      <c r="B96" s="1" t="s">
        <v>845</v>
      </c>
      <c r="C96" s="1" t="s">
        <v>775</v>
      </c>
      <c r="D96" s="1" t="n">
        <v>7</v>
      </c>
      <c r="E96" s="1" t="n">
        <v>2</v>
      </c>
      <c r="F96" s="1" t="n">
        <v>0</v>
      </c>
      <c r="G96" s="1" t="n">
        <v>0</v>
      </c>
      <c r="H96" s="1" t="n">
        <v>0</v>
      </c>
      <c r="I96" s="2" t="s">
        <v>1459</v>
      </c>
      <c r="J96" s="2" t="s">
        <v>1460</v>
      </c>
    </row>
    <row r="97" customFormat="false" ht="15.75" hidden="false" customHeight="false" outlineLevel="0" collapsed="false">
      <c r="A97" s="1" t="n">
        <v>142740</v>
      </c>
      <c r="B97" s="1" t="s">
        <v>841</v>
      </c>
      <c r="C97" s="1" t="s">
        <v>775</v>
      </c>
      <c r="D97" s="1" t="n">
        <v>7</v>
      </c>
      <c r="E97" s="1" t="n">
        <v>2.5</v>
      </c>
      <c r="F97" s="1" t="n">
        <v>0</v>
      </c>
      <c r="G97" s="1" t="n">
        <v>0</v>
      </c>
      <c r="H97" s="1" t="n">
        <v>0</v>
      </c>
      <c r="I97" s="2" t="s">
        <v>1461</v>
      </c>
      <c r="J97" s="2" t="s">
        <v>1462</v>
      </c>
      <c r="K97" s="2" t="s">
        <v>1463</v>
      </c>
      <c r="L97" s="2" t="s">
        <v>1464</v>
      </c>
      <c r="M97" s="2" t="s">
        <v>1465</v>
      </c>
      <c r="N97" s="2" t="s">
        <v>1466</v>
      </c>
      <c r="O97" s="2" t="s">
        <v>1467</v>
      </c>
      <c r="P97" s="2" t="s">
        <v>1468</v>
      </c>
      <c r="Q97" s="2" t="s">
        <v>1469</v>
      </c>
    </row>
    <row r="98" customFormat="false" ht="15.75" hidden="false" customHeight="false" outlineLevel="0" collapsed="false">
      <c r="A98" s="1" t="n">
        <v>122031</v>
      </c>
      <c r="B98" s="1" t="s">
        <v>851</v>
      </c>
      <c r="C98" s="1" t="s">
        <v>775</v>
      </c>
      <c r="D98" s="1" t="n">
        <v>7</v>
      </c>
      <c r="E98" s="1" t="n">
        <v>2</v>
      </c>
      <c r="F98" s="1" t="n">
        <v>0</v>
      </c>
      <c r="G98" s="1" t="n">
        <v>0</v>
      </c>
      <c r="H98" s="1" t="n">
        <v>0</v>
      </c>
      <c r="I98" s="2" t="s">
        <v>1470</v>
      </c>
      <c r="J98" s="2" t="s">
        <v>1471</v>
      </c>
      <c r="K98" s="2" t="s">
        <v>1472</v>
      </c>
    </row>
    <row r="99" customFormat="false" ht="15.75" hidden="false" customHeight="false" outlineLevel="0" collapsed="false">
      <c r="A99" s="1" t="n">
        <v>82456</v>
      </c>
      <c r="B99" s="1" t="s">
        <v>802</v>
      </c>
      <c r="C99" s="1" t="s">
        <v>775</v>
      </c>
      <c r="D99" s="1" t="n">
        <v>7</v>
      </c>
      <c r="E99" s="1" t="n">
        <v>2</v>
      </c>
      <c r="F99" s="1" t="n">
        <v>0</v>
      </c>
      <c r="G99" s="1" t="n">
        <v>0</v>
      </c>
      <c r="H99" s="1" t="n">
        <v>0</v>
      </c>
      <c r="I99" s="2" t="s">
        <v>1473</v>
      </c>
      <c r="J99" s="2" t="s">
        <v>1474</v>
      </c>
      <c r="K99" s="2" t="s">
        <v>1475</v>
      </c>
      <c r="L99" s="2" t="s">
        <v>1476</v>
      </c>
      <c r="M99" s="2" t="s">
        <v>1477</v>
      </c>
      <c r="N99" s="2" t="s">
        <v>1478</v>
      </c>
      <c r="O99" s="2" t="s">
        <v>1479</v>
      </c>
      <c r="P99" s="2" t="s">
        <v>1480</v>
      </c>
      <c r="Q99" s="2" t="s">
        <v>1481</v>
      </c>
    </row>
    <row r="100" customFormat="false" ht="15.75" hidden="false" customHeight="false" outlineLevel="0" collapsed="false">
      <c r="A100" s="1" t="n">
        <v>59433</v>
      </c>
      <c r="B100" s="1" t="s">
        <v>827</v>
      </c>
      <c r="C100" s="1" t="s">
        <v>775</v>
      </c>
      <c r="D100" s="1" t="n">
        <v>7</v>
      </c>
      <c r="E100" s="1" t="n">
        <v>2</v>
      </c>
      <c r="F100" s="1" t="n">
        <v>0</v>
      </c>
      <c r="G100" s="1" t="n">
        <v>0</v>
      </c>
      <c r="H100" s="1" t="n">
        <v>0</v>
      </c>
      <c r="I100" s="2" t="s">
        <v>1482</v>
      </c>
      <c r="J100" s="2" t="s">
        <v>1483</v>
      </c>
      <c r="K100" s="2" t="s">
        <v>1484</v>
      </c>
    </row>
    <row r="101" customFormat="false" ht="15.75" hidden="false" customHeight="false" outlineLevel="0" collapsed="false">
      <c r="A101" s="1" t="n">
        <v>82535</v>
      </c>
      <c r="B101" s="1" t="s">
        <v>822</v>
      </c>
      <c r="C101" s="1" t="s">
        <v>775</v>
      </c>
      <c r="D101" s="1" t="n">
        <v>7</v>
      </c>
      <c r="E101" s="1" t="n">
        <v>3</v>
      </c>
      <c r="F101" s="1" t="n">
        <v>0</v>
      </c>
      <c r="G101" s="1" t="n">
        <v>0</v>
      </c>
      <c r="H101" s="1" t="n">
        <v>0</v>
      </c>
      <c r="I101" s="2" t="s">
        <v>1485</v>
      </c>
      <c r="J101" s="2" t="s">
        <v>1486</v>
      </c>
      <c r="K101" s="2" t="s">
        <v>1487</v>
      </c>
      <c r="L101" s="2" t="s">
        <v>1488</v>
      </c>
      <c r="M101" s="2" t="s">
        <v>1489</v>
      </c>
      <c r="N101" s="2" t="s">
        <v>1490</v>
      </c>
    </row>
    <row r="102" customFormat="false" ht="15.75" hidden="false" customHeight="false" outlineLevel="0" collapsed="false">
      <c r="A102" s="1" t="n">
        <v>129372</v>
      </c>
      <c r="B102" s="1" t="s">
        <v>774</v>
      </c>
      <c r="C102" s="1" t="s">
        <v>775</v>
      </c>
      <c r="D102" s="1" t="n">
        <v>6</v>
      </c>
      <c r="E102" s="1" t="n">
        <v>0</v>
      </c>
      <c r="F102" s="1" t="n">
        <v>0</v>
      </c>
      <c r="G102" s="1" t="n">
        <v>0</v>
      </c>
      <c r="H102" s="1" t="n">
        <v>0</v>
      </c>
      <c r="I102" s="2" t="s">
        <v>1491</v>
      </c>
      <c r="J102" s="2" t="s">
        <v>1492</v>
      </c>
      <c r="K102" s="2" t="s">
        <v>1493</v>
      </c>
      <c r="L102" s="2" t="s">
        <v>1494</v>
      </c>
    </row>
    <row r="103" customFormat="false" ht="15.75" hidden="false" customHeight="false" outlineLevel="0" collapsed="false">
      <c r="A103" s="1" t="n">
        <v>178304</v>
      </c>
      <c r="B103" s="1" t="s">
        <v>212</v>
      </c>
      <c r="C103" s="1" t="s">
        <v>775</v>
      </c>
      <c r="D103" s="1" t="n">
        <v>3</v>
      </c>
      <c r="E103" s="1" t="n">
        <v>2</v>
      </c>
      <c r="F103" s="1" t="n">
        <v>0</v>
      </c>
      <c r="G103" s="1" t="n">
        <v>0</v>
      </c>
      <c r="H103" s="1" t="n">
        <v>0</v>
      </c>
      <c r="I103" s="2" t="s">
        <v>1495</v>
      </c>
      <c r="J103" s="2" t="s">
        <v>1496</v>
      </c>
      <c r="K103" s="2" t="s">
        <v>1497</v>
      </c>
    </row>
    <row r="104" customFormat="false" ht="15.75" hidden="false" customHeight="false" outlineLevel="0" collapsed="false">
      <c r="A104" s="1" t="n">
        <v>16020</v>
      </c>
      <c r="B104" s="1" t="s">
        <v>780</v>
      </c>
      <c r="C104" s="1" t="s">
        <v>775</v>
      </c>
      <c r="D104" s="1" t="n">
        <v>0</v>
      </c>
      <c r="E104" s="1" t="n">
        <v>2</v>
      </c>
      <c r="F104" s="1" t="n">
        <v>0</v>
      </c>
      <c r="G104" s="1" t="n">
        <v>0</v>
      </c>
      <c r="H104" s="1" t="n">
        <v>0</v>
      </c>
      <c r="I104" s="2" t="s">
        <v>1498</v>
      </c>
      <c r="J104" s="2" t="s">
        <v>1499</v>
      </c>
      <c r="K104" s="2" t="s">
        <v>1500</v>
      </c>
      <c r="L104" s="2" t="s">
        <v>1501</v>
      </c>
    </row>
    <row r="105" customFormat="false" ht="15.75" hidden="false" customHeight="false" outlineLevel="0" collapsed="false">
      <c r="A105" s="1" t="n">
        <v>194729</v>
      </c>
      <c r="B105" s="1" t="s">
        <v>835</v>
      </c>
      <c r="C105" s="1" t="s">
        <v>775</v>
      </c>
      <c r="D105" s="1" t="n">
        <v>0</v>
      </c>
      <c r="E105" s="1" t="n">
        <v>2</v>
      </c>
      <c r="F105" s="1" t="n">
        <v>0</v>
      </c>
      <c r="G105" s="1" t="n">
        <v>0</v>
      </c>
      <c r="H105" s="1" t="n">
        <v>0</v>
      </c>
      <c r="I105" s="2" t="s">
        <v>1502</v>
      </c>
      <c r="J105" s="2" t="s">
        <v>1503</v>
      </c>
      <c r="K105" s="2" t="s">
        <v>1504</v>
      </c>
    </row>
    <row r="106" customFormat="false" ht="15.75" hidden="false" customHeight="false" outlineLevel="0" collapsed="false">
      <c r="A106" s="1" t="n">
        <v>117778</v>
      </c>
      <c r="B106" s="1" t="s">
        <v>816</v>
      </c>
      <c r="C106" s="1" t="s">
        <v>775</v>
      </c>
      <c r="D106" s="1" t="n">
        <v>0</v>
      </c>
      <c r="E106" s="1" t="n">
        <v>2</v>
      </c>
      <c r="F106" s="1" t="n">
        <v>0</v>
      </c>
      <c r="G106" s="1" t="n">
        <v>0</v>
      </c>
      <c r="H106" s="1" t="n">
        <v>0</v>
      </c>
      <c r="I106" s="2" t="s">
        <v>1505</v>
      </c>
      <c r="J106" s="2" t="s">
        <v>1506</v>
      </c>
      <c r="K106" s="2" t="s">
        <v>1507</v>
      </c>
    </row>
    <row r="107" customFormat="false" ht="15.75" hidden="false" customHeight="false" outlineLevel="0" collapsed="false">
      <c r="A107" s="1" t="n">
        <v>118442</v>
      </c>
      <c r="B107" s="1" t="s">
        <v>876</v>
      </c>
      <c r="C107" s="1" t="s">
        <v>775</v>
      </c>
      <c r="D107" s="1" t="n">
        <v>0</v>
      </c>
      <c r="E107" s="1" t="n">
        <v>2</v>
      </c>
      <c r="F107" s="1" t="n">
        <v>0</v>
      </c>
      <c r="G107" s="1" t="n">
        <v>0</v>
      </c>
      <c r="H107" s="1" t="n">
        <v>0</v>
      </c>
      <c r="I107" s="2" t="s">
        <v>1508</v>
      </c>
    </row>
    <row r="108" customFormat="false" ht="15.75" hidden="false" customHeight="false" outlineLevel="0" collapsed="false">
      <c r="A108" s="1" t="n">
        <v>203256</v>
      </c>
      <c r="B108" s="1" t="s">
        <v>793</v>
      </c>
      <c r="C108" s="1" t="s">
        <v>775</v>
      </c>
      <c r="D108" s="1" t="n">
        <v>0</v>
      </c>
      <c r="E108" s="1" t="n">
        <v>2</v>
      </c>
      <c r="F108" s="1" t="n">
        <v>0</v>
      </c>
      <c r="G108" s="1" t="n">
        <v>0</v>
      </c>
      <c r="H108" s="1" t="n">
        <v>0</v>
      </c>
      <c r="I108" s="2" t="s">
        <v>1509</v>
      </c>
      <c r="J108" s="2" t="s">
        <v>1510</v>
      </c>
      <c r="K108" s="2" t="s">
        <v>1511</v>
      </c>
      <c r="L108" s="2" t="s">
        <v>1512</v>
      </c>
    </row>
    <row r="109" customFormat="false" ht="15.75" hidden="false" customHeight="false" outlineLevel="0" collapsed="false">
      <c r="A109" s="1" t="n">
        <v>111890</v>
      </c>
      <c r="B109" s="1" t="s">
        <v>808</v>
      </c>
      <c r="C109" s="1" t="s">
        <v>775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2" t="s">
        <v>1513</v>
      </c>
      <c r="J109" s="2" t="s">
        <v>1514</v>
      </c>
      <c r="K109" s="2" t="s">
        <v>1515</v>
      </c>
    </row>
    <row r="110" customFormat="false" ht="15.75" hidden="false" customHeight="false" outlineLevel="0" collapsed="false">
      <c r="A110" s="1" t="n">
        <v>53495</v>
      </c>
      <c r="B110" s="1" t="s">
        <v>797</v>
      </c>
      <c r="C110" s="1" t="s">
        <v>775</v>
      </c>
      <c r="D110" s="1" t="n">
        <v>0</v>
      </c>
      <c r="E110" s="1" t="n">
        <v>2</v>
      </c>
      <c r="F110" s="1" t="n">
        <v>0</v>
      </c>
      <c r="G110" s="1" t="n">
        <v>0</v>
      </c>
      <c r="H110" s="1" t="n">
        <v>0</v>
      </c>
      <c r="I110" s="2" t="s">
        <v>1516</v>
      </c>
      <c r="J110" s="2" t="s">
        <v>1517</v>
      </c>
    </row>
    <row r="111" customFormat="false" ht="15.75" hidden="false" customHeight="false" outlineLevel="0" collapsed="false">
      <c r="A111" s="1" t="n">
        <v>110088</v>
      </c>
      <c r="B111" s="1" t="s">
        <v>831</v>
      </c>
      <c r="C111" s="1" t="s">
        <v>775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2" t="s">
        <v>1518</v>
      </c>
    </row>
    <row r="112" customFormat="false" ht="15.75" hidden="false" customHeight="false" outlineLevel="0" collapsed="false">
      <c r="A112" s="1" t="n">
        <v>182905</v>
      </c>
      <c r="B112" s="1" t="s">
        <v>839</v>
      </c>
      <c r="C112" s="1" t="s">
        <v>775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2" t="s">
        <v>1519</v>
      </c>
    </row>
    <row r="113" customFormat="false" ht="15.75" hidden="false" customHeight="false" outlineLevel="0" collapsed="false">
      <c r="A113" s="1" t="n">
        <v>212553</v>
      </c>
      <c r="B113" s="1" t="s">
        <v>820</v>
      </c>
      <c r="C113" s="1" t="s">
        <v>775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2" t="s">
        <v>1520</v>
      </c>
    </row>
    <row r="114" customFormat="false" ht="15.75" hidden="false" customHeight="false" outlineLevel="0" collapsed="false">
      <c r="A114" s="1" t="n">
        <v>122405</v>
      </c>
      <c r="B114" s="1" t="s">
        <v>805</v>
      </c>
      <c r="C114" s="1" t="s">
        <v>775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2" t="s">
        <v>1521</v>
      </c>
      <c r="J114" s="2" t="s">
        <v>1522</v>
      </c>
    </row>
    <row r="115" customFormat="false" ht="15.75" hidden="false" customHeight="false" outlineLevel="0" collapsed="false">
      <c r="A115" s="1" t="n">
        <v>139239</v>
      </c>
      <c r="B115" s="1" t="s">
        <v>861</v>
      </c>
      <c r="C115" s="1" t="s">
        <v>775</v>
      </c>
      <c r="D115" s="1" t="n">
        <v>0</v>
      </c>
      <c r="E115" s="1" t="n">
        <v>2</v>
      </c>
      <c r="F115" s="1" t="n">
        <v>0</v>
      </c>
      <c r="G115" s="1" t="n">
        <v>0</v>
      </c>
      <c r="H115" s="1" t="n">
        <v>0</v>
      </c>
      <c r="I115" s="2" t="s">
        <v>1523</v>
      </c>
      <c r="J115" s="2" t="s">
        <v>1524</v>
      </c>
      <c r="K115" s="2" t="s">
        <v>1525</v>
      </c>
      <c r="L115" s="2" t="s">
        <v>1526</v>
      </c>
      <c r="M115" s="2" t="s">
        <v>1527</v>
      </c>
      <c r="N115" s="2" t="s">
        <v>1528</v>
      </c>
    </row>
    <row r="116" customFormat="false" ht="15.75" hidden="false" customHeight="false" outlineLevel="0" collapsed="false">
      <c r="A116" s="1" t="n">
        <v>59211</v>
      </c>
      <c r="B116" s="1" t="s">
        <v>868</v>
      </c>
      <c r="C116" s="1" t="s">
        <v>775</v>
      </c>
      <c r="D116" s="1" t="n">
        <v>0</v>
      </c>
      <c r="E116" s="1" t="n">
        <v>2</v>
      </c>
      <c r="F116" s="1" t="n">
        <v>0</v>
      </c>
      <c r="G116" s="1" t="n">
        <v>0</v>
      </c>
      <c r="H116" s="1" t="n">
        <v>0</v>
      </c>
      <c r="I116" s="2" t="s">
        <v>1529</v>
      </c>
      <c r="J116" s="2" t="s">
        <v>1530</v>
      </c>
      <c r="K116" s="2" t="s">
        <v>1531</v>
      </c>
      <c r="L116" s="2" t="s">
        <v>1532</v>
      </c>
    </row>
    <row r="117" customFormat="false" ht="15.75" hidden="false" customHeight="false" outlineLevel="0" collapsed="false">
      <c r="A117" s="1" t="n">
        <v>109392</v>
      </c>
      <c r="B117" s="1" t="s">
        <v>873</v>
      </c>
      <c r="C117" s="1" t="s">
        <v>775</v>
      </c>
      <c r="D117" s="1" t="n">
        <v>0</v>
      </c>
      <c r="E117" s="1" t="n">
        <v>2</v>
      </c>
      <c r="F117" s="1" t="n">
        <v>0</v>
      </c>
      <c r="G117" s="1" t="n">
        <v>0</v>
      </c>
      <c r="H117" s="1" t="n">
        <v>0</v>
      </c>
      <c r="I117" s="2" t="s">
        <v>1533</v>
      </c>
      <c r="J117" s="2" t="s">
        <v>1534</v>
      </c>
      <c r="K117" s="2" t="s">
        <v>1535</v>
      </c>
    </row>
    <row r="118" customFormat="false" ht="15.75" hidden="false" customHeight="false" outlineLevel="0" collapsed="false">
      <c r="A118" s="1" t="n">
        <v>109503</v>
      </c>
      <c r="B118" s="1" t="s">
        <v>857</v>
      </c>
      <c r="C118" s="1" t="s">
        <v>775</v>
      </c>
      <c r="D118" s="1" t="n">
        <v>3</v>
      </c>
      <c r="E118" s="1" t="n">
        <v>2</v>
      </c>
      <c r="F118" s="1" t="n">
        <v>0</v>
      </c>
      <c r="G118" s="1" t="n">
        <v>0</v>
      </c>
      <c r="H118" s="1" t="n">
        <v>0</v>
      </c>
      <c r="I118" s="2" t="s">
        <v>1536</v>
      </c>
      <c r="J118" s="2" t="s">
        <v>1537</v>
      </c>
      <c r="K118" s="2" t="s">
        <v>1538</v>
      </c>
    </row>
    <row r="119" customFormat="false" ht="15.75" hidden="false" customHeight="false" outlineLevel="0" collapsed="false">
      <c r="A119" s="1" t="n">
        <v>115785</v>
      </c>
      <c r="B119" s="1" t="s">
        <v>863</v>
      </c>
      <c r="C119" s="1" t="s">
        <v>775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2" t="s">
        <v>1539</v>
      </c>
      <c r="J119" s="2" t="s">
        <v>1540</v>
      </c>
      <c r="K119" s="2" t="s">
        <v>1541</v>
      </c>
    </row>
    <row r="120" customFormat="false" ht="15.75" hidden="false" customHeight="false" outlineLevel="0" collapsed="false">
      <c r="A120" s="1" t="n">
        <v>87436</v>
      </c>
      <c r="B120" s="1" t="s">
        <v>849</v>
      </c>
      <c r="C120" s="1" t="s">
        <v>775</v>
      </c>
      <c r="D120" s="1" t="n">
        <v>7</v>
      </c>
      <c r="E120" s="1" t="n">
        <v>0</v>
      </c>
      <c r="F120" s="1" t="n">
        <v>0</v>
      </c>
      <c r="G120" s="1" t="n">
        <v>0</v>
      </c>
      <c r="H120" s="1" t="n">
        <v>0</v>
      </c>
      <c r="I120" s="2" t="s">
        <v>1542</v>
      </c>
      <c r="J120" s="2" t="s">
        <v>1543</v>
      </c>
      <c r="K120" s="2" t="s">
        <v>1544</v>
      </c>
      <c r="L120" s="2" t="s">
        <v>1545</v>
      </c>
      <c r="M120" s="2" t="s">
        <v>1546</v>
      </c>
    </row>
    <row r="121" customFormat="false" ht="15.75" hidden="false" customHeight="false" outlineLevel="0" collapsed="false">
      <c r="A121" s="1" t="n">
        <v>139279</v>
      </c>
      <c r="B121" s="1" t="s">
        <v>855</v>
      </c>
      <c r="C121" s="1" t="s">
        <v>775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2" t="s">
        <v>1547</v>
      </c>
      <c r="J121" s="2" t="s">
        <v>1548</v>
      </c>
    </row>
    <row r="122" customFormat="false" ht="15.75" hidden="false" customHeight="false" outlineLevel="0" collapsed="false">
      <c r="A122" s="1" t="n">
        <v>82453</v>
      </c>
      <c r="B122" s="1" t="s">
        <v>786</v>
      </c>
      <c r="C122" s="1" t="s">
        <v>775</v>
      </c>
      <c r="D122" s="1" t="n">
        <v>7</v>
      </c>
      <c r="E122" s="1" t="n">
        <v>2</v>
      </c>
      <c r="F122" s="1" t="n">
        <v>0</v>
      </c>
      <c r="G122" s="1" t="n">
        <v>0</v>
      </c>
      <c r="H122" s="1" t="n">
        <v>0</v>
      </c>
      <c r="I122" s="2" t="s">
        <v>1549</v>
      </c>
      <c r="J122" s="2" t="s">
        <v>1550</v>
      </c>
      <c r="K122" s="2" t="s">
        <v>1551</v>
      </c>
    </row>
    <row r="123" customFormat="false" ht="15.75" hidden="false" customHeight="false" outlineLevel="0" collapsed="false">
      <c r="A123" s="1" t="n">
        <v>118418</v>
      </c>
      <c r="B123" s="1" t="s">
        <v>789</v>
      </c>
      <c r="C123" s="1" t="s">
        <v>775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2" t="s">
        <v>1552</v>
      </c>
      <c r="J123" s="2" t="s">
        <v>1553</v>
      </c>
      <c r="K123" s="2" t="s">
        <v>1554</v>
      </c>
    </row>
    <row r="124" customFormat="false" ht="15.75" hidden="false" customHeight="false" outlineLevel="0" collapsed="false">
      <c r="A124" s="1" t="n">
        <v>223687</v>
      </c>
      <c r="B124" s="1" t="s">
        <v>882</v>
      </c>
      <c r="C124" s="1" t="s">
        <v>883</v>
      </c>
      <c r="D124" s="1" t="n">
        <v>2</v>
      </c>
      <c r="E124" s="1" t="n">
        <v>0</v>
      </c>
      <c r="F124" s="1" t="n">
        <v>0</v>
      </c>
      <c r="G124" s="1" t="n">
        <v>0</v>
      </c>
      <c r="H124" s="1" t="n">
        <v>0</v>
      </c>
      <c r="I124" s="2" t="s">
        <v>1555</v>
      </c>
      <c r="J124" s="2" t="s">
        <v>1556</v>
      </c>
      <c r="K124" s="2" t="s">
        <v>1557</v>
      </c>
    </row>
    <row r="125" customFormat="false" ht="15.75" hidden="false" customHeight="false" outlineLevel="0" collapsed="false">
      <c r="A125" s="1" t="n">
        <v>177663</v>
      </c>
      <c r="B125" s="1" t="s">
        <v>888</v>
      </c>
      <c r="C125" s="1" t="s">
        <v>883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</row>
    <row r="126" customFormat="false" ht="15.75" hidden="false" customHeight="false" outlineLevel="0" collapsed="false">
      <c r="A126" s="1" t="n">
        <v>232025</v>
      </c>
      <c r="B126" s="1" t="s">
        <v>1047</v>
      </c>
      <c r="C126" s="1" t="s">
        <v>883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</row>
    <row r="127" customFormat="false" ht="15.75" hidden="false" customHeight="false" outlineLevel="0" collapsed="false">
      <c r="A127" s="1" t="n">
        <v>231998</v>
      </c>
      <c r="B127" s="1" t="s">
        <v>1057</v>
      </c>
      <c r="C127" s="1" t="s">
        <v>883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</row>
    <row r="128" customFormat="false" ht="15.75" hidden="false" customHeight="false" outlineLevel="0" collapsed="false">
      <c r="A128" s="1" t="n">
        <v>107329</v>
      </c>
      <c r="B128" s="1" t="s">
        <v>1170</v>
      </c>
      <c r="C128" s="1" t="s">
        <v>1080</v>
      </c>
      <c r="D128" s="1" t="n">
        <v>2</v>
      </c>
      <c r="E128" s="1" t="n">
        <v>1</v>
      </c>
      <c r="F128" s="1" t="n">
        <v>0</v>
      </c>
      <c r="G128" s="1" t="n">
        <v>0</v>
      </c>
      <c r="H128" s="1" t="n">
        <v>0</v>
      </c>
      <c r="I128" s="2" t="s">
        <v>1558</v>
      </c>
      <c r="J128" s="2" t="s">
        <v>1559</v>
      </c>
      <c r="K128" s="2" t="s">
        <v>1560</v>
      </c>
    </row>
    <row r="129" customFormat="false" ht="15.75" hidden="false" customHeight="false" outlineLevel="0" collapsed="false">
      <c r="A129" s="1" t="n">
        <v>107321</v>
      </c>
      <c r="B129" s="1" t="s">
        <v>723</v>
      </c>
      <c r="C129" s="1" t="s">
        <v>1080</v>
      </c>
      <c r="D129" s="1" t="n">
        <v>7</v>
      </c>
      <c r="E129" s="1" t="n">
        <v>1</v>
      </c>
      <c r="F129" s="1" t="n">
        <v>0</v>
      </c>
      <c r="G129" s="1" t="n">
        <v>0</v>
      </c>
      <c r="H129" s="1" t="n">
        <v>0</v>
      </c>
    </row>
    <row r="130" customFormat="false" ht="15.75" hidden="false" customHeight="false" outlineLevel="0" collapsed="false">
      <c r="A130" s="1" t="n">
        <v>196774</v>
      </c>
      <c r="B130" s="1" t="s">
        <v>1112</v>
      </c>
      <c r="C130" s="1" t="s">
        <v>1080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0</v>
      </c>
      <c r="I130" s="2" t="s">
        <v>1561</v>
      </c>
      <c r="J130" s="2" t="s">
        <v>1562</v>
      </c>
      <c r="K130" s="2" t="s">
        <v>1563</v>
      </c>
      <c r="L130" s="2" t="s">
        <v>1564</v>
      </c>
    </row>
    <row r="131" customFormat="false" ht="15.75" hidden="false" customHeight="false" outlineLevel="0" collapsed="false">
      <c r="A131" s="1" t="n">
        <v>182555</v>
      </c>
      <c r="B131" s="1" t="s">
        <v>1156</v>
      </c>
      <c r="C131" s="1" t="s">
        <v>1080</v>
      </c>
      <c r="D131" s="1" t="n">
        <v>4</v>
      </c>
      <c r="E131" s="1" t="n">
        <v>0</v>
      </c>
      <c r="F131" s="1" t="n">
        <v>0</v>
      </c>
      <c r="G131" s="1" t="n">
        <v>0</v>
      </c>
      <c r="H131" s="1" t="n">
        <v>0</v>
      </c>
      <c r="I131" s="2" t="s">
        <v>1565</v>
      </c>
      <c r="J131" s="2" t="s">
        <v>1566</v>
      </c>
      <c r="K131" s="2" t="s">
        <v>1567</v>
      </c>
      <c r="L131" s="2" t="s">
        <v>1568</v>
      </c>
    </row>
    <row r="132" customFormat="false" ht="15.75" hidden="false" customHeight="false" outlineLevel="0" collapsed="false">
      <c r="A132" s="1" t="n">
        <v>177724</v>
      </c>
      <c r="B132" s="1" t="s">
        <v>1138</v>
      </c>
      <c r="C132" s="1" t="s">
        <v>1080</v>
      </c>
      <c r="D132" s="1" t="n">
        <v>0.5</v>
      </c>
      <c r="E132" s="1" t="n">
        <v>0</v>
      </c>
      <c r="F132" s="1" t="n">
        <v>0</v>
      </c>
      <c r="G132" s="1" t="n">
        <v>0</v>
      </c>
      <c r="H132" s="1" t="n">
        <v>0</v>
      </c>
      <c r="I132" s="2" t="s">
        <v>1569</v>
      </c>
      <c r="J132" s="2" t="s">
        <v>1570</v>
      </c>
    </row>
    <row r="133" customFormat="false" ht="15.75" hidden="false" customHeight="false" outlineLevel="0" collapsed="false">
      <c r="A133" s="1" t="n">
        <v>107334</v>
      </c>
      <c r="B133" s="1" t="s">
        <v>1160</v>
      </c>
      <c r="C133" s="1" t="s">
        <v>1080</v>
      </c>
      <c r="D133" s="1" t="n">
        <v>0.5</v>
      </c>
      <c r="E133" s="1" t="n">
        <v>0</v>
      </c>
      <c r="F133" s="1" t="n">
        <v>0</v>
      </c>
      <c r="G133" s="1" t="n">
        <v>0</v>
      </c>
      <c r="H133" s="1" t="n">
        <v>0</v>
      </c>
      <c r="I133" s="2" t="s">
        <v>1571</v>
      </c>
      <c r="J133" s="2" t="s">
        <v>1572</v>
      </c>
      <c r="K133" s="2" t="s">
        <v>1573</v>
      </c>
      <c r="L133" s="2" t="s">
        <v>1574</v>
      </c>
    </row>
    <row r="134" customFormat="false" ht="15.75" hidden="false" customHeight="false" outlineLevel="0" collapsed="false">
      <c r="A134" s="1" t="n">
        <v>181836</v>
      </c>
      <c r="B134" s="1" t="s">
        <v>1575</v>
      </c>
      <c r="C134" s="1" t="s">
        <v>1080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2" t="s">
        <v>1576</v>
      </c>
      <c r="J134" s="2" t="s">
        <v>1577</v>
      </c>
    </row>
    <row r="135" customFormat="false" ht="15.75" hidden="false" customHeight="false" outlineLevel="0" collapsed="false">
      <c r="A135" s="1" t="n">
        <v>4060</v>
      </c>
      <c r="B135" s="1" t="s">
        <v>1178</v>
      </c>
      <c r="C135" s="1" t="s">
        <v>1080</v>
      </c>
      <c r="D135" s="1" t="n">
        <v>7</v>
      </c>
      <c r="E135" s="1" t="n">
        <v>7</v>
      </c>
      <c r="F135" s="1" t="n">
        <v>0</v>
      </c>
      <c r="G135" s="1" t="n">
        <v>0</v>
      </c>
      <c r="H135" s="1" t="n">
        <v>0</v>
      </c>
      <c r="I135" s="2" t="s">
        <v>1578</v>
      </c>
      <c r="J135" s="2" t="s">
        <v>1579</v>
      </c>
      <c r="K135" s="2" t="s">
        <v>1580</v>
      </c>
      <c r="L135" s="2" t="s">
        <v>1581</v>
      </c>
      <c r="M135" s="2" t="s">
        <v>1582</v>
      </c>
      <c r="N135" s="2" t="s">
        <v>1583</v>
      </c>
    </row>
    <row r="136" customFormat="false" ht="15.75" hidden="false" customHeight="false" outlineLevel="0" collapsed="false">
      <c r="A136" s="1" t="n">
        <v>231963</v>
      </c>
      <c r="B136" s="1" t="s">
        <v>1109</v>
      </c>
      <c r="C136" s="1" t="s">
        <v>1080</v>
      </c>
      <c r="D136" s="1" t="n">
        <v>0</v>
      </c>
      <c r="E136" s="1" t="n">
        <v>1</v>
      </c>
      <c r="F136" s="1" t="n">
        <v>0</v>
      </c>
      <c r="G136" s="1" t="n">
        <v>0</v>
      </c>
      <c r="H136" s="1" t="n">
        <v>0</v>
      </c>
      <c r="I136" s="2" t="s">
        <v>1584</v>
      </c>
      <c r="J136" s="2" t="s">
        <v>1585</v>
      </c>
    </row>
    <row r="137" customFormat="false" ht="15.75" hidden="false" customHeight="false" outlineLevel="0" collapsed="false">
      <c r="A137" s="1" t="n">
        <v>232007</v>
      </c>
      <c r="B137" s="1" t="s">
        <v>1100</v>
      </c>
      <c r="C137" s="1" t="s">
        <v>1080</v>
      </c>
      <c r="D137" s="1" t="n">
        <v>0.5</v>
      </c>
      <c r="E137" s="1" t="n">
        <v>1</v>
      </c>
      <c r="F137" s="1" t="n">
        <v>0</v>
      </c>
      <c r="G137" s="1" t="n">
        <v>0</v>
      </c>
      <c r="H137" s="1" t="n">
        <v>0</v>
      </c>
      <c r="I137" s="2" t="s">
        <v>1586</v>
      </c>
      <c r="J137" s="2" t="s">
        <v>1587</v>
      </c>
    </row>
    <row r="138" customFormat="false" ht="15.75" hidden="false" customHeight="false" outlineLevel="0" collapsed="false">
      <c r="A138" s="1" t="n">
        <v>231996</v>
      </c>
      <c r="B138" s="1" t="s">
        <v>1124</v>
      </c>
      <c r="C138" s="1" t="s">
        <v>1080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2" t="s">
        <v>1588</v>
      </c>
      <c r="J138" s="2" t="s">
        <v>1589</v>
      </c>
      <c r="K138" s="2" t="s">
        <v>1590</v>
      </c>
    </row>
    <row r="139" customFormat="false" ht="15.75" hidden="false" customHeight="false" outlineLevel="0" collapsed="false">
      <c r="A139" s="1" t="n">
        <v>133459</v>
      </c>
      <c r="B139" s="1" t="s">
        <v>1151</v>
      </c>
      <c r="C139" s="1" t="s">
        <v>1080</v>
      </c>
      <c r="D139" s="1" t="n">
        <v>3</v>
      </c>
      <c r="E139" s="1" t="n">
        <v>0</v>
      </c>
      <c r="F139" s="1" t="n">
        <v>0</v>
      </c>
      <c r="G139" s="1" t="n">
        <v>0</v>
      </c>
      <c r="H139" s="1" t="n">
        <v>0</v>
      </c>
      <c r="I139" s="2" t="s">
        <v>1591</v>
      </c>
      <c r="J139" s="2" t="s">
        <v>1592</v>
      </c>
      <c r="K139" s="2" t="s">
        <v>1593</v>
      </c>
      <c r="L139" s="2" t="s">
        <v>1594</v>
      </c>
    </row>
    <row r="140" customFormat="false" ht="15.75" hidden="false" customHeight="false" outlineLevel="0" collapsed="false">
      <c r="A140" s="1" t="n">
        <v>231833</v>
      </c>
      <c r="B140" s="1" t="s">
        <v>1104</v>
      </c>
      <c r="C140" s="1" t="s">
        <v>1080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2" t="s">
        <v>1595</v>
      </c>
      <c r="J140" s="2" t="s">
        <v>1596</v>
      </c>
      <c r="K140" s="2" t="s">
        <v>1597</v>
      </c>
      <c r="L140" s="2" t="s">
        <v>1598</v>
      </c>
    </row>
    <row r="141" customFormat="false" ht="15.75" hidden="false" customHeight="false" outlineLevel="0" collapsed="false">
      <c r="A141" s="1" t="n">
        <v>101189</v>
      </c>
      <c r="B141" s="1" t="s">
        <v>1187</v>
      </c>
      <c r="C141" s="1" t="s">
        <v>1080</v>
      </c>
      <c r="D141" s="1" t="n">
        <v>7</v>
      </c>
      <c r="E141" s="1" t="n">
        <v>7</v>
      </c>
      <c r="F141" s="1" t="n">
        <v>0</v>
      </c>
      <c r="G141" s="1" t="n">
        <v>0</v>
      </c>
      <c r="H141" s="1" t="n">
        <v>0</v>
      </c>
      <c r="I141" s="2" t="s">
        <v>1599</v>
      </c>
      <c r="J141" s="2" t="s">
        <v>1600</v>
      </c>
      <c r="K141" s="2" t="s">
        <v>1601</v>
      </c>
      <c r="L141" s="2" t="s">
        <v>1602</v>
      </c>
    </row>
    <row r="142" customFormat="false" ht="15.75" hidden="false" customHeight="false" outlineLevel="0" collapsed="false">
      <c r="A142" s="1" t="n">
        <v>113019</v>
      </c>
      <c r="B142" s="1" t="s">
        <v>1096</v>
      </c>
      <c r="C142" s="1" t="s">
        <v>1080</v>
      </c>
      <c r="D142" s="1" t="n">
        <v>0.5</v>
      </c>
      <c r="E142" s="1" t="n">
        <v>1</v>
      </c>
      <c r="F142" s="1" t="n">
        <v>0</v>
      </c>
      <c r="G142" s="1" t="n">
        <v>0</v>
      </c>
      <c r="H142" s="1" t="n">
        <v>0</v>
      </c>
      <c r="I142" s="2" t="s">
        <v>1603</v>
      </c>
      <c r="J142" s="2" t="s">
        <v>1604</v>
      </c>
      <c r="K142" s="2" t="s">
        <v>1605</v>
      </c>
      <c r="L142" s="2" t="s">
        <v>1606</v>
      </c>
      <c r="M142" s="2" t="s">
        <v>1607</v>
      </c>
      <c r="N142" s="2" t="s">
        <v>1608</v>
      </c>
      <c r="O142" s="2" t="s">
        <v>1609</v>
      </c>
    </row>
    <row r="143" customFormat="false" ht="15.75" hidden="false" customHeight="false" outlineLevel="0" collapsed="false">
      <c r="A143" s="1" t="n">
        <v>232109</v>
      </c>
      <c r="B143" s="1" t="s">
        <v>1610</v>
      </c>
      <c r="C143" s="1" t="s">
        <v>1080</v>
      </c>
      <c r="D143" s="1" t="n">
        <v>0.5</v>
      </c>
      <c r="E143" s="1" t="n">
        <v>0</v>
      </c>
      <c r="F143" s="1" t="n">
        <v>0</v>
      </c>
      <c r="G143" s="1" t="n">
        <v>0</v>
      </c>
      <c r="H143" s="1" t="n">
        <v>0</v>
      </c>
      <c r="I143" s="2" t="s">
        <v>1611</v>
      </c>
      <c r="J143" s="2" t="s">
        <v>1612</v>
      </c>
    </row>
    <row r="144" customFormat="false" ht="15.75" hidden="false" customHeight="false" outlineLevel="0" collapsed="false">
      <c r="A144" s="1" t="n">
        <v>6001</v>
      </c>
      <c r="B144" s="1" t="s">
        <v>1079</v>
      </c>
      <c r="C144" s="1" t="s">
        <v>1080</v>
      </c>
      <c r="D144" s="1" t="n">
        <v>4</v>
      </c>
      <c r="E144" s="1" t="n">
        <v>1</v>
      </c>
      <c r="F144" s="1" t="n">
        <v>0</v>
      </c>
      <c r="G144" s="1" t="n">
        <v>0</v>
      </c>
      <c r="H144" s="1" t="n">
        <v>0</v>
      </c>
      <c r="I144" s="2" t="s">
        <v>1613</v>
      </c>
      <c r="J144" s="2" t="s">
        <v>1614</v>
      </c>
      <c r="K144" s="2" t="s">
        <v>1615</v>
      </c>
    </row>
    <row r="145" customFormat="false" ht="15.75" hidden="false" customHeight="false" outlineLevel="0" collapsed="false">
      <c r="A145" s="1" t="n">
        <v>107327</v>
      </c>
      <c r="B145" s="1" t="s">
        <v>1084</v>
      </c>
      <c r="C145" s="1" t="s">
        <v>1080</v>
      </c>
      <c r="D145" s="1" t="n">
        <v>0.5</v>
      </c>
      <c r="E145" s="1" t="n">
        <v>1</v>
      </c>
      <c r="F145" s="1" t="n">
        <v>0</v>
      </c>
      <c r="G145" s="1" t="n">
        <v>0</v>
      </c>
      <c r="H145" s="1" t="n">
        <v>0</v>
      </c>
      <c r="I145" s="2" t="s">
        <v>1616</v>
      </c>
      <c r="J145" s="2" t="s">
        <v>1617</v>
      </c>
    </row>
    <row r="146" customFormat="false" ht="15.75" hidden="false" customHeight="false" outlineLevel="0" collapsed="false">
      <c r="A146" s="1" t="n">
        <v>158514</v>
      </c>
      <c r="B146" s="1" t="s">
        <v>140</v>
      </c>
      <c r="C146" s="1" t="s">
        <v>1080</v>
      </c>
      <c r="D146" s="1" t="n">
        <v>2</v>
      </c>
      <c r="E146" s="1" t="n">
        <v>1</v>
      </c>
      <c r="F146" s="1" t="n">
        <v>0</v>
      </c>
      <c r="G146" s="1" t="n">
        <v>0</v>
      </c>
      <c r="H146" s="1" t="n">
        <v>0</v>
      </c>
      <c r="I146" s="2" t="s">
        <v>1618</v>
      </c>
      <c r="J146" s="2" t="s">
        <v>1619</v>
      </c>
      <c r="K146" s="2" t="s">
        <v>1620</v>
      </c>
    </row>
    <row r="147" customFormat="false" ht="15.75" hidden="false" customHeight="false" outlineLevel="0" collapsed="false">
      <c r="A147" s="1" t="n">
        <v>99922</v>
      </c>
      <c r="B147" s="1" t="s">
        <v>1165</v>
      </c>
      <c r="C147" s="1" t="s">
        <v>1080</v>
      </c>
      <c r="D147" s="1" t="n">
        <v>7</v>
      </c>
      <c r="E147" s="1" t="n">
        <v>1</v>
      </c>
      <c r="F147" s="1" t="n">
        <v>0</v>
      </c>
      <c r="G147" s="1" t="n">
        <v>0</v>
      </c>
      <c r="H147" s="1" t="n">
        <v>0</v>
      </c>
      <c r="I147" s="2" t="s">
        <v>1621</v>
      </c>
      <c r="J147" s="2" t="s">
        <v>1622</v>
      </c>
    </row>
    <row r="148" customFormat="false" ht="15.75" hidden="false" customHeight="false" outlineLevel="0" collapsed="false">
      <c r="A148" s="1" t="n">
        <v>99291</v>
      </c>
      <c r="B148" s="1" t="s">
        <v>1116</v>
      </c>
      <c r="C148" s="1" t="s">
        <v>1080</v>
      </c>
      <c r="D148" s="1" t="n">
        <v>4</v>
      </c>
      <c r="E148" s="1" t="n">
        <v>1</v>
      </c>
      <c r="F148" s="1" t="n">
        <v>0</v>
      </c>
      <c r="G148" s="1" t="n">
        <v>0</v>
      </c>
      <c r="H148" s="1" t="n">
        <v>0</v>
      </c>
      <c r="I148" s="2" t="s">
        <v>1623</v>
      </c>
      <c r="J148" s="2" t="s">
        <v>1624</v>
      </c>
      <c r="K148" s="2" t="s">
        <v>1625</v>
      </c>
    </row>
    <row r="149" customFormat="false" ht="15.75" hidden="false" customHeight="false" outlineLevel="0" collapsed="false">
      <c r="A149" s="1" t="n">
        <v>128152</v>
      </c>
      <c r="B149" s="1" t="s">
        <v>1142</v>
      </c>
      <c r="C149" s="1" t="s">
        <v>1080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0</v>
      </c>
      <c r="I149" s="2" t="s">
        <v>1626</v>
      </c>
      <c r="J149" s="2" t="s">
        <v>1627</v>
      </c>
      <c r="K149" s="2" t="s">
        <v>1628</v>
      </c>
    </row>
    <row r="150" customFormat="false" ht="15.75" hidden="false" customHeight="false" outlineLevel="0" collapsed="false">
      <c r="A150" s="1" t="n">
        <v>4235</v>
      </c>
      <c r="B150" s="1" t="s">
        <v>1088</v>
      </c>
      <c r="C150" s="1" t="s">
        <v>1080</v>
      </c>
      <c r="D150" s="1" t="n">
        <v>7</v>
      </c>
      <c r="E150" s="1" t="n">
        <v>1</v>
      </c>
      <c r="F150" s="1" t="n">
        <v>0</v>
      </c>
      <c r="G150" s="1" t="n">
        <v>0</v>
      </c>
      <c r="H150" s="1" t="n">
        <v>0</v>
      </c>
      <c r="I150" s="2" t="s">
        <v>1629</v>
      </c>
      <c r="J150" s="2" t="s">
        <v>1630</v>
      </c>
      <c r="K150" s="2" t="s">
        <v>1631</v>
      </c>
      <c r="L150" s="2" t="s">
        <v>1632</v>
      </c>
      <c r="M150" s="2" t="s">
        <v>1633</v>
      </c>
    </row>
    <row r="151" customFormat="false" ht="15.75" hidden="false" customHeight="false" outlineLevel="0" collapsed="false">
      <c r="A151" s="1" t="n">
        <v>107331</v>
      </c>
      <c r="B151" s="1" t="s">
        <v>324</v>
      </c>
      <c r="C151" s="1" t="s">
        <v>1080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0</v>
      </c>
      <c r="I151" s="2" t="s">
        <v>1634</v>
      </c>
      <c r="J151" s="2" t="s">
        <v>1635</v>
      </c>
    </row>
    <row r="152" customFormat="false" ht="15.75" hidden="false" customHeight="false" outlineLevel="0" collapsed="false">
      <c r="A152" s="1" t="n">
        <v>99373</v>
      </c>
      <c r="B152" s="1" t="s">
        <v>1636</v>
      </c>
      <c r="C152" s="1" t="s">
        <v>1080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2" t="s">
        <v>1637</v>
      </c>
      <c r="J152" s="2" t="s">
        <v>1638</v>
      </c>
      <c r="K152" s="2" t="s">
        <v>1639</v>
      </c>
    </row>
    <row r="153" customFormat="false" ht="15.75" hidden="false" customHeight="false" outlineLevel="0" collapsed="false">
      <c r="A153" s="1" t="n">
        <v>107333</v>
      </c>
      <c r="B153" s="1" t="s">
        <v>1134</v>
      </c>
      <c r="C153" s="1" t="s">
        <v>1080</v>
      </c>
      <c r="D153" s="1" t="n">
        <v>0.5</v>
      </c>
      <c r="E153" s="1" t="n">
        <v>1</v>
      </c>
      <c r="F153" s="1" t="n">
        <v>0</v>
      </c>
      <c r="G153" s="1" t="n">
        <v>0</v>
      </c>
      <c r="H153" s="1" t="n">
        <v>0</v>
      </c>
      <c r="I153" s="2" t="s">
        <v>1640</v>
      </c>
      <c r="J153" s="2" t="s">
        <v>1641</v>
      </c>
      <c r="K153" s="2" t="s">
        <v>1642</v>
      </c>
    </row>
    <row r="154" customFormat="false" ht="15.75" hidden="false" customHeight="false" outlineLevel="0" collapsed="false">
      <c r="A154" s="1" t="n">
        <v>273</v>
      </c>
      <c r="B154" s="1" t="s">
        <v>1175</v>
      </c>
      <c r="C154" s="1" t="s">
        <v>1080</v>
      </c>
      <c r="D154" s="1" t="n">
        <v>7</v>
      </c>
      <c r="E154" s="1" t="n">
        <v>7</v>
      </c>
      <c r="F154" s="1" t="n">
        <v>0</v>
      </c>
      <c r="G154" s="1" t="n">
        <v>0</v>
      </c>
      <c r="H154" s="1" t="n">
        <v>0</v>
      </c>
      <c r="I154" s="2" t="s">
        <v>1643</v>
      </c>
      <c r="J154" s="2" t="s">
        <v>1644</v>
      </c>
      <c r="K154" s="2" t="s">
        <v>1645</v>
      </c>
      <c r="L154" s="2" t="s">
        <v>1646</v>
      </c>
      <c r="M154" s="2" t="s">
        <v>1647</v>
      </c>
      <c r="N154" s="2" t="s">
        <v>1648</v>
      </c>
    </row>
    <row r="155" customFormat="false" ht="15.75" hidden="false" customHeight="false" outlineLevel="0" collapsed="false">
      <c r="A155" s="1" t="n">
        <v>107318</v>
      </c>
      <c r="B155" s="1" t="s">
        <v>188</v>
      </c>
      <c r="C155" s="1" t="s">
        <v>1080</v>
      </c>
      <c r="D155" s="1" t="n">
        <v>0.5</v>
      </c>
      <c r="E155" s="1" t="n">
        <v>0</v>
      </c>
      <c r="F155" s="1" t="n">
        <v>0</v>
      </c>
      <c r="G155" s="1" t="n">
        <v>0</v>
      </c>
      <c r="H155" s="1" t="n">
        <v>0</v>
      </c>
      <c r="I155" s="2" t="s">
        <v>1649</v>
      </c>
      <c r="J155" s="2" t="s">
        <v>1650</v>
      </c>
      <c r="K155" s="2" t="s">
        <v>1651</v>
      </c>
    </row>
    <row r="156" customFormat="false" ht="15.75" hidden="false" customHeight="false" outlineLevel="0" collapsed="false">
      <c r="A156" s="1" t="n">
        <v>107332</v>
      </c>
      <c r="B156" s="1" t="s">
        <v>1093</v>
      </c>
      <c r="C156" s="1" t="s">
        <v>1080</v>
      </c>
      <c r="D156" s="1" t="n">
        <v>0.5</v>
      </c>
      <c r="E156" s="1" t="n">
        <v>1</v>
      </c>
      <c r="F156" s="1" t="n">
        <v>0</v>
      </c>
      <c r="G156" s="1" t="n">
        <v>0</v>
      </c>
      <c r="H156" s="1" t="n">
        <v>0</v>
      </c>
      <c r="I156" s="2" t="s">
        <v>1652</v>
      </c>
      <c r="J156" s="2" t="s">
        <v>1653</v>
      </c>
      <c r="K156" s="2" t="s">
        <v>1654</v>
      </c>
    </row>
    <row r="157" customFormat="false" ht="15.75" hidden="false" customHeight="false" outlineLevel="0" collapsed="false">
      <c r="A157" s="1" t="n">
        <v>99109</v>
      </c>
      <c r="B157" s="1" t="s">
        <v>1655</v>
      </c>
      <c r="C157" s="1" t="s">
        <v>1080</v>
      </c>
      <c r="D157" s="1" t="n">
        <v>0.5</v>
      </c>
      <c r="E157" s="1" t="n">
        <v>1</v>
      </c>
      <c r="F157" s="1" t="n">
        <v>0</v>
      </c>
      <c r="G157" s="1" t="n">
        <v>0</v>
      </c>
      <c r="H157" s="1" t="n">
        <v>0</v>
      </c>
      <c r="I157" s="2" t="s">
        <v>1656</v>
      </c>
      <c r="J157" s="2" t="s">
        <v>1657</v>
      </c>
      <c r="K157" s="2" t="s">
        <v>1658</v>
      </c>
      <c r="L157" s="2" t="s">
        <v>1659</v>
      </c>
    </row>
    <row r="158" customFormat="false" ht="15.75" hidden="false" customHeight="false" outlineLevel="0" collapsed="false">
      <c r="A158" s="1" t="n">
        <v>206155</v>
      </c>
      <c r="B158" s="1" t="s">
        <v>1147</v>
      </c>
      <c r="C158" s="1" t="s">
        <v>1080</v>
      </c>
      <c r="D158" s="1" t="n">
        <v>4</v>
      </c>
      <c r="E158" s="1" t="n">
        <v>0</v>
      </c>
      <c r="F158" s="1" t="n">
        <v>0</v>
      </c>
      <c r="G158" s="1" t="n">
        <v>0</v>
      </c>
      <c r="H158" s="1" t="n">
        <v>0</v>
      </c>
      <c r="I158" s="2" t="s">
        <v>1660</v>
      </c>
      <c r="J158" s="2" t="s">
        <v>1661</v>
      </c>
    </row>
    <row r="159" customFormat="false" ht="15.75" hidden="false" customHeight="false" outlineLevel="0" collapsed="false">
      <c r="A159" s="1" t="n">
        <v>177741</v>
      </c>
      <c r="B159" s="1" t="s">
        <v>1662</v>
      </c>
      <c r="C159" s="1" t="s">
        <v>1080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2" t="s">
        <v>1663</v>
      </c>
      <c r="J159" s="2" t="s">
        <v>1664</v>
      </c>
      <c r="K159" s="2" t="s">
        <v>1665</v>
      </c>
    </row>
    <row r="160" customFormat="false" ht="15.75" hidden="false" customHeight="false" outlineLevel="0" collapsed="false">
      <c r="A160" s="1" t="n">
        <v>107325</v>
      </c>
      <c r="B160" s="1" t="s">
        <v>598</v>
      </c>
      <c r="C160" s="1" t="s">
        <v>1080</v>
      </c>
      <c r="D160" s="1" t="n">
        <v>0.5</v>
      </c>
      <c r="E160" s="1" t="n">
        <v>0</v>
      </c>
      <c r="F160" s="1" t="n">
        <v>0</v>
      </c>
      <c r="G160" s="1" t="n">
        <v>0</v>
      </c>
      <c r="H160" s="1" t="n">
        <v>0</v>
      </c>
      <c r="I160" s="2" t="s">
        <v>1666</v>
      </c>
      <c r="J160" s="2" t="s">
        <v>1667</v>
      </c>
    </row>
    <row r="161" customFormat="false" ht="15.75" hidden="false" customHeight="false" outlineLevel="0" collapsed="false">
      <c r="A161" s="1" t="n">
        <v>189753</v>
      </c>
      <c r="B161" s="1" t="s">
        <v>1668</v>
      </c>
      <c r="C161" s="1" t="s">
        <v>1669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0</v>
      </c>
      <c r="I161" s="2" t="s">
        <v>1670</v>
      </c>
      <c r="J161" s="2" t="s">
        <v>1671</v>
      </c>
      <c r="K161" s="2" t="s">
        <v>1672</v>
      </c>
      <c r="L161" s="2" t="s">
        <v>1673</v>
      </c>
      <c r="M161" s="2" t="s">
        <v>1674</v>
      </c>
      <c r="N161" s="2" t="s">
        <v>1675</v>
      </c>
      <c r="O161" s="2" t="s">
        <v>1676</v>
      </c>
    </row>
    <row r="162" customFormat="false" ht="15.75" hidden="false" customHeight="false" outlineLevel="0" collapsed="false">
      <c r="A162" s="1" t="n">
        <v>197176</v>
      </c>
      <c r="B162" s="1" t="s">
        <v>1677</v>
      </c>
      <c r="C162" s="1" t="s">
        <v>1669</v>
      </c>
      <c r="D162" s="1" t="n">
        <v>0</v>
      </c>
      <c r="E162" s="1" t="n">
        <v>3</v>
      </c>
      <c r="F162" s="1" t="n">
        <v>6</v>
      </c>
      <c r="G162" s="1" t="n">
        <v>0</v>
      </c>
      <c r="H162" s="1" t="n">
        <v>0</v>
      </c>
      <c r="I162" s="2" t="s">
        <v>1678</v>
      </c>
      <c r="J162" s="2" t="s">
        <v>1679</v>
      </c>
    </row>
    <row r="163" customFormat="false" ht="15.75" hidden="false" customHeight="false" outlineLevel="0" collapsed="false">
      <c r="A163" s="1" t="n">
        <v>185192</v>
      </c>
      <c r="B163" s="1" t="s">
        <v>1680</v>
      </c>
      <c r="C163" s="1" t="s">
        <v>1669</v>
      </c>
      <c r="D163" s="1" t="n">
        <v>0</v>
      </c>
      <c r="E163" s="1" t="n">
        <v>3</v>
      </c>
      <c r="F163" s="1" t="n">
        <v>7</v>
      </c>
      <c r="G163" s="1" t="n">
        <v>0</v>
      </c>
      <c r="H163" s="1" t="n">
        <v>0</v>
      </c>
      <c r="I163" s="2" t="s">
        <v>1681</v>
      </c>
      <c r="J163" s="2" t="s">
        <v>1682</v>
      </c>
    </row>
    <row r="164" customFormat="false" ht="15.75" hidden="false" customHeight="false" outlineLevel="0" collapsed="false">
      <c r="A164" s="1" t="n">
        <v>185187</v>
      </c>
      <c r="B164" s="1" t="s">
        <v>1683</v>
      </c>
      <c r="C164" s="1" t="s">
        <v>1669</v>
      </c>
      <c r="D164" s="1" t="n">
        <v>0</v>
      </c>
      <c r="E164" s="1" t="n">
        <v>3</v>
      </c>
      <c r="F164" s="1" t="n">
        <v>1</v>
      </c>
      <c r="G164" s="1" t="n">
        <v>0</v>
      </c>
      <c r="H164" s="1" t="n">
        <v>0</v>
      </c>
      <c r="I164" s="2" t="s">
        <v>1684</v>
      </c>
      <c r="J164" s="2" t="s">
        <v>1685</v>
      </c>
      <c r="K164" s="2" t="s">
        <v>1686</v>
      </c>
    </row>
    <row r="165" customFormat="false" ht="15.75" hidden="false" customHeight="false" outlineLevel="0" collapsed="false">
      <c r="A165" s="1" t="n">
        <v>185181</v>
      </c>
      <c r="B165" s="1" t="s">
        <v>676</v>
      </c>
      <c r="C165" s="1" t="s">
        <v>1669</v>
      </c>
      <c r="D165" s="1" t="n">
        <v>0</v>
      </c>
      <c r="E165" s="1" t="n">
        <v>2</v>
      </c>
      <c r="F165" s="1" t="n">
        <v>0</v>
      </c>
      <c r="G165" s="1" t="n">
        <v>0</v>
      </c>
      <c r="H165" s="1" t="n">
        <v>0</v>
      </c>
      <c r="I165" s="2" t="s">
        <v>1687</v>
      </c>
    </row>
    <row r="166" customFormat="false" ht="15.75" hidden="false" customHeight="false" outlineLevel="0" collapsed="false">
      <c r="A166" s="1" t="n">
        <v>197187</v>
      </c>
      <c r="B166" s="1" t="s">
        <v>1688</v>
      </c>
      <c r="C166" s="1" t="s">
        <v>1669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2" t="s">
        <v>1689</v>
      </c>
    </row>
    <row r="167" customFormat="false" ht="15.75" hidden="false" customHeight="false" outlineLevel="0" collapsed="false">
      <c r="A167" s="1" t="n">
        <v>185186</v>
      </c>
      <c r="B167" s="1" t="s">
        <v>1690</v>
      </c>
      <c r="C167" s="1" t="s">
        <v>1669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2" t="s">
        <v>1691</v>
      </c>
      <c r="J167" s="2" t="s">
        <v>1692</v>
      </c>
      <c r="K167" s="2" t="s">
        <v>1693</v>
      </c>
      <c r="L167" s="2" t="s">
        <v>1694</v>
      </c>
    </row>
    <row r="168" customFormat="false" ht="15.75" hidden="false" customHeight="false" outlineLevel="0" collapsed="false">
      <c r="A168" s="1" t="n">
        <v>197182</v>
      </c>
      <c r="B168" s="1" t="s">
        <v>1695</v>
      </c>
      <c r="C168" s="1" t="s">
        <v>1669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2" t="s">
        <v>1696</v>
      </c>
      <c r="J168" s="2" t="s">
        <v>1697</v>
      </c>
      <c r="K168" s="2" t="s">
        <v>1698</v>
      </c>
    </row>
    <row r="169" customFormat="false" ht="15.75" hidden="false" customHeight="false" outlineLevel="0" collapsed="false">
      <c r="A169" s="1" t="n">
        <v>197186</v>
      </c>
      <c r="B169" s="1" t="s">
        <v>639</v>
      </c>
      <c r="C169" s="1" t="s">
        <v>1669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2" t="s">
        <v>1699</v>
      </c>
    </row>
    <row r="170" customFormat="false" ht="15.75" hidden="false" customHeight="false" outlineLevel="0" collapsed="false">
      <c r="A170" s="1" t="n">
        <v>194915</v>
      </c>
      <c r="B170" s="1" t="s">
        <v>1119</v>
      </c>
      <c r="C170" s="1" t="s">
        <v>1669</v>
      </c>
      <c r="D170" s="1" t="n">
        <v>0.5</v>
      </c>
      <c r="E170" s="1" t="n">
        <v>0</v>
      </c>
      <c r="F170" s="1" t="n">
        <v>0</v>
      </c>
      <c r="G170" s="1" t="n">
        <v>0</v>
      </c>
      <c r="H170" s="1" t="n">
        <v>0</v>
      </c>
      <c r="I170" s="2" t="s">
        <v>1700</v>
      </c>
      <c r="J170" s="2" t="s">
        <v>1701</v>
      </c>
      <c r="K170" s="2" t="s">
        <v>1702</v>
      </c>
      <c r="L170" s="2" t="s">
        <v>1703</v>
      </c>
    </row>
    <row r="171" customFormat="false" ht="15.75" hidden="false" customHeight="false" outlineLevel="0" collapsed="false">
      <c r="A171" s="1" t="n">
        <v>205622</v>
      </c>
      <c r="B171" s="1" t="s">
        <v>243</v>
      </c>
      <c r="C171" s="1" t="s">
        <v>1669</v>
      </c>
      <c r="D171" s="1" t="n">
        <v>5</v>
      </c>
      <c r="E171" s="1" t="n">
        <v>0</v>
      </c>
      <c r="F171" s="1" t="n">
        <v>0</v>
      </c>
      <c r="G171" s="1" t="n">
        <v>0</v>
      </c>
      <c r="H171" s="1" t="n">
        <v>0</v>
      </c>
      <c r="I171" s="2" t="s">
        <v>1704</v>
      </c>
      <c r="J171" s="2" t="s">
        <v>1705</v>
      </c>
      <c r="K171" s="2" t="s">
        <v>1706</v>
      </c>
      <c r="L171" s="2" t="s">
        <v>1707</v>
      </c>
    </row>
    <row r="172" customFormat="false" ht="15.75" hidden="false" customHeight="false" outlineLevel="0" collapsed="false">
      <c r="A172" s="1" t="n">
        <v>197188</v>
      </c>
      <c r="B172" s="1" t="s">
        <v>1708</v>
      </c>
      <c r="C172" s="1" t="s">
        <v>1669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2" t="s">
        <v>1709</v>
      </c>
    </row>
    <row r="173" customFormat="false" ht="15.75" hidden="false" customHeight="false" outlineLevel="0" collapsed="false">
      <c r="A173" s="1" t="n">
        <v>219429</v>
      </c>
      <c r="B173" s="1" t="s">
        <v>1710</v>
      </c>
      <c r="C173" s="1" t="s">
        <v>1669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2" t="s">
        <v>1711</v>
      </c>
      <c r="J173" s="2" t="s">
        <v>1712</v>
      </c>
      <c r="K173" s="2" t="s">
        <v>1713</v>
      </c>
      <c r="L173" s="2" t="s">
        <v>1714</v>
      </c>
    </row>
    <row r="174" customFormat="false" ht="15.75" hidden="false" customHeight="false" outlineLevel="0" collapsed="false">
      <c r="A174" s="1" t="n">
        <v>190449</v>
      </c>
      <c r="B174" s="1" t="s">
        <v>1715</v>
      </c>
      <c r="C174" s="1" t="s">
        <v>1669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2" t="s">
        <v>1716</v>
      </c>
    </row>
    <row r="175" customFormat="false" ht="15.75" hidden="false" customHeight="false" outlineLevel="0" collapsed="false">
      <c r="A175" s="1" t="n">
        <v>185185</v>
      </c>
      <c r="B175" s="1" t="s">
        <v>1717</v>
      </c>
      <c r="C175" s="1" t="s">
        <v>1669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2" t="s">
        <v>1718</v>
      </c>
      <c r="J175" s="2" t="s">
        <v>1719</v>
      </c>
      <c r="K175" s="2" t="s">
        <v>1720</v>
      </c>
    </row>
    <row r="176" customFormat="false" ht="15.75" hidden="false" customHeight="false" outlineLevel="0" collapsed="false">
      <c r="A176" s="1" t="n">
        <v>181087</v>
      </c>
      <c r="B176" s="1" t="s">
        <v>1721</v>
      </c>
      <c r="C176" s="1" t="s">
        <v>1669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2" t="s">
        <v>1722</v>
      </c>
      <c r="J176" s="2" t="s">
        <v>1723</v>
      </c>
      <c r="K176" s="2" t="s">
        <v>1724</v>
      </c>
    </row>
    <row r="177" customFormat="false" ht="15.75" hidden="false" customHeight="false" outlineLevel="0" collapsed="false">
      <c r="A177" s="1" t="n">
        <v>197192</v>
      </c>
      <c r="B177" s="1" t="s">
        <v>1725</v>
      </c>
      <c r="C177" s="1" t="s">
        <v>1669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2" t="s">
        <v>1726</v>
      </c>
    </row>
    <row r="178" customFormat="false" ht="15.75" hidden="false" customHeight="false" outlineLevel="0" collapsed="false">
      <c r="A178" s="1" t="n">
        <v>187502</v>
      </c>
      <c r="B178" s="1" t="s">
        <v>427</v>
      </c>
      <c r="C178" s="1" t="s">
        <v>1669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2" t="s">
        <v>1727</v>
      </c>
      <c r="J178" s="2" t="s">
        <v>1728</v>
      </c>
      <c r="K178" s="2" t="s">
        <v>1729</v>
      </c>
    </row>
    <row r="179" customFormat="false" ht="15.75" hidden="false" customHeight="false" outlineLevel="0" collapsed="false">
      <c r="A179" s="1" t="n">
        <v>196073</v>
      </c>
      <c r="B179" s="1" t="s">
        <v>1730</v>
      </c>
      <c r="C179" s="1" t="s">
        <v>1669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2" t="s">
        <v>1731</v>
      </c>
      <c r="J179" s="2" t="s">
        <v>1732</v>
      </c>
      <c r="K179" s="2" t="s">
        <v>1733</v>
      </c>
      <c r="L179" s="2" t="s">
        <v>1734</v>
      </c>
    </row>
    <row r="180" customFormat="false" ht="15.75" hidden="false" customHeight="false" outlineLevel="0" collapsed="false">
      <c r="A180" s="1" t="n">
        <v>181059</v>
      </c>
      <c r="B180" s="1" t="s">
        <v>1735</v>
      </c>
      <c r="C180" s="1" t="s">
        <v>1669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2" t="s">
        <v>1736</v>
      </c>
      <c r="J180" s="2" t="s">
        <v>1737</v>
      </c>
    </row>
    <row r="181" customFormat="false" ht="15.75" hidden="false" customHeight="false" outlineLevel="0" collapsed="false">
      <c r="A181" s="1" t="n">
        <v>197180</v>
      </c>
      <c r="B181" s="1" t="s">
        <v>1738</v>
      </c>
      <c r="C181" s="1" t="s">
        <v>1669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2" t="s">
        <v>1739</v>
      </c>
    </row>
    <row r="182" customFormat="false" ht="15.75" hidden="false" customHeight="false" outlineLevel="0" collapsed="false">
      <c r="A182" s="1" t="n">
        <v>181096</v>
      </c>
      <c r="B182" s="1" t="s">
        <v>1740</v>
      </c>
      <c r="C182" s="1" t="s">
        <v>1669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2" t="s">
        <v>1741</v>
      </c>
    </row>
    <row r="183" customFormat="false" ht="15.75" hidden="false" customHeight="false" outlineLevel="0" collapsed="false">
      <c r="A183" s="1" t="n">
        <v>197200</v>
      </c>
      <c r="B183" s="1" t="s">
        <v>1742</v>
      </c>
      <c r="C183" s="1" t="s">
        <v>1669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2" t="s">
        <v>1743</v>
      </c>
    </row>
    <row r="184" customFormat="false" ht="15.75" hidden="false" customHeight="false" outlineLevel="0" collapsed="false">
      <c r="A184" s="1" t="n">
        <v>181092</v>
      </c>
      <c r="B184" s="1" t="s">
        <v>1744</v>
      </c>
      <c r="C184" s="1" t="s">
        <v>1669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2" t="s">
        <v>1745</v>
      </c>
      <c r="J184" s="2" t="s">
        <v>1746</v>
      </c>
      <c r="K184" s="2" t="s">
        <v>1747</v>
      </c>
      <c r="L184" s="2" t="s">
        <v>1748</v>
      </c>
    </row>
    <row r="185" customFormat="false" ht="15.75" hidden="false" customHeight="false" outlineLevel="0" collapsed="false">
      <c r="A185" s="1" t="n">
        <v>197179</v>
      </c>
      <c r="B185" s="1" t="s">
        <v>1749</v>
      </c>
      <c r="C185" s="1" t="s">
        <v>1669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2" t="s">
        <v>1750</v>
      </c>
      <c r="J185" s="2" t="s">
        <v>1751</v>
      </c>
    </row>
    <row r="186" customFormat="false" ht="15.75" hidden="false" customHeight="false" outlineLevel="0" collapsed="false">
      <c r="A186" s="1" t="n">
        <v>219280</v>
      </c>
      <c r="B186" s="1" t="s">
        <v>1752</v>
      </c>
      <c r="C186" s="1" t="s">
        <v>1669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2" t="s">
        <v>1753</v>
      </c>
      <c r="J186" s="2" t="s">
        <v>1754</v>
      </c>
      <c r="K186" s="2" t="s">
        <v>1755</v>
      </c>
      <c r="L186" s="2" t="s">
        <v>1756</v>
      </c>
    </row>
    <row r="187" customFormat="false" ht="15.75" hidden="false" customHeight="false" outlineLevel="0" collapsed="false">
      <c r="A187" s="1" t="n">
        <v>197177</v>
      </c>
      <c r="B187" s="1" t="s">
        <v>157</v>
      </c>
      <c r="C187" s="1" t="s">
        <v>1669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2" t="s">
        <v>1757</v>
      </c>
    </row>
    <row r="188" customFormat="false" ht="15.75" hidden="false" customHeight="false" outlineLevel="0" collapsed="false">
      <c r="A188" s="1" t="n">
        <v>185183</v>
      </c>
      <c r="B188" s="1" t="s">
        <v>1758</v>
      </c>
      <c r="C188" s="1" t="s">
        <v>1669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2" t="s">
        <v>1759</v>
      </c>
    </row>
    <row r="189" customFormat="false" ht="15.75" hidden="false" customHeight="false" outlineLevel="0" collapsed="false">
      <c r="A189" s="1" t="n">
        <v>111961</v>
      </c>
      <c r="B189" s="1" t="s">
        <v>1760</v>
      </c>
      <c r="C189" s="1" t="s">
        <v>1669</v>
      </c>
      <c r="D189" s="1" t="n">
        <v>2</v>
      </c>
      <c r="E189" s="1" t="n">
        <v>0</v>
      </c>
      <c r="F189" s="1" t="n">
        <v>0</v>
      </c>
      <c r="G189" s="1" t="n">
        <v>0</v>
      </c>
      <c r="H189" s="1" t="n">
        <v>0</v>
      </c>
      <c r="I189" s="2" t="s">
        <v>1761</v>
      </c>
      <c r="J189" s="2" t="s">
        <v>1762</v>
      </c>
      <c r="K189" s="2" t="s">
        <v>1763</v>
      </c>
      <c r="L189" s="2" t="s">
        <v>1764</v>
      </c>
      <c r="M189" s="2" t="s">
        <v>1765</v>
      </c>
    </row>
    <row r="190" customFormat="false" ht="15.75" hidden="false" customHeight="false" outlineLevel="0" collapsed="false">
      <c r="A190" s="1" t="n">
        <v>181107</v>
      </c>
      <c r="B190" s="1" t="s">
        <v>1766</v>
      </c>
      <c r="C190" s="1" t="s">
        <v>1669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2" t="s">
        <v>1767</v>
      </c>
      <c r="J190" s="2" t="s">
        <v>1768</v>
      </c>
      <c r="K190" s="2" t="s">
        <v>1769</v>
      </c>
      <c r="L190" s="2" t="s">
        <v>1770</v>
      </c>
    </row>
    <row r="191" customFormat="false" ht="15.75" hidden="false" customHeight="false" outlineLevel="0" collapsed="false">
      <c r="A191" s="1" t="n">
        <v>181091</v>
      </c>
      <c r="B191" s="1" t="s">
        <v>1771</v>
      </c>
      <c r="C191" s="1" t="s">
        <v>1669</v>
      </c>
      <c r="D191" s="1" t="n">
        <v>0</v>
      </c>
      <c r="E191" s="1" t="n">
        <v>0</v>
      </c>
      <c r="F191" s="1" t="n">
        <v>0</v>
      </c>
      <c r="G191" s="1" t="n">
        <v>1</v>
      </c>
      <c r="H191" s="1" t="n">
        <v>0</v>
      </c>
      <c r="I191" s="2" t="s">
        <v>1772</v>
      </c>
    </row>
    <row r="192" customFormat="false" ht="15.75" hidden="false" customHeight="false" outlineLevel="0" collapsed="false">
      <c r="A192" s="1" t="n">
        <v>195731</v>
      </c>
      <c r="B192" s="1" t="s">
        <v>451</v>
      </c>
      <c r="C192" s="1" t="s">
        <v>1669</v>
      </c>
      <c r="D192" s="1" t="n">
        <v>2</v>
      </c>
      <c r="E192" s="1" t="n">
        <v>0</v>
      </c>
      <c r="F192" s="1" t="n">
        <v>5</v>
      </c>
      <c r="G192" s="1" t="n">
        <v>0</v>
      </c>
      <c r="H192" s="1" t="n">
        <v>0</v>
      </c>
      <c r="I192" s="2" t="s">
        <v>1773</v>
      </c>
      <c r="J192" s="2" t="s">
        <v>1774</v>
      </c>
      <c r="K192" s="2" t="s">
        <v>1775</v>
      </c>
      <c r="L192" s="2" t="s">
        <v>1776</v>
      </c>
      <c r="N192" s="2" t="s">
        <v>1777</v>
      </c>
    </row>
    <row r="193" customFormat="false" ht="15.75" hidden="false" customHeight="false" outlineLevel="0" collapsed="false">
      <c r="A193" s="1" t="n">
        <v>181844</v>
      </c>
      <c r="B193" s="1" t="s">
        <v>1778</v>
      </c>
      <c r="C193" s="1" t="s">
        <v>1669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2" t="s">
        <v>1779</v>
      </c>
      <c r="J193" s="2" t="s">
        <v>1780</v>
      </c>
      <c r="K193" s="2" t="s">
        <v>1781</v>
      </c>
      <c r="L193" s="2" t="s">
        <v>1782</v>
      </c>
    </row>
    <row r="194" customFormat="false" ht="15.75" hidden="false" customHeight="false" outlineLevel="0" collapsed="false">
      <c r="A194" s="1" t="n">
        <v>196066</v>
      </c>
      <c r="B194" s="1" t="s">
        <v>130</v>
      </c>
      <c r="C194" s="1" t="s">
        <v>1669</v>
      </c>
      <c r="D194" s="1" t="n">
        <v>7</v>
      </c>
      <c r="E194" s="1" t="n">
        <v>1.5</v>
      </c>
      <c r="F194" s="1" t="n">
        <v>6</v>
      </c>
      <c r="G194" s="1" t="n">
        <v>0</v>
      </c>
      <c r="H194" s="1" t="n">
        <v>0</v>
      </c>
      <c r="I194" s="2" t="s">
        <v>1783</v>
      </c>
      <c r="J194" s="2" t="s">
        <v>1784</v>
      </c>
    </row>
    <row r="195" customFormat="false" ht="15.75" hidden="false" customHeight="false" outlineLevel="0" collapsed="false">
      <c r="A195" s="1" t="n">
        <v>190486</v>
      </c>
      <c r="B195" s="1" t="s">
        <v>1785</v>
      </c>
      <c r="C195" s="1" t="s">
        <v>1669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2" t="s">
        <v>1786</v>
      </c>
      <c r="J195" s="2" t="s">
        <v>1787</v>
      </c>
      <c r="K195" s="2" t="s">
        <v>1788</v>
      </c>
      <c r="L195" s="2" t="s">
        <v>1789</v>
      </c>
    </row>
    <row r="196" customFormat="false" ht="15.75" hidden="false" customHeight="false" outlineLevel="0" collapsed="false">
      <c r="A196" s="1" t="n">
        <v>181082</v>
      </c>
      <c r="B196" s="1" t="s">
        <v>1790</v>
      </c>
      <c r="C196" s="1" t="s">
        <v>1669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2" t="s">
        <v>1791</v>
      </c>
      <c r="J196" s="2" t="s">
        <v>1792</v>
      </c>
      <c r="K196" s="2" t="s">
        <v>1793</v>
      </c>
      <c r="L196" s="2" t="s">
        <v>1794</v>
      </c>
    </row>
    <row r="197" customFormat="false" ht="15.75" hidden="false" customHeight="false" outlineLevel="0" collapsed="false">
      <c r="A197" s="1" t="n">
        <v>196067</v>
      </c>
      <c r="B197" s="1" t="s">
        <v>1795</v>
      </c>
      <c r="C197" s="1" t="s">
        <v>1669</v>
      </c>
      <c r="D197" s="1" t="n">
        <v>0</v>
      </c>
      <c r="E197" s="1" t="n">
        <v>0</v>
      </c>
      <c r="F197" s="1" t="n">
        <v>5</v>
      </c>
      <c r="G197" s="1" t="n">
        <v>0</v>
      </c>
      <c r="H197" s="1" t="n">
        <v>0</v>
      </c>
      <c r="I197" s="2" t="s">
        <v>1796</v>
      </c>
      <c r="J197" s="2" t="s">
        <v>1797</v>
      </c>
    </row>
    <row r="198" customFormat="false" ht="15.75" hidden="false" customHeight="false" outlineLevel="0" collapsed="false">
      <c r="A198" s="1" t="n">
        <v>181098</v>
      </c>
      <c r="B198" s="1" t="s">
        <v>1798</v>
      </c>
      <c r="C198" s="1" t="s">
        <v>1669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2" t="s">
        <v>1799</v>
      </c>
      <c r="J198" s="2" t="s">
        <v>1800</v>
      </c>
      <c r="K198" s="2" t="s">
        <v>1801</v>
      </c>
      <c r="L198" s="2" t="s">
        <v>1802</v>
      </c>
    </row>
    <row r="199" customFormat="false" ht="15.75" hidden="false" customHeight="false" outlineLevel="0" collapsed="false">
      <c r="A199" s="1" t="n">
        <v>181850</v>
      </c>
      <c r="B199" s="1" t="s">
        <v>1803</v>
      </c>
      <c r="C199" s="1" t="s">
        <v>1669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2" t="s">
        <v>1804</v>
      </c>
      <c r="J199" s="2" t="s">
        <v>1805</v>
      </c>
      <c r="K199" s="2" t="s">
        <v>1806</v>
      </c>
      <c r="L199" s="2" t="s">
        <v>1807</v>
      </c>
    </row>
    <row r="200" customFormat="false" ht="15.75" hidden="false" customHeight="false" outlineLevel="0" collapsed="false">
      <c r="A200" s="1" t="n">
        <v>181050</v>
      </c>
      <c r="B200" s="1" t="s">
        <v>1808</v>
      </c>
      <c r="C200" s="1" t="s">
        <v>1669</v>
      </c>
      <c r="D200" s="1" t="n">
        <v>2</v>
      </c>
      <c r="E200" s="1" t="n">
        <v>0</v>
      </c>
      <c r="F200" s="1" t="n">
        <v>0</v>
      </c>
      <c r="G200" s="1" t="n">
        <v>0</v>
      </c>
      <c r="H200" s="1" t="n">
        <v>0</v>
      </c>
      <c r="I200" s="2" t="s">
        <v>1809</v>
      </c>
      <c r="J200" s="2" t="s">
        <v>1810</v>
      </c>
      <c r="K200" s="2" t="s">
        <v>1811</v>
      </c>
      <c r="L200" s="2" t="s">
        <v>1812</v>
      </c>
    </row>
    <row r="201" customFormat="false" ht="15.75" hidden="false" customHeight="false" outlineLevel="0" collapsed="false">
      <c r="A201" s="1" t="n">
        <v>181061</v>
      </c>
      <c r="B201" s="1" t="s">
        <v>1813</v>
      </c>
      <c r="C201" s="1" t="s">
        <v>1669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2" t="s">
        <v>1814</v>
      </c>
      <c r="J201" s="2" t="s">
        <v>1815</v>
      </c>
      <c r="K201" s="2" t="s">
        <v>1816</v>
      </c>
      <c r="L201" s="2" t="s">
        <v>1817</v>
      </c>
    </row>
    <row r="202" customFormat="false" ht="15.75" hidden="false" customHeight="false" outlineLevel="0" collapsed="false">
      <c r="A202" s="1" t="n">
        <v>185249</v>
      </c>
      <c r="B202" s="1" t="s">
        <v>1818</v>
      </c>
      <c r="C202" s="1" t="s">
        <v>1669</v>
      </c>
      <c r="D202" s="1" t="n">
        <v>7</v>
      </c>
      <c r="E202" s="1" t="n">
        <v>0</v>
      </c>
      <c r="F202" s="1" t="n">
        <v>0</v>
      </c>
      <c r="G202" s="1" t="n">
        <v>1</v>
      </c>
      <c r="H202" s="1" t="n">
        <v>0</v>
      </c>
      <c r="I202" s="2" t="s">
        <v>1819</v>
      </c>
      <c r="J202" s="2" t="s">
        <v>1820</v>
      </c>
      <c r="K202" s="2" t="s">
        <v>1821</v>
      </c>
      <c r="L202" s="2" t="s">
        <v>1822</v>
      </c>
    </row>
    <row r="203" customFormat="false" ht="15.75" hidden="false" customHeight="false" outlineLevel="0" collapsed="false">
      <c r="A203" s="1" t="n">
        <v>162363</v>
      </c>
      <c r="B203" s="1" t="s">
        <v>1823</v>
      </c>
      <c r="C203" s="1" t="s">
        <v>1669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2" t="s">
        <v>1824</v>
      </c>
      <c r="J203" s="2" t="s">
        <v>1825</v>
      </c>
      <c r="K203" s="2" t="s">
        <v>1826</v>
      </c>
      <c r="L203" s="2" t="s">
        <v>1827</v>
      </c>
      <c r="M203" s="2" t="s">
        <v>1828</v>
      </c>
      <c r="N203" s="2" t="s">
        <v>1829</v>
      </c>
      <c r="O203" s="2" t="s">
        <v>1830</v>
      </c>
    </row>
    <row r="204" customFormat="false" ht="15.75" hidden="false" customHeight="false" outlineLevel="0" collapsed="false">
      <c r="A204" s="1" t="n">
        <v>111669</v>
      </c>
      <c r="B204" s="1" t="s">
        <v>1735</v>
      </c>
      <c r="C204" s="1" t="s">
        <v>1669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2" t="s">
        <v>1831</v>
      </c>
      <c r="J204" s="2" t="s">
        <v>1832</v>
      </c>
      <c r="K204" s="2" t="s">
        <v>1833</v>
      </c>
      <c r="L204" s="2" t="s">
        <v>1834</v>
      </c>
    </row>
    <row r="205" customFormat="false" ht="15.75" hidden="false" customHeight="false" outlineLevel="0" collapsed="false">
      <c r="A205" s="1" t="n">
        <v>213856</v>
      </c>
      <c r="B205" s="1" t="s">
        <v>1835</v>
      </c>
      <c r="C205" s="1" t="s">
        <v>1669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2" t="s">
        <v>1836</v>
      </c>
      <c r="J205" s="2" t="s">
        <v>1837</v>
      </c>
      <c r="K205" s="2" t="s">
        <v>1838</v>
      </c>
      <c r="L205" s="2" t="s">
        <v>1839</v>
      </c>
    </row>
    <row r="206" customFormat="false" ht="15.75" hidden="false" customHeight="false" outlineLevel="0" collapsed="false">
      <c r="A206" s="1" t="n">
        <v>185257</v>
      </c>
      <c r="B206" s="1" t="s">
        <v>1840</v>
      </c>
      <c r="C206" s="1" t="s">
        <v>1669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2" t="s">
        <v>1841</v>
      </c>
      <c r="J206" s="2" t="s">
        <v>1842</v>
      </c>
      <c r="K206" s="2" t="s">
        <v>1843</v>
      </c>
      <c r="L206" s="2" t="s">
        <v>1844</v>
      </c>
    </row>
    <row r="207" customFormat="false" ht="15.75" hidden="false" customHeight="false" outlineLevel="0" collapsed="false">
      <c r="A207" s="1" t="n">
        <v>185297</v>
      </c>
      <c r="B207" s="1" t="s">
        <v>2</v>
      </c>
      <c r="C207" s="1" t="s">
        <v>1669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2" t="s">
        <v>1845</v>
      </c>
      <c r="J207" s="2" t="s">
        <v>1846</v>
      </c>
      <c r="K207" s="2" t="s">
        <v>1847</v>
      </c>
      <c r="L207" s="2" t="s">
        <v>1848</v>
      </c>
    </row>
    <row r="208" customFormat="false" ht="15.75" hidden="false" customHeight="false" outlineLevel="0" collapsed="false">
      <c r="A208" s="1" t="n">
        <v>185262</v>
      </c>
      <c r="B208" s="1" t="s">
        <v>1849</v>
      </c>
      <c r="C208" s="1" t="s">
        <v>1669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2" t="s">
        <v>1850</v>
      </c>
      <c r="J208" s="2" t="s">
        <v>1851</v>
      </c>
      <c r="K208" s="2" t="s">
        <v>1852</v>
      </c>
      <c r="L208" s="2" t="s">
        <v>1853</v>
      </c>
    </row>
    <row r="209" customFormat="false" ht="15.75" hidden="false" customHeight="false" outlineLevel="0" collapsed="false">
      <c r="A209" s="1" t="n">
        <v>197184</v>
      </c>
      <c r="B209" s="1" t="s">
        <v>1854</v>
      </c>
      <c r="C209" s="1" t="s">
        <v>1669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2" t="s">
        <v>1855</v>
      </c>
    </row>
    <row r="210" customFormat="false" ht="15.75" hidden="false" customHeight="false" outlineLevel="0" collapsed="false">
      <c r="A210" s="1" t="n">
        <v>185241</v>
      </c>
      <c r="B210" s="1" t="s">
        <v>1856</v>
      </c>
      <c r="C210" s="1" t="s">
        <v>1669</v>
      </c>
      <c r="D210" s="1" t="n">
        <v>0</v>
      </c>
      <c r="E210" s="1" t="n">
        <v>0</v>
      </c>
      <c r="F210" s="1" t="n">
        <v>0</v>
      </c>
      <c r="G210" s="1" t="n">
        <v>1</v>
      </c>
      <c r="H210" s="1" t="n">
        <v>0</v>
      </c>
      <c r="I210" s="2" t="s">
        <v>1857</v>
      </c>
    </row>
    <row r="211" customFormat="false" ht="15.75" hidden="false" customHeight="false" outlineLevel="0" collapsed="false">
      <c r="A211" s="1" t="n">
        <v>185242</v>
      </c>
      <c r="B211" s="1" t="s">
        <v>1858</v>
      </c>
      <c r="C211" s="1" t="s">
        <v>1669</v>
      </c>
      <c r="D211" s="1" t="n">
        <v>0</v>
      </c>
      <c r="E211" s="1" t="n">
        <v>0</v>
      </c>
      <c r="F211" s="1" t="n">
        <v>0</v>
      </c>
      <c r="G211" s="1" t="n">
        <v>1</v>
      </c>
      <c r="H211" s="1" t="n">
        <v>0</v>
      </c>
      <c r="I211" s="2" t="s">
        <v>1859</v>
      </c>
      <c r="J211" s="2" t="s">
        <v>1860</v>
      </c>
      <c r="K211" s="2" t="s">
        <v>1861</v>
      </c>
      <c r="L211" s="2" t="s">
        <v>1862</v>
      </c>
    </row>
    <row r="212" customFormat="false" ht="15.75" hidden="false" customHeight="false" outlineLevel="0" collapsed="false">
      <c r="A212" s="1" t="n">
        <v>185222</v>
      </c>
      <c r="B212" s="1" t="s">
        <v>1863</v>
      </c>
      <c r="C212" s="1" t="s">
        <v>1669</v>
      </c>
      <c r="D212" s="1" t="n">
        <v>0</v>
      </c>
      <c r="E212" s="1" t="n">
        <v>0</v>
      </c>
      <c r="F212" s="1" t="n">
        <v>5</v>
      </c>
      <c r="G212" s="1" t="n">
        <v>0</v>
      </c>
      <c r="H212" s="1" t="n">
        <v>0</v>
      </c>
      <c r="I212" s="2" t="s">
        <v>1864</v>
      </c>
      <c r="J212" s="2" t="s">
        <v>1865</v>
      </c>
    </row>
    <row r="213" customFormat="false" ht="15.75" hidden="false" customHeight="false" outlineLevel="0" collapsed="false">
      <c r="A213" s="1" t="n">
        <v>187279</v>
      </c>
      <c r="B213" s="1" t="s">
        <v>1866</v>
      </c>
      <c r="C213" s="1" t="s">
        <v>1669</v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0</v>
      </c>
      <c r="I213" s="2" t="s">
        <v>1867</v>
      </c>
      <c r="J213" s="2" t="s">
        <v>1868</v>
      </c>
      <c r="K213" s="2" t="s">
        <v>1869</v>
      </c>
      <c r="L213" s="2" t="s">
        <v>1870</v>
      </c>
      <c r="M213" s="2" t="s">
        <v>1871</v>
      </c>
      <c r="N213" s="2" t="s">
        <v>1872</v>
      </c>
      <c r="O213" s="2" t="s">
        <v>1873</v>
      </c>
      <c r="P213" s="2" t="s">
        <v>1874</v>
      </c>
      <c r="Q213" s="2" t="s">
        <v>1875</v>
      </c>
    </row>
    <row r="214" customFormat="false" ht="15.75" hidden="false" customHeight="false" outlineLevel="0" collapsed="false">
      <c r="A214" s="1" t="n">
        <v>185252</v>
      </c>
      <c r="B214" s="1" t="s">
        <v>527</v>
      </c>
      <c r="C214" s="1" t="s">
        <v>1669</v>
      </c>
      <c r="D214" s="1" t="n">
        <v>0</v>
      </c>
      <c r="E214" s="1" t="n">
        <v>0</v>
      </c>
      <c r="F214" s="1" t="n">
        <v>6</v>
      </c>
      <c r="G214" s="1" t="n">
        <v>1</v>
      </c>
      <c r="H214" s="1" t="n">
        <v>0</v>
      </c>
      <c r="I214" s="2" t="s">
        <v>1876</v>
      </c>
      <c r="J214" s="2" t="s">
        <v>1877</v>
      </c>
      <c r="K214" s="2" t="s">
        <v>1878</v>
      </c>
      <c r="L214" s="2" t="s">
        <v>1879</v>
      </c>
    </row>
    <row r="215" customFormat="false" ht="15.75" hidden="false" customHeight="false" outlineLevel="0" collapsed="false">
      <c r="A215" s="1" t="n">
        <v>185254</v>
      </c>
      <c r="B215" s="1" t="s">
        <v>1880</v>
      </c>
      <c r="C215" s="1" t="s">
        <v>1669</v>
      </c>
      <c r="D215" s="1" t="n">
        <v>7</v>
      </c>
      <c r="E215" s="1" t="n">
        <v>0</v>
      </c>
      <c r="F215" s="1" t="n">
        <v>7</v>
      </c>
      <c r="G215" s="1" t="n">
        <v>0</v>
      </c>
      <c r="H215" s="1" t="n">
        <v>0</v>
      </c>
      <c r="I215" s="2" t="s">
        <v>1881</v>
      </c>
      <c r="J215" s="2" t="s">
        <v>1882</v>
      </c>
      <c r="K215" s="2" t="s">
        <v>1883</v>
      </c>
      <c r="L215" s="2" t="s">
        <v>1884</v>
      </c>
    </row>
    <row r="216" customFormat="false" ht="15.75" hidden="false" customHeight="false" outlineLevel="0" collapsed="false">
      <c r="A216" s="1" t="n">
        <v>183292</v>
      </c>
      <c r="B216" s="1" t="s">
        <v>757</v>
      </c>
      <c r="C216" s="1" t="s">
        <v>1669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2" t="s">
        <v>1885</v>
      </c>
      <c r="J216" s="2" t="s">
        <v>1886</v>
      </c>
      <c r="K216" s="2" t="s">
        <v>1887</v>
      </c>
      <c r="L216" s="2" t="s">
        <v>1888</v>
      </c>
    </row>
    <row r="217" customFormat="false" ht="15.75" hidden="false" customHeight="false" outlineLevel="0" collapsed="false">
      <c r="A217" s="1" t="n">
        <v>147916</v>
      </c>
      <c r="B217" s="1" t="s">
        <v>1889</v>
      </c>
      <c r="C217" s="1" t="s">
        <v>1890</v>
      </c>
      <c r="D217" s="1" t="n">
        <v>2</v>
      </c>
      <c r="E217" s="1" t="n">
        <v>0</v>
      </c>
      <c r="F217" s="1" t="n">
        <v>0</v>
      </c>
      <c r="G217" s="1" t="n">
        <v>0</v>
      </c>
      <c r="H217" s="1" t="n">
        <v>0</v>
      </c>
      <c r="I217" s="2" t="s">
        <v>1891</v>
      </c>
      <c r="J217" s="2" t="s">
        <v>1892</v>
      </c>
      <c r="K217" s="2" t="s">
        <v>1893</v>
      </c>
      <c r="L217" s="2" t="s">
        <v>1894</v>
      </c>
    </row>
    <row r="218" customFormat="false" ht="15.75" hidden="false" customHeight="false" outlineLevel="0" collapsed="false">
      <c r="A218" s="1" t="n">
        <v>131693</v>
      </c>
      <c r="B218" s="1" t="s">
        <v>1895</v>
      </c>
      <c r="C218" s="1" t="s">
        <v>1890</v>
      </c>
      <c r="D218" s="1" t="n">
        <v>0</v>
      </c>
      <c r="E218" s="1" t="n">
        <v>0</v>
      </c>
      <c r="F218" s="1" t="n">
        <v>6</v>
      </c>
      <c r="G218" s="1" t="n">
        <v>0</v>
      </c>
      <c r="H218" s="1" t="n">
        <v>0</v>
      </c>
      <c r="I218" s="2" t="s">
        <v>1896</v>
      </c>
      <c r="J218" s="2" t="s">
        <v>1897</v>
      </c>
      <c r="K218" s="2" t="s">
        <v>1898</v>
      </c>
      <c r="L218" s="2" t="s">
        <v>1899</v>
      </c>
    </row>
    <row r="219" customFormat="false" ht="15.75" hidden="false" customHeight="false" outlineLevel="0" collapsed="false">
      <c r="A219" s="1" t="n">
        <v>145506</v>
      </c>
      <c r="B219" s="1" t="s">
        <v>624</v>
      </c>
      <c r="C219" s="1" t="s">
        <v>1890</v>
      </c>
      <c r="D219" s="1" t="n">
        <v>0</v>
      </c>
      <c r="E219" s="1" t="n">
        <v>0</v>
      </c>
      <c r="F219" s="1" t="n">
        <v>5</v>
      </c>
      <c r="G219" s="1" t="n">
        <v>0</v>
      </c>
      <c r="H219" s="1" t="n">
        <v>0</v>
      </c>
      <c r="I219" s="2" t="s">
        <v>1900</v>
      </c>
      <c r="J219" s="2" t="s">
        <v>1901</v>
      </c>
    </row>
    <row r="220" customFormat="false" ht="15.75" hidden="false" customHeight="false" outlineLevel="0" collapsed="false">
      <c r="A220" s="1" t="n">
        <v>144728</v>
      </c>
      <c r="B220" s="1" t="s">
        <v>1902</v>
      </c>
      <c r="C220" s="1" t="s">
        <v>1890</v>
      </c>
      <c r="D220" s="1" t="n">
        <v>0</v>
      </c>
      <c r="E220" s="1" t="n">
        <v>2</v>
      </c>
      <c r="F220" s="1" t="n">
        <v>5.5</v>
      </c>
      <c r="G220" s="1" t="n">
        <v>0</v>
      </c>
      <c r="H220" s="1" t="n">
        <v>0</v>
      </c>
      <c r="I220" s="2" t="s">
        <v>1903</v>
      </c>
      <c r="J220" s="2" t="s">
        <v>1904</v>
      </c>
      <c r="K220" s="2" t="s">
        <v>1905</v>
      </c>
      <c r="L220" s="2" t="s">
        <v>1906</v>
      </c>
      <c r="M220" s="2" t="s">
        <v>1907</v>
      </c>
    </row>
    <row r="221" customFormat="false" ht="15.75" hidden="false" customHeight="false" outlineLevel="0" collapsed="false">
      <c r="A221" s="1" t="n">
        <v>180871</v>
      </c>
      <c r="B221" s="1" t="s">
        <v>126</v>
      </c>
      <c r="C221" s="1" t="s">
        <v>1890</v>
      </c>
      <c r="D221" s="1" t="n">
        <v>1</v>
      </c>
      <c r="E221" s="1" t="n">
        <v>0</v>
      </c>
      <c r="F221" s="1" t="n">
        <v>1</v>
      </c>
      <c r="G221" s="1" t="n">
        <v>0</v>
      </c>
      <c r="H221" s="1" t="n">
        <v>0</v>
      </c>
      <c r="I221" s="2" t="s">
        <v>1908</v>
      </c>
      <c r="J221" s="2" t="s">
        <v>1909</v>
      </c>
      <c r="K221" s="2" t="s">
        <v>1910</v>
      </c>
      <c r="L221" s="2" t="s">
        <v>1911</v>
      </c>
    </row>
    <row r="222" customFormat="false" ht="15.75" hidden="false" customHeight="false" outlineLevel="0" collapsed="false">
      <c r="A222" s="1" t="n">
        <v>188093</v>
      </c>
      <c r="B222" s="1" t="s">
        <v>1912</v>
      </c>
      <c r="C222" s="1" t="s">
        <v>1890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2" t="s">
        <v>1913</v>
      </c>
      <c r="J222" s="2" t="s">
        <v>1914</v>
      </c>
      <c r="K222" s="2" t="s">
        <v>1915</v>
      </c>
      <c r="L222" s="2" t="s">
        <v>1916</v>
      </c>
    </row>
    <row r="223" customFormat="false" ht="15.75" hidden="false" customHeight="false" outlineLevel="0" collapsed="false">
      <c r="A223" s="1" t="n">
        <v>185196</v>
      </c>
      <c r="B223" s="1" t="s">
        <v>1178</v>
      </c>
      <c r="C223" s="1" t="s">
        <v>1890</v>
      </c>
      <c r="D223" s="1" t="n">
        <v>0</v>
      </c>
      <c r="E223" s="1" t="n">
        <v>2</v>
      </c>
      <c r="F223" s="1" t="n">
        <v>0</v>
      </c>
      <c r="G223" s="1" t="n">
        <v>0</v>
      </c>
      <c r="H223" s="1" t="n">
        <v>0</v>
      </c>
      <c r="I223" s="2" t="s">
        <v>1917</v>
      </c>
      <c r="J223" s="2" t="s">
        <v>1918</v>
      </c>
      <c r="K223" s="2" t="s">
        <v>1919</v>
      </c>
      <c r="L223" s="2" t="s">
        <v>1920</v>
      </c>
    </row>
    <row r="224" customFormat="false" ht="15.75" hidden="false" customHeight="false" outlineLevel="0" collapsed="false">
      <c r="A224" s="1" t="n">
        <v>116428</v>
      </c>
      <c r="B224" s="1" t="s">
        <v>1921</v>
      </c>
      <c r="C224" s="1" t="s">
        <v>1890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2" t="s">
        <v>1922</v>
      </c>
      <c r="J224" s="2" t="s">
        <v>1923</v>
      </c>
      <c r="K224" s="2" t="s">
        <v>1924</v>
      </c>
      <c r="L224" s="2" t="s">
        <v>1925</v>
      </c>
      <c r="M224" s="2" t="s">
        <v>1926</v>
      </c>
      <c r="N224" s="2" t="s">
        <v>1927</v>
      </c>
      <c r="O224" s="2" t="s">
        <v>1928</v>
      </c>
      <c r="P224" s="2" t="s">
        <v>1929</v>
      </c>
    </row>
    <row r="225" customFormat="false" ht="15.75" hidden="false" customHeight="false" outlineLevel="0" collapsed="false">
      <c r="A225" s="1" t="n">
        <v>185687</v>
      </c>
      <c r="B225" s="1" t="s">
        <v>1930</v>
      </c>
      <c r="C225" s="1" t="s">
        <v>1890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0</v>
      </c>
      <c r="I225" s="2" t="s">
        <v>1931</v>
      </c>
      <c r="J225" s="2" t="s">
        <v>1932</v>
      </c>
      <c r="K225" s="2" t="s">
        <v>1933</v>
      </c>
      <c r="L225" s="2" t="s">
        <v>1934</v>
      </c>
    </row>
    <row r="226" customFormat="false" ht="15.75" hidden="false" customHeight="false" outlineLevel="0" collapsed="false">
      <c r="A226" s="1" t="n">
        <v>126663</v>
      </c>
      <c r="B226" s="1" t="s">
        <v>1935</v>
      </c>
      <c r="C226" s="1" t="s">
        <v>1890</v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  <c r="I226" s="2" t="s">
        <v>1936</v>
      </c>
      <c r="J226" s="2" t="s">
        <v>1937</v>
      </c>
      <c r="K226" s="2" t="s">
        <v>1938</v>
      </c>
      <c r="L226" s="2" t="s">
        <v>1939</v>
      </c>
    </row>
    <row r="227" customFormat="false" ht="15.75" hidden="false" customHeight="false" outlineLevel="0" collapsed="false">
      <c r="A227" s="1" t="n">
        <v>146933</v>
      </c>
      <c r="B227" s="1" t="s">
        <v>44</v>
      </c>
      <c r="C227" s="1" t="s">
        <v>1890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2" t="s">
        <v>1940</v>
      </c>
      <c r="J227" s="2" t="s">
        <v>1941</v>
      </c>
      <c r="K227" s="2" t="s">
        <v>1942</v>
      </c>
      <c r="L227" s="2" t="s">
        <v>1943</v>
      </c>
    </row>
    <row r="228" customFormat="false" ht="15.75" hidden="false" customHeight="false" outlineLevel="0" collapsed="false">
      <c r="A228" s="1" t="n">
        <v>209372</v>
      </c>
      <c r="B228" s="1" t="s">
        <v>1944</v>
      </c>
      <c r="C228" s="1" t="s">
        <v>1890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  <c r="I228" s="2" t="s">
        <v>1945</v>
      </c>
      <c r="J228" s="2" t="s">
        <v>1946</v>
      </c>
      <c r="K228" s="2" t="s">
        <v>1947</v>
      </c>
      <c r="L228" s="2" t="s">
        <v>1948</v>
      </c>
    </row>
    <row r="229" customFormat="false" ht="15.75" hidden="false" customHeight="false" outlineLevel="0" collapsed="false">
      <c r="A229" s="1" t="n">
        <v>146828</v>
      </c>
      <c r="B229" s="1" t="s">
        <v>1949</v>
      </c>
      <c r="C229" s="1" t="s">
        <v>1890</v>
      </c>
      <c r="D229" s="1" t="n">
        <v>0</v>
      </c>
      <c r="E229" s="1" t="n">
        <v>0</v>
      </c>
      <c r="F229" s="1" t="n">
        <v>0</v>
      </c>
      <c r="G229" s="1" t="n">
        <v>1</v>
      </c>
      <c r="H229" s="1" t="n">
        <v>0</v>
      </c>
      <c r="I229" s="2" t="s">
        <v>1950</v>
      </c>
      <c r="J229" s="2" t="s">
        <v>1951</v>
      </c>
      <c r="K229" s="2" t="s">
        <v>1952</v>
      </c>
      <c r="L229" s="2" t="s">
        <v>1953</v>
      </c>
    </row>
    <row r="230" customFormat="false" ht="15.75" hidden="false" customHeight="false" outlineLevel="0" collapsed="false">
      <c r="A230" s="1" t="n">
        <v>180862</v>
      </c>
      <c r="B230" s="1" t="s">
        <v>1954</v>
      </c>
      <c r="C230" s="1" t="s">
        <v>1890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2" t="s">
        <v>1955</v>
      </c>
      <c r="J230" s="2" t="s">
        <v>1956</v>
      </c>
      <c r="K230" s="2" t="s">
        <v>1957</v>
      </c>
    </row>
    <row r="231" customFormat="false" ht="15.75" hidden="false" customHeight="false" outlineLevel="0" collapsed="false">
      <c r="A231" s="1" t="n">
        <v>74069</v>
      </c>
      <c r="B231" s="1" t="s">
        <v>572</v>
      </c>
      <c r="C231" s="1" t="s">
        <v>1890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2" t="s">
        <v>1958</v>
      </c>
      <c r="J231" s="2" t="s">
        <v>1959</v>
      </c>
      <c r="K231" s="2" t="s">
        <v>1960</v>
      </c>
      <c r="L231" s="2" t="s">
        <v>1961</v>
      </c>
    </row>
    <row r="232" customFormat="false" ht="15.75" hidden="false" customHeight="false" outlineLevel="0" collapsed="false">
      <c r="A232" s="1" t="n">
        <v>127069</v>
      </c>
      <c r="B232" s="1" t="s">
        <v>1717</v>
      </c>
      <c r="C232" s="1" t="s">
        <v>1890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2" t="s">
        <v>1962</v>
      </c>
      <c r="J232" s="2" t="s">
        <v>1963</v>
      </c>
    </row>
    <row r="233" customFormat="false" ht="15.75" hidden="false" customHeight="false" outlineLevel="0" collapsed="false">
      <c r="A233" s="1" t="n">
        <v>126654</v>
      </c>
      <c r="B233" s="1" t="s">
        <v>1964</v>
      </c>
      <c r="C233" s="1" t="s">
        <v>1890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2" t="s">
        <v>1965</v>
      </c>
      <c r="J233" s="2" t="s">
        <v>1966</v>
      </c>
      <c r="K233" s="2" t="s">
        <v>1967</v>
      </c>
      <c r="L233" s="2" t="s">
        <v>1968</v>
      </c>
    </row>
    <row r="234" customFormat="false" ht="15.75" hidden="false" customHeight="false" outlineLevel="0" collapsed="false">
      <c r="A234" s="1" t="n">
        <v>164128</v>
      </c>
      <c r="B234" s="1" t="s">
        <v>1813</v>
      </c>
      <c r="C234" s="1" t="s">
        <v>1890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2" t="s">
        <v>1969</v>
      </c>
      <c r="J234" s="2" t="s">
        <v>1970</v>
      </c>
    </row>
    <row r="235" customFormat="false" ht="15.75" hidden="false" customHeight="false" outlineLevel="0" collapsed="false">
      <c r="A235" s="1" t="n">
        <v>124378</v>
      </c>
      <c r="B235" s="1" t="s">
        <v>1971</v>
      </c>
      <c r="C235" s="1" t="s">
        <v>1890</v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  <c r="I235" s="2" t="s">
        <v>1972</v>
      </c>
      <c r="J235" s="2" t="s">
        <v>1973</v>
      </c>
    </row>
    <row r="236" customFormat="false" ht="15.75" hidden="false" customHeight="false" outlineLevel="0" collapsed="false">
      <c r="A236" s="1" t="n">
        <v>117922</v>
      </c>
      <c r="B236" s="1" t="s">
        <v>1974</v>
      </c>
      <c r="C236" s="1" t="s">
        <v>1890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2" t="s">
        <v>1975</v>
      </c>
      <c r="J236" s="2" t="s">
        <v>1976</v>
      </c>
      <c r="K236" s="2" t="s">
        <v>1977</v>
      </c>
      <c r="L236" s="2" t="s">
        <v>1978</v>
      </c>
    </row>
    <row r="237" customFormat="false" ht="15.75" hidden="false" customHeight="false" outlineLevel="0" collapsed="false">
      <c r="A237" s="1" t="n">
        <v>164037</v>
      </c>
      <c r="B237" s="1" t="s">
        <v>1979</v>
      </c>
      <c r="C237" s="1" t="s">
        <v>1890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2" t="s">
        <v>1980</v>
      </c>
      <c r="J237" s="2" t="s">
        <v>1981</v>
      </c>
      <c r="K237" s="2" t="s">
        <v>1982</v>
      </c>
      <c r="L237" s="2" t="s">
        <v>1983</v>
      </c>
    </row>
    <row r="238" customFormat="false" ht="15.75" hidden="false" customHeight="false" outlineLevel="0" collapsed="false">
      <c r="A238" s="1" t="n">
        <v>205916</v>
      </c>
      <c r="B238" s="1" t="s">
        <v>1984</v>
      </c>
      <c r="C238" s="1" t="s">
        <v>1890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2" t="s">
        <v>1985</v>
      </c>
      <c r="J238" s="2" t="s">
        <v>1986</v>
      </c>
      <c r="K238" s="2" t="s">
        <v>1987</v>
      </c>
      <c r="L238" s="2" t="s">
        <v>1988</v>
      </c>
    </row>
    <row r="239" customFormat="false" ht="15.75" hidden="false" customHeight="false" outlineLevel="0" collapsed="false">
      <c r="A239" s="1" t="n">
        <v>111608</v>
      </c>
      <c r="B239" s="1" t="s">
        <v>1011</v>
      </c>
      <c r="C239" s="1" t="s">
        <v>1890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2" t="s">
        <v>1989</v>
      </c>
      <c r="J239" s="2" t="s">
        <v>1990</v>
      </c>
      <c r="K239" s="2" t="s">
        <v>1991</v>
      </c>
      <c r="L239" s="2" t="s">
        <v>1992</v>
      </c>
    </row>
    <row r="240" customFormat="false" ht="15.75" hidden="false" customHeight="false" outlineLevel="0" collapsed="false">
      <c r="A240" s="1" t="n">
        <v>147437</v>
      </c>
      <c r="B240" s="1" t="s">
        <v>1993</v>
      </c>
      <c r="C240" s="1" t="s">
        <v>1890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2" t="s">
        <v>1994</v>
      </c>
      <c r="J240" s="2" t="s">
        <v>1995</v>
      </c>
      <c r="K240" s="2" t="s">
        <v>1996</v>
      </c>
    </row>
    <row r="241" customFormat="false" ht="15.75" hidden="false" customHeight="false" outlineLevel="0" collapsed="false">
      <c r="A241" s="1" t="n">
        <v>198335</v>
      </c>
      <c r="B241" s="1" t="s">
        <v>167</v>
      </c>
      <c r="C241" s="1" t="s">
        <v>1890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2" t="s">
        <v>1997</v>
      </c>
    </row>
    <row r="242" customFormat="false" ht="15.75" hidden="false" customHeight="false" outlineLevel="0" collapsed="false">
      <c r="A242" s="1" t="n">
        <v>124386</v>
      </c>
      <c r="B242" s="1" t="s">
        <v>1998</v>
      </c>
      <c r="C242" s="1" t="s">
        <v>1890</v>
      </c>
      <c r="D242" s="1" t="n">
        <v>0</v>
      </c>
      <c r="E242" s="1" t="n">
        <v>0</v>
      </c>
      <c r="F242" s="1" t="n">
        <v>0</v>
      </c>
      <c r="G242" s="1" t="n">
        <v>1</v>
      </c>
      <c r="H242" s="1" t="n">
        <v>0</v>
      </c>
      <c r="I242" s="2" t="s">
        <v>1999</v>
      </c>
      <c r="J242" s="2" t="s">
        <v>2000</v>
      </c>
    </row>
    <row r="243" customFormat="false" ht="15.75" hidden="false" customHeight="false" outlineLevel="0" collapsed="false">
      <c r="A243" s="1" t="n">
        <v>130571</v>
      </c>
      <c r="B243" s="1" t="s">
        <v>2001</v>
      </c>
      <c r="C243" s="1" t="s">
        <v>1890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2" t="s">
        <v>2002</v>
      </c>
      <c r="J243" s="2" t="s">
        <v>2003</v>
      </c>
      <c r="K243" s="2" t="s">
        <v>2004</v>
      </c>
      <c r="L243" s="2" t="s">
        <v>2005</v>
      </c>
    </row>
    <row r="244" customFormat="false" ht="15.75" hidden="false" customHeight="false" outlineLevel="0" collapsed="false">
      <c r="A244" s="1" t="n">
        <v>227361</v>
      </c>
      <c r="B244" s="1" t="s">
        <v>2006</v>
      </c>
      <c r="C244" s="1" t="s">
        <v>1890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0</v>
      </c>
      <c r="I244" s="2" t="s">
        <v>2007</v>
      </c>
    </row>
    <row r="245" customFormat="false" ht="15.75" hidden="false" customHeight="false" outlineLevel="0" collapsed="false">
      <c r="A245" s="1" t="n">
        <v>195630</v>
      </c>
      <c r="B245" s="1" t="s">
        <v>2008</v>
      </c>
      <c r="C245" s="1" t="s">
        <v>1890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2" t="s">
        <v>2009</v>
      </c>
      <c r="J245" s="2" t="s">
        <v>2010</v>
      </c>
    </row>
    <row r="246" customFormat="false" ht="15.75" hidden="false" customHeight="false" outlineLevel="0" collapsed="false">
      <c r="A246" s="1" t="n">
        <v>162539</v>
      </c>
      <c r="B246" s="1" t="s">
        <v>2011</v>
      </c>
      <c r="C246" s="1" t="s">
        <v>1890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2" t="s">
        <v>2012</v>
      </c>
      <c r="J246" s="2" t="s">
        <v>2013</v>
      </c>
    </row>
    <row r="247" customFormat="false" ht="15.75" hidden="false" customHeight="false" outlineLevel="0" collapsed="false">
      <c r="A247" s="1" t="n">
        <v>124227</v>
      </c>
      <c r="B247" s="1" t="s">
        <v>2014</v>
      </c>
      <c r="C247" s="1" t="s">
        <v>1890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2" t="s">
        <v>2015</v>
      </c>
      <c r="J247" s="2" t="s">
        <v>2016</v>
      </c>
      <c r="K247" s="2" t="s">
        <v>2017</v>
      </c>
      <c r="L247" s="2" t="s">
        <v>2018</v>
      </c>
      <c r="M247" s="2" t="s">
        <v>2019</v>
      </c>
      <c r="N247" s="2" t="s">
        <v>2020</v>
      </c>
      <c r="O247" s="2" t="s">
        <v>2021</v>
      </c>
      <c r="P247" s="2" t="s">
        <v>2022</v>
      </c>
      <c r="Q247" s="2" t="s">
        <v>2023</v>
      </c>
    </row>
    <row r="248" customFormat="false" ht="15.75" hidden="false" customHeight="false" outlineLevel="0" collapsed="false">
      <c r="A248" s="1" t="n">
        <v>167116</v>
      </c>
      <c r="B248" s="1" t="s">
        <v>44</v>
      </c>
      <c r="C248" s="1" t="s">
        <v>1890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2" t="s">
        <v>2024</v>
      </c>
      <c r="J248" s="2" t="s">
        <v>2025</v>
      </c>
      <c r="K248" s="2" t="s">
        <v>2026</v>
      </c>
      <c r="L248" s="2" t="s">
        <v>2027</v>
      </c>
      <c r="M248" s="2" t="s">
        <v>2028</v>
      </c>
      <c r="N248" s="2" t="s">
        <v>2029</v>
      </c>
      <c r="O248" s="2" t="s">
        <v>2030</v>
      </c>
      <c r="P248" s="2" t="s">
        <v>2031</v>
      </c>
      <c r="Q248" s="2" t="s">
        <v>2032</v>
      </c>
      <c r="R248" s="2" t="s">
        <v>2033</v>
      </c>
      <c r="S248" s="2" t="s">
        <v>2034</v>
      </c>
      <c r="T248" s="2" t="s">
        <v>2035</v>
      </c>
      <c r="U248" s="2" t="s">
        <v>2036</v>
      </c>
      <c r="V248" s="2" t="s">
        <v>2037</v>
      </c>
    </row>
    <row r="249" customFormat="false" ht="15.75" hidden="false" customHeight="false" outlineLevel="0" collapsed="false">
      <c r="A249" s="1" t="n">
        <v>18238</v>
      </c>
      <c r="B249" s="1" t="s">
        <v>2038</v>
      </c>
      <c r="C249" s="1" t="s">
        <v>1890</v>
      </c>
      <c r="D249" s="1" t="n">
        <v>0.5</v>
      </c>
      <c r="E249" s="1" t="n">
        <v>0</v>
      </c>
      <c r="F249" s="1" t="n">
        <v>0</v>
      </c>
      <c r="G249" s="1" t="n">
        <v>0</v>
      </c>
      <c r="H249" s="1" t="n">
        <v>0</v>
      </c>
      <c r="I249" s="2" t="s">
        <v>2039</v>
      </c>
      <c r="J249" s="2" t="s">
        <v>2040</v>
      </c>
      <c r="K249" s="2" t="s">
        <v>2041</v>
      </c>
      <c r="L249" s="2" t="s">
        <v>2042</v>
      </c>
    </row>
    <row r="250" customFormat="false" ht="15.75" hidden="false" customHeight="false" outlineLevel="0" collapsed="false">
      <c r="A250" s="1" t="n">
        <v>124372</v>
      </c>
      <c r="B250" s="1" t="s">
        <v>2043</v>
      </c>
      <c r="C250" s="1" t="s">
        <v>1890</v>
      </c>
      <c r="D250" s="1" t="n">
        <v>1</v>
      </c>
      <c r="E250" s="1" t="n">
        <v>2</v>
      </c>
      <c r="F250" s="1" t="n">
        <v>0</v>
      </c>
      <c r="G250" s="1" t="n">
        <v>0</v>
      </c>
      <c r="H250" s="1" t="n">
        <v>0</v>
      </c>
      <c r="I250" s="2" t="s">
        <v>2044</v>
      </c>
    </row>
    <row r="251" customFormat="false" ht="15.75" hidden="false" customHeight="false" outlineLevel="0" collapsed="false">
      <c r="A251" s="1" t="n">
        <v>187883</v>
      </c>
      <c r="B251" s="1" t="s">
        <v>157</v>
      </c>
      <c r="C251" s="1" t="s">
        <v>1890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2" t="s">
        <v>2045</v>
      </c>
    </row>
    <row r="252" customFormat="false" ht="15.75" hidden="false" customHeight="false" outlineLevel="0" collapsed="false">
      <c r="A252" s="1" t="n">
        <v>126520</v>
      </c>
      <c r="B252" s="1" t="s">
        <v>2046</v>
      </c>
      <c r="C252" s="1" t="s">
        <v>1890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2" t="s">
        <v>2047</v>
      </c>
      <c r="J252" s="2" t="s">
        <v>2048</v>
      </c>
      <c r="K252" s="2" t="s">
        <v>2049</v>
      </c>
      <c r="L252" s="2" t="s">
        <v>2050</v>
      </c>
    </row>
    <row r="253" customFormat="false" ht="15.75" hidden="false" customHeight="false" outlineLevel="0" collapsed="false">
      <c r="A253" s="1" t="n">
        <v>117566</v>
      </c>
      <c r="B253" s="1" t="s">
        <v>2051</v>
      </c>
      <c r="C253" s="1" t="s">
        <v>1890</v>
      </c>
      <c r="D253" s="1" t="n">
        <v>0</v>
      </c>
      <c r="E253" s="1" t="n">
        <v>0</v>
      </c>
      <c r="F253" s="1" t="n">
        <v>3</v>
      </c>
      <c r="G253" s="1" t="n">
        <v>0</v>
      </c>
      <c r="H253" s="1" t="n">
        <v>0</v>
      </c>
      <c r="I253" s="2" t="s">
        <v>2052</v>
      </c>
      <c r="J253" s="2" t="s">
        <v>2053</v>
      </c>
      <c r="K253" s="2" t="s">
        <v>2054</v>
      </c>
      <c r="L253" s="2" t="s">
        <v>2055</v>
      </c>
    </row>
    <row r="254" customFormat="false" ht="15.75" hidden="false" customHeight="false" outlineLevel="0" collapsed="false">
      <c r="A254" s="1" t="n">
        <v>159136</v>
      </c>
      <c r="B254" s="1" t="s">
        <v>2056</v>
      </c>
      <c r="C254" s="1" t="s">
        <v>1890</v>
      </c>
      <c r="D254" s="1" t="n">
        <v>1</v>
      </c>
      <c r="E254" s="1" t="n">
        <v>0</v>
      </c>
      <c r="F254" s="1" t="n">
        <v>7</v>
      </c>
      <c r="G254" s="1" t="n">
        <v>0</v>
      </c>
      <c r="H254" s="1" t="n">
        <v>0</v>
      </c>
      <c r="I254" s="2" t="s">
        <v>2057</v>
      </c>
      <c r="J254" s="2" t="s">
        <v>2058</v>
      </c>
      <c r="K254" s="2" t="s">
        <v>2059</v>
      </c>
      <c r="L254" s="2" t="s">
        <v>2060</v>
      </c>
      <c r="M254" s="2" t="s">
        <v>2061</v>
      </c>
    </row>
    <row r="255" customFormat="false" ht="15.75" hidden="false" customHeight="false" outlineLevel="0" collapsed="false">
      <c r="A255" s="1" t="n">
        <v>124381</v>
      </c>
      <c r="B255" s="1" t="s">
        <v>2062</v>
      </c>
      <c r="C255" s="1" t="s">
        <v>1890</v>
      </c>
      <c r="D255" s="1" t="n">
        <v>1</v>
      </c>
      <c r="E255" s="1" t="n">
        <v>0</v>
      </c>
      <c r="F255" s="1" t="n">
        <v>3</v>
      </c>
      <c r="G255" s="1" t="n">
        <v>0</v>
      </c>
      <c r="H255" s="1" t="n">
        <v>0</v>
      </c>
      <c r="I255" s="2" t="s">
        <v>2063</v>
      </c>
    </row>
    <row r="256" customFormat="false" ht="15.75" hidden="false" customHeight="false" outlineLevel="0" collapsed="false">
      <c r="A256" s="1" t="n">
        <v>171678</v>
      </c>
      <c r="B256" s="1" t="s">
        <v>2064</v>
      </c>
      <c r="C256" s="1" t="s">
        <v>1890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2" t="s">
        <v>2065</v>
      </c>
    </row>
    <row r="257" customFormat="false" ht="15.75" hidden="false" customHeight="false" outlineLevel="0" collapsed="false">
      <c r="A257" s="1" t="n">
        <v>124376</v>
      </c>
      <c r="B257" s="1" t="s">
        <v>2066</v>
      </c>
      <c r="C257" s="1" t="s">
        <v>1890</v>
      </c>
      <c r="D257" s="1" t="n">
        <v>1</v>
      </c>
      <c r="E257" s="1" t="n">
        <v>0</v>
      </c>
      <c r="F257" s="1" t="n">
        <v>1</v>
      </c>
      <c r="G257" s="1" t="n">
        <v>0</v>
      </c>
      <c r="H257" s="1" t="n">
        <v>0</v>
      </c>
      <c r="I257" s="2" t="s">
        <v>2067</v>
      </c>
    </row>
    <row r="258" customFormat="false" ht="15.75" hidden="false" customHeight="false" outlineLevel="0" collapsed="false">
      <c r="A258" s="1" t="n">
        <v>122516</v>
      </c>
      <c r="B258" s="1" t="s">
        <v>2068</v>
      </c>
      <c r="C258" s="1" t="s">
        <v>1890</v>
      </c>
      <c r="D258" s="1" t="n">
        <v>0</v>
      </c>
      <c r="E258" s="1" t="n">
        <v>0</v>
      </c>
      <c r="F258" s="1" t="n">
        <v>3</v>
      </c>
      <c r="G258" s="1" t="n">
        <v>0</v>
      </c>
      <c r="H258" s="1" t="n">
        <v>0</v>
      </c>
      <c r="I258" s="2" t="s">
        <v>2069</v>
      </c>
      <c r="J258" s="2" t="s">
        <v>2070</v>
      </c>
    </row>
    <row r="259" customFormat="false" ht="15.75" hidden="false" customHeight="false" outlineLevel="0" collapsed="false">
      <c r="A259" s="1" t="n">
        <v>190162</v>
      </c>
      <c r="B259" s="1" t="s">
        <v>243</v>
      </c>
      <c r="C259" s="1" t="s">
        <v>1890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2" t="s">
        <v>2071</v>
      </c>
      <c r="J259" s="2" t="s">
        <v>2072</v>
      </c>
      <c r="K259" s="2" t="s">
        <v>2073</v>
      </c>
      <c r="L259" s="2" t="s">
        <v>2074</v>
      </c>
    </row>
    <row r="260" customFormat="false" ht="15.75" hidden="false" customHeight="false" outlineLevel="0" collapsed="false">
      <c r="A260" s="1" t="n">
        <v>222947</v>
      </c>
      <c r="B260" s="1" t="s">
        <v>2075</v>
      </c>
      <c r="C260" s="1" t="s">
        <v>1890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2" t="s">
        <v>2076</v>
      </c>
      <c r="J260" s="2" t="s">
        <v>2077</v>
      </c>
      <c r="K260" s="2" t="s">
        <v>2078</v>
      </c>
      <c r="L260" s="2" t="s">
        <v>2079</v>
      </c>
    </row>
    <row r="261" customFormat="false" ht="15.75" hidden="false" customHeight="false" outlineLevel="0" collapsed="false">
      <c r="A261" s="1" t="n">
        <v>131712</v>
      </c>
      <c r="B261" s="1" t="s">
        <v>2080</v>
      </c>
      <c r="C261" s="1" t="s">
        <v>1890</v>
      </c>
      <c r="D261" s="1" t="n">
        <v>0</v>
      </c>
      <c r="E261" s="1" t="n">
        <v>0</v>
      </c>
      <c r="F261" s="1" t="n">
        <v>5</v>
      </c>
      <c r="G261" s="1" t="n">
        <v>0</v>
      </c>
      <c r="H261" s="1" t="n">
        <v>0</v>
      </c>
    </row>
    <row r="262" customFormat="false" ht="15.75" hidden="false" customHeight="false" outlineLevel="0" collapsed="false">
      <c r="A262" s="1" t="n">
        <v>148114</v>
      </c>
      <c r="B262" s="1" t="s">
        <v>2081</v>
      </c>
      <c r="C262" s="1" t="s">
        <v>1890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2" t="s">
        <v>2082</v>
      </c>
    </row>
    <row r="263" customFormat="false" ht="15.75" hidden="false" customHeight="false" outlineLevel="0" collapsed="false">
      <c r="A263" s="1" t="n">
        <v>112760</v>
      </c>
      <c r="B263" s="1" t="s">
        <v>2083</v>
      </c>
      <c r="C263" s="1" t="s">
        <v>1890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2" t="s">
        <v>2084</v>
      </c>
      <c r="J263" s="2" t="s">
        <v>2085</v>
      </c>
      <c r="K263" s="2" t="s">
        <v>2086</v>
      </c>
      <c r="L263" s="2" t="s">
        <v>2087</v>
      </c>
    </row>
    <row r="264" customFormat="false" ht="15.75" hidden="false" customHeight="false" outlineLevel="0" collapsed="false">
      <c r="A264" s="1" t="n">
        <v>154261</v>
      </c>
      <c r="B264" s="1" t="s">
        <v>723</v>
      </c>
      <c r="C264" s="1" t="s">
        <v>1890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2" t="s">
        <v>2088</v>
      </c>
    </row>
    <row r="265" customFormat="false" ht="15.75" hidden="false" customHeight="false" outlineLevel="0" collapsed="false">
      <c r="A265" s="1" t="n">
        <v>150343</v>
      </c>
      <c r="B265" s="1" t="s">
        <v>2089</v>
      </c>
      <c r="C265" s="1" t="s">
        <v>1890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2" t="s">
        <v>2090</v>
      </c>
      <c r="J265" s="2" t="s">
        <v>2091</v>
      </c>
    </row>
    <row r="266" customFormat="false" ht="15.75" hidden="false" customHeight="false" outlineLevel="0" collapsed="false">
      <c r="A266" s="1" t="n">
        <v>185689</v>
      </c>
      <c r="B266" s="1" t="s">
        <v>263</v>
      </c>
      <c r="C266" s="1" t="s">
        <v>1890</v>
      </c>
      <c r="D266" s="1" t="n">
        <v>1</v>
      </c>
      <c r="E266" s="1" t="n">
        <v>0</v>
      </c>
      <c r="F266" s="1" t="n">
        <v>0</v>
      </c>
      <c r="G266" s="1" t="n">
        <v>0</v>
      </c>
      <c r="H266" s="1" t="n">
        <v>0</v>
      </c>
      <c r="I266" s="2" t="s">
        <v>2092</v>
      </c>
      <c r="J266" s="2" t="s">
        <v>2093</v>
      </c>
      <c r="K266" s="2" t="s">
        <v>2094</v>
      </c>
      <c r="L266" s="2" t="s">
        <v>2095</v>
      </c>
      <c r="M266" s="2" t="s">
        <v>2096</v>
      </c>
      <c r="N266" s="2" t="s">
        <v>2097</v>
      </c>
      <c r="O266" s="2" t="s">
        <v>2098</v>
      </c>
      <c r="P266" s="2" t="s">
        <v>2099</v>
      </c>
    </row>
    <row r="267" customFormat="false" ht="15.75" hidden="false" customHeight="false" outlineLevel="0" collapsed="false">
      <c r="A267" s="1" t="n">
        <v>162248</v>
      </c>
      <c r="B267" s="1" t="s">
        <v>2100</v>
      </c>
      <c r="C267" s="1" t="s">
        <v>1890</v>
      </c>
      <c r="D267" s="1" t="n">
        <v>0</v>
      </c>
      <c r="E267" s="1" t="n">
        <v>0</v>
      </c>
      <c r="F267" s="1" t="n">
        <v>6</v>
      </c>
      <c r="G267" s="1" t="n">
        <v>0</v>
      </c>
      <c r="H267" s="1" t="n">
        <v>0</v>
      </c>
      <c r="I267" s="2" t="s">
        <v>2101</v>
      </c>
      <c r="J267" s="2" t="s">
        <v>2102</v>
      </c>
      <c r="K267" s="2" t="s">
        <v>2103</v>
      </c>
      <c r="L267" s="2" t="s">
        <v>2104</v>
      </c>
    </row>
    <row r="268" customFormat="false" ht="15.75" hidden="false" customHeight="false" outlineLevel="0" collapsed="false">
      <c r="A268" s="1" t="n">
        <v>124388</v>
      </c>
      <c r="B268" s="1" t="s">
        <v>2105</v>
      </c>
      <c r="C268" s="1" t="s">
        <v>1890</v>
      </c>
      <c r="D268" s="1" t="n">
        <v>1</v>
      </c>
      <c r="E268" s="1" t="n">
        <v>0</v>
      </c>
      <c r="F268" s="1" t="n">
        <v>3</v>
      </c>
      <c r="G268" s="1" t="n">
        <v>0</v>
      </c>
      <c r="H268" s="1" t="n">
        <v>0</v>
      </c>
      <c r="I268" s="2" t="s">
        <v>2106</v>
      </c>
      <c r="J268" s="2" t="s">
        <v>2107</v>
      </c>
      <c r="K268" s="2" t="s">
        <v>2108</v>
      </c>
      <c r="L268" s="2" t="s">
        <v>2109</v>
      </c>
    </row>
    <row r="269" customFormat="false" ht="15.75" hidden="false" customHeight="false" outlineLevel="0" collapsed="false">
      <c r="A269" s="1" t="n">
        <v>185292</v>
      </c>
      <c r="B269" s="1" t="s">
        <v>2110</v>
      </c>
      <c r="C269" s="1" t="s">
        <v>1890</v>
      </c>
      <c r="D269" s="1" t="n">
        <v>0</v>
      </c>
      <c r="E269" s="1" t="n">
        <v>0</v>
      </c>
      <c r="F269" s="1" t="n">
        <v>3</v>
      </c>
      <c r="G269" s="1" t="n">
        <v>0</v>
      </c>
      <c r="H269" s="1" t="n">
        <v>0</v>
      </c>
      <c r="I269" s="2" t="s">
        <v>2111</v>
      </c>
    </row>
    <row r="270" customFormat="false" ht="15.75" hidden="false" customHeight="false" outlineLevel="0" collapsed="false">
      <c r="A270" s="1" t="n">
        <v>124387</v>
      </c>
      <c r="B270" s="1" t="s">
        <v>1930</v>
      </c>
      <c r="C270" s="1" t="s">
        <v>1890</v>
      </c>
      <c r="D270" s="1" t="n">
        <v>0</v>
      </c>
      <c r="E270" s="1" t="n">
        <v>0</v>
      </c>
      <c r="F270" s="1" t="n">
        <v>3</v>
      </c>
      <c r="G270" s="1" t="n">
        <v>0</v>
      </c>
      <c r="H270" s="1" t="n">
        <v>0</v>
      </c>
      <c r="I270" s="2" t="s">
        <v>2112</v>
      </c>
    </row>
    <row r="271" customFormat="false" ht="15.75" hidden="false" customHeight="false" outlineLevel="0" collapsed="false">
      <c r="A271" s="1" t="n">
        <v>185304</v>
      </c>
      <c r="B271" s="1" t="s">
        <v>153</v>
      </c>
      <c r="C271" s="1" t="s">
        <v>1890</v>
      </c>
      <c r="D271" s="1" t="n">
        <v>1</v>
      </c>
      <c r="E271" s="1" t="n">
        <v>0</v>
      </c>
      <c r="F271" s="1" t="n">
        <v>0</v>
      </c>
      <c r="G271" s="1" t="n">
        <v>1</v>
      </c>
      <c r="H271" s="1" t="n">
        <v>0</v>
      </c>
      <c r="I271" s="2" t="s">
        <v>2113</v>
      </c>
    </row>
    <row r="272" customFormat="false" ht="15.75" hidden="false" customHeight="false" outlineLevel="0" collapsed="false">
      <c r="A272" s="1" t="n">
        <v>187434</v>
      </c>
      <c r="B272" s="1" t="s">
        <v>2114</v>
      </c>
      <c r="C272" s="1" t="s">
        <v>1890</v>
      </c>
      <c r="D272" s="1" t="n">
        <v>1</v>
      </c>
      <c r="E272" s="1" t="n">
        <v>1</v>
      </c>
      <c r="F272" s="1" t="n">
        <v>0</v>
      </c>
      <c r="G272" s="1" t="n">
        <v>0</v>
      </c>
      <c r="H272" s="1" t="n">
        <v>0</v>
      </c>
      <c r="I272" s="2" t="s">
        <v>2115</v>
      </c>
      <c r="J272" s="2" t="s">
        <v>2116</v>
      </c>
      <c r="K272" s="2" t="s">
        <v>2117</v>
      </c>
      <c r="L272" s="2" t="s">
        <v>2118</v>
      </c>
    </row>
    <row r="273" customFormat="false" ht="15.75" hidden="false" customHeight="false" outlineLevel="0" collapsed="false">
      <c r="A273" s="1" t="n">
        <v>185684</v>
      </c>
      <c r="B273" s="1" t="s">
        <v>472</v>
      </c>
      <c r="C273" s="1" t="s">
        <v>1890</v>
      </c>
      <c r="D273" s="1" t="n">
        <v>1</v>
      </c>
      <c r="E273" s="1" t="n">
        <v>0</v>
      </c>
      <c r="F273" s="1" t="n">
        <v>0</v>
      </c>
      <c r="G273" s="1" t="n">
        <v>1</v>
      </c>
      <c r="H273" s="1" t="n">
        <v>0</v>
      </c>
      <c r="I273" s="2" t="s">
        <v>2119</v>
      </c>
    </row>
    <row r="274" customFormat="false" ht="15.75" hidden="false" customHeight="false" outlineLevel="0" collapsed="false">
      <c r="A274" s="1" t="n">
        <v>223001</v>
      </c>
      <c r="B274" s="1" t="s">
        <v>2120</v>
      </c>
      <c r="C274" s="1" t="s">
        <v>1890</v>
      </c>
      <c r="D274" s="1" t="n">
        <v>1</v>
      </c>
      <c r="E274" s="1" t="n">
        <v>0</v>
      </c>
      <c r="F274" s="1" t="n">
        <v>0</v>
      </c>
      <c r="G274" s="1" t="n">
        <v>1</v>
      </c>
      <c r="H274" s="1" t="n">
        <v>0</v>
      </c>
      <c r="I274" s="2" t="s">
        <v>2121</v>
      </c>
    </row>
    <row r="275" customFormat="false" ht="15.75" hidden="false" customHeight="false" outlineLevel="0" collapsed="false">
      <c r="A275" s="1" t="n">
        <v>187492</v>
      </c>
      <c r="B275" s="1" t="s">
        <v>2122</v>
      </c>
      <c r="C275" s="1" t="s">
        <v>1890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2" t="s">
        <v>2123</v>
      </c>
      <c r="J275" s="2" t="s">
        <v>2124</v>
      </c>
    </row>
    <row r="276" customFormat="false" ht="15.75" hidden="false" customHeight="false" outlineLevel="0" collapsed="false">
      <c r="A276" s="1" t="n">
        <v>2890</v>
      </c>
      <c r="B276" s="1" t="s">
        <v>2125</v>
      </c>
      <c r="C276" s="1" t="s">
        <v>1890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0</v>
      </c>
      <c r="I276" s="2" t="s">
        <v>2126</v>
      </c>
      <c r="J276" s="2" t="s">
        <v>2127</v>
      </c>
      <c r="K276" s="2" t="s">
        <v>2128</v>
      </c>
    </row>
    <row r="277" customFormat="false" ht="15.75" hidden="false" customHeight="false" outlineLevel="0" collapsed="false">
      <c r="A277" s="1" t="n">
        <v>71077</v>
      </c>
      <c r="B277" s="1" t="s">
        <v>2129</v>
      </c>
      <c r="C277" s="1" t="s">
        <v>1890</v>
      </c>
      <c r="D277" s="1" t="n">
        <v>0</v>
      </c>
      <c r="E277" s="1" t="n">
        <v>0</v>
      </c>
      <c r="F277" s="1" t="n">
        <v>1</v>
      </c>
      <c r="G277" s="1" t="n">
        <v>0</v>
      </c>
      <c r="H277" s="1" t="n">
        <v>0</v>
      </c>
      <c r="I277" s="2" t="s">
        <v>2130</v>
      </c>
    </row>
    <row r="278" customFormat="false" ht="15.75" hidden="false" customHeight="false" outlineLevel="0" collapsed="false">
      <c r="A278" s="1" t="n">
        <v>174200</v>
      </c>
      <c r="B278" s="1" t="s">
        <v>2131</v>
      </c>
      <c r="C278" s="1" t="s">
        <v>1890</v>
      </c>
      <c r="D278" s="1" t="n">
        <v>0</v>
      </c>
      <c r="E278" s="1" t="n">
        <v>0</v>
      </c>
      <c r="F278" s="1" t="n">
        <v>1</v>
      </c>
      <c r="G278" s="1" t="n">
        <v>0</v>
      </c>
      <c r="H278" s="1" t="n">
        <v>0</v>
      </c>
      <c r="I278" s="2" t="s">
        <v>2132</v>
      </c>
    </row>
    <row r="279" customFormat="false" ht="15.75" hidden="false" customHeight="false" outlineLevel="0" collapsed="false">
      <c r="A279" s="1" t="n">
        <v>155160</v>
      </c>
      <c r="B279" s="1" t="s">
        <v>764</v>
      </c>
      <c r="C279" s="1" t="s">
        <v>1890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0</v>
      </c>
      <c r="I279" s="2" t="s">
        <v>2133</v>
      </c>
      <c r="J279" s="2" t="s">
        <v>2134</v>
      </c>
    </row>
    <row r="280" customFormat="false" ht="15.75" hidden="false" customHeight="false" outlineLevel="0" collapsed="false">
      <c r="A280" s="1" t="n">
        <v>132940</v>
      </c>
      <c r="B280" s="1" t="s">
        <v>2135</v>
      </c>
      <c r="C280" s="1" t="s">
        <v>1890</v>
      </c>
      <c r="D280" s="1" t="n">
        <v>2</v>
      </c>
      <c r="E280" s="1" t="n">
        <v>0</v>
      </c>
      <c r="F280" s="1" t="n">
        <v>0</v>
      </c>
      <c r="G280" s="1" t="n">
        <v>0</v>
      </c>
      <c r="H280" s="1" t="n">
        <v>0</v>
      </c>
      <c r="I280" s="2" t="s">
        <v>2136</v>
      </c>
      <c r="J280" s="2" t="s">
        <v>2137</v>
      </c>
      <c r="K280" s="2" t="s">
        <v>2138</v>
      </c>
      <c r="L280" s="2" t="s">
        <v>2139</v>
      </c>
      <c r="M280" s="2" t="s">
        <v>2140</v>
      </c>
      <c r="N280" s="2" t="s">
        <v>2141</v>
      </c>
      <c r="O280" s="2" t="s">
        <v>2142</v>
      </c>
      <c r="P280" s="2" t="s">
        <v>2143</v>
      </c>
      <c r="Q280" s="2" t="s">
        <v>2144</v>
      </c>
    </row>
    <row r="281" customFormat="false" ht="15.75" hidden="false" customHeight="false" outlineLevel="0" collapsed="false">
      <c r="A281" s="1" t="n">
        <v>185285</v>
      </c>
      <c r="B281" s="1" t="s">
        <v>2145</v>
      </c>
      <c r="C281" s="1" t="s">
        <v>1890</v>
      </c>
      <c r="D281" s="1" t="n">
        <v>0</v>
      </c>
      <c r="E281" s="1" t="n">
        <v>0</v>
      </c>
      <c r="F281" s="1" t="n">
        <v>6</v>
      </c>
      <c r="G281" s="1" t="n">
        <v>1.5</v>
      </c>
      <c r="H281" s="1" t="n">
        <v>0</v>
      </c>
      <c r="I281" s="2" t="s">
        <v>2146</v>
      </c>
      <c r="J281" s="2" t="s">
        <v>2147</v>
      </c>
      <c r="K281" s="2" t="s">
        <v>2148</v>
      </c>
      <c r="L281" s="2" t="s">
        <v>2149</v>
      </c>
    </row>
    <row r="282" customFormat="false" ht="15.75" hidden="false" customHeight="false" outlineLevel="0" collapsed="false">
      <c r="A282" s="1" t="n">
        <v>126607</v>
      </c>
      <c r="B282" s="1" t="s">
        <v>2150</v>
      </c>
      <c r="C282" s="1" t="s">
        <v>1890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0</v>
      </c>
      <c r="I282" s="2" t="s">
        <v>2151</v>
      </c>
      <c r="J282" s="2" t="s">
        <v>2152</v>
      </c>
      <c r="K282" s="2" t="s">
        <v>2153</v>
      </c>
      <c r="L282" s="2" t="s">
        <v>2154</v>
      </c>
      <c r="M282" s="2" t="s">
        <v>2155</v>
      </c>
    </row>
    <row r="283" customFormat="false" ht="15.75" hidden="false" customHeight="false" outlineLevel="0" collapsed="false">
      <c r="A283" s="1" t="n">
        <v>111396</v>
      </c>
      <c r="B283" s="1" t="s">
        <v>2156</v>
      </c>
      <c r="C283" s="1" t="s">
        <v>1890</v>
      </c>
      <c r="D283" s="1" t="n">
        <v>2</v>
      </c>
      <c r="E283" s="1" t="n">
        <v>0</v>
      </c>
      <c r="F283" s="1" t="n">
        <v>0</v>
      </c>
      <c r="G283" s="1" t="n">
        <v>0</v>
      </c>
      <c r="H283" s="1" t="n">
        <v>0</v>
      </c>
      <c r="I283" s="2" t="s">
        <v>2157</v>
      </c>
      <c r="J283" s="2" t="s">
        <v>2158</v>
      </c>
      <c r="K283" s="2" t="s">
        <v>2159</v>
      </c>
      <c r="L283" s="2" t="s">
        <v>2160</v>
      </c>
    </row>
    <row r="284" customFormat="false" ht="15.75" hidden="false" customHeight="false" outlineLevel="0" collapsed="false">
      <c r="A284" s="1" t="n">
        <v>187417</v>
      </c>
      <c r="B284" s="1" t="s">
        <v>2161</v>
      </c>
      <c r="C284" s="1" t="s">
        <v>1890</v>
      </c>
      <c r="D284" s="1" t="n">
        <v>1</v>
      </c>
      <c r="E284" s="1" t="n">
        <v>0</v>
      </c>
      <c r="F284" s="1" t="n">
        <v>6</v>
      </c>
      <c r="G284" s="1" t="n">
        <v>1</v>
      </c>
      <c r="H284" s="1" t="n">
        <v>0</v>
      </c>
      <c r="I284" s="2" t="s">
        <v>2162</v>
      </c>
      <c r="J284" s="2" t="s">
        <v>2163</v>
      </c>
      <c r="K284" s="2" t="s">
        <v>2164</v>
      </c>
      <c r="L284" s="2" t="s">
        <v>2165</v>
      </c>
    </row>
    <row r="285" customFormat="false" ht="15.75" hidden="false" customHeight="false" outlineLevel="0" collapsed="false">
      <c r="A285" s="1" t="n">
        <v>185284</v>
      </c>
      <c r="B285" s="1" t="s">
        <v>1688</v>
      </c>
      <c r="C285" s="1" t="s">
        <v>1890</v>
      </c>
      <c r="D285" s="1" t="n">
        <v>1.5</v>
      </c>
      <c r="E285" s="1" t="n">
        <v>0</v>
      </c>
      <c r="F285" s="1" t="n">
        <v>6</v>
      </c>
      <c r="G285" s="1" t="n">
        <v>1</v>
      </c>
      <c r="H285" s="1" t="n">
        <v>0</v>
      </c>
      <c r="I285" s="2" t="s">
        <v>2166</v>
      </c>
      <c r="J285" s="2" t="s">
        <v>2167</v>
      </c>
      <c r="K285" s="2" t="s">
        <v>2168</v>
      </c>
      <c r="L285" s="2" t="s">
        <v>2169</v>
      </c>
    </row>
    <row r="286" customFormat="false" ht="15.75" hidden="false" customHeight="false" outlineLevel="0" collapsed="false">
      <c r="A286" s="1" t="n">
        <v>159948</v>
      </c>
      <c r="B286" s="1" t="s">
        <v>2170</v>
      </c>
      <c r="C286" s="1" t="s">
        <v>1890</v>
      </c>
      <c r="D286" s="1" t="n">
        <v>0</v>
      </c>
      <c r="E286" s="1" t="n">
        <v>1</v>
      </c>
      <c r="F286" s="1" t="n">
        <v>0</v>
      </c>
      <c r="G286" s="1" t="n">
        <v>1</v>
      </c>
      <c r="H286" s="1" t="n">
        <v>0</v>
      </c>
      <c r="I286" s="2" t="s">
        <v>2171</v>
      </c>
      <c r="J286" s="2" t="s">
        <v>2172</v>
      </c>
      <c r="K286" s="2" t="s">
        <v>2173</v>
      </c>
      <c r="L286" s="2" t="s">
        <v>2174</v>
      </c>
    </row>
    <row r="287" customFormat="false" ht="15.75" hidden="false" customHeight="false" outlineLevel="0" collapsed="false">
      <c r="A287" s="1" t="n">
        <v>232056</v>
      </c>
      <c r="B287" s="1" t="s">
        <v>2175</v>
      </c>
      <c r="C287" s="1" t="s">
        <v>1194</v>
      </c>
      <c r="D287" s="1" t="n">
        <v>2</v>
      </c>
      <c r="E287" s="1" t="n">
        <v>0</v>
      </c>
      <c r="F287" s="1" t="n">
        <v>0</v>
      </c>
      <c r="G287" s="1" t="n">
        <v>0</v>
      </c>
      <c r="H287" s="1" t="n">
        <v>0</v>
      </c>
      <c r="I287" s="2" t="s">
        <v>2176</v>
      </c>
      <c r="J287" s="2" t="s">
        <v>2177</v>
      </c>
      <c r="K287" s="2" t="s">
        <v>2178</v>
      </c>
    </row>
    <row r="288" customFormat="false" ht="15.75" hidden="false" customHeight="false" outlineLevel="0" collapsed="false">
      <c r="A288" s="1" t="n">
        <v>232105</v>
      </c>
      <c r="B288" s="1" t="s">
        <v>1119</v>
      </c>
      <c r="C288" s="1" t="s">
        <v>1194</v>
      </c>
      <c r="D288" s="1" t="n">
        <v>3</v>
      </c>
      <c r="E288" s="1" t="n">
        <v>1</v>
      </c>
      <c r="F288" s="1" t="n">
        <v>0</v>
      </c>
      <c r="G288" s="1" t="n">
        <v>0</v>
      </c>
      <c r="H288" s="1" t="n">
        <v>0</v>
      </c>
      <c r="I288" s="2" t="s">
        <v>2179</v>
      </c>
      <c r="J288" s="2" t="s">
        <v>2180</v>
      </c>
      <c r="K288" s="2" t="s">
        <v>2181</v>
      </c>
      <c r="L288" s="2" t="s">
        <v>2182</v>
      </c>
    </row>
    <row r="289" customFormat="false" ht="15.75" hidden="false" customHeight="false" outlineLevel="0" collapsed="false">
      <c r="A289" s="1" t="n">
        <v>100814</v>
      </c>
      <c r="B289" s="1" t="s">
        <v>1193</v>
      </c>
      <c r="C289" s="1" t="s">
        <v>1194</v>
      </c>
      <c r="D289" s="1" t="n">
        <v>0.5</v>
      </c>
      <c r="E289" s="1" t="n">
        <v>0</v>
      </c>
      <c r="F289" s="1" t="n">
        <v>0</v>
      </c>
      <c r="G289" s="1" t="n">
        <v>0</v>
      </c>
      <c r="H289" s="1" t="n">
        <v>0</v>
      </c>
      <c r="I289" s="2" t="s">
        <v>2183</v>
      </c>
      <c r="J289" s="2" t="s">
        <v>2184</v>
      </c>
      <c r="K289" s="2" t="s">
        <v>2185</v>
      </c>
      <c r="L289" s="2" t="s">
        <v>2186</v>
      </c>
    </row>
  </sheetData>
  <autoFilter ref="A1:V296">
    <sortState ref="A2:V296">
      <sortCondition ref="A2:A296" customList=""/>
    </sortState>
  </autoFilter>
  <hyperlinks>
    <hyperlink ref="I2" r:id="rId1" display="https://drive.google.com/file/d/1iLTmKIm0TEPhpjFzVJKYMx0w89XdaFs_/view?usp=drivesdk"/>
    <hyperlink ref="J2" r:id="rId2" display="https://drive.google.com/file/d/17HQCUFl6640pyjyICZnvVRwX0pD7WmVu/view?usp=drivesdk"/>
    <hyperlink ref="K2" r:id="rId3" display="https://drive.google.com/file/d/1hmqUBNDOVV9wHRgZDXbGKalz-08D9QnO/view?usp=drivesdk"/>
    <hyperlink ref="I3" r:id="rId4" display="https://drive.google.com/file/d/1GD-ExkBSVHOn3kDXROZ90Y8KInq06Wyf/view?usp=drivesdk"/>
    <hyperlink ref="I4" r:id="rId5" display="https://drive.google.com/file/d/1YBXhJcHL37RYZuuYAtVnLqyu7x9ozdeb/view?usp=drivesdk"/>
    <hyperlink ref="J4" r:id="rId6" display="https://drive.google.com/file/d/1NpGga28vXRgej5mcPcuM-HslI0oY3hZg/view?usp=drivesdk"/>
    <hyperlink ref="K4" r:id="rId7" display="https://drive.google.com/file/d/1X4l8wypMi8SMS3eqVcZw6_ZwF4iWcIsZ/view?usp=drivesdk"/>
    <hyperlink ref="L4" r:id="rId8" display="https://drive.google.com/file/d/16_uNq-DG4uJmXuwrWk4UdS3qkAroAcmf/view?usp=drivesdk"/>
    <hyperlink ref="M4" r:id="rId9" display="https://drive.google.com/file/d/1gwBupHnra2xpsQZGwu_3TT1Mjw0tApt6/view?usp=drivesdk"/>
    <hyperlink ref="N4" r:id="rId10" display="https://drive.google.com/file/d/16YeAp1hToyDXNh6pEhxsPMoo2sjzS8UV/view?usp=drivesdk"/>
    <hyperlink ref="O4" r:id="rId11" display="https://drive.google.com/file/d/14hgziGdYOlSH27WYQJ3q9JyHfrtw2zoE/view?usp=drivesdk"/>
    <hyperlink ref="P4" r:id="rId12" display="https://drive.google.com/file/d/1X19dr38FC_ODc_324j_30zWKLKbY-NGb/view?usp=drivesdk"/>
    <hyperlink ref="I5" r:id="rId13" display="https://drive.google.com/file/d/1zDwFNmoVqeYVuZ7vhR0xUd-zIUG9ai_f/view?usp=drivesdk"/>
    <hyperlink ref="J5" r:id="rId14" display="https://drive.google.com/file/d/1yoMPc0PZDIFGc_pqrZIm3X6iw-8fprh_/view?usp=drivesdk"/>
    <hyperlink ref="K5" r:id="rId15" display="https://drive.google.com/file/d/1O8p7MSRI_dMyHzj4MuOI7Kul6wm_Vtri/view?usp=drivesdk"/>
    <hyperlink ref="L5" r:id="rId16" display="https://drive.google.com/file/d/16b95llLASzz-3hbjxGP6UQp9_v5v03On/view?usp=drivesdk"/>
    <hyperlink ref="I6" r:id="rId17" display="https://drive.google.com/file/d/1r1pmPu9A933OyUIGzju3P-iLmfM-DtIR/view?usp=drivesdk"/>
    <hyperlink ref="J6" r:id="rId18" display="https://drive.google.com/file/d/1thSgiU28g9r9iMzX1MUMzUsPQ_J2pStK/view?usp=drivesdk"/>
    <hyperlink ref="K6" r:id="rId19" display="https://drive.google.com/file/d/1QIBUHpMWGtqaB4VaKvStMLwVOqeGwjl8/view?usp=drivesdk"/>
    <hyperlink ref="L6" r:id="rId20" display="https://drive.google.com/file/d/1R-E9QhXMBNv3H6ly4G6DWxgVUycT_7j0/view?usp=drivesdk"/>
    <hyperlink ref="M6" r:id="rId21" display="https://drive.google.com/file/d/1JpKyEKhl4LeTOKKxS05UCz625b3bv_73/view?usp=drivesdk"/>
    <hyperlink ref="I7" r:id="rId22" display="https://drive.google.com/file/d/11uPMjaPH9vQ5WpJOaQT5mU8Ve7m3QqX3/view?usp=drivesdk"/>
    <hyperlink ref="J7" r:id="rId23" display="https://drive.google.com/file/d/1PMgt1BBuiFPwTcqv8yjbQvzO6jcZVRWS/view?usp=drivesdk"/>
    <hyperlink ref="K7" r:id="rId24" display="https://drive.google.com/file/d/1-vuj5XKWKJ-2AjLCAnhqJI2q27G9Dodh/view?usp=drivesdk"/>
    <hyperlink ref="L7" r:id="rId25" display="https://drive.google.com/file/d/1F8kb6rL7mzjFtegUYOnSi499xpz4m0Wa/view?usp=drivesdk"/>
    <hyperlink ref="M7" r:id="rId26" display="https://drive.google.com/file/d/1tnQrciC-DO0o5iXGo6EEbJN6RG1h6EGe/view?usp=drivesdk"/>
    <hyperlink ref="I8" r:id="rId27" display="https://drive.google.com/file/d/1dzWpuLazN92IMN3GxuGJSy8GMW-hVgtY/view?usp=drivesdk"/>
    <hyperlink ref="J8" r:id="rId28" display="https://drive.google.com/file/d/1PRb7KJ9CVPGY5Q6sZyn6TLUe2MUH9KJt/view?usp=drivesdk"/>
    <hyperlink ref="K8" r:id="rId29" display="https://drive.google.com/file/d/1mALvpQPfgYPCIcHoDlIiZpMQgyJ8kocX/view?usp=drivesdk"/>
    <hyperlink ref="L8" r:id="rId30" display="https://drive.google.com/file/d/1cHA-_z1qkJvbNXkTaCW5nfCJHGLI7wiy/view?usp=drivesdk"/>
    <hyperlink ref="I9" r:id="rId31" display="https://drive.google.com/file/d/1mfUyZGKa4cyV-LKbwZb-It6TKnKdbh6c/view?usp=drivesdk"/>
    <hyperlink ref="J9" r:id="rId32" display="https://drive.google.com/file/d/14vlFZjFTQM0lKCLliXvkRupTENwO40vJ/view?usp=drivesdk"/>
    <hyperlink ref="K9" r:id="rId33" display="https://drive.google.com/file/d/1S7DmyQh6efE9YneoZ8ohDfX6HufAlO2a/view?usp=drivesdk"/>
    <hyperlink ref="L9" r:id="rId34" display="https://drive.google.com/file/d/1MYyW_OMpFwnFbI2L8PJkI0OF02-IR3BL/view?usp=drivesdk"/>
    <hyperlink ref="I10" r:id="rId35" display="https://drive.google.com/file/d/1v7a7Tu_fMDK4suiJ3eg8l6usSmqqPhyY/view?usp=drivesdk"/>
    <hyperlink ref="I11" r:id="rId36" display="https://drive.google.com/file/d/1rM2aI0ycx2nTmNiPB2iQ9kc6BeX__Tm4/view?usp=drivesdk"/>
    <hyperlink ref="J11" r:id="rId37" display="https://drive.google.com/file/d/1gM77oAHcfA1lCxNvZ_vTLRr0Q_-WB0b8/view?usp=drivesdk"/>
    <hyperlink ref="K11" r:id="rId38" display="https://drive.google.com/file/d/1acfiQudsbplUorea62TT9SqNbm2AuCYt/view?usp=drivesdk"/>
    <hyperlink ref="I12" r:id="rId39" display="https://drive.google.com/file/d/1YOtsmgqUR1DzV1YbMPnWrxTg80IlNPQ5/view?usp=drivesdk"/>
    <hyperlink ref="I13" r:id="rId40" display="https://drive.google.com/file/d/1-ObO1QsttJf-ReyOXKMo6o2fC1xRGKyO/view?usp=drivesdk"/>
    <hyperlink ref="J13" r:id="rId41" display="https://drive.google.com/file/d/1ACGJyr54eOYBpEDyOZpAEoLUHfWsI5cG/view?usp=drivesdk"/>
    <hyperlink ref="K13" r:id="rId42" display="https://drive.google.com/file/d/1YhEDdTaKA9TK342HaQC3xVFpPklrnfJ1/view?usp=drivesdk"/>
    <hyperlink ref="L13" r:id="rId43" display="https://drive.google.com/file/d/1g_9O0ULJYqI8RzxebnCGqHrPKsXE3Mn9/view?usp=drivesdk"/>
    <hyperlink ref="I14" r:id="rId44" display="https://drive.google.com/file/d/1AWVXOwdx6nJg1Nfh1KVQN1bUX9B49utR/view?usp=drivesdk"/>
    <hyperlink ref="J14" r:id="rId45" display="https://drive.google.com/file/d/1BBZR49jFns7QeaQvwZN2j2YeiQAmivX5/view?usp=drivesdk"/>
    <hyperlink ref="K14" r:id="rId46" display="https://drive.google.com/file/d/1XOgTtaCzGLCDaro1yqLymfv76uAMW-PG/view?usp=drivesdk"/>
    <hyperlink ref="L14" r:id="rId47" display="https://drive.google.com/file/d/1d7b0yuBeJq3SIyKbOX-b-EYMqKdma1oh/view?usp=drivesdk"/>
    <hyperlink ref="I15" r:id="rId48" display="https://drive.google.com/file/d/16sdHVtmZFu4QS4GjRFOdKqBVj9sv6OX3/view?usp=drivesdk"/>
    <hyperlink ref="I16" r:id="rId49" display="https://drive.google.com/file/d/1AWUuH2nrIhH8xP-VRYwQInHuEeau85T_/view?usp=drivesdk"/>
    <hyperlink ref="J16" r:id="rId50" display="https://drive.google.com/file/d/15hf_cj-tfJ401chUlXnBEy0s3EcyXmOx/view?usp=drivesdk"/>
    <hyperlink ref="K16" r:id="rId51" display="https://drive.google.com/file/d/1RbwubB2jLi0jrt0URcMcPdVgvmDpGgN4/view?usp=drivesdk"/>
    <hyperlink ref="I17" r:id="rId52" display="https://drive.google.com/file/d/1u7B4UDvOPvlPdE0nbRzjyIL_V54Gxecd/view?usp=drivesdk"/>
    <hyperlink ref="J17" r:id="rId53" display="https://drive.google.com/file/d/1hIw2n5g3NaG2KTyeBCVdFjJDq98KXz81/view?usp=drivesdk"/>
    <hyperlink ref="K17" r:id="rId54" display="https://drive.google.com/file/d/14n7_INwQBwcqrvq0GJTz_DUimIGn8Adh/view?usp=drivesdk"/>
    <hyperlink ref="I18" r:id="rId55" display="https://drive.google.com/file/d/10Is3pvQsPQD0EDccLT5e0RQxSd7EAfmL/view?usp=drivesdk"/>
    <hyperlink ref="J18" r:id="rId56" display="https://drive.google.com/file/d/1zqsF_WdBrMcxx-QsImnbP7oybgXyn67I/view?usp=drivesdk"/>
    <hyperlink ref="K18" r:id="rId57" display="https://drive.google.com/file/d/1nQb1LOXVBrwHf0PrjSp1WhydKq_SA5i9/view?usp=drivesdk"/>
    <hyperlink ref="I19" r:id="rId58" display="https://drive.google.com/file/d/1Q0WfxtbOrAjELH5NbiiZBIiJbROTV0nS/view?usp=drivesdk"/>
    <hyperlink ref="I20" r:id="rId59" display="https://drive.google.com/file/d/1vcG7WGv-GXVczciW9gPOxusgRwSij7CD/view?usp=drivesdk"/>
    <hyperlink ref="I21" r:id="rId60" display="https://drive.google.com/file/d/1AZidsCeiZPYD4PDH8gbw2mytLGXfZR8p/view?usp=drivesdk"/>
    <hyperlink ref="I22" r:id="rId61" display="https://drive.google.com/file/d/1szWvH7zOvAeBrdNrcH3SROsFbXNatu9B/view?usp=drivesdk"/>
    <hyperlink ref="J22" r:id="rId62" display="https://drive.google.com/file/d/1qwh4ymwm0sS_2nZXoTk7SXVyJU8BFucX/view?usp=drivesdk"/>
    <hyperlink ref="I23" r:id="rId63" display="https://drive.google.com/file/d/1de-kcd0PKtoDNwkRk64MJFUWshjmfGPI/view?usp=drivesdk"/>
    <hyperlink ref="J23" r:id="rId64" display="https://drive.google.com/file/d/1bXZ3phf28dOusGd1QeZtJlYtFH-ElNhd/view?usp=drivesdk"/>
    <hyperlink ref="K23" r:id="rId65" display="https://drive.google.com/file/d/11dZCxPwT_F3_r-Fl2Xz9f_37ejgjpIAq/view?usp=drivesdk"/>
    <hyperlink ref="L23" r:id="rId66" display="https://drive.google.com/file/d/14XS7vjxQQIvRU2EoTJ29GrKwwZGoTpTf/view?usp=drivesdk"/>
    <hyperlink ref="I24" r:id="rId67" display="https://drive.google.com/file/d/1mCahJ5rKmQrqTzkt-KFcmCKZwUxWu9hZ/view?usp=drivesdk"/>
    <hyperlink ref="J24" r:id="rId68" display="https://drive.google.com/file/d/1rTsyHp9V8yPXe-Pt4sg-5zEMzaruShuK/view?usp=drivesdk"/>
    <hyperlink ref="I25" r:id="rId69" display="https://drive.google.com/file/d/1VI9xz-_GjKsTeWiO7FrhdJkKbqP7tGrz/view?usp=drivesdk"/>
    <hyperlink ref="J25" r:id="rId70" display="https://drive.google.com/file/d/1IlhRHfhzS9JedEKAZhUVY6AHdqFic6N4/view?usp=drivesdk"/>
    <hyperlink ref="K25" r:id="rId71" display="https://drive.google.com/file/d/1iynwVSYo9hYwfOHK8JsTw5tlc5E2yTUN/view?usp=drivesdk"/>
    <hyperlink ref="I26" r:id="rId72" display="https://drive.google.com/file/d/1V2vRYuiDvcOrUlmUz1x9FWCTDYPBjUT1/view?usp=drivesdk"/>
    <hyperlink ref="J26" r:id="rId73" display="https://drive.google.com/file/d/102MYKNIZtcUq8m3RLgCEHZWBHOXdTBqp/view?usp=drivesdk"/>
    <hyperlink ref="K26" r:id="rId74" display="https://drive.google.com/file/d/1fLjv7fKNGz3i59qm2z1RyCVFgFbufz05/view?usp=drivesdk"/>
    <hyperlink ref="I27" r:id="rId75" display="https://drive.google.com/file/d/1mWuE5v0f5rrI3ZtfEQ6q41iu1HKT-i3n/view?usp=drivesdk"/>
    <hyperlink ref="J27" r:id="rId76" display="https://drive.google.com/file/d/18kBvzw3TXTny3iMqWm6PryUsraL42cyZ/view?usp=drivesdk"/>
    <hyperlink ref="I28" r:id="rId77" display="https://drive.google.com/file/d/1GNAWYq2nYQe4jPK3_XoYILcfz-N-CWT1/view?usp=drivesdk"/>
    <hyperlink ref="J28" r:id="rId78" display="https://drive.google.com/file/d/16VOCSAx5ChhapOUHxMMI7_hbxm0CdfXm/view?usp=drivesdk"/>
    <hyperlink ref="K28" r:id="rId79" display="https://drive.google.com/file/d/1VxNaxtT3ODxJESwpwZbiFNDzYayhq_2G/view?usp=drivesdk"/>
    <hyperlink ref="I29" r:id="rId80" display="https://drive.google.com/file/d/1_v2uCZRaO5-HTqg18cwMIKV4GbM3KSCq/view?usp=drivesdk"/>
    <hyperlink ref="I30" r:id="rId81" display="https://drive.google.com/file/d/1cYlkR-gIRRO_fpKcmqVTu4jFQ0p7NDsw/view?usp=drivesdk"/>
    <hyperlink ref="J30" r:id="rId82" display="https://drive.google.com/file/d/1Jyi-ATCJNIhFjqgvcfxDAGPO1Us2FBgs/view?usp=drivesdk"/>
    <hyperlink ref="K30" r:id="rId83" display="https://drive.google.com/file/d/1lr0Jku5Qv5rCNp1ZeiJHf3I8j4ef1OXh/view?usp=drivesdk"/>
    <hyperlink ref="I31" r:id="rId84" display="https://drive.google.com/file/d/1F15CvBrYZ9lPGMo469qojv-1G1377lbh/view?usp=drivesdk"/>
    <hyperlink ref="J31" r:id="rId85" display="https://drive.google.com/file/d/1sP1LdRmFoY1YAMyNZrxzZIEL_edGRtJD/view?usp=drivesdk"/>
    <hyperlink ref="I32" r:id="rId86" display="https://drive.google.com/file/d/1GzsnhCjpPdKsIACKOa7NzjOzwuSqQYiR/view?usp=drivesdk"/>
    <hyperlink ref="J32" r:id="rId87" display="https://drive.google.com/file/d/1lu3raFL5xF5uJNYV8Iwa__d54DmHhS31/view?usp=drivesdk"/>
    <hyperlink ref="K32" r:id="rId88" display="https://drive.google.com/file/d/172xVS9xsd4c7klI-cd8-vg2frysoXRWb/view?usp=drivesdk"/>
    <hyperlink ref="I33" r:id="rId89" display="https://drive.google.com/file/d/105JwGv7S-DBo9mwbQ7vmHBAeQZr87Yfh/view?usp=drivesdk"/>
    <hyperlink ref="I34" r:id="rId90" display="https://drive.google.com/file/d/1BhvpjWR2OkhgLN5H5WX8duZudO_wdcI8/view?usp=drivesdk"/>
    <hyperlink ref="J34" r:id="rId91" display="https://drive.google.com/file/d/1ugMh6HO3h1m9tdcdHUWSAzB-de1fScQX/view?usp=drivesdk"/>
    <hyperlink ref="K34" r:id="rId92" display="https://drive.google.com/file/d/1q8m0_99C1ITMS43HthBPzPktSx-oJ3zl/view?usp=drivesdk"/>
    <hyperlink ref="L34" r:id="rId93" display="https://drive.google.com/file/d/195gD17bxdlOHzCf5Dd9_ev3m4DtuO_D6/view?usp=drivesdk"/>
    <hyperlink ref="M34" r:id="rId94" display="https://drive.google.com/file/d/1TCOtK8CzvZMnE1FDL211ldDIrjFIimLq/view?usp=drivesdk"/>
    <hyperlink ref="N34" r:id="rId95" display="https://drive.google.com/file/d/1K8-QQM4-YOC2F4egx1QxzxtT4AuY3HaA/view?usp=drivesdk"/>
    <hyperlink ref="I35" r:id="rId96" display="https://drive.google.com/file/d/1BeoLs1dKWiWxr06V8SFX_-U1eBzrSRTT/view?usp=drivesdk"/>
    <hyperlink ref="I36" r:id="rId97" display="https://drive.google.com/file/d/1jqZNTnVohdB5KF-wOZOpTq2ZDvc5I0gq/view?usp=drivesdk"/>
    <hyperlink ref="J36" r:id="rId98" display="https://drive.google.com/file/d/1kCHefsbbdal6fvpIX9wTZAm37IicNKy0/view?usp=drivesdk"/>
    <hyperlink ref="K36" r:id="rId99" display="https://drive.google.com/file/d/1fLFnFLPS2kA2Asn8ZggpeGT6RQWJtiqO/view?usp=drivesdk"/>
    <hyperlink ref="I37" r:id="rId100" display="https://drive.google.com/file/d/1sRwW4xq2bwA5Jwek4RUgE8fotwdbQd2n/view?usp=drivesdk"/>
    <hyperlink ref="I38" r:id="rId101" display="https://drive.google.com/file/d/1VnV9Hy37Kg9y8H78BXm5dLJ_nCZIKsg7/view?usp=drivesdk"/>
    <hyperlink ref="J38" r:id="rId102" display="https://drive.google.com/file/d/1SkFoaWpdn-XGarY99JoSGHc2Lwd0FNoG/view?usp=drivesdk"/>
    <hyperlink ref="K38" r:id="rId103" display="https://drive.google.com/file/d/15XTE9GY-85DlPTF4iFSKR7G9GY7kUkFi/view?usp=drivesdk"/>
    <hyperlink ref="I39" r:id="rId104" display="https://drive.google.com/file/d/17J2sdQ3qzXPnlxOnW73e7FjyEnttOwmi/view?usp=drivesdk"/>
    <hyperlink ref="I40" r:id="rId105" display="https://drive.google.com/file/d/1ic6rOMdzxjoF1guhgQXVd20wI8BlJsZZ/view?usp=drivesdk"/>
    <hyperlink ref="J40" r:id="rId106" display="https://drive.google.com/file/d/19ZK_QC1m3Qk4Y2JL1Ij3VkXllFAGzRmc/view?usp=drivesdk"/>
    <hyperlink ref="I41" r:id="rId107" display="https://drive.google.com/file/d/1piss3b12krBE3VI7CZcL_iswRMKt4eDR/view?usp=drivesdk"/>
    <hyperlink ref="J41" r:id="rId108" display="https://drive.google.com/file/d/1o4oVBd377-zC5LmYTB8vfZbQ1NI6C1Be/view?usp=drivesdk"/>
    <hyperlink ref="I42" r:id="rId109" display="https://drive.google.com/file/d/1x2XlpHT5RIFtcfAVRvvZ2h9TcAXxHX6f/view?usp=drivesdk"/>
    <hyperlink ref="I43" r:id="rId110" display="https://drive.google.com/file/d/1YBOo-Vh9URMMclkKW3WZVQ5UELCoKIT2/view?usp=drivesdk"/>
    <hyperlink ref="J43" r:id="rId111" display="https://drive.google.com/file/d/1N1IoiGb2rhjqzlJVWbtJ8c1fh7Kcmn7C/view?usp=drivesdk"/>
    <hyperlink ref="I44" r:id="rId112" display="https://drive.google.com/file/d/1Av_ES4nHmhLxQIskLqhL-nMqnzSyYjg0/view?usp=drivesdk"/>
    <hyperlink ref="I45" r:id="rId113" display="https://drive.google.com/file/d/1FIH0ip7iJ7KfJ-nxV6XwrN3OXXD82_Um/view?usp=drivesdk"/>
    <hyperlink ref="J45" r:id="rId114" display="https://drive.google.com/file/d/1k23wY1n8g6pCr-JlGbaKvZFNe2oc6fy0/view?usp=drivesdk"/>
    <hyperlink ref="K45" r:id="rId115" display="https://drive.google.com/file/d/1144AAGIe9UOZppsib5hYyUgmKyRp_tXp/view?usp=drivesdk"/>
    <hyperlink ref="I46" r:id="rId116" display="https://drive.google.com/file/d/1FUCGtj3IX-Ja2FKwTX0NkfB62RZ5bwZ1/view?usp=drivesdk"/>
    <hyperlink ref="J46" r:id="rId117" display="https://drive.google.com/file/d/1esKuCCi9bGhx7AQnLmJ8uARK5ezCJsUO/view?usp=drivesdk"/>
    <hyperlink ref="K46" r:id="rId118" display="https://drive.google.com/file/d/12UGZx1R1_iTiyFN2kFwzj5R7xB5xa9XP/view?usp=drivesdk"/>
    <hyperlink ref="I47" r:id="rId119" display="https://drive.google.com/file/d/1vrTVkjH_90rdkWu5osSfC6J32_XWldV3/view?usp=drivesdk"/>
    <hyperlink ref="J47" r:id="rId120" display="https://drive.google.com/file/d/1pqYFZemcwNipMOSetTs8uKnZL6z-_fdM/view?usp=drivesdk"/>
    <hyperlink ref="K47" r:id="rId121" display="https://drive.google.com/file/d/1gY33q0gAp0QyU0PsyJvvuSMwa_xNptg4/view?usp=drivesdk"/>
    <hyperlink ref="I48" r:id="rId122" display="https://drive.google.com/file/d/1wgtC4m1fUCS-Sgoec3j6pjIMXQifW0yI/view?usp=drivesdk"/>
    <hyperlink ref="I49" r:id="rId123" display="https://drive.google.com/file/d/11zvMySE39COqb9OUs-MrBKQv6-I42NzS/view?usp=drivesdk"/>
    <hyperlink ref="J49" r:id="rId124" display="https://drive.google.com/file/d/1Bm0jijlE4mnB8HPqsSw6JWXipngL4iz2/view?usp=drivesdk"/>
    <hyperlink ref="K49" r:id="rId125" display="https://drive.google.com/file/d/17dP4gps3IT3OQNj9S1YeJNrlRzWXbXgV/view?usp=drivesdk"/>
    <hyperlink ref="L49" r:id="rId126" display="https://drive.google.com/file/d/1hZdrl2A9QSRi-z17wy3JXjdI9qGfaypz/view?usp=drivesdk"/>
    <hyperlink ref="I50" r:id="rId127" display="https://drive.google.com/file/d/1t2NGWdZP_LFWPXj1gXu_f991gjgvQmoL/view?usp=drivesdk"/>
    <hyperlink ref="J50" r:id="rId128" display="https://drive.google.com/file/d/1g2bxbzCM-zaiuHLa2acNZxbz5QOCSU_c/view?usp=drivesdk"/>
    <hyperlink ref="K50" r:id="rId129" display="https://drive.google.com/file/d/1Ma82tj4N8-nCiyotxTPJYOzBh2SqXqQO/view?usp=drivesdk"/>
    <hyperlink ref="I51" r:id="rId130" display="https://drive.google.com/file/d/12mpWP7HZRw41vA4eau1wzBtqvgm-p-f8/view?usp=drivesdk"/>
    <hyperlink ref="J51" r:id="rId131" display="https://drive.google.com/file/d/1PmsgnD-gXRezi1R1Jc6sY-PuLOSmUVnl/view?usp=drivesdk"/>
    <hyperlink ref="K51" r:id="rId132" display="https://drive.google.com/file/d/1RNZyWKryYWWULb5KQXoZdElLhiIEsV36/view?usp=drivesdk"/>
    <hyperlink ref="I52" r:id="rId133" display="https://drive.google.com/file/d/1CYpWv9w8zMqXP1ieTWykVKUWkDf5P0Rm/view?usp=drivesdk"/>
    <hyperlink ref="J52" r:id="rId134" display="https://drive.google.com/file/d/1xZ9Unf2p5mFCbo19OZiS9eTEH15gzxpw/view?usp=drivesdk"/>
    <hyperlink ref="K52" r:id="rId135" display="https://drive.google.com/file/d/1DBx9D5vrNw2a-Q3FIf_ejFUxTUJmExAv/view?usp=drivesdk"/>
    <hyperlink ref="I53" r:id="rId136" display="https://drive.google.com/file/d/1ZKwCE1AuFmwaehDXNZmGWJ0xQu_LErbM/view?usp=drivesdk"/>
    <hyperlink ref="J53" r:id="rId137" display="https://drive.google.com/file/d/1vEpE9PxFH5rdgBfNhE5s2MEekdlff_GQ/view?usp=drivesdk"/>
    <hyperlink ref="I54" r:id="rId138" display="https://drive.google.com/file/d/1vVeaYabzDVNqhSO4MTRbz8TwDMMw0nEw/view?usp=drivesdk"/>
    <hyperlink ref="J54" r:id="rId139" display="https://drive.google.com/file/d/1FrKsRoX0QTNP_e1VMIG_pZuRiQShfg-E/view?usp=drivesdk"/>
    <hyperlink ref="K54" r:id="rId140" display="https://drive.google.com/file/d/1hZW3Ng05FdrODQ7Rsts5GaQBi-ZYb2rg/view?usp=drivesdk"/>
    <hyperlink ref="L54" r:id="rId141" display="https://drive.google.com/file/d/18h9a7Ji-y3Hmp_LpUyZa85omfscg3Vpo/view?usp=drivesdk"/>
    <hyperlink ref="I55" r:id="rId142" display="https://drive.google.com/file/d/1gW8hPWB6dGpDNLHFLLoNdSJ3J65vBPZ3/view?usp=drivesdk"/>
    <hyperlink ref="J55" r:id="rId143" display="https://drive.google.com/file/d/1uIGluIXNJ4aMhyH7nO1c3p5ogcNcZlOH/view?usp=drivesdk"/>
    <hyperlink ref="I56" r:id="rId144" display="https://drive.google.com/file/d/1xOyYciyIe85ZAe__kHLyIQ3uPoodvxxZ/view?usp=drivesdk"/>
    <hyperlink ref="J56" r:id="rId145" display="https://drive.google.com/file/d/1AeM4Tgdm68PDKQ90UuzBYZspHrnybHzo/view?usp=drivesdk"/>
    <hyperlink ref="K56" r:id="rId146" display="https://drive.google.com/file/d/1nruXBJvV64k9a_N0BaKLLGT3rAWb99uT/view?usp=drivesdk"/>
    <hyperlink ref="I57" r:id="rId147" display="https://drive.google.com/file/d/1zxvdIciOOV0DLz1wcbysHtL_gD62GAyR/view?usp=drivesdk"/>
    <hyperlink ref="J57" r:id="rId148" display="https://drive.google.com/file/d/1sQJIPr7u0KWdiUOndcpWlp-pRMQ5dmP4/view?usp=drivesdk"/>
    <hyperlink ref="K57" r:id="rId149" display="https://drive.google.com/file/d/1gpHHF98stn_ovmfQAN9reGjc05bhkHiY/view?usp=drivesdk"/>
    <hyperlink ref="I58" r:id="rId150" display="https://drive.google.com/file/d/1_nu7uS2uS0-q9ErDLKHb6xAv4G00OY-q/view?usp=drivesdk"/>
    <hyperlink ref="I59" r:id="rId151" display="https://drive.google.com/file/d/1kDjkA9ZpS6_Y52GLT-5XYU0NAm8rgiMw/view?usp=drivesdk"/>
    <hyperlink ref="I60" r:id="rId152" display="https://drive.google.com/file/d/1t-2FOv8ohtFRp1iByWvuuRJ9wQlGSCwp/view?usp=drivesdk"/>
    <hyperlink ref="I61" r:id="rId153" display="https://drive.google.com/file/d/1-3WOhxnbmlobiTGWpV7s14WIuWoAcjkX/view?usp=drivesdk"/>
    <hyperlink ref="J61" r:id="rId154" display="https://drive.google.com/file/d/17AX_T6QdXJPB61XxE_lFI5CoP5NHY_bG/view?usp=drivesdk"/>
    <hyperlink ref="K61" r:id="rId155" display="https://drive.google.com/file/d/1vVScfEB4FrCBpcZCJBhMn7pY2RukralT/view?usp=drivesdk"/>
    <hyperlink ref="I62" r:id="rId156" display="https://drive.google.com/file/d/1UyK3EEBY43jN4dtzr4eodKBppJx9JdTp/view?usp=drivesdk"/>
    <hyperlink ref="J62" r:id="rId157" display="https://drive.google.com/file/d/1-uX9qf8Y7JhgUR0XlWo84eT-pXmT8PGQ/view?usp=drivesdk"/>
    <hyperlink ref="K62" r:id="rId158" display="https://drive.google.com/file/d/1I0NOZOsevptsEXbXnMM-rZs33-Fx9kdb/view?usp=drivesdk"/>
    <hyperlink ref="I63" r:id="rId159" display="https://drive.google.com/file/d/1q9DlLsVbFXu0nSswIfUdrI5omblSUPNU/view?usp=drivesdk"/>
    <hyperlink ref="J63" r:id="rId160" display="https://drive.google.com/file/d/1B3BOLcK2whiMQEgT2RvuEOa65DOYAN79/view?usp=drivesdk"/>
    <hyperlink ref="I64" r:id="rId161" display="https://drive.google.com/file/d/18XAB4B6V74pP71XBXsy00PbxepH-sWlw/view?usp=drivesdk"/>
    <hyperlink ref="J64" r:id="rId162" display="https://drive.google.com/file/d/1hOu4PG8BbND7vr6T_UCl_ylGffgFT-KU/view?usp=drivesdk"/>
    <hyperlink ref="K64" r:id="rId163" display="https://drive.google.com/file/d/1FVoppotSGy_mggipcniXO8LzqXNVp4mm/view?usp=drivesdk"/>
    <hyperlink ref="L64" r:id="rId164" display="https://drive.google.com/file/d/1KdhEJAH8xZfn4BwqXjYgK-8l7-Qvip9e/view?usp=drivesdk"/>
    <hyperlink ref="I65" r:id="rId165" display="https://drive.google.com/file/d/165CfjjISgNPZY_5jT8-VKamYqRyYMEKB/view?usp=drivesdk"/>
    <hyperlink ref="J65" r:id="rId166" display="https://drive.google.com/file/d/11WKA0mInrWYa-VyBJwh1BDXRkEQqWsec/view?usp=drivesdk"/>
    <hyperlink ref="I66" r:id="rId167" display="https://drive.google.com/file/d/1b0GrSYLcDzd1Ai6fnx9B7gBzea1-HjL7/view?usp=drivesdk"/>
    <hyperlink ref="J66" r:id="rId168" display="https://drive.google.com/file/d/1R4lm3Mqn_rsx8-fQybuAnvKPZ4lQycya/view?usp=drivesdk"/>
    <hyperlink ref="K66" r:id="rId169" display="https://drive.google.com/file/d/1zCm692RN9iZE-C9DtzqwhsTuZHLBqgiC/view?usp=drivesdk"/>
    <hyperlink ref="I67" r:id="rId170" display="https://drive.google.com/file/d/17C1-21XSQlgpJGTpy43QsHcmRM0MRDI-/view?usp=drivesdk"/>
    <hyperlink ref="J67" r:id="rId171" display="https://drive.google.com/file/d/14RGZXNUnuCqriLg2HnIZw8xnug79Gtxm/view?usp=drivesdk"/>
    <hyperlink ref="K67" r:id="rId172" display="https://drive.google.com/file/d/17GllnvNgF4vHDPE11zyW4uemhmaH5nhl/view?usp=drivesdk"/>
    <hyperlink ref="I68" r:id="rId173" display="https://drive.google.com/file/d/1UJJZGLi6PKI03YlrAr_IK4nEF7p2dCxj/view?usp=drivesdk"/>
    <hyperlink ref="J68" r:id="rId174" display="https://drive.google.com/file/d/1Ocs_vQuHKZtVw1pSp5ENRlH75k4djOHo/view?usp=drivesdk"/>
    <hyperlink ref="K68" r:id="rId175" display="https://drive.google.com/file/d/1I01oIr8_5zdvp5yMgKW5jEK_4yy8YNlb/view?usp=drivesdk"/>
    <hyperlink ref="L68" r:id="rId176" display="https://drive.google.com/file/d/1ub9jYAcxcl_Zj2QqoYiAjinaBXVYH8PR/view?usp=drivesdk"/>
    <hyperlink ref="I69" r:id="rId177" display="https://drive.google.com/file/d/1IeDXJwmpE7M09dyfW2f2I0Tkt9KDPf2w/view?usp=drivesdk"/>
    <hyperlink ref="J69" r:id="rId178" display="https://drive.google.com/file/d/1oBio0CbKSG6duAlxHMdWrY8Pk94FB7Rx/view?usp=drivesdk"/>
    <hyperlink ref="K69" r:id="rId179" display="https://drive.google.com/file/d/16mOemvziOJDp8R-yoWnLxs_t4ew3OwL4/view?usp=drivesdk"/>
    <hyperlink ref="I70" r:id="rId180" display="https://drive.google.com/file/d/1aeTbowteK-Ta-_BM2ERs-URqfR1SD5ON/view?usp=drivesdk"/>
    <hyperlink ref="J70" r:id="rId181" display="https://drive.google.com/file/d/1cj2pa26GbY26K9_9IVyHTgFZ7rBffmI0/view?usp=drivesdk"/>
    <hyperlink ref="K70" r:id="rId182" display="https://drive.google.com/file/d/1Vc4ZFc1M8LnMvDbU5yz2wepAviJXzKAk/view?usp=drivesdk"/>
    <hyperlink ref="I71" r:id="rId183" display="https://drive.google.com/file/d/10TJGQEvkfhQ70T0ERoLcH1_MHk7ttYAQ/view?usp=drivesdk"/>
    <hyperlink ref="J71" r:id="rId184" display="https://drive.google.com/file/d/1cQOQncDX37CAKX_yQ7MQlCU7yms3mPQF/view?usp=drivesdk"/>
    <hyperlink ref="K71" r:id="rId185" display="https://drive.google.com/file/d/18gFgLN1uj394ajkENDylYkcUUWy0rTrG/view?usp=drivesdk"/>
    <hyperlink ref="I72" r:id="rId186" display="https://drive.google.com/file/d/1UL1_Zvoe-ZycPiKGaq9ORMHn3gaYxCYs/view?usp=drivesdk"/>
    <hyperlink ref="I73" r:id="rId187" display="https://drive.google.com/file/d/17hOcu0xixxn5elWIYE4bfupSU2F4WYPA/view?usp=drivesdk"/>
    <hyperlink ref="J73" r:id="rId188" display="https://drive.google.com/file/d/1Vy033mBp_UASbYDUyk3-J_oVcEmPao0h/view?usp=drivesdk"/>
    <hyperlink ref="K73" r:id="rId189" display="https://drive.google.com/file/d/1CSTv477ATZysaRzXrgkKzjslXGytIdZo/view?usp=drivesdk"/>
    <hyperlink ref="I74" r:id="rId190" display="https://drive.google.com/file/d/1yXMVy-hlv7-_2CHFAWu31tqCyBE3nn40/view?usp=drivesdk"/>
    <hyperlink ref="J74" r:id="rId191" display="https://drive.google.com/file/d/1LU9BprOc67BK8O-hpR3fCPb5Tx4ctoYv/view?usp=drivesdk"/>
    <hyperlink ref="K74" r:id="rId192" display="https://drive.google.com/file/d/1fFxz2cbPi_yt-VVk0tVdnPap6hUmGT8y/view?usp=drivesdk"/>
    <hyperlink ref="I75" r:id="rId193" display="https://drive.google.com/file/d/12lGiSXbKo_o-FJKNJn2CK_PhonEG6XXZ/view?usp=drivesdk"/>
    <hyperlink ref="J75" r:id="rId194" display="https://drive.google.com/file/d/1lIDXuhTi6n9b0vUsenbnEHUWxLv22xMI/view?usp=drivesdk"/>
    <hyperlink ref="I76" r:id="rId195" display="https://drive.google.com/file/d/1V_YTbYToOdP5q2vzFwNityUCKtBBvDkI/view?usp=drivesdk"/>
    <hyperlink ref="J76" r:id="rId196" display="https://drive.google.com/file/d/1cjpu7jVmk4NvRiLuXK_hY_e7aGQVhEsu/view?usp=drivesdk"/>
    <hyperlink ref="K76" r:id="rId197" display="https://drive.google.com/file/d/1qvME0TyxKacf_6fJcTtXmvpMxJrfHkKv/view?usp=drivesdk"/>
    <hyperlink ref="L76" r:id="rId198" display="https://drive.google.com/file/d/1_H1H_gcERxe77ODpsF8tbVKtR9Hkzaut/view?usp=drivesdk"/>
    <hyperlink ref="I77" r:id="rId199" display="https://drive.google.com/file/d/1nk8uUWOGrRnksWI7eiSAKbztXlbHijeP/view?usp=drivesdk"/>
    <hyperlink ref="J77" r:id="rId200" display="https://drive.google.com/file/d/1VLUqVsdL5qi1wsR3drLfcL9EgV-bwmCw/view?usp=drivesdk"/>
    <hyperlink ref="I78" r:id="rId201" display="https://drive.google.com/file/d/1zy23Jp05ths2czFOhDv8D6uF5ZtkaLXq/view?usp=drivesdk"/>
    <hyperlink ref="J78" r:id="rId202" display="https://drive.google.com/file/d/1IBNPaAjTp7LY2wv-mPTMlwmcyAaTLDdF/view?usp=drivesdk"/>
    <hyperlink ref="K78" r:id="rId203" display="https://drive.google.com/file/d/1huN0ZXPG3b7k0d8iLUjRvLSJZxikJkwc/view?usp=drivesdk"/>
    <hyperlink ref="I79" r:id="rId204" display="https://drive.google.com/file/d/1BoRNal4JcF59flk04-LsXVcSVJF4FnA3/view?usp=drivesdk"/>
    <hyperlink ref="J79" r:id="rId205" display="https://drive.google.com/file/d/1qyN0A6o2zpKjvun28KPWxlvvtkH93G5o/view?usp=drivesdk"/>
    <hyperlink ref="I80" r:id="rId206" display="https://drive.google.com/file/d/1UFmYqX0dOYim0Tf9xzTGD_7IY5fFE9Jf/view?usp=drivesdk"/>
    <hyperlink ref="J80" r:id="rId207" display="https://drive.google.com/file/d/18fwoVLdW1lU6fT_DQMXR6feCxUcNIZCE/view?usp=drivesdk"/>
    <hyperlink ref="K80" r:id="rId208" display="https://drive.google.com/file/d/1FH3PpzS-SFM2r6P9KZYuEooPaXiPj7ky/view?usp=drivesdk"/>
    <hyperlink ref="I81" r:id="rId209" display="https://drive.google.com/file/d/1kKmCB4AyTAVE33_rUOMes_OLGj9_qAOB/view?usp=drivesdk"/>
    <hyperlink ref="J81" r:id="rId210" display="https://drive.google.com/file/d/1MaiWfsvyrC1E1LlYIXV-L5vNS8xZZSgI/view?usp=drivesdk"/>
    <hyperlink ref="I82" r:id="rId211" display="https://drive.google.com/file/d/18-Gu3FENLDqnAdK6UaKp2z70Pvq82Wr2/view?usp=drivesdk"/>
    <hyperlink ref="J82" r:id="rId212" display="https://drive.google.com/file/d/18OI8VelHk6xM0eiEhTpLFFJzyqijMrdm/view?usp=drivesdk"/>
    <hyperlink ref="K82" r:id="rId213" display="https://drive.google.com/file/d/11BTpfAxIZ7pr4KXOngB0ra7uqU5_2O-A/view?usp=drivesdk"/>
    <hyperlink ref="L82" r:id="rId214" display="https://drive.google.com/file/d/1D7_G8EVz5GA-g7GUPRQPnx6Ar_VfrqtP/view?usp=drivesdk"/>
    <hyperlink ref="M82" r:id="rId215" display="https://drive.google.com/file/d/1u4jeWwXyf6xmC7qHZrO4SkUgrsVoGX7m/view?usp=drivesdk"/>
    <hyperlink ref="N82" r:id="rId216" display="https://drive.google.com/file/d/1HUOktc9IMkN_o-VerPqICgtSAE-_5ubx/view?usp=drivesdk"/>
    <hyperlink ref="O82" r:id="rId217" display="https://drive.google.com/file/d/1LGO6iYm9tuSdXPXfL6Cmxb6vFnU13VWD/view?usp=drivesdk"/>
    <hyperlink ref="P82" r:id="rId218" display="https://drive.google.com/file/d/1Cbfk33F0ORmvDZeGe1SsCmWlRWHlQ953/view?usp=drivesdk"/>
    <hyperlink ref="I83" r:id="rId219" display="https://drive.google.com/file/d/1XAdjedPUVimsU32-z_us_MPtoW_ZQMQo/view?usp=drivesdk"/>
    <hyperlink ref="J83" r:id="rId220" display="https://drive.google.com/file/d/1fwFCQZsuMUDCY4kKd4f_TPKbFjYlmFBG/view?usp=drivesdk"/>
    <hyperlink ref="K83" r:id="rId221" display="https://drive.google.com/file/d/1w5TPeQwZMVhTZ3NWviqiXh1biAXbjxHk/view?usp=drivesdk"/>
    <hyperlink ref="I84" r:id="rId222" display="https://drive.google.com/file/d/1H55-IqVwayd0w0kbuPYZg4_-x5P-Zr1-/view?usp=drivesdk"/>
    <hyperlink ref="J84" r:id="rId223" display="https://drive.google.com/file/d/1EHbFaWNebYiFfX-PO5EmRF653OqMTPqT/view?usp=drivesdk"/>
    <hyperlink ref="K84" r:id="rId224" display="https://drive.google.com/file/d/16uYPsDYJEFfev8rsdgl_K2fScEhm7pKj/view?usp=drivesdk"/>
    <hyperlink ref="I85" r:id="rId225" display="https://drive.google.com/file/d/1Kor6kTGYhi74srteLoYY_kTb7LjVR9dj/view?usp=drivesdk"/>
    <hyperlink ref="I86" r:id="rId226" display="https://drive.google.com/file/d/1MaqlPz1vKyc-TiLIEQBe3sXKvxhfMjwl/view?usp=drivesdk"/>
    <hyperlink ref="I87" r:id="rId227" display="https://drive.google.com/file/d/1W_vvnqFSswsyvgR3-6cIocNL_aZpOo7w/view?usp=drivesdk"/>
    <hyperlink ref="J87" r:id="rId228" display="https://drive.google.com/file/d/1ZnIJfYUHwAcM7hEJkLmYQcer9VmGgMzf/view?usp=drivesdk"/>
    <hyperlink ref="K87" r:id="rId229" display="https://drive.google.com/file/d/1STjVOOgndB7qqVn9_1mesLDNvAKmnmxy/view?usp=drivesdk"/>
    <hyperlink ref="L87" r:id="rId230" display="https://drive.google.com/file/d/1X41ANWRUiwXcetn6h4q6IvaUrHgK19aZ/view?usp=drivesdk"/>
    <hyperlink ref="M87" r:id="rId231" display="https://drive.google.com/file/d/1IJWfEqJg6X4FpMtCLFqSKaJNlhMyNp2Z/view?usp=drivesdk"/>
    <hyperlink ref="I88" r:id="rId232" display="https://drive.google.com/file/d/1dS8Mwy-3sYzedLn_YNMENLIzBO1oND2H/view?usp=drivesdk"/>
    <hyperlink ref="J88" r:id="rId233" display="https://drive.google.com/file/d/1khQP6hU2-dAzAiL1-C0adoLq71mYGCwy/view?usp=drivesdk"/>
    <hyperlink ref="K88" r:id="rId234" display="https://drive.google.com/file/d/1p3OeT1I9wiUftBGjdklZdYsAr33BvW95/view?usp=drivesdk"/>
    <hyperlink ref="I89" r:id="rId235" display="https://drive.google.com/file/d/1LvIRw5TeoqEGBqv3zMEMvXMr0UO_r_YW/view?usp=drivesdk"/>
    <hyperlink ref="I90" r:id="rId236" display="https://drive.google.com/file/d/1sY40XWwX9P4NfMddJY0UVpy9cF7OLc42/view?usp=drivesdk"/>
    <hyperlink ref="J90" r:id="rId237" display="https://drive.google.com/file/d/16yaAEFXxQhbSDBO4jcBDtkE3-3n7r6bY/view?usp=drivesdk"/>
    <hyperlink ref="I91" r:id="rId238" display="https://drive.google.com/file/d/1XvjduTsc3V4ZRlmw-u8PCx1caWYUJaRj/view?usp=drivesdk"/>
    <hyperlink ref="I92" r:id="rId239" display="https://drive.google.com/file/d/1As3YfUxvsOcylLC--4Tk8ogwKyRlcJm4/view?usp=drivesdk"/>
    <hyperlink ref="J92" r:id="rId240" display="https://drive.google.com/file/d/1GdS7_G9SILzgl0pnCZQ3sOczBgsgGE6-/view?usp=drivesdk"/>
    <hyperlink ref="I93" r:id="rId241" display="https://drive.google.com/file/d/1xeDj0jGQ6irZHl3iEIsArVelZNEHyeso/view?usp=drivesdk"/>
    <hyperlink ref="J93" r:id="rId242" display="https://drive.google.com/file/d/17o0bCCr0P8tjsI4mj8SrXt1Bcx__SPa_/view?usp=drivesdk"/>
    <hyperlink ref="K93" r:id="rId243" display="https://drive.google.com/file/d/1YnPUUSjugL670UUMGtUK2kzoVCxsB1i4/view?usp=drivesdk"/>
    <hyperlink ref="L93" r:id="rId244" display="https://drive.google.com/file/d/1CwLpBGPvPGlS8AiupfzYr5WeV8bAoiah/view?usp=drivesdk"/>
    <hyperlink ref="M93" r:id="rId245" display="https://drive.google.com/file/d/1Myv5a1kdvls0vBvTYRhi6riZ3iTkkxv1/view?usp=drivesdk"/>
    <hyperlink ref="I94" r:id="rId246" display="https://drive.google.com/file/d/1R_izktjLRGxqJghDNxSkHWDfQg6qyWU9/view?usp=drivesdk"/>
    <hyperlink ref="J94" r:id="rId247" display="https://drive.google.com/file/d/13R-Ucd6ayPAGUZnMNXz1ZVPJpjVa2Dyk/view?usp=drivesdk"/>
    <hyperlink ref="K94" r:id="rId248" display="https://drive.google.com/file/d/1yYCQxRsBwkLg5DyljTBhQH2Y4hv8md3w/view?usp=drivesdk"/>
    <hyperlink ref="I95" r:id="rId249" display="https://drive.google.com/file/d/1l8eoOJubdU8q0FUy04Oa-BiXeKMpuKy3/view?usp=drivesdk"/>
    <hyperlink ref="J95" r:id="rId250" display="https://drive.google.com/file/d/1U3X4T8kSNOfD7jQSv3sBqsAC2wCNbI_c/view?usp=drivesdk"/>
    <hyperlink ref="K95" r:id="rId251" display="https://drive.google.com/file/d/1KlOho6hW61lYMJd8SbgymSfx65LqvOA1/view?usp=drivesdk"/>
    <hyperlink ref="L95" r:id="rId252" display="https://drive.google.com/file/d/1UxIVm5q9dBctidgq-Digi34-cRP95NHr/view?usp=drivesdk"/>
    <hyperlink ref="I96" r:id="rId253" display="https://drive.google.com/file/d/17-QKw3MO-tqq1JxA_NqQPqvPn4F4_s2s/view?usp=drivesdk"/>
    <hyperlink ref="J96" r:id="rId254" display="https://drive.google.com/file/d/1Rt6CiZIG1T2mz79CnajA5LSOugr9-aCT/view?usp=drivesdk"/>
    <hyperlink ref="I97" r:id="rId255" display="https://drive.google.com/file/d/1UIS8XI6a2s8Z8FwwunlO5Vu6cNJ9Acf1/view?usp=drivesdk"/>
    <hyperlink ref="J97" r:id="rId256" display="https://drive.google.com/file/d/1B5NySbiSim0VoXviYbeHD2h5unO77mO3/view?usp=drivesdk"/>
    <hyperlink ref="K97" r:id="rId257" display="https://drive.google.com/file/d/1XFENCt44wdkIu_kdZkgsjwNq8eVUuacW/view?usp=drivesdk"/>
    <hyperlink ref="L97" r:id="rId258" display="https://drive.google.com/file/d/1XViPp2drwviedRjn4RNJS8Nup1zuivZg/view?usp=drivesdk"/>
    <hyperlink ref="M97" r:id="rId259" display="https://drive.google.com/file/d/1NAgZDIVVfnh79JyVd73nc4OY2hBN2BXR/view?usp=drivesdk"/>
    <hyperlink ref="N97" r:id="rId260" display="https://drive.google.com/file/d/1ms7-MlqX-Kqusfu-3zp2P-Zgp7Xvxhau/view?usp=drivesdk"/>
    <hyperlink ref="O97" r:id="rId261" display="https://drive.google.com/file/d/1RTLv8651bFCJ3kz32BjSGlFBR1EcktQ2/view?usp=drivesdk"/>
    <hyperlink ref="P97" r:id="rId262" display="https://drive.google.com/file/d/1sp4rC5OaPllQC78iHEdjZYcTeH5rmvgI/view?usp=drivesdk"/>
    <hyperlink ref="Q97" r:id="rId263" display="https://drive.google.com/file/d/1292EEbYEaJYMO_ITVq18s40hSj4GW2Fv/view?usp=drivesdk"/>
    <hyperlink ref="I98" r:id="rId264" display="https://drive.google.com/file/d/12BSP5GqKss7LYnGk2C_mBTNqsT-9foYc/view?usp=drivesdk"/>
    <hyperlink ref="J98" r:id="rId265" display="https://drive.google.com/file/d/1IoxmU-Gg7OBhAmx8d5A-2vjuu8wSZMqn/view?usp=drivesdk"/>
    <hyperlink ref="K98" r:id="rId266" display="https://drive.google.com/file/d/18bRb4K9Nrs1Bo-I4NsYrichF1ShdfWhP/view?usp=drivesdk"/>
    <hyperlink ref="I99" r:id="rId267" display="https://drive.google.com/file/d/1q63DkGLdsGRu7_njG83pmr3snfSRsTYe/view?usp=drivesdk"/>
    <hyperlink ref="J99" r:id="rId268" display="https://drive.google.com/file/d/1bvqJt80SHE7zW5e9DmNSjuBzBC2XVmdq/view?usp=drivesdk"/>
    <hyperlink ref="K99" r:id="rId269" display="https://drive.google.com/file/d/1x1XZulZ-GYZpG9ix40Ur5MWZEgBusxeT/view?usp=drivesdk"/>
    <hyperlink ref="L99" r:id="rId270" display="https://drive.google.com/file/d/1fLFihubRCOdo9MRiJk9T9l5i-9EQIXMb/view?usp=drivesdk"/>
    <hyperlink ref="M99" r:id="rId271" display="https://drive.google.com/file/d/1Erv5vHeNKQ9EDVBcJGVfjBnFmsXZKGQN/view?usp=drivesdk"/>
    <hyperlink ref="N99" r:id="rId272" display="https://drive.google.com/file/d/1W9LO6SqznloUVMX4DGQIGMy70s1eho8e/view?usp=drivesdk"/>
    <hyperlink ref="O99" r:id="rId273" display="https://drive.google.com/file/d/159L6CYuTE3VTicBy_muMjlGTKFmttZlt/view?usp=drivesdk"/>
    <hyperlink ref="P99" r:id="rId274" display="https://drive.google.com/file/d/1o8kJwJlQeT9giHrz_2aue-bdjOV22Zhi/view?usp=drivesdk"/>
    <hyperlink ref="Q99" r:id="rId275" display="https://drive.google.com/file/d/1qOZDZ3ndBoFLQNlF7VWOYy0tzReAynXI/view?usp=drivesdk"/>
    <hyperlink ref="I100" r:id="rId276" display="https://drive.google.com/file/d/1ltCrSAoACdMCFLMNKdo1aRcrDc2rPEtI/view?usp=drivesdk"/>
    <hyperlink ref="J100" r:id="rId277" display="https://drive.google.com/file/d/1jFjTHhnnAo6zbLi1znxG02_FNokd60Wp/view?usp=drivesdk"/>
    <hyperlink ref="K100" r:id="rId278" display="https://drive.google.com/file/d/1RhLhwBKi2WFZCqotXTTZeXlRXrgcDgHK/view?usp=drivesdk"/>
    <hyperlink ref="I101" r:id="rId279" display="https://drive.google.com/file/d/1823X1koejdtVPFKnkcaaffWpgJjUVqkb/view?usp=drivesdk"/>
    <hyperlink ref="J101" r:id="rId280" display="https://drive.google.com/file/d/1r5Yoz8s_X_DY4xrDdQQL4qHmlDUkKfaG/view?usp=drivesdk"/>
    <hyperlink ref="K101" r:id="rId281" display="https://drive.google.com/file/d/10f1n8eV_Z8ximqLVOEN3NXke0t4tgd8L/view?usp=drivesdk"/>
    <hyperlink ref="L101" r:id="rId282" display="https://drive.google.com/file/d/19g76gPrN5wCCeCw4sWjdXwNa5f3DH8cR/view?usp=drivesdk"/>
    <hyperlink ref="M101" r:id="rId283" display="https://drive.google.com/file/d/19XHqnJEp8yr9s1XhGfgsYNtyyFZJg-of/view?usp=drivesdk"/>
    <hyperlink ref="N101" r:id="rId284" display="https://drive.google.com/file/d/1bvT7OfQps9NRzuLt7FWXKqllvFZ2XyWh/view?usp=drivesdk"/>
    <hyperlink ref="I102" r:id="rId285" display="https://drive.google.com/file/d/13JwhxNRTHu748LiqCFqsaoe7HIyVPkCF/view?usp=drivesdk"/>
    <hyperlink ref="J102" r:id="rId286" display="https://drive.google.com/file/d/1ZkScgElZ9v1l2YNdE9sPcq6WYvUk2RTN/view?usp=drivesdk"/>
    <hyperlink ref="K102" r:id="rId287" display="https://drive.google.com/file/d/1vyZuWOVpNvhOS3IxIucsMkTW5uO5XhHo/view?usp=drivesdk"/>
    <hyperlink ref="L102" r:id="rId288" display="https://drive.google.com/file/d/1pLCVnaM2PaFFwVI6g5SRJf1eUrBUupwn/view?usp=drivesdk"/>
    <hyperlink ref="I103" r:id="rId289" display="https://drive.google.com/file/d/1WJak2R3v3NVuuzcJKDribI-XWuPQJ8nS/view?usp=drivesdk"/>
    <hyperlink ref="J103" r:id="rId290" display="https://drive.google.com/file/d/1YHTymtl5yDj4_sW21wR_iL6KUG-zTJG_/view?usp=drivesdk"/>
    <hyperlink ref="K103" r:id="rId291" display="https://drive.google.com/file/d/13MrHmt5o-wpNfiYTfZESl6IvjRH-s5Tk/view?usp=drivesdk"/>
    <hyperlink ref="I104" r:id="rId292" display="https://drive.google.com/file/d/1Lsi2SYUABFaZP6z2KyI9f6UCLnI9bmHI/view?usp=drivesdk"/>
    <hyperlink ref="J104" r:id="rId293" display="https://drive.google.com/file/d/1e84UuKloOf9tsG4p7EbWtwyo6q4V7E8d/view?usp=drivesdk"/>
    <hyperlink ref="K104" r:id="rId294" display="https://drive.google.com/file/d/1rqCQ0AffNdR7W3PptACiuITqV3pYX5Hs/view?usp=drivesdk"/>
    <hyperlink ref="L104" r:id="rId295" display="https://drive.google.com/file/d/14G7LLiww3R4RsT151tb6xuVJr6CNPe9U/view?usp=drivesdk"/>
    <hyperlink ref="I105" r:id="rId296" display="https://drive.google.com/file/d/1bPMXKV6e1FbU5RTeha8Qwmp1L9Hm3TsA/view?usp=drivesdk"/>
    <hyperlink ref="J105" r:id="rId297" display="https://drive.google.com/file/d/1_vnzQh5OZHZC1YILlQbcYLoSmOsOVsDQ/view?usp=drivesdk"/>
    <hyperlink ref="K105" r:id="rId298" display="https://drive.google.com/file/d/1Jjy91M9SandDMlHfdx68QG706y9eekSS/view?usp=drivesdk"/>
    <hyperlink ref="I106" r:id="rId299" display="https://drive.google.com/file/d/1kNJOMN2zPAiHAwkIYtVA0mNaHFtPsJq0/view?usp=drivesdk"/>
    <hyperlink ref="J106" r:id="rId300" display="https://drive.google.com/file/d/1tRsdwLxnPdgTDwcOA0tXPoVE_rir8Ok6/view?usp=drivesdk"/>
    <hyperlink ref="K106" r:id="rId301" display="https://drive.google.com/file/d/1Go7aREaiTR-VY319uaZJUaLblWlozQg2/view?usp=drivesdk"/>
    <hyperlink ref="I107" r:id="rId302" display="https://drive.google.com/file/d/1LKe6bnZIa1KqNl0hYwH9FUaVnJGVX4bM/view?usp=drivesdk"/>
    <hyperlink ref="I108" r:id="rId303" display="https://drive.google.com/file/d/1W1v3mgdMUoykY1EQYai2koe3ED03Sv6L/view?usp=drivesdk"/>
    <hyperlink ref="J108" r:id="rId304" display="https://drive.google.com/file/d/1k2QYMavh4IIlcaEPNPmFmT3H24bmu-X6/view?usp=drivesdk"/>
    <hyperlink ref="K108" r:id="rId305" display="https://drive.google.com/file/d/1P1jdN6ZD_dm0LqoiLO-KiPjshGPwIN8o/view?usp=drivesdk"/>
    <hyperlink ref="L108" r:id="rId306" display="https://drive.google.com/file/d/1dpAMPlgYN-GwdbpXjEHx39SrthVfuJ0T/view?usp=drivesdk"/>
    <hyperlink ref="I109" r:id="rId307" display="https://drive.google.com/file/d/1XeloO5LacVjYvKCX_HzqXclaoXKDFu_u/view?usp=drivesdk"/>
    <hyperlink ref="J109" r:id="rId308" display="https://drive.google.com/file/d/13cFMo1EiZD6Rq28d_koLc1aRZIHbXhP3/view?usp=drivesdk"/>
    <hyperlink ref="K109" r:id="rId309" display="https://drive.google.com/file/d/1jZP3I5s8SNsZ9oIHLDEmQ9F0a6LcA50g/view?usp=drivesdk"/>
    <hyperlink ref="I110" r:id="rId310" display="https://drive.google.com/file/d/1KpSJLPmYYgiDEyCqn1jb3m7ABMNnMqrz/view?usp=drivesdk"/>
    <hyperlink ref="J110" r:id="rId311" display="https://drive.google.com/file/d/13jedB2PDSmSs_4Lavq_bdn2MZtB43Sm_/view?usp=drivesdk"/>
    <hyperlink ref="I111" r:id="rId312" display="https://drive.google.com/file/d/1a6avFXYw8gAYJrRv_iLgveLOPI1C8caf/view?usp=drivesdk"/>
    <hyperlink ref="I112" r:id="rId313" display="https://drive.google.com/file/d/1nQWg4d5fUHEUDZvefUrjiIY2SDA0y7jD/view?usp=drivesdk"/>
    <hyperlink ref="I113" r:id="rId314" display="https://drive.google.com/file/d/1NGhhuCUEwo7W2-1ZXF7UgCd-esidG7qk/view?usp=drivesdk"/>
    <hyperlink ref="I114" r:id="rId315" display="https://drive.google.com/file/d/1X6-8eXDINmnt1lhmL_mFcjOYPTtGs0fR/view?usp=drivesdk"/>
    <hyperlink ref="J114" r:id="rId316" display="https://drive.google.com/file/d/1kxZX0ueiAPX1rdxcZQtT9mspWw5unrWO/view?usp=drivesdk"/>
    <hyperlink ref="I115" r:id="rId317" display="https://drive.google.com/file/d/1UIYy7PxMLblxE_amIUuuo08V0ZkDiEF5/view?usp=drivesdk"/>
    <hyperlink ref="J115" r:id="rId318" display="https://drive.google.com/file/d/1ReD3m5mKgMTqEPNyhuQxxpM0BeNw4kPf/view?usp=drivesdk"/>
    <hyperlink ref="K115" r:id="rId319" display="https://drive.google.com/file/d/1iOfUsUvHDPfwKoGU9vjJ2_6pGGQtcNok/view?usp=drivesdk"/>
    <hyperlink ref="L115" r:id="rId320" display="https://drive.google.com/file/d/1h54ZbWLA72AjLioGPBT-I8hr1GbXOhXN/view?usp=drivesdk"/>
    <hyperlink ref="M115" r:id="rId321" display="https://drive.google.com/file/d/1K6DJColOs8GPwPbsSfP3lp2SiNl3Z-Hu/view?usp=drivesdk"/>
    <hyperlink ref="N115" r:id="rId322" display="https://drive.google.com/file/d/1ikQiJRjo_DZXzpz8O34MI2GBnlaYvp5J/view?usp=drivesdk"/>
    <hyperlink ref="I116" r:id="rId323" display="https://drive.google.com/file/d/1KjYkm5XJ2ATIjJHZtwEO68xpmbK2YTzO/view?usp=drivesdk"/>
    <hyperlink ref="J116" r:id="rId324" display="https://drive.google.com/file/d/1_JXoKTEQA67LQpC5a3s2Pun8aqLCwJgm/view?usp=drivesdk"/>
    <hyperlink ref="K116" r:id="rId325" display="https://drive.google.com/file/d/1-M_xZAeMGMYpn7eThB_WCkFkeJqlJ_F7/view?usp=drivesdk"/>
    <hyperlink ref="L116" r:id="rId326" display="https://drive.google.com/file/d/1t2--MDwhkLbDP2MFyXNUiZzTzp5XQuC_/view?usp=drivesdk"/>
    <hyperlink ref="I117" r:id="rId327" display="https://drive.google.com/file/d/1B4gtd1lIJ-viulm5RPm84CCEM2dQAmDA/view?usp=drivesdk"/>
    <hyperlink ref="J117" r:id="rId328" display="https://drive.google.com/file/d/13o-_fetv56JzShbGAhaSCa6v5tVXCNIv/view?usp=drivesdk"/>
    <hyperlink ref="K117" r:id="rId329" display="https://drive.google.com/file/d/1zZ7CGg5MvDsz5A9SAF5biDPulIwM-Zpm/view?usp=drivesdk"/>
    <hyperlink ref="I118" r:id="rId330" display="https://drive.google.com/file/d/1HE2dmWdG_hWcJ-WFI1baaYEjN_VX0d7W/view?usp=drivesdk"/>
    <hyperlink ref="J118" r:id="rId331" display="https://drive.google.com/file/d/1Wjv_48Xu6yc_Im-nlc8ar-5BoNK2sqzU/view?usp=drivesdk"/>
    <hyperlink ref="K118" r:id="rId332" display="https://drive.google.com/file/d/13CiH5TkhVwnhgGPpqTIR8Kx8E_XViSEd/view?usp=drivesdk"/>
    <hyperlink ref="I119" r:id="rId333" display="https://drive.google.com/file/d/1_PXgz8PCyfDUCsL-7FUCf7Y3CphrF1v_/view?usp=drivesdk"/>
    <hyperlink ref="J119" r:id="rId334" display="https://drive.google.com/file/d/1lmPhEsfe8md1cSUDy1QEQKHp7N90XiVI/view?usp=drivesdk"/>
    <hyperlink ref="K119" r:id="rId335" display="https://drive.google.com/file/d/1b_qQ9TBSkUjfitG6UWIjRn-rgJ1qNaQq/view?usp=drivesdk"/>
    <hyperlink ref="I120" r:id="rId336" display="https://drive.google.com/file/d/17n0ezbq4T-G1RH3eteU7HSJgbjwpPoyM/view?usp=drivesdk"/>
    <hyperlink ref="J120" r:id="rId337" display="https://drive.google.com/file/d/1r8a4syXN-Ml_fVlFi3uDSQtpaSVjwp4P/view?usp=drivesdk"/>
    <hyperlink ref="K120" r:id="rId338" display="https://drive.google.com/file/d/1A8GCvcXX2AWt78xFjz2FW_TjsEIjMfSJ/view?usp=drivesdk"/>
    <hyperlink ref="L120" r:id="rId339" display="https://drive.google.com/file/d/1BQI6si16_fk-lVLVLpF18XDuiKQaEs1P/view?usp=drivesdk"/>
    <hyperlink ref="M120" r:id="rId340" display="https://drive.google.com/file/d/1_VbSrtxLCi46Tqq3hNSNP9zs5WMW9JCM/view?usp=drivesdk"/>
    <hyperlink ref="I121" r:id="rId341" display="https://drive.google.com/file/d/1KB6o_GXvoiLxg5IXb9KLS39hNGmQ214G/view?usp=drivesdk"/>
    <hyperlink ref="J121" r:id="rId342" display="https://drive.google.com/file/d/1uH7n4jcIZMmF6AmKlfQViXBYffcr3Adb/view?usp=drivesdk"/>
    <hyperlink ref="I122" r:id="rId343" display="https://drive.google.com/file/d/1XNNfw80dpnYuKnbCAbf23Ja-x6OBMvYz/view?usp=drivesdk"/>
    <hyperlink ref="J122" r:id="rId344" display="https://drive.google.com/file/d/1LSP2bW27RRTYJqk8nX4X1FUI7wlctWpg/view?usp=drivesdk"/>
    <hyperlink ref="K122" r:id="rId345" display="https://drive.google.com/file/d/1jlyssQQmCqUnr7lMOky0UbNdnp8PYFSW/view?usp=drivesdk"/>
    <hyperlink ref="I123" r:id="rId346" display="https://drive.google.com/file/d/1k1q7M2NTe_bqE-zSPMUHMLsNJbmpxeNd/view?usp=drivesdk"/>
    <hyperlink ref="J123" r:id="rId347" display="https://drive.google.com/file/d/1ZDnrQybzmvUeZhnuWwMAU9YGPZayqwD9/view?usp=drivesdk"/>
    <hyperlink ref="K123" r:id="rId348" display="https://drive.google.com/file/d/16pQ8X2NorRkoy6RSmHaPvPDIkwuJtIZU/view?usp=drivesdk"/>
    <hyperlink ref="I124" r:id="rId349" display="https://drive.google.com/file/d/10skfBmgAT-q3fh9RVnhLuJo6KdbGxFru/view?usp=drivesdk"/>
    <hyperlink ref="J124" r:id="rId350" display="https://drive.google.com/file/d/1xdgoiqLq0Vj-GcV_FTTLjhLT2aJePEWp/view?usp=drivesdk"/>
    <hyperlink ref="K124" r:id="rId351" display="https://drive.google.com/file/d/15hn_6AshNlKZ_OK6-pJGgXB7NQ9iM3HW/view?usp=drivesdk"/>
    <hyperlink ref="I128" r:id="rId352" display="https://drive.google.com/file/d/1ZFcv2NPo81LOioYsWeJ9L0E4PCLbnZSt/view?usp=drivesdk"/>
    <hyperlink ref="J128" r:id="rId353" display="https://drive.google.com/file/d/1QGsHO_6FNTxp3aBr3CfKorgDPj16CHdk/view?usp=drivesdk"/>
    <hyperlink ref="K128" r:id="rId354" display="https://drive.google.com/file/d/1BKVaIheowOZWyzRzmbqrBTtV5UJko1QY/view?usp=drivesdk"/>
    <hyperlink ref="I130" r:id="rId355" display="https://drive.google.com/file/d/1_6eV0WMGNTxQrFDVWd9rZk42ryDdNf3D/view?usp=drivesdk"/>
    <hyperlink ref="J130" r:id="rId356" display="https://drive.google.com/file/d/1NEvHkym0vUCOOWVwPJAN5jcU7Te1xtgS/view?usp=drivesdk"/>
    <hyperlink ref="K130" r:id="rId357" display="https://drive.google.com/file/d/1S3IihBz2EOE3GNaq4EYE6hDhm2o8VA7S/view?usp=drivesdk"/>
    <hyperlink ref="L130" r:id="rId358" display="https://drive.google.com/file/d/1I5qjdppjYGS-w8gmSB6btwhjxCVHTYzw/view?usp=drivesdk"/>
    <hyperlink ref="I131" r:id="rId359" display="https://drive.google.com/file/d/1yvyjAsp2Ry6LX7DekWEtKx8bixgGpBaW/view?usp=drivesdk"/>
    <hyperlink ref="J131" r:id="rId360" display="https://drive.google.com/file/d/1r-bR8wxTXmMaUDiQCfTEmZByYrBCUSUE/view?usp=drivesdk"/>
    <hyperlink ref="K131" r:id="rId361" display="https://drive.google.com/file/d/1VgQXN5Kp_KmPp0EAHmCWqbazWvi8NQmH/view?usp=drivesdk"/>
    <hyperlink ref="L131" r:id="rId362" display="https://drive.google.com/file/d/1O5o7wyo6h11PS743Rm1eTSJA9ejSM_A9/view?usp=drivesdk"/>
    <hyperlink ref="I132" r:id="rId363" display="https://drive.google.com/file/d/1RjGDIHzbbwUoWGy3tF8_axOlGEewJgpf/view?usp=drivesdk"/>
    <hyperlink ref="J132" r:id="rId364" display="https://drive.google.com/file/d/1t7eegiQPIr5kKRtq_86FVnsm0dQhNZ7g/view?usp=drivesdk"/>
    <hyperlink ref="I133" r:id="rId365" display="https://drive.google.com/file/d/1jq_8nwkjxoQOzmh03iUe7hyYLyyUTHv9/view?usp=drivesdk"/>
    <hyperlink ref="J133" r:id="rId366" display="https://drive.google.com/file/d/1Bjwme7mzmNWwWP-STPnjznZRuTfFJIf7/view?usp=drivesdk"/>
    <hyperlink ref="K133" r:id="rId367" display="https://drive.google.com/file/d/10SjA1DOVuoNBh52avdhSq1H1ysKl4GFZ/view?usp=drivesdk"/>
    <hyperlink ref="L133" r:id="rId368" display="https://drive.google.com/file/d/13CUnvLQtjJRs8wXmnjBczjyD78pJw9Wy/view?usp=drivesdk"/>
    <hyperlink ref="I134" r:id="rId369" display="https://drive.google.com/file/d/10QsP_CTMX-jHcfpIn7fRQ_tuzp-tSXFv/view?usp=drivesdk"/>
    <hyperlink ref="J134" r:id="rId370" display="https://drive.google.com/file/d/1HJlx2W6m5jBJFptwE95fwqIS9Qvfet1M/view?usp=drivesdk"/>
    <hyperlink ref="I135" r:id="rId371" display="https://drive.google.com/file/d/1Hpj-0Mi_cNJjjm6mOgTPBOUCHwLqK6Zq/view?usp=drivesdk"/>
    <hyperlink ref="J135" r:id="rId372" display="https://drive.google.com/file/d/1ymg-5n6lG96uhXaFb2H71VkfVEAIHSEv/view?usp=drivesdk"/>
    <hyperlink ref="K135" r:id="rId373" display="https://drive.google.com/file/d/1fwGBIQ5pup6bME3NUnj2E5clRUDsy9G7/view?usp=drivesdk"/>
    <hyperlink ref="L135" r:id="rId374" display="https://drive.google.com/file/d/1q4BVNrilSgtzBMfxXrX80AeRfZhgcK5O/view?usp=drivesdk"/>
    <hyperlink ref="M135" r:id="rId375" display="https://drive.google.com/file/d/1nXKrq93wY_WCJb5MkvZY01lgSBBndrb9/view?usp=drivesdk"/>
    <hyperlink ref="N135" r:id="rId376" display="https://drive.google.com/file/d/1UU5bQ6ZmsEBwx9YUta8iUs0RDzfD-8L3/view?usp=drivesdk"/>
    <hyperlink ref="I136" r:id="rId377" display="https://drive.google.com/file/d/1qv57p7UFhIaC-IqjAd4NeTGkHxKfb-TO/view?usp=drivesdk"/>
    <hyperlink ref="J136" r:id="rId378" display="https://drive.google.com/file/d/1TVE9Y3CypoYZx9hSF0ITGueE4XlkJBnW/view?usp=drivesdk"/>
    <hyperlink ref="I137" r:id="rId379" display="https://drive.google.com/file/d/11rp_JsasrYXSDslnHkxJviw0ug474Ccb/view?usp=drivesdk"/>
    <hyperlink ref="J137" r:id="rId380" display="https://drive.google.com/file/d/11LtDP09FE800uB7wpbYRrPvIdLXeeeR3/view?usp=drivesdk"/>
    <hyperlink ref="I138" r:id="rId381" display="https://drive.google.com/file/d/1lOkWcrUMsGEoRreIr7PRkxwvczpeAoVL/view?usp=drivesdk"/>
    <hyperlink ref="J138" r:id="rId382" display="https://drive.google.com/file/d/1RZSN17DDYiEBIOD3iAvjWewDvQrUV1Vj/view?usp=drivesdk"/>
    <hyperlink ref="K138" r:id="rId383" display="https://drive.google.com/file/d/1idcVTEHWu1WARsF-5DbVqubOYoQ6zG8k/view?usp=drivesdk"/>
    <hyperlink ref="I139" r:id="rId384" display="https://drive.google.com/file/d/1Faory1bMq9fKvo987V8u-RT8FsPDhMEg/view?usp=drivesdk"/>
    <hyperlink ref="J139" r:id="rId385" display="https://drive.google.com/file/d/1ul0YYX7MHpJkp5mtZpaM9uT2tf_mHaRo/view?usp=drivesdk"/>
    <hyperlink ref="K139" r:id="rId386" display="https://drive.google.com/file/d/1McNPiP3QEzM9RlVm1dgwCSYuzlNs7mYk/view?usp=drivesdk"/>
    <hyperlink ref="L139" r:id="rId387" display="https://drive.google.com/file/d/11G6ks_7ME8lC04NjgHovj_N56r32QPpp/view?usp=drivesdk"/>
    <hyperlink ref="I140" r:id="rId388" display="https://drive.google.com/file/d/1Y_9SWgZNmq7FXN8jmI7DOHnC2hj-cNVT/view?usp=drivesdk"/>
    <hyperlink ref="J140" r:id="rId389" display="https://drive.google.com/file/d/10bsyzY6V6rHj4rhKaNWnKfsz-Mq1qeNT/view?usp=drivesdk"/>
    <hyperlink ref="K140" r:id="rId390" display="https://drive.google.com/file/d/1fmBBiG-4QitJl-g8Nby7yp26oFb8T3km/view?usp=drivesdk"/>
    <hyperlink ref="L140" r:id="rId391" display="https://drive.google.com/file/d/1ZVhVT_g9y6Maw3lIkyEAqhH4gXD348Jc/view?usp=drivesdk"/>
    <hyperlink ref="I141" r:id="rId392" display="https://drive.google.com/file/d/1SfEkXiwzzxCUppeXj5BXYUotEMcGgYS-/view?usp=drivesdk"/>
    <hyperlink ref="J141" r:id="rId393" display="https://drive.google.com/file/d/1u9AvxP8sbY2Xj8GQHfgkpY10HNtKz5Xc/view?usp=drivesdk"/>
    <hyperlink ref="K141" r:id="rId394" display="https://drive.google.com/file/d/1sxQxOMqRdTVlxzNgq6y2lS0XhSLMCS3-/view?usp=drivesdk"/>
    <hyperlink ref="L141" r:id="rId395" display="https://drive.google.com/file/d/1Ox_U4G0OfEdmhCq5Vj1Gv0pn57FuXzGl/view?usp=drivesdk"/>
    <hyperlink ref="I142" r:id="rId396" display="https://drive.google.com/file/d/1gG1lOt7LQYwXefO4q1zjsceBwATxSVgj/view?usp=drivesdk"/>
    <hyperlink ref="J142" r:id="rId397" display="https://drive.google.com/file/d/16HPQE4pkbflVjHyip0kozAvsAufB_mjy/view?usp=drivesdk"/>
    <hyperlink ref="K142" r:id="rId398" display="https://drive.google.com/file/d/19I4MYeGB1vqSkNpbni9U9hNKmJhSDihg/view?usp=drivesdk"/>
    <hyperlink ref="L142" r:id="rId399" display="https://drive.google.com/file/d/1UNrX-RNd0iLqDws96r3SiJdXtef7OBTF/view?usp=drivesdk"/>
    <hyperlink ref="M142" r:id="rId400" display="https://drive.google.com/file/d/13rx4K5AV1h49AP8dtb0Ylpz_5PF5b9cT/view?usp=drivesdk"/>
    <hyperlink ref="N142" r:id="rId401" display="https://drive.google.com/file/d/1rcbzrTf1rKVWFQ0MpfT61GnH40b7v7XB/view?usp=drivesdk"/>
    <hyperlink ref="O142" r:id="rId402" display="https://drive.google.com/file/d/1NRnuHZo3Z9o_ZxHvMGyXkrPQcNBGbSzh/view?usp=drivesdk"/>
    <hyperlink ref="I143" r:id="rId403" display="https://drive.google.com/file/d/1-pDfWM2KpP1XdS0IPlTCMrfLySDS1OiJ/view?usp=drivesdk"/>
    <hyperlink ref="J143" r:id="rId404" display="https://drive.google.com/file/d/1hHzqDSWo33tYmjUgLPVgIgsVRHl3Fobb/view?usp=drivesdk"/>
    <hyperlink ref="I144" r:id="rId405" display="https://drive.google.com/file/d/1FSt1wRFcn_1cPeQkkFSgfmR7Gn7GkDXb/view?usp=drivesdk"/>
    <hyperlink ref="J144" r:id="rId406" display="https://drive.google.com/file/d/1BC1nhPnOQkGtTY8iN8Ulu6-caQnJOi_L/view?usp=drivesdk"/>
    <hyperlink ref="K144" r:id="rId407" display="https://drive.google.com/file/d/1aT6kLFG5IrQy5CWvMJuxznoQEF5w4tU-/view?usp=drivesdk"/>
    <hyperlink ref="I145" r:id="rId408" display="https://drive.google.com/file/d/1YJlywQQA6vwHnW67MeCsmdGEoIs-UhT7/view?usp=drivesdk"/>
    <hyperlink ref="J145" r:id="rId409" display="https://drive.google.com/file/d/1SvP0GErF2QIHW5Bv4yXd4R0yt8q-Uv3h/view?usp=drivesdk"/>
    <hyperlink ref="I146" r:id="rId410" display="https://drive.google.com/file/d/17lRWd3RDQNhJmIkiDtH5vMi-9xfhqQ6h/view?usp=drivesdk"/>
    <hyperlink ref="J146" r:id="rId411" display="https://drive.google.com/file/d/1iSiby1qAcCUkLp8E3Loq2ElctQ0KXf2S/view?usp=drivesdk"/>
    <hyperlink ref="K146" r:id="rId412" display="https://drive.google.com/file/d/10l_Me-diix4617IgwEYbgWBMIeCIie1z/view?usp=drivesdk"/>
    <hyperlink ref="I147" r:id="rId413" display="https://drive.google.com/file/d/1kjZbiwMuBR07ZtEnf-HfhvQxeZr1h_UI/view?usp=drivesdk"/>
    <hyperlink ref="J147" r:id="rId414" display="https://drive.google.com/file/d/1_pId1dI_kEmZ7S0hnOe0TCoXQpCR5_LD/view?usp=drivesdk"/>
    <hyperlink ref="I148" r:id="rId415" display="https://drive.google.com/file/d/1BtP6qcsPBfiYPXw3NFP1WZqllauGPBpE/view?usp=drivesdk"/>
    <hyperlink ref="J148" r:id="rId416" display="https://drive.google.com/file/d/114xWU4qLBWelIKAaLx_sRPEIAwz263lR/view?usp=drivesdk"/>
    <hyperlink ref="K148" r:id="rId417" display="https://drive.google.com/file/d/1oUDreb2gLvzDzednjRmfejlfXB5tsH0V/view?usp=drivesdk"/>
    <hyperlink ref="I149" r:id="rId418" display="https://drive.google.com/file/d/1vSEfZSjJbw121p-EvFO0_jFiuJCZqosp/view?usp=drivesdk"/>
    <hyperlink ref="J149" r:id="rId419" display="https://drive.google.com/file/d/1tlSsfqxTJRWvwmbVPtwpJoqRb3jlUUjh/view?usp=drivesdk"/>
    <hyperlink ref="K149" r:id="rId420" display="https://drive.google.com/file/d/1HvKZXELMEUA2ceu1bnEpkWfgcH6mGRKQ/view?usp=drivesdk"/>
    <hyperlink ref="I150" r:id="rId421" display="https://drive.google.com/file/d/1ir2Eq486bZYoYeAPAmUYVwd2xI_BXKCH/view?usp=drivesdk"/>
    <hyperlink ref="J150" r:id="rId422" display="https://drive.google.com/file/d/1xNlAxEmdE94DwxqecsiSdQ7rMrHQi3rR/view?usp=drivesdk"/>
    <hyperlink ref="K150" r:id="rId423" display="https://drive.google.com/file/d/1nKlb4IwwABzdSw3VOYIcGlN6wQqfWNWr/view?usp=drivesdk"/>
    <hyperlink ref="L150" r:id="rId424" display="https://drive.google.com/file/d/1qen-Dopf6f8Dx0oB78l2fRy5Oe-L1VYi/view?usp=drivesdk"/>
    <hyperlink ref="M150" r:id="rId425" display="https://drive.google.com/file/d/1pHJ6pipT_2ZhykZLBV9aAPJZg9FxEk7w/view?usp=drivesdk"/>
    <hyperlink ref="I151" r:id="rId426" display="https://drive.google.com/file/d/1XNPKch4qpELrz1Gs4DuUvfM5lOhgXjOA/view?usp=drivesdk"/>
    <hyperlink ref="J151" r:id="rId427" display="https://drive.google.com/file/d/1wJXjQpp_KI6fRHiDqSp80MP0j5Z93EO-/view?usp=drivesdk"/>
    <hyperlink ref="I152" r:id="rId428" display="https://drive.google.com/file/d/1H22uPPzfyaddLh8oumGJjybpOykdqqYj/view?usp=drivesdk"/>
    <hyperlink ref="J152" r:id="rId429" display="https://drive.google.com/file/d/1V9HfEbMAvRxM2v7m6rU0e4-aggu7QOVH/view?usp=drivesdk"/>
    <hyperlink ref="K152" r:id="rId430" display="https://drive.google.com/file/d/1pfjsXYpwfzZ2SQc9Nvl0_XsfyC5p3mLL/view?usp=drivesdk"/>
    <hyperlink ref="I153" r:id="rId431" display="https://drive.google.com/file/d/1fO_oyqTkF_zAIEA8bQrQzFZuDJ3aA7ok/view?usp=drivesdk"/>
    <hyperlink ref="J153" r:id="rId432" display="https://drive.google.com/file/d/1ODPiqEKtPgsf3k8dpN4k0OpaRHWNUFD_/view?usp=drivesdk"/>
    <hyperlink ref="K153" r:id="rId433" display="https://drive.google.com/file/d/1vifofyRDCphlI0gFiZhXWLAExek4e2qu/view?usp=drivesdk"/>
    <hyperlink ref="I154" r:id="rId434" display="https://drive.google.com/file/d/1rQi0rwGPi1Cgji9qJEJ5SrbFayFUhKvR/view?usp=drivesdk"/>
    <hyperlink ref="J154" r:id="rId435" display="https://drive.google.com/file/d/1mxBnAsJRfPSBU3wiNI3C6UGvHDOkAbXZ/view?usp=drivesdk"/>
    <hyperlink ref="K154" r:id="rId436" display="https://drive.google.com/file/d/1348NEeOr4EOyOFM5VgCqybG2jBs2kPCn/view?usp=drivesdk"/>
    <hyperlink ref="L154" r:id="rId437" display="https://drive.google.com/file/d/1VVWgy7NcLm7uearPYbbB3c4yugl5ZlE4/view?usp=drivesdk"/>
    <hyperlink ref="M154" r:id="rId438" display="https://drive.google.com/file/d/1C6h0MyZHpnCHiG1vqguJ3DTa1Pm9ERea/view?usp=drivesdk"/>
    <hyperlink ref="N154" r:id="rId439" display="https://drive.google.com/file/d/158TttOirV7t42fTCBWaBUmhz1U3yPLBX/view?usp=drivesdk"/>
    <hyperlink ref="I155" r:id="rId440" display="https://drive.google.com/file/d/1wr_z9Ty4jfysZZxzlyccLxo1kVJnUBmo/view?usp=drivesdk"/>
    <hyperlink ref="J155" r:id="rId441" display="https://drive.google.com/file/d/11mIWbefV47QjYBoVsn8C002R_vtZeT4Q/view?usp=drivesdk"/>
    <hyperlink ref="K155" r:id="rId442" display="https://drive.google.com/file/d/1jE8z0ibPlz60IKM_RyxtAhI5MlolqtNz/view?usp=drivesdk"/>
    <hyperlink ref="I156" r:id="rId443" display="https://drive.google.com/file/d/1PFW6azLA80h2yBu86VQj4Uk8R_WlBWJV/view?usp=drivesdk"/>
    <hyperlink ref="J156" r:id="rId444" display="https://drive.google.com/file/d/1VqjtuyKQD3g6z_oRyGa537-_x3k29mkH/view?usp=drivesdk"/>
    <hyperlink ref="K156" r:id="rId445" display="https://drive.google.com/file/d/1usJGW8XMgRQJ-_z1SKlLK3WBi2EVji4L/view?usp=drivesdk"/>
    <hyperlink ref="I157" r:id="rId446" display="https://drive.google.com/file/d/1q_GDGD659F1DewSSX7tPx79qMeuNmH1Z/view?usp=drivesdk"/>
    <hyperlink ref="J157" r:id="rId447" display="https://drive.google.com/file/d/1BzVJuz_j3s6YfjfzVAF8s4uvG5Z1XbUG/view?usp=drivesdk"/>
    <hyperlink ref="K157" r:id="rId448" display="https://drive.google.com/file/d/1_v_CcYUODEImTav6fY0vLDa6fG6DyEU6/view?usp=drivesdk"/>
    <hyperlink ref="L157" r:id="rId449" display="https://drive.google.com/file/d/1ynwln54cUB6HI_XCbD8b6b7Pk2RLfJ84/view?usp=drivesdk"/>
    <hyperlink ref="I158" r:id="rId450" display="https://drive.google.com/file/d/1OOlJUpk_gh9nHOau5yUObBB7mBjfBBUO/view?usp=drivesdk"/>
    <hyperlink ref="J158" r:id="rId451" display="https://drive.google.com/file/d/1BZleMWsrkq6HJsIhuIeS0AfUrs6x4sYg/view?usp=drivesdk"/>
    <hyperlink ref="I159" r:id="rId452" display="https://drive.google.com/file/d/1e8ZynnNeYWPlhrd5F-zySiHGKjsOw6Ar/view?usp=drivesdk"/>
    <hyperlink ref="J159" r:id="rId453" display="https://drive.google.com/file/d/1f6yUUz1BQF3wdH2xMm7P_WdsFloKFhfs/view?usp=drivesdk"/>
    <hyperlink ref="K159" r:id="rId454" display="https://drive.google.com/file/d/1iNqTOnGgLVjCaife_u52Fb-ZQOXDN-DL/view?usp=drivesdk"/>
    <hyperlink ref="I160" r:id="rId455" display="https://drive.google.com/file/d/1Lyqcsq1AOHgchieU6NP4VoNA1w-ZV-A2/view?usp=drivesdk"/>
    <hyperlink ref="J160" r:id="rId456" display="https://drive.google.com/file/d/11Je7EEczhKsT3wWKK0atCK536Sdm7PyD/view?usp=drivesdk"/>
    <hyperlink ref="I161" r:id="rId457" display="https://drive.google.com/file/d/1albpZm6kY_TKOC7vi4ZdCzRRR7pMvlzg/view?usp=drivesdk"/>
    <hyperlink ref="J161" r:id="rId458" display="https://drive.google.com/file/d/1mJWCBlbvCEQojmZMvXpNUzB7mImoqYmx/view?usp=drivesdk"/>
    <hyperlink ref="K161" r:id="rId459" display="https://drive.google.com/file/d/1VjjsjEOkmXkxlxBabyOdciieBSJHvEs7/view?usp=drivesdk"/>
    <hyperlink ref="L161" r:id="rId460" display="https://drive.google.com/file/d/1vA4mXH963wSvtcAfJYOPgoYOrbYwjOAI/view?usp=drivesdk"/>
    <hyperlink ref="M161" r:id="rId461" display="https://drive.google.com/file/d/1j1H4hwIE5Un0bKgbFnEAILgcReH4qU6j/view?usp=drivesdk"/>
    <hyperlink ref="N161" r:id="rId462" display="https://drive.google.com/file/d/1lNClcUTIeBolVCeUl8r90lHbQPccABry/view?usp=drivesdk"/>
    <hyperlink ref="O161" r:id="rId463" display="https://drive.google.com/file/d/1gBNN_wTlKFBorvpknknfJqCx5zF7F4w4/view?usp=drivesdk"/>
    <hyperlink ref="I162" r:id="rId464" display="https://drive.google.com/file/d/1_jC-9tc_GThdy5R3x9WVcxjb90hfiDoi/view?usp=drivesdk"/>
    <hyperlink ref="J162" r:id="rId465" display="https://drive.google.com/file/d/1ScDDifbTnNM_Lp5HkHD_D-h_CkADaQ3g/view?usp=drivesdk"/>
    <hyperlink ref="I163" r:id="rId466" display="https://drive.google.com/file/d/1UStXAFHjgiki3p_5FxyQHkMHxfOdiVLV/view?usp=drivesdk"/>
    <hyperlink ref="J163" r:id="rId467" display="https://drive.google.com/file/d/1lIL7P7QnX5dDCn7bfEQSgswxSZwNEL4p/view?usp=drivesdk"/>
    <hyperlink ref="I164" r:id="rId468" display="https://drive.google.com/file/d/1vKEbdITadHqfThsS28T2Ks15oaVGiQny/view?usp=drivesdk"/>
    <hyperlink ref="J164" r:id="rId469" display="https://drive.google.com/file/d/1bVUT6iBIuwqMy8NoN4gTWL93thJ0ooC8/view?usp=drivesdk"/>
    <hyperlink ref="K164" r:id="rId470" display="https://drive.google.com/file/d/1G21Phk_1YPuDXlY5jIHrsKkrRff05Tls/view?usp=drivesdk"/>
    <hyperlink ref="I165" r:id="rId471" display="https://drive.google.com/file/d/1WimAim2XL4tYp2An2OkpS5n_BOKF6Ipe/view?usp=drivesdk"/>
    <hyperlink ref="I166" r:id="rId472" display="https://drive.google.com/file/d/1O68mttVm7-q4POtBlQHLQLMzGytfBUub/view?usp=drivesdk"/>
    <hyperlink ref="I167" r:id="rId473" display="https://drive.google.com/file/d/1gdp9XjMWNT7My_x0A8wjzYTljhTr70NU/view?usp=drivesdk"/>
    <hyperlink ref="J167" r:id="rId474" display="https://drive.google.com/file/d/1YxBGDZtJ7VPVXRDOjdC9Vbq-QgF2XQUc/view?usp=drivesdk"/>
    <hyperlink ref="K167" r:id="rId475" display="https://drive.google.com/file/d/1Z43m4hEG1652dexXKlJnbyqxsH3Tmq5T/view?usp=drivesdk"/>
    <hyperlink ref="L167" r:id="rId476" display="https://drive.google.com/file/d/1lVDwX3yL4rjcqcKW76d0Lt44qwIvT0EK/view?usp=drivesdk"/>
    <hyperlink ref="I168" r:id="rId477" display="https://drive.google.com/file/d/1WQW0OA3Lv8Be5P5q9q1W9zqsfsBGZYNl/view?usp=drivesdk"/>
    <hyperlink ref="J168" r:id="rId478" display="https://drive.google.com/file/d/14fcAcEU4VfJylywh7ZoyXLRAceIWGpfX/view?usp=drivesdk"/>
    <hyperlink ref="K168" r:id="rId479" display="https://drive.google.com/file/d/1tcS7akJacAxorHwKyStDhW6QsYLYloPG/view?usp=drivesdk"/>
    <hyperlink ref="I169" r:id="rId480" display="https://drive.google.com/file/d/1W3HTyESntCuAhpl1nqll6cYxR1rZ2bJJ/view?usp=drivesdk"/>
    <hyperlink ref="I170" r:id="rId481" display="https://drive.google.com/file/d/1F9i7fLl3hntT50LNAhwH6G6JPR3Y7N3G/view?usp=drivesdk"/>
    <hyperlink ref="J170" r:id="rId482" display="https://drive.google.com/file/d/1tU11uQWwhnb8AlywR61RH3R-yG9umfiT/view?usp=drivesdk"/>
    <hyperlink ref="K170" r:id="rId483" display="https://drive.google.com/file/d/1we53PuRkFsZ86GWnJRAwiQDW7XgMIRkK/view?usp=drivesdk"/>
    <hyperlink ref="L170" r:id="rId484" display="https://drive.google.com/file/d/1wuLJ3m3Fc16tvGMdCKXRxSXeY2Klxst3/view?usp=drivesdk"/>
    <hyperlink ref="I171" r:id="rId485" display="https://drive.google.com/file/d/1aDHZGrYn8cdpfpERIBjamdiJ6iIzk2I2/view?usp=drivesdk"/>
    <hyperlink ref="J171" r:id="rId486" display="https://drive.google.com/file/d/1RsGahB1UngsWTOCarzvrwGs109_vCuHe/view?usp=drivesdk"/>
    <hyperlink ref="K171" r:id="rId487" display="https://drive.google.com/file/d/1bISY_MrrdsDBpxhH6RpElu4BfIdWJHCS/view?usp=drivesdk"/>
    <hyperlink ref="L171" r:id="rId488" display="https://drive.google.com/file/d/1bTXP14rZlv85wWyWRpYV9Y-UHqr5cqNb/view?usp=drivesdk"/>
    <hyperlink ref="I172" r:id="rId489" display="https://drive.google.com/file/d/13r6J2FDY0Rs4tpm5Avv7syiIb93DpavB/view?usp=drivesdk"/>
    <hyperlink ref="I173" r:id="rId490" display="https://drive.google.com/file/d/1vmJgJjcUg0T8_2q__AsaDfpGNbjmg1pv/view?usp=drivesdk"/>
    <hyperlink ref="J173" r:id="rId491" display="https://drive.google.com/file/d/1NSPhQlAnID4fcvQ_oL6wadKbBJ1vYBQ6/view?usp=drivesdk"/>
    <hyperlink ref="K173" r:id="rId492" display="https://drive.google.com/file/d/1nCkpPPXIqWVyNYzcvupm5J_8sSbihSR9/view?usp=drivesdk"/>
    <hyperlink ref="L173" r:id="rId493" display="https://drive.google.com/file/d/1NaPVeKSyx3-U8yNzgfEehkLmncjSlMON/view?usp=drivesdk"/>
    <hyperlink ref="I174" r:id="rId494" display="https://drive.google.com/file/d/1nwxZEMyw3N-M7AF3PL8C3oyVv11-yq_G/view?usp=drivesdk"/>
    <hyperlink ref="I175" r:id="rId495" display="https://drive.google.com/file/d/1uCZCChhqhxn7Y3PY_SNRkNHQR47AwTPG/view?usp=drivesdk"/>
    <hyperlink ref="J175" r:id="rId496" display="https://drive.google.com/file/d/17E8VeeTwgX6JODqEGnNb02744Rh71VCo/view?usp=drivesdk"/>
    <hyperlink ref="K175" r:id="rId497" display="https://drive.google.com/file/d/1vd-FoBTZHjnXAtOhtqff4b-lLzdFT_AJ/view?usp=drivesdk"/>
    <hyperlink ref="I176" r:id="rId498" display="https://drive.google.com/file/d/1-ILNBFr7WcbqJW-f81INt-GuBZSAh6Qm/view?usp=drivesdk"/>
    <hyperlink ref="J176" r:id="rId499" display="https://drive.google.com/file/d/1m4RvJIK6qmbsDS6UxVULNwzQkcvpRbuW/view?usp=drivesdk"/>
    <hyperlink ref="K176" r:id="rId500" display="https://drive.google.com/file/d/1z2T5_rx9EEQi5ep_hZ38CJzmb142Lxxp/view?usp=drivesdk"/>
    <hyperlink ref="I177" r:id="rId501" display="https://drive.google.com/file/d/14wpuJr6vdYn-0LWqb-rZbAa4fGLwD1Zq/view?usp=drivesdk"/>
    <hyperlink ref="I178" r:id="rId502" display="https://drive.google.com/file/d/11iEkrfZngxzWckSTiCsl4fQkGCxHXCqN/view?usp=drivesdk"/>
    <hyperlink ref="J178" r:id="rId503" display="https://drive.google.com/file/d/1nE1AndQDtk-mlEmpMRmC20f--f44KEn0/view?usp=drivesdk"/>
    <hyperlink ref="K178" r:id="rId504" display="https://drive.google.com/file/d/1LnzUKpBqWgsVnSIip9cr8lah0E0X0m1o/view?usp=drivesdk"/>
    <hyperlink ref="I179" r:id="rId505" display="https://drive.google.com/file/d/1JoYGKVNPFloKvctFS0lR3b6QCKg6q4Rz/view?usp=drivesdk"/>
    <hyperlink ref="J179" r:id="rId506" display="https://drive.google.com/file/d/1GO_RKaDDnqOVP4CcDT456vA0MlizXJlB/view?usp=drivesdk"/>
    <hyperlink ref="K179" r:id="rId507" display="https://drive.google.com/file/d/1bf6wP3-OXKogmkvKlKc270Bz9hxHOOZ4/view?usp=drivesdk"/>
    <hyperlink ref="L179" r:id="rId508" display="https://drive.google.com/file/d/1M-S0EKlPjek-JEUbC1AWV7Di9Y_HauWQ/view?usp=drivesdk"/>
    <hyperlink ref="I180" r:id="rId509" display="https://drive.google.com/file/d/1uoSiInfxGfmrGqGc-_GbyCzuZtvRBoDp/view?usp=drivesdk"/>
    <hyperlink ref="J180" r:id="rId510" display="https://drive.google.com/file/d/1Lx7LilOEELGIA_sg55-dUE-dANmQBvTV/view?usp=drivesdk"/>
    <hyperlink ref="I181" r:id="rId511" display="https://drive.google.com/file/d/1vVXLaBj16sqHEvXe4Qe8COSxbEvlnRqL/view?usp=drivesdk"/>
    <hyperlink ref="I182" r:id="rId512" display="https://drive.google.com/file/d/1IiHK1C6f0plYYZqnNV-oGa7BUdZEInb-/view?usp=drivesdk"/>
    <hyperlink ref="I183" r:id="rId513" display="https://drive.google.com/file/d/1kD2Ti0B9pc-648I_6N7nZTGvNB40Ct8b/view?usp=drivesdk"/>
    <hyperlink ref="I184" r:id="rId514" display="https://drive.google.com/file/d/1TDnuVudw6NtypYTTqDCIXGQyXdrq_fim/view?usp=drivesdk"/>
    <hyperlink ref="J184" r:id="rId515" display="https://drive.google.com/file/d/1Tt8RNTbbQdKsuSbcSXzsPSrV2ek6gnFB/view?usp=drivesdk"/>
    <hyperlink ref="K184" r:id="rId516" display="https://drive.google.com/file/d/1f2u8jYDPkrv1Ri4t3cAOeH263KmilSvG/view?usp=drivesdk"/>
    <hyperlink ref="L184" r:id="rId517" display="https://drive.google.com/file/d/1tIvQmLT6GNTHSz5-_DIW9elZmRcu4ke8/view?usp=drivesdk"/>
    <hyperlink ref="I185" r:id="rId518" display="https://drive.google.com/file/d/1xo8-qqoVPNQJeNLd6n2oGmt-Ik5uVxQy/view?usp=drivesdk"/>
    <hyperlink ref="J185" r:id="rId519" display="https://drive.google.com/file/d/1F_zgDrDPGDgnkt7Qf3AkX1Wlg8iHjinp/view?usp=drivesdk"/>
    <hyperlink ref="I186" r:id="rId520" display="https://drive.google.com/file/d/1qqGUa1ManAZ8UlhKwT97PnhemoXeMdGT/view?usp=drivesdk"/>
    <hyperlink ref="J186" r:id="rId521" display="https://drive.google.com/file/d/1XM4fGzUlZG2chZCfOZofMdfz7OV5l1Jk/view?usp=drivesdk"/>
    <hyperlink ref="K186" r:id="rId522" display="https://drive.google.com/file/d/16NEE8sQ5nsTGfnz3zZAhS_0ulUTKEz33/view?usp=drivesdk"/>
    <hyperlink ref="L186" r:id="rId523" display="https://drive.google.com/file/d/1d0M9G1thcqQsHHDmc9YwAP2gBXkIxwr8/view?usp=drivesdk"/>
    <hyperlink ref="I187" r:id="rId524" display="https://drive.google.com/file/d/1LoRzORr8ThW3HpcD5ynq4W-bJi7p92hF/view?usp=drivesdk"/>
    <hyperlink ref="I188" r:id="rId525" display="https://drive.google.com/file/d/1Cwcq73KkKtRHZ8JYjTcyBpA0Xvirolpm/view?usp=drivesdk"/>
    <hyperlink ref="I189" r:id="rId526" display="https://drive.google.com/file/d/1dtPAQzL1IKqQ6yF1WmjulTRI-XUd6LKs/view?usp=drivesdk"/>
    <hyperlink ref="J189" r:id="rId527" display="https://drive.google.com/file/d/1XwGOcgXSDiOFkclP-GumZHnptWXM6QWE/view?usp=drivesdk"/>
    <hyperlink ref="K189" r:id="rId528" display="https://drive.google.com/file/d/1bOieNMJ2iVZWTV0mmhKRX1xEfU3EEp3k/view?usp=drivesdk"/>
    <hyperlink ref="L189" r:id="rId529" display="https://drive.google.com/file/d/1rb0zu_ZsgRa8qm-7K4dg-jYK6MRgWMZY/view?usp=drivesdk"/>
    <hyperlink ref="M189" r:id="rId530" display="https://drive.google.com/file/d/1M6v6BR5O8cpZQrv321NkIWGFZ0EkjBJ1/view?usp=drivesdk"/>
    <hyperlink ref="I190" r:id="rId531" display="https://drive.google.com/file/d/1JevE9cc-JNNvkPuO_Tg_NoWIfbFZUumn/view?usp=drivesdk"/>
    <hyperlink ref="J190" r:id="rId532" display="https://drive.google.com/file/d/1wx8dvnNwSXAgDbxXW2FIQ5vBmCeItFCJ/view?usp=drivesdk"/>
    <hyperlink ref="K190" r:id="rId533" display="https://drive.google.com/file/d/1fgJFSPOoFYmzbDEKnF_KTDTpl-OhtIg2/view?usp=drivesdk"/>
    <hyperlink ref="L190" r:id="rId534" display="https://drive.google.com/file/d/1yrDXnEHcpTG2c6dgFevVInkX-GHvQgcH/view?usp=drivesdk"/>
    <hyperlink ref="I191" r:id="rId535" display="https://drive.google.com/file/d/1Q_2vGq26r3C1CXn6D_CU3lEXzJUjg0NP/view?usp=drivesdk"/>
    <hyperlink ref="I192" r:id="rId536" display="https://drive.google.com/file/d/19_oKXSBKsbDfQgGPG9tTyonGaTJ3zEwW/view?usp=drivesdk"/>
    <hyperlink ref="J192" r:id="rId537" display="https://drive.google.com/file/d/1DdXtg52rue4v3UPD_vVlD7hxrK5_afVy/view?usp=drivesdk"/>
    <hyperlink ref="K192" r:id="rId538" display="https://drive.google.com/file/d/16ivl_gI-OcsCfctDw0uIpvYTjhzt063k/view?usp=drivesdk"/>
    <hyperlink ref="L192" r:id="rId539" display="https://drive.google.com/file/d/1mZSqxjDIvxzr77dSi6vBQ_y8o31XHYce/view?usp=drivesdk"/>
    <hyperlink ref="N192" r:id="rId540" display="https://drive.google.com/file/d/1GUX98sQNHi-vjsBp3xYLTsGHzqUpq0Z0/view?usp=drivesdk"/>
    <hyperlink ref="I193" r:id="rId541" display="https://drive.google.com/file/d/1Kx_LQMo9lXUTrvRqYgpwYT0xswHAL6q6/view?usp=drivesdk"/>
    <hyperlink ref="J193" r:id="rId542" display="https://drive.google.com/file/d/1Ldbt8r6DSsmKnDmk0Q8QQlTqnUTyqXEo/view?usp=drivesdk"/>
    <hyperlink ref="K193" r:id="rId543" display="https://drive.google.com/file/d/1T5wrjTtOMxOEXbjsAZ6ra1G9ACWLO65A/view?usp=drivesdk"/>
    <hyperlink ref="L193" r:id="rId544" display="https://drive.google.com/file/d/11sq-ukLf4tEFvmtpBuL5gbJaBPiNJja1/view?usp=drivesdk"/>
    <hyperlink ref="I194" r:id="rId545" display="https://drive.google.com/file/d/1_KaZal4Pc1u0fys8ivEDtUBAMLHX4BOP/view?usp=drivesdk"/>
    <hyperlink ref="J194" r:id="rId546" display="https://drive.google.com/file/d/1iPTUTqYaOC6wxO1x-XX7_k6OK9KIO0X-/view?usp=drivesdk"/>
    <hyperlink ref="I195" r:id="rId547" display="https://drive.google.com/file/d/1ajqr-CfnvP2BT4qVmIny8HNrJGZYbg_H/view?usp=drivesdk"/>
    <hyperlink ref="J195" r:id="rId548" display="https://drive.google.com/file/d/1WTDiVDmVO93h5foIJEpwVydvFlZOSP18/view?usp=drivesdk"/>
    <hyperlink ref="K195" r:id="rId549" display="https://drive.google.com/file/d/1O5AxbLfD1_PxmALAeKsJn4SaZWpNhIui/view?usp=drivesdk"/>
    <hyperlink ref="L195" r:id="rId550" display="https://drive.google.com/file/d/1dZIJe85QoqD3DHp5GfGp1aiaGkR_7ggE/view?usp=drivesdk"/>
    <hyperlink ref="I196" r:id="rId551" display="https://drive.google.com/file/d/1QwRUqHB3GMGGqv8ABbdyK3tTG2lrmGBZ/view?usp=drivesdk"/>
    <hyperlink ref="J196" r:id="rId552" display="https://drive.google.com/file/d/1s5e06TL_jCw0cGCff9ybfS8TjXm22mGq/view?usp=drivesdk"/>
    <hyperlink ref="K196" r:id="rId553" display="https://drive.google.com/file/d/1Be92ceZvKgbKR3VVlaGbGWfXTNyX3Wjy/view?usp=drivesdk"/>
    <hyperlink ref="L196" r:id="rId554" display="https://drive.google.com/file/d/1a5f4YCsBpB6uigJndoqFyPOMaBCPdn-2/view?usp=drivesdk"/>
    <hyperlink ref="I197" r:id="rId555" display="https://drive.google.com/file/d/1lNhU_6kRPh-CHjQ1f4A2Vtb7EBk40ilS/view?usp=drivesdk"/>
    <hyperlink ref="J197" r:id="rId556" display="https://drive.google.com/file/d/1yNulzDeA_je9ISCNJU9CpEaHXikNnemo/view?usp=drivesdk"/>
    <hyperlink ref="I198" r:id="rId557" display="https://drive.google.com/file/d/1_eFvGEQKj9sLWkH9YqxpjU3JevRvMT11/view?usp=drivesdk"/>
    <hyperlink ref="J198" r:id="rId558" display="https://drive.google.com/file/d/1Bx368d6C49ZehYMKd6pHnUebfa8ixMMX/view?usp=drivesdk"/>
    <hyperlink ref="K198" r:id="rId559" display="https://drive.google.com/file/d/1aAxFTmcrfu4_ljmE43TFInczrxyOem6d/view?usp=drivesdk"/>
    <hyperlink ref="L198" r:id="rId560" display="https://drive.google.com/file/d/161M1W7rykAi8B4B1HZukDvWz6tpIsMaM/view?usp=drivesdk"/>
    <hyperlink ref="I199" r:id="rId561" display="https://drive.google.com/file/d/1gLNdiX_-Vu3A53JbeOEsa5GNQ01iMf3f/view?usp=drivesdk"/>
    <hyperlink ref="J199" r:id="rId562" display="https://drive.google.com/file/d/1wqgoT5UqlPgN5uesN86jRgYxOqA9-p5z/view?usp=drivesdk"/>
    <hyperlink ref="K199" r:id="rId563" display="https://drive.google.com/file/d/1-Sg75IvZAXV92zMxIRfuzqS8PURt1pws/view?usp=drivesdk"/>
    <hyperlink ref="L199" r:id="rId564" display="https://drive.google.com/file/d/1o8uTVwsTkwlT8r1Rzw-ExpJdxrrVL1du/view?usp=drivesdk"/>
    <hyperlink ref="I200" r:id="rId565" display="https://drive.google.com/file/d/1JErmq9Xw5A7K2ziwASfv8Ku6vcvfkSM0/view?usp=drivesdk"/>
    <hyperlink ref="J200" r:id="rId566" display="https://drive.google.com/file/d/18FOeyPWP9L0NCwgiwB7LV9SvcrRR0TcF/view?usp=drivesdk"/>
    <hyperlink ref="K200" r:id="rId567" display="https://drive.google.com/file/d/10yH7ENE0uJzDqHn-sJxOE_6x_5rX86VB/view?usp=drivesdk"/>
    <hyperlink ref="L200" r:id="rId568" display="https://drive.google.com/file/d/1v28YqVbEEmQvcWzjQOk7Q8moY08s-KnQ/view?usp=drivesdk"/>
    <hyperlink ref="I201" r:id="rId569" display="https://drive.google.com/file/d/116Ahh5ctxgd-w-EYGc2OEQeEDt778oGK/view?usp=drivesdk"/>
    <hyperlink ref="J201" r:id="rId570" display="https://drive.google.com/file/d/1EUfutHj9MgeNb32c9KofRCfiYcYvpt1b/view?usp=drivesdk"/>
    <hyperlink ref="K201" r:id="rId571" display="https://drive.google.com/file/d/1nhKLWrM5fxNQuxGN36aVfwU50fUWQuT5/view?usp=drivesdk"/>
    <hyperlink ref="L201" r:id="rId572" display="https://drive.google.com/file/d/1egkvZN_nGl8F8YN_6i5qYmBhRf-R_wfU/view?usp=drivesdk"/>
    <hyperlink ref="I202" r:id="rId573" display="https://drive.google.com/file/d/1vUbMlImYHnZEIe2ujuQeWxyUbPWc076a/view?usp=drivesdk"/>
    <hyperlink ref="J202" r:id="rId574" display="https://drive.google.com/file/d/166ViFEx4klCAqpAZVF4xyQpxXlcWP9n0/view?usp=drivesdk"/>
    <hyperlink ref="K202" r:id="rId575" display="https://drive.google.com/file/d/1hWfE4BN9YismwlKykk-7sDKGTPnDzP-g/view?usp=drivesdk"/>
    <hyperlink ref="L202" r:id="rId576" display="https://drive.google.com/file/d/1RBKxXLYb65_oG5Gt9ZRSLNASlCFYDvWB/view?usp=drivesdk"/>
    <hyperlink ref="I203" r:id="rId577" display="https://drive.google.com/file/d/1sSJc8VS6h-hBDg3t-l2Lz41Pa-QcBEng/view?usp=drivesdk"/>
    <hyperlink ref="J203" r:id="rId578" display="https://drive.google.com/file/d/1il5L7Aci39Fj74BwZ5fILggaQ9EZNAzF/view?usp=drivesdk"/>
    <hyperlink ref="K203" r:id="rId579" display="https://drive.google.com/file/d/13dJDiMDWavt_MxUlkpQsFdsvG39zW3HD/view?usp=drivesdk"/>
    <hyperlink ref="L203" r:id="rId580" display="https://drive.google.com/file/d/10bOpjy21J8vquDEX5g_8GGMPMG_BQCMG/view?usp=drivesdk"/>
    <hyperlink ref="M203" r:id="rId581" display="https://drive.google.com/file/d/1usMyiID57k7FBWNZ_hPht4nDWbM73mNu/view?usp=drivesdk"/>
    <hyperlink ref="N203" r:id="rId582" display="https://drive.google.com/file/d/1xZCGyxC-k9Ae5WIwbMPdTDdePqkVKvdL/view?usp=drivesdk"/>
    <hyperlink ref="O203" r:id="rId583" display="https://drive.google.com/file/d/1-VxKpw9QrhQx-qXKM3Kzo9wjuiAHoqR0/view?usp=drivesdk"/>
    <hyperlink ref="I204" r:id="rId584" display="https://drive.google.com/file/d/1w1EcByW0Rtvc4rJk3t_II7p01-2IbHPa/view?usp=drivesdk"/>
    <hyperlink ref="J204" r:id="rId585" display="https://drive.google.com/file/d/14eFW0YbYZjSpXXMQsalaC_S_6085H8-L/view?usp=drivesdk"/>
    <hyperlink ref="K204" r:id="rId586" display="https://drive.google.com/file/d/1OZGKH5RP7JnuNEz5p_1rRqO_KsehKHX4/view?usp=drivesdk"/>
    <hyperlink ref="L204" r:id="rId587" display="https://drive.google.com/file/d/15VVD-iUZf71tMqfEg-0JuYZtqFAtzeEv/view?usp=drivesdk"/>
    <hyperlink ref="I205" r:id="rId588" display="https://drive.google.com/file/d/1Ahudnd0xoWi2JFu8aeoFNFKVa5IHNvx2/view?usp=drivesdk"/>
    <hyperlink ref="J205" r:id="rId589" display="https://drive.google.com/file/d/1D-zgLhwbROMoOIztKt5J8VXUjdrUKa5o/view?usp=drivesdk"/>
    <hyperlink ref="K205" r:id="rId590" display="https://drive.google.com/file/d/17lQz1xESIJfG449Oy2wKalXcaRyXrNTM/view?usp=drivesdk"/>
    <hyperlink ref="L205" r:id="rId591" display="https://drive.google.com/file/d/14UhW4JYx67Sw8b5NU3TNpQcQOZQyj0io/view?usp=drivesdk"/>
    <hyperlink ref="I206" r:id="rId592" display="https://drive.google.com/file/d/1M4Xe0560A8ygjRYZEF2m3l2Q92RQvWW_/view?usp=drivesdk"/>
    <hyperlink ref="J206" r:id="rId593" display="https://drive.google.com/file/d/1Whe3jTntzGUisX64Dhm_rejzx20B3v3Y/view?usp=drivesdk"/>
    <hyperlink ref="K206" r:id="rId594" display="https://drive.google.com/file/d/1XizNlglxBlvmGS5dNAI4mSRwGi_bFWwt/view?usp=drivesdk"/>
    <hyperlink ref="L206" r:id="rId595" display="https://drive.google.com/file/d/1UPAAEHPi7-oTXm_byAe4Geo4pwWQM-fX/view?usp=drivesdk"/>
    <hyperlink ref="I207" r:id="rId596" display="https://drive.google.com/file/d/1rQoTbnjEwKeNVy8J4I7psr-9G2CGxTTO/view?usp=drivesdk"/>
    <hyperlink ref="J207" r:id="rId597" display="https://drive.google.com/file/d/1CE1S3UNirh9LNwany025wWFUvDkUWYIN/view?usp=drivesdk"/>
    <hyperlink ref="K207" r:id="rId598" display="https://drive.google.com/file/d/1Pb8_qpNGcF5mFVO2OFVNi8UPM5teSVJI/view?usp=drivesdk"/>
    <hyperlink ref="L207" r:id="rId599" display="https://drive.google.com/file/d/1CPM3Y5k6oD4nOS7DRDfYa5Zh-iKzStn9/view?usp=drivesdk"/>
    <hyperlink ref="I208" r:id="rId600" display="https://drive.google.com/file/d/1R-GgOwkGL4b2H1eJDWEYJlfUVx45BZRs/view?usp=drivesdk"/>
    <hyperlink ref="J208" r:id="rId601" display="https://drive.google.com/file/d/1lUpKeAKztzO2Z_o-sqPlC3gWpkCiH9Dw/view?usp=drivesdk"/>
    <hyperlink ref="K208" r:id="rId602" display="https://drive.google.com/file/d/1HdGESfaw7ef1bBuKa6-Sdo8a-eyVXmEi/view?usp=drivesdk"/>
    <hyperlink ref="L208" r:id="rId603" display="https://drive.google.com/file/d/16BBM4nM1KeWuSCnyRy9XNjBYFfnX5mnS/view?usp=drivesdk"/>
    <hyperlink ref="I209" r:id="rId604" display="https://drive.google.com/file/d/1vAZQarMcOlq1TATQ1v2bl2X_RPtsg9kQ/view?usp=drivesdk"/>
    <hyperlink ref="I210" r:id="rId605" display="https://drive.google.com/file/d/1rDUyqAFD7NJFPuGbN2cvW0y4lpMI74Sc/view?usp=drivesdk"/>
    <hyperlink ref="I211" r:id="rId606" display="https://drive.google.com/file/d/161ml1q8DBPz9gox15c86fhG1ys-_dHK1/view?usp=drivesdk"/>
    <hyperlink ref="J211" r:id="rId607" display="https://drive.google.com/file/d/1peJJnHF6XlS8zVxVNydRr4GZP05FZyqP/view?usp=drivesdk"/>
    <hyperlink ref="K211" r:id="rId608" display="https://drive.google.com/file/d/1QSe8OgXuLuo9sCUgOna_UtVU7nBqofij/view?usp=drivesdk"/>
    <hyperlink ref="L211" r:id="rId609" display="https://drive.google.com/file/d/1cnkvurXH-tQ3unVHlDpHV4FMYvUUdMqj/view?usp=drivesdk"/>
    <hyperlink ref="I212" r:id="rId610" display="https://drive.google.com/file/d/1vGpomnEyXx8c7CFw3XVay40YpxKhRFKj/view?usp=drivesdk"/>
    <hyperlink ref="J212" r:id="rId611" display="https://drive.google.com/file/d/1IoImIaM8j-oF0QpSkG5_9QnrvVq55t9S/view?usp=drivesdk"/>
    <hyperlink ref="I213" r:id="rId612" display="https://drive.google.com/file/d/18-1tr3eB72W06cipec1zV5MCGI-cE-Ip/view?usp=drivesdk"/>
    <hyperlink ref="J213" r:id="rId613" display="https://drive.google.com/file/d/18cNUFDu9-6uxkXhJ5FBywrc_F1xjTIds/view?usp=drivesdk"/>
    <hyperlink ref="K213" r:id="rId614" display="https://drive.google.com/file/d/1ToBnJGdUgkzww01eKB6knndrbvFk8C74/view?usp=drivesdk"/>
    <hyperlink ref="L213" r:id="rId615" display="https://drive.google.com/file/d/1EGMUvDOE-Qk9FEidLQS9KwcxvwV5jV9O/view?usp=drivesdk"/>
    <hyperlink ref="M213" r:id="rId616" display="https://drive.google.com/file/d/1Y9R7FFCQn146JnG49a06rlbdoTAT2Hfu/view?usp=drivesdk"/>
    <hyperlink ref="N213" r:id="rId617" display="https://drive.google.com/file/d/1WddGnmAy1e6-Ux8JrMrVP2RM9dK73MwA/view?usp=drivesdk"/>
    <hyperlink ref="O213" r:id="rId618" display="https://drive.google.com/file/d/1tVnqkZyLon4v3ZMg_MUT_5T6umP1xuyY/view?usp=drivesdk"/>
    <hyperlink ref="P213" r:id="rId619" display="https://drive.google.com/file/d/14duE_eBTfhplNm6AxZEHXNT-B9f5DrAQ/view?usp=drivesdk"/>
    <hyperlink ref="Q213" r:id="rId620" display="https://drive.google.com/file/d/1_2BRtvKXLMNI168GvCAeC4M5PxgMgfCU/view?usp=drivesdk"/>
    <hyperlink ref="I214" r:id="rId621" display="https://drive.google.com/file/d/13vX5iRO2Z3V2g8E6mYhOA91FZCmdmnFB/view?usp=drivesdk"/>
    <hyperlink ref="J214" r:id="rId622" display="https://drive.google.com/file/d/1lYbGCvr_aFOJJZuNWXy3pxsZEObMyPnE/view?usp=drivesdk"/>
    <hyperlink ref="K214" r:id="rId623" display="https://drive.google.com/file/d/1gdUYCzKRm9lRIWqqlOH9EufNG_U2IrO2/view?usp=drivesdk"/>
    <hyperlink ref="L214" r:id="rId624" display="https://drive.google.com/file/d/1DHfNoyKz7XAJmcAScNEduM_ioNSv08yZ/view?usp=drivesdk"/>
    <hyperlink ref="I215" r:id="rId625" display="https://drive.google.com/file/d/1UE3YH8RliBKqQCJDFRzeGesRFHMWtYRr/view?usp=drivesdk"/>
    <hyperlink ref="J215" r:id="rId626" display="https://drive.google.com/file/d/1rAGxpU9H-wHVNXNtjKfOp0VhtfyBWUIP/view?usp=drivesdk"/>
    <hyperlink ref="K215" r:id="rId627" display="https://drive.google.com/file/d/1Hdr1-K978__Xmb91PDEDtzB_DvG-NY7c/view?usp=drivesdk"/>
    <hyperlink ref="L215" r:id="rId628" display="https://drive.google.com/file/d/17yFByU93aYxThCXVoiA8JROCE5BFccn9/view?usp=drivesdk"/>
    <hyperlink ref="I216" r:id="rId629" display="https://drive.google.com/file/d/1g3yDHM3PWzOfLm7BwJZIBvudSeIV7qxJ/view?usp=drivesdk"/>
    <hyperlink ref="J216" r:id="rId630" display="https://drive.google.com/file/d/1M3CzaI6HaMDXiupfhuRfLvDxVLiX8oIg/view?usp=drivesdk"/>
    <hyperlink ref="K216" r:id="rId631" display="https://drive.google.com/file/d/1vvHahUnL0EZ3t6iJ4XMsON4sIlVkxtbg/view?usp=drivesdk"/>
    <hyperlink ref="L216" r:id="rId632" display="https://drive.google.com/file/d/1QYheEM2gYFMLkXffWJikxLUUajfn3SMk/view?usp=drivesdk"/>
    <hyperlink ref="I217" r:id="rId633" display="https://drive.google.com/file/d/1u9q7QQJt4gl2fm7fS0xRUdqI-quN39Sy/view?usp=drivesdk"/>
    <hyperlink ref="J217" r:id="rId634" display="https://drive.google.com/file/d/1FIetvzmMIUzwn_CtHy4J8xg1iRd_JXTF/view?usp=drivesdk"/>
    <hyperlink ref="K217" r:id="rId635" display="https://drive.google.com/file/d/1npVigkPUDbn0ROFDWvdBhOY7Lcms8yf7/view?usp=drivesdk"/>
    <hyperlink ref="L217" r:id="rId636" display="https://drive.google.com/file/d/1iKWW6g5kRe8MZvreSg4fKcRga5ewgFLG/view?usp=drivesdk"/>
    <hyperlink ref="I218" r:id="rId637" display="https://drive.google.com/file/d/1RzLXQBwofWHFY-6aXqkYvqYKwj1XqFuC/view?usp=drivesdk"/>
    <hyperlink ref="J218" r:id="rId638" display="https://drive.google.com/file/d/1GjYr5WFh9Nv8DAM1JPL0chioUpjceNCW/view?usp=drivesdk"/>
    <hyperlink ref="K218" r:id="rId639" display="https://drive.google.com/file/d/1lKtkcK3xNSsoksQXgEZ5t5Xf0bTMe3Nr/view?usp=drivesdk"/>
    <hyperlink ref="L218" r:id="rId640" display="https://drive.google.com/file/d/18-DPOiu1j3qI7YDSNAs3TVtWFeUSqNMO/view?usp=drivesdk"/>
    <hyperlink ref="I219" r:id="rId641" display="https://drive.google.com/file/d/1O1K78ih9HfwMgpetmfGfxMIKs_mGwBVO/view?usp=drivesdk"/>
    <hyperlink ref="J219" r:id="rId642" display="https://drive.google.com/file/d/1ALjyqWsWV5Gm0XX2cngMVWbFxvBmseoi/view?usp=drivesdk"/>
    <hyperlink ref="I220" r:id="rId643" display="https://drive.google.com/file/d/1wVBlo1YA4Q6uic-QelSgitBptNn7yASi/view?usp=drivesdk"/>
    <hyperlink ref="J220" r:id="rId644" display="https://drive.google.com/file/d/195i-oBlT50Td-PWpIJzhueuvNgdud63n/view?usp=drivesdk"/>
    <hyperlink ref="K220" r:id="rId645" display="https://drive.google.com/file/d/14q1d7M1gXFhomvEWAZnXBKnE4nI2pKQx/view?usp=drivesdk"/>
    <hyperlink ref="L220" r:id="rId646" display="https://drive.google.com/file/d/1n8t9A97vVpggHu7iA1UsPiCIGBYYqebw/view?usp=drivesdk"/>
    <hyperlink ref="M220" r:id="rId647" display="https://drive.google.com/file/d/1zgLIrpU1j68tOw-2AoSqjD2zSaDxHkNY/view?usp=drivesdk"/>
    <hyperlink ref="I221" r:id="rId648" display="https://drive.google.com/file/d/1-hokkF2P9ojx-3L99FXIi_GpYwWczkIb/view?usp=drivesdk"/>
    <hyperlink ref="J221" r:id="rId649" display="https://drive.google.com/file/d/19hJcV-UzxNWr4WWH3XIsXWt4AXIhwC0i/view?usp=drivesdk"/>
    <hyperlink ref="K221" r:id="rId650" display="https://drive.google.com/file/d/17nr827JhgcSvs750I4o0qplhZvF1dMu8/view?usp=drivesdk"/>
    <hyperlink ref="L221" r:id="rId651" display="https://drive.google.com/file/d/1Fu2-b8A-BwYqp4UpozaxY3MDz0eVxkhe/view?usp=drivesdk"/>
    <hyperlink ref="I222" r:id="rId652" display="https://drive.google.com/file/d/1MtrRLNwpUORdmZMqr00Plu4uJG7Tt0u5/view?usp=drivesdk"/>
    <hyperlink ref="J222" r:id="rId653" display="https://drive.google.com/file/d/1oWMf18VGf1TB0v0ZYp_iEocn49hB3z0R/view?usp=drivesdk"/>
    <hyperlink ref="K222" r:id="rId654" display="https://drive.google.com/file/d/1zOQPeOLIOyTAU-J6oql2Kk7Mf9jvfXVF/view?usp=drivesdk"/>
    <hyperlink ref="L222" r:id="rId655" display="https://drive.google.com/file/d/1WypCNHLj_JcrALiJbm3f_4D55wSM62pR/view?usp=drivesdk"/>
    <hyperlink ref="I223" r:id="rId656" display="https://drive.google.com/file/d/1W_xJAmF-c74YzWFVY9e73ED6lXWq8prI/view?usp=drivesdk"/>
    <hyperlink ref="J223" r:id="rId657" display="https://drive.google.com/file/d/1viAl3-8c-XM09FCaOmn3Gj8f0bO_p8XM/view?usp=drivesdk"/>
    <hyperlink ref="K223" r:id="rId658" display="https://drive.google.com/file/d/1jel8_K5ZyFdrBau3rYCDBUAQl2kn2jqr/view?usp=drivesdk"/>
    <hyperlink ref="L223" r:id="rId659" display="https://drive.google.com/file/d/1qXm89owDXjD7ndIIOEtUs7wxUO-EvcQ9/view?usp=drivesdk"/>
    <hyperlink ref="I224" r:id="rId660" display="https://drive.google.com/file/d/1H7qJg-AgeO_FHFp5YHquzx5c4aUvcBPq/view?usp=drivesdk"/>
    <hyperlink ref="J224" r:id="rId661" display="https://drive.google.com/file/d/1zwudQmYkhf46132SZ_80gH89fmZ3hds3/view?usp=drivesdk"/>
    <hyperlink ref="K224" r:id="rId662" display="https://drive.google.com/file/d/13_3gqppEF11uOgXKTWkO2ScYu6vYklYe/view?usp=drivesdk"/>
    <hyperlink ref="L224" r:id="rId663" display="https://drive.google.com/file/d/1ELWOBboWl3YCRH15NBWVQigIr51LymzT/view?usp=drivesdk"/>
    <hyperlink ref="M224" r:id="rId664" display="https://drive.google.com/file/d/1iiRmf3j2W0AExXvMgVb2zy5sRdcwyQjj/view?usp=drivesdk"/>
    <hyperlink ref="N224" r:id="rId665" display="https://drive.google.com/file/d/1Yrryvbbc8Qz78YRy8lXsEGKd6ifcgsBh/view?usp=drivesdk"/>
    <hyperlink ref="O224" r:id="rId666" display="https://drive.google.com/file/d/1tOYJV-sgIrnKYi7JpBgk0rWuz6kESsEs/view?usp=drivesdk"/>
    <hyperlink ref="P224" r:id="rId667" display="https://drive.google.com/file/d/1YbymXEnrxE-Z-ap_PZLBgMYfTVPK5-bL/view?usp=drivesdk"/>
    <hyperlink ref="I225" r:id="rId668" display="https://drive.google.com/file/d/130_fhBzsO3oITTk70fifq-h0C8rEVQjt/view?usp=drivesdk"/>
    <hyperlink ref="J225" r:id="rId669" display="https://drive.google.com/file/d/1YdEtWzxa6At-BnONwiQqE8HL-OXaUUD9/view?usp=drivesdk"/>
    <hyperlink ref="K225" r:id="rId670" display="https://drive.google.com/file/d/1Bj2gS100qoxYmzrlqEFYwTboshjKcpe8/view?usp=drivesdk"/>
    <hyperlink ref="L225" r:id="rId671" display="https://drive.google.com/file/d/1Um_lVkS7kRgjvWdX-OCdeH0t3Rm34nRm/view?usp=drivesdk"/>
    <hyperlink ref="I226" r:id="rId672" display="https://drive.google.com/file/d/1DhvlTfaT6ppvqsus98GETExqfny3iYeg/view?usp=drivesdk"/>
    <hyperlink ref="J226" r:id="rId673" display="https://drive.google.com/file/d/145ZWlv76l3Mk7J3l5JDsGuDCww6LyM1d/view?usp=drivesdk"/>
    <hyperlink ref="K226" r:id="rId674" display="https://drive.google.com/file/d/1frceacvEJ-VdNnT0oCz8_RcXaRgroo0b/view?usp=drivesdk"/>
    <hyperlink ref="L226" r:id="rId675" display="https://drive.google.com/file/d/1YCVUdhwY_952qYt-tEIHanmOieWxkNip/view?usp=drivesdk"/>
    <hyperlink ref="I227" r:id="rId676" display="https://drive.google.com/file/d/13pvejgxemsicLX8hJRXiAnefQ91xu9ma/view?usp=drivesdk"/>
    <hyperlink ref="J227" r:id="rId677" display="https://drive.google.com/file/d/15MmvJNot3spNJmPeR7QztB_PTqK5VEuM/view?usp=drivesdk"/>
    <hyperlink ref="K227" r:id="rId678" display="https://drive.google.com/file/d/1BvNyNuCG7_YaE4olLIXhbVv89TRKw9Ab/view?usp=drivesdk"/>
    <hyperlink ref="L227" r:id="rId679" display="https://drive.google.com/file/d/13U_FXmm8ATeUuBeNYW7pJ6adGU23LiXL/view?usp=drivesdk"/>
    <hyperlink ref="I228" r:id="rId680" display="https://drive.google.com/file/d/1lg7DZhfF5yrfzD7QhQeIb-icC70M-_Vi/view?usp=drivesdk"/>
    <hyperlink ref="J228" r:id="rId681" display="https://drive.google.com/file/d/1LpTxrP1MRmBEttxaP3gpAa5Q9OV0wYkL/view?usp=drivesdk"/>
    <hyperlink ref="K228" r:id="rId682" display="https://drive.google.com/file/d/1jTldY9CvP2HjCwpMUUtYxI16E6b9Zog2/view?usp=drivesdk"/>
    <hyperlink ref="L228" r:id="rId683" display="https://drive.google.com/file/d/1EKfxPFydD4uCNMwYZcHu_I3sG2CXZDIe/view?usp=drivesdk"/>
    <hyperlink ref="I229" r:id="rId684" display="https://drive.google.com/file/d/1JrzrLNHg_Frs46rzEqp9l4DE_ybPLGeS/view?usp=drivesdk"/>
    <hyperlink ref="J229" r:id="rId685" display="https://drive.google.com/file/d/1I2qrDNK5sVbanfxJOKK5j23EvPs6CusO/view?usp=drivesdk"/>
    <hyperlink ref="K229" r:id="rId686" display="https://drive.google.com/file/d/1ezTBr497FKdFa7gvIBlOuHGILR41OQ-P/view?usp=drivesdk"/>
    <hyperlink ref="L229" r:id="rId687" display="https://drive.google.com/file/d/1umaFQvcmq-dxYuAhR8ccBr6A3ra7WQQk/view?usp=drivesdk"/>
    <hyperlink ref="I230" r:id="rId688" display="https://drive.google.com/file/d/15Bo9iD6wnaKw2oCLwxMTmNjnrEKsI4IW/view?usp=drivesdk"/>
    <hyperlink ref="J230" r:id="rId689" display="https://drive.google.com/file/d/15e1oO1f878HwtkDIFQtGXeqX3dDvjhYm/view?usp=drivesdk"/>
    <hyperlink ref="K230" r:id="rId690" display="https://drive.google.com/file/d/13NQR2mqkz7jyYi2613rvMVEPwLBKrVkI/view?usp=drivesdk"/>
    <hyperlink ref="I231" r:id="rId691" display="https://drive.google.com/file/d/1xS89WvmeNpk_hfkou_kh2k4oGf1iPIgX/view?usp=drivesdk"/>
    <hyperlink ref="J231" r:id="rId692" display="https://drive.google.com/file/d/1kwNPWmxw7P5sk5wcWmiaYYbAGeObToRq/view?usp=drivesdk"/>
    <hyperlink ref="K231" r:id="rId693" display="https://drive.google.com/file/d/1SV3A1hHs7RFwz22hVCjyZzR6j0dgP5Ul/view?usp=drivesdk"/>
    <hyperlink ref="L231" r:id="rId694" display="https://drive.google.com/file/d/1kUmPZWnAvZ8pUrV2KaNiIx2WBybLGQjF/view?usp=drivesdk"/>
    <hyperlink ref="I232" r:id="rId695" display="https://drive.google.com/file/d/1IEyEXDcFzyh6bBh9jhZTCo4ChSrmnMET/view?usp=drivesdk"/>
    <hyperlink ref="J232" r:id="rId696" display="https://drive.google.com/file/d/1G30zvicfOCLW9i5MUyx0gytTK-GU8bFE/view?usp=drivesdk"/>
    <hyperlink ref="I233" r:id="rId697" display="https://drive.google.com/file/d/14T1IwNIkR8K-000RtaNk14SXf00ybtTF/view?usp=drivesdk"/>
    <hyperlink ref="J233" r:id="rId698" display="https://drive.google.com/file/d/1hxn9--pbQ7l7zAY82peRspigEve6ePnl/view?usp=drivesdk"/>
    <hyperlink ref="K233" r:id="rId699" display="https://drive.google.com/file/d/1iyyEnZzJ7L28vO63jK2rS3ZFwytw5iF6/view?usp=drivesdk"/>
    <hyperlink ref="L233" r:id="rId700" display="https://drive.google.com/file/d/1f8ClGnazSGPysZuKzrQPSO6Q7YeziZWE/view?usp=drivesdk"/>
    <hyperlink ref="I234" r:id="rId701" display="https://drive.google.com/file/d/1T3SjCKN37uSoMTRWx5bFQpaneNSCP90E/view?usp=drivesdk"/>
    <hyperlink ref="J234" r:id="rId702" display="https://drive.google.com/file/d/1Al_zhlH5m7pHzq6ckQY23hxoIxCZdSE5/view?usp=drivesdk"/>
    <hyperlink ref="I235" r:id="rId703" display="https://drive.google.com/file/d/1FZKtf-hxkStsTnBXBGDisU894w5SMVl3/view?usp=drivesdk"/>
    <hyperlink ref="J235" r:id="rId704" display="https://drive.google.com/file/d/1_7W1smlpEbhiuP7tXmHTHhz5O9s9PtA3/view?usp=drivesdk"/>
    <hyperlink ref="I236" r:id="rId705" display="https://drive.google.com/file/d/1Fp8Sm9rhqMAERVLr_sPpCjjW129P1mam/view?usp=drivesdk"/>
    <hyperlink ref="J236" r:id="rId706" display="https://drive.google.com/file/d/1zxa97WcJamaYctBGlSqDZwaWu-sNFqUL/view?usp=drivesdk"/>
    <hyperlink ref="K236" r:id="rId707" display="https://drive.google.com/file/d/1bWjUAeoHNwicvAQlh6tALG9KT51tbtaY/view?usp=drivesdk"/>
    <hyperlink ref="L236" r:id="rId708" display="https://drive.google.com/file/d/1n4T_rl-yFX6pOhxgxsKGZQTCavfL-HEX/view?usp=drivesdk"/>
    <hyperlink ref="I237" r:id="rId709" display="https://drive.google.com/file/d/1GaFF6gLcAFY-p4yKrn_lx9HGwiVFuLH7/view?usp=drivesdk"/>
    <hyperlink ref="J237" r:id="rId710" display="https://drive.google.com/file/d/1oNVH-iO9zNqIqbz5vZxRzLN0nItBSYaq/view?usp=drivesdk"/>
    <hyperlink ref="K237" r:id="rId711" display="https://drive.google.com/file/d/1p6PBqrZjILaOwoc9Y-XcHLB7gpFL7Cyh/view?usp=drivesdk"/>
    <hyperlink ref="L237" r:id="rId712" display="https://drive.google.com/file/d/1TivYUqGB21Jy1veGHj7kWlraHa4b-wkb/view?usp=drivesdk"/>
    <hyperlink ref="I238" r:id="rId713" display="https://drive.google.com/file/d/1V6j-WOkrwSDnRAIp5dGdrWyyTmC0zzVa/view?usp=drivesdk"/>
    <hyperlink ref="J238" r:id="rId714" display="https://drive.google.com/file/d/1ARsio0WgvWv11XtAbN4LHtEM1zf6yIZE/view?usp=drivesdk"/>
    <hyperlink ref="K238" r:id="rId715" display="https://drive.google.com/file/d/1-qh-ETI95t0vnOLwTz0HXY8ORwGLbrvU/view?usp=drivesdk"/>
    <hyperlink ref="L238" r:id="rId716" display="https://drive.google.com/file/d/1o6-AzurfCtPsaulukOD7J_nOQi56WCcJ/view?usp=drivesdk"/>
    <hyperlink ref="I239" r:id="rId717" display="https://drive.google.com/file/d/1b9Cv9j5r2Q0SK5um7HlGuVqjvGe5vm48/view?usp=drivesdk"/>
    <hyperlink ref="J239" r:id="rId718" display="https://drive.google.com/file/d/1O30ZdZ4lXjdwQI7V3kSGW2mK1CRF4WmK/view?usp=drivesdk"/>
    <hyperlink ref="K239" r:id="rId719" display="https://drive.google.com/file/d/1KNs_uuDJk8WZYiiTIPthExmz4RB3GSkg/view?usp=drivesdk"/>
    <hyperlink ref="L239" r:id="rId720" display="https://drive.google.com/file/d/1FqYuA5aY7K5Nq2pFJiotBXSiPHTwSCGQ/view?usp=drivesdk"/>
    <hyperlink ref="I240" r:id="rId721" display="https://drive.google.com/file/d/13BTlpr09KDZ-RKD1CZT253pp3U-1V_cO/view?usp=drivesdk"/>
    <hyperlink ref="J240" r:id="rId722" display="https://drive.google.com/file/d/1OUenpP3s9P1u0EXoksnuYoVIZrEg5ijl/view?usp=drivesdk"/>
    <hyperlink ref="K240" r:id="rId723" display="https://drive.google.com/file/d/1Pw4AP1lVfOSEVNQWouO800EeqOeo4Va-/view?usp=drivesdk"/>
    <hyperlink ref="I241" r:id="rId724" display="https://drive.google.com/file/d/1kagLZsV3qyUcdiLSjEK9mmfQZi9budWs/view?usp=drivesdk"/>
    <hyperlink ref="I242" r:id="rId725" display="https://drive.google.com/file/d/1sa2n4J0TktDmYwG-yzZHCfDJLg5lhGBq/view?usp=drivesdk"/>
    <hyperlink ref="J242" r:id="rId726" display="https://drive.google.com/file/d/1I7xp_JXzdK73y76Lp42pUxS75ic1W17F/view?usp=drivesdk"/>
    <hyperlink ref="I243" r:id="rId727" display="https://drive.google.com/file/d/15SjxJItEjF0SgM3VldhjH_-Y8WhkKCTW/view?usp=drivesdk"/>
    <hyperlink ref="J243" r:id="rId728" display="https://drive.google.com/file/d/1DlAb3_CGQkN_MGYxo-DdWQTx1QlU1-Ha/view?usp=drivesdk"/>
    <hyperlink ref="K243" r:id="rId729" display="https://drive.google.com/file/d/1aFX4TlQnRfiQRmZ4AAvMZkDSiJVIEscQ/view?usp=drivesdk"/>
    <hyperlink ref="L243" r:id="rId730" display="https://drive.google.com/file/d/1l6W5wp9Z-8zzhaDdK7dn1HXetUxeAsMf/view?usp=drivesdk"/>
    <hyperlink ref="I244" r:id="rId731" display="https://drive.google.com/file/d/1ob5GSbwbcks2SnChmF1IG4b66oGExgWX/view?usp=drivesdk"/>
    <hyperlink ref="I245" r:id="rId732" display="https://drive.google.com/file/d/1Pr7iWe8IEFfIgwePYuCpJuEWeRDvyhUX/view?usp=drivesdk"/>
    <hyperlink ref="J245" r:id="rId733" display="https://drive.google.com/file/d/1egAqHOjYj7HGgn6s4a0LxXQElevQr8nY/view?usp=drivesdk"/>
    <hyperlink ref="I246" r:id="rId734" display="https://drive.google.com/file/d/1BbNgbspFwArdhNdqyFYQM-NjQCcgLJh3/view?usp=drivesdk"/>
    <hyperlink ref="J246" r:id="rId735" display="https://drive.google.com/file/d/1EMWbfCg4KQHE38Ny4Nlm_xNAteTABZhV/view?usp=drivesdk"/>
    <hyperlink ref="I247" r:id="rId736" display="https://drive.google.com/file/d/1YyAHjU0_hEBOY93pAkk4wNqPtmu-fdJC/view?usp=drivesdk"/>
    <hyperlink ref="J247" r:id="rId737" display="https://drive.google.com/file/d/1FiEwEfAdpbL3YFBiwgY969i6vuR0DqqC/view?usp=drivesdk"/>
    <hyperlink ref="K247" r:id="rId738" display="https://drive.google.com/file/d/19FmmdDoa2AyXLeUC7f9Gf3ImGdb1TNG7/view?usp=drivesdk"/>
    <hyperlink ref="L247" r:id="rId739" display="https://drive.google.com/file/d/1xR7Vop5iMpXybGcM18qyJvgcphsK-bOr/view?usp=drivesdk"/>
    <hyperlink ref="M247" r:id="rId740" display="https://drive.google.com/file/d/10cKiYG12ykEfudRvW5n2LbJ5SQeQPym5/view?usp=drivesdk"/>
    <hyperlink ref="N247" r:id="rId741" display="https://drive.google.com/file/d/1SHT-wUe0fDFWa_Ws_3qjOm5ZLxVmMMeH/view?usp=drivesdk"/>
    <hyperlink ref="O247" r:id="rId742" display="https://drive.google.com/file/d/1AsToUDmV-Zjq0DXNVXU1XJZ8xpRetKbS/view?usp=drivesdk"/>
    <hyperlink ref="P247" r:id="rId743" display="https://drive.google.com/file/d/1PbvkDEjrK03PLRIJ8JziP5EcPEgtgo3q/view?usp=drivesdk"/>
    <hyperlink ref="Q247" r:id="rId744" display="https://drive.google.com/file/d/14SVlBtN1JLhQsPAFFTQgLs2fz8_suPlK/view?usp=drivesdk"/>
    <hyperlink ref="I248" r:id="rId745" display="https://drive.google.com/file/d/1utJf4xp2S6-cyfXtZOGipO3vS4Yoq9yj/view?usp=drivesdk"/>
    <hyperlink ref="J248" r:id="rId746" display="https://drive.google.com/file/d/1qNy9IganJ8GvI1XBGbZZKZXsH0a921yG/view?usp=drivesdk"/>
    <hyperlink ref="K248" r:id="rId747" display="https://drive.google.com/file/d/1orAW-_mMhXTGSouYQ6d-_m62dTi-GR8t/view?usp=drivesdk"/>
    <hyperlink ref="L248" r:id="rId748" display="https://drive.google.com/file/d/1Q7O3u1_M2jdWil3hY3W9QFyUg7oRMfYe/view?usp=drivesdk"/>
    <hyperlink ref="M248" r:id="rId749" display="https://drive.google.com/file/d/1n7U4bFxM_fKrqMcMk0UVYL1VR1tirQpF/view?usp=drivesdk"/>
    <hyperlink ref="N248" r:id="rId750" display="https://drive.google.com/file/d/1EOzBBaGjcf7hX6s8O1hRJC8hm6A0Trwf/view?usp=drivesdk"/>
    <hyperlink ref="O248" r:id="rId751" display="https://drive.google.com/file/d/1QGrNpg6WB13IAzsPs2pESVdILQfNP7lX/view?usp=drivesdk"/>
    <hyperlink ref="P248" r:id="rId752" display="https://drive.google.com/file/d/1mIOORd2d84NokQEH0wNQQjM71D02E1uy/view?usp=drivesdk"/>
    <hyperlink ref="Q248" r:id="rId753" display="https://drive.google.com/file/d/1FGsGfhcAxhZuCtzvXr6AcR6eNXQDnShd/view?usp=drivesdk"/>
    <hyperlink ref="R248" r:id="rId754" display="https://drive.google.com/file/d/1nwxScFDsbrJyz30ldAFLyiFX43-aLNg1/view?usp=drivesdk"/>
    <hyperlink ref="S248" r:id="rId755" display="https://drive.google.com/file/d/16nNczOGXS4UG-K-7NglXTqViYl_Tl4__/view?usp=drivesdk"/>
    <hyperlink ref="T248" r:id="rId756" display="https://drive.google.com/file/d/13Hu88K7D3yGWa1TSSaq4j3YGNL72WyFv/view?usp=drivesdk"/>
    <hyperlink ref="U248" r:id="rId757" display="https://drive.google.com/file/d/1-OZwLyMNIuJVMaoDA7Ej0Sl8Hpr1kDHd/view?usp=drivesdk"/>
    <hyperlink ref="V248" r:id="rId758" display="https://drive.google.com/file/d/1nWSodqS9Q4iSHUMRh42xzE47Euhl5CFL/view?usp=drivesdk"/>
    <hyperlink ref="I249" r:id="rId759" display="https://drive.google.com/file/d/1GzTKP0Lxf3-SPvxYsDjx73UPaRupbl2-/view?usp=drivesdk"/>
    <hyperlink ref="J249" r:id="rId760" display="https://drive.google.com/file/d/1VcQmN3fPQeqMZrmReIsMydP9Ats7HZsW/view?usp=drivesdk"/>
    <hyperlink ref="K249" r:id="rId761" display="https://drive.google.com/file/d/1SUZaSkU0dNmnzvURLLnunuJy6FkhcCKo/view?usp=drivesdk"/>
    <hyperlink ref="L249" r:id="rId762" display="https://drive.google.com/file/d/1Ld3_ktfrXMpZy6crY912N6Kta-maKJ-v/view?usp=drivesdk"/>
    <hyperlink ref="I250" r:id="rId763" display="https://drive.google.com/file/d/1vmXvS4hvWoKvCdW0tlGeAXZw-w3DdvOD/view?usp=drivesdk"/>
    <hyperlink ref="I251" r:id="rId764" display="https://drive.google.com/file/d/10FQoUwzyVee_2ifK6eE_5oUZ4OmVSR6n/view?usp=drivesdk"/>
    <hyperlink ref="I252" r:id="rId765" display="https://drive.google.com/file/d/1LYot0zcYTf0tVwgNM8gUgohpbgcbQf73/view?usp=drivesdk"/>
    <hyperlink ref="J252" r:id="rId766" display="https://drive.google.com/file/d/1JbfXSUT9ai6JaU62OkuQMPxDFUkeD0tU/view?usp=drivesdk"/>
    <hyperlink ref="K252" r:id="rId767" display="https://drive.google.com/file/d/1yWRy6-S5cbiGBQJ1ObK43q35VuWcyP4_/view?usp=drivesdk"/>
    <hyperlink ref="L252" r:id="rId768" display="https://drive.google.com/file/d/1IWVq3ikzPUatu5S50OFTYQgiZLxIf3jk/view?usp=drivesdk"/>
    <hyperlink ref="I253" r:id="rId769" display="https://drive.google.com/file/d/1wlPJkimtNl3euwSRA5zS_5-RayFOu4yc/view?usp=drivesdk"/>
    <hyperlink ref="J253" r:id="rId770" display="https://drive.google.com/file/d/1ymDd8d0TzNNROeRfd646yt2gm5-5-Fzv/view?usp=drivesdk"/>
    <hyperlink ref="K253" r:id="rId771" display="https://drive.google.com/file/d/1qn1nJvD8pDuo9Zur6Nqq0gC9IMZ15sxE/view?usp=drivesdk"/>
    <hyperlink ref="L253" r:id="rId772" display="https://drive.google.com/file/d/1edw2h-xmZ-cELrBmmqZ6VwlJDhcdpDff/view?usp=drivesdk"/>
    <hyperlink ref="I254" r:id="rId773" display="https://drive.google.com/file/d/1xv_MFKSCdCmZ3kkYVZuQGVZYLIBOtEsw/view?usp=drivesdk"/>
    <hyperlink ref="J254" r:id="rId774" display="https://drive.google.com/file/d/1Yid3GKnSNZp_ECDa4eT0TdZEwRnv0IlE/view?usp=drivesdk"/>
    <hyperlink ref="K254" r:id="rId775" display="https://drive.google.com/file/d/1rHVm0ADhhCkXpFg37f_0gG-oyDn7TobI/view?usp=drivesdk"/>
    <hyperlink ref="L254" r:id="rId776" display="https://drive.google.com/file/d/1Ug4WRA5HCZko3RSx19jE4TtqwKLDNO8i/view?usp=drivesdk"/>
    <hyperlink ref="M254" r:id="rId777" display="https://drive.google.com/file/d/17v41ij_hD3nhPc8BjFRSO2FbNABSTZTv/view?usp=drivesdk"/>
    <hyperlink ref="I255" r:id="rId778" display="https://drive.google.com/file/d/1pCDe6jXtVJgbdtWxPczqjL2QG1WaNAHm/view?usp=drivesdk"/>
    <hyperlink ref="I256" r:id="rId779" display="https://drive.google.com/file/d/1Ix--RBeM48WhMB4PbE1QRhNiYwwHXcgi/view?usp=drivesdk"/>
    <hyperlink ref="I257" r:id="rId780" display="https://drive.google.com/file/d/1FnsUnMeADMCw40FRNJD-dWL4vcMp4rUr/view?usp=drivesdk"/>
    <hyperlink ref="I258" r:id="rId781" display="https://drive.google.com/file/d/1ZMJx-KAJC6pjblV25JIzkskaLdZSUwCL/view?usp=drivesdk"/>
    <hyperlink ref="J258" r:id="rId782" display="https://drive.google.com/file/d/1CxxBc-vvThV_WSVzTgZ3WxhbR_zPWOkA/view?usp=drivesdk"/>
    <hyperlink ref="I259" r:id="rId783" display="https://drive.google.com/file/d/1mN82mNxjnmYJwZuVtAJeX3BN4tnIJdiK/view?usp=drivesdk"/>
    <hyperlink ref="J259" r:id="rId784" display="https://drive.google.com/file/d/1hoVB72mQSZyIv8EWcbsUpCQbDJGdQ6h2/view?usp=drivesdk"/>
    <hyperlink ref="K259" r:id="rId785" display="https://drive.google.com/file/d/1FcRw14L2CLSOskL0nDDsbtR2pkEkXxA7/view?usp=drivesdk"/>
    <hyperlink ref="L259" r:id="rId786" display="https://drive.google.com/file/d/1CxcvrHFLBMFBh9CWgcxiUeaWrsOxDvwf/view?usp=drivesdk"/>
    <hyperlink ref="I260" r:id="rId787" display="https://drive.google.com/file/d/1S7YsZA9qEo7oi63oKFHTQOgEuoPub4eR/view?usp=drivesdk"/>
    <hyperlink ref="J260" r:id="rId788" display="https://drive.google.com/file/d/15Dx1iZaA6OmySBQFhi45qPXvzRm5qCkw/view?usp=drivesdk"/>
    <hyperlink ref="K260" r:id="rId789" display="https://drive.google.com/file/d/1tgr1tFQiBwayB4iAG2AFvMf5ws6F3Q7k/view?usp=drivesdk"/>
    <hyperlink ref="L260" r:id="rId790" display="https://drive.google.com/file/d/1H-6NQ0oB87NbftEVmaWIEVljYs6qJG_D/view?usp=drivesdk"/>
    <hyperlink ref="I262" r:id="rId791" display="https://drive.google.com/file/d/1MPEIwF6kSKXJBqK_GlButQY5FJ6yQPEU/view?usp=drivesdk"/>
    <hyperlink ref="I263" r:id="rId792" display="https://drive.google.com/file/d/1WE8y-yIcXXuQqlv6pYxjSqNviPof_PMs/view?usp=drivesdk"/>
    <hyperlink ref="J263" r:id="rId793" display="https://drive.google.com/file/d/1dKZvF1RC6D8vCkUmIX1T_fgRtj97Q1bv/view?usp=drivesdk"/>
    <hyperlink ref="K263" r:id="rId794" display="https://drive.google.com/file/d/1RJXxBJncUhdZFRjiplf5Gpoa39gMvZb8/view?usp=drivesdk"/>
    <hyperlink ref="L263" r:id="rId795" display="https://drive.google.com/file/d/1LNBcVsrZnD_kfOzjEy9idnwMT_RWSoxL/view?usp=drivesdk"/>
    <hyperlink ref="I264" r:id="rId796" display="https://drive.google.com/file/d/1ValHyvxJLNX-Al_kXdmwWJNix9AhuIFY/view?usp=drivesdk"/>
    <hyperlink ref="I265" r:id="rId797" display="https://drive.google.com/file/d/1RTDdmF3uBbzgKlPT9nKfP6X1blRTxJ2f/view?usp=drivesdk"/>
    <hyperlink ref="J265" r:id="rId798" display="https://drive.google.com/file/d/1oHW0UcYDwpL0JZcNLNfBhQrKj9T8kS3r/view?usp=drivesdk"/>
    <hyperlink ref="I266" r:id="rId799" display="https://drive.google.com/file/d/1TrSBUIVDc9ozIgcodnHvqHnZ5VGQw316/view?usp=drivesdk"/>
    <hyperlink ref="J266" r:id="rId800" display="https://drive.google.com/file/d/11M6YQNGa6ODyhkUUIihA4KDgIdfq49fP/view?usp=drivesdk"/>
    <hyperlink ref="K266" r:id="rId801" display="https://drive.google.com/file/d/1zS3zfUSCHL-JTB8ET5d6zh2e5yfokw57/view?usp=drivesdk"/>
    <hyperlink ref="L266" r:id="rId802" display="https://drive.google.com/file/d/1Wqr7rXAuBpGTb1yUQi-kQvmjrHPwisrb/view?usp=drivesdk"/>
    <hyperlink ref="M266" r:id="rId803" display="https://drive.google.com/file/d/1aK-ZSTBBF0qLn4BQAC3ENYmWaPKbRDTl/view?usp=drivesdk"/>
    <hyperlink ref="N266" r:id="rId804" display="https://drive.google.com/file/d/1j39nETcWUQEbycJybzU9FUSdA2LgIkkk/view?usp=drivesdk"/>
    <hyperlink ref="O266" r:id="rId805" display="https://drive.google.com/file/d/1MnGEyuHzGCIsd5XHIa2P0EQF-UXsk_Xr/view?usp=drivesdk"/>
    <hyperlink ref="P266" r:id="rId806" display="https://drive.google.com/file/d/1dGnQE2PkVNnk8J67AvqRCUhartzSG2Ld/view?usp=drivesdk"/>
    <hyperlink ref="I267" r:id="rId807" display="https://drive.google.com/file/d/19KDGblP-aFBNGRCYg2Ki0_yb2tU-In_g/view?usp=drivesdk"/>
    <hyperlink ref="J267" r:id="rId808" display="https://drive.google.com/file/d/1ucxqQQv6YIHWxLv9Om2ZxGz1sLkzSJ3d/view?usp=drivesdk"/>
    <hyperlink ref="K267" r:id="rId809" display="https://drive.google.com/file/d/1KsNsnMwj2rc3ravFAVNcRuFJGDOKQx7B/view?usp=drivesdk"/>
    <hyperlink ref="L267" r:id="rId810" display="https://drive.google.com/file/d/1-uGALNpdQ-Iu1blVrFv86d_Nf6ySXGp_/view?usp=drivesdk"/>
    <hyperlink ref="I268" r:id="rId811" display="https://drive.google.com/file/d/1VQjulp1ciN0KRyH20_jXoYVY4_xRTXQ5/view?usp=drivesdk"/>
    <hyperlink ref="J268" r:id="rId812" display="https://drive.google.com/file/d/1lJlGTJIvUilXPbb-iuBQfOYkdABmw3-Z/view?usp=drivesdk"/>
    <hyperlink ref="K268" r:id="rId813" display="https://drive.google.com/file/d/1HePMbg_MOrb58Lf2PEv2-eMyANtKzBT-/view?usp=drivesdk"/>
    <hyperlink ref="L268" r:id="rId814" display="https://drive.google.com/file/d/153o7Lnsod2Hm3C5HtefzTM-kpOz9cbYG/view?usp=drivesdk"/>
    <hyperlink ref="I269" r:id="rId815" display="https://drive.google.com/file/d/1oPInDfLSSkbi1yc-VdL4Szao2-tdw291/view?usp=drivesdk"/>
    <hyperlink ref="I270" r:id="rId816" display="https://drive.google.com/file/d/11dy4FDjILyzImMYs4XFY6pXMCK2xrKRm/view?usp=drivesdk"/>
    <hyperlink ref="I271" r:id="rId817" display="https://drive.google.com/file/d/1JcCArAakswNjcX89jQ6xf8hJlH7qa6Pm/view?usp=drivesdk"/>
    <hyperlink ref="I272" r:id="rId818" display="https://drive.google.com/file/d/1cZCGi3YKWkqDIFk7m67-AU5No_95lP33/view?usp=drivesdk"/>
    <hyperlink ref="J272" r:id="rId819" display="https://drive.google.com/file/d/1DYJ8ls2xLEcPKerUNSQ75N6iDznuJHRz/view?usp=drivesdk"/>
    <hyperlink ref="K272" r:id="rId820" display="https://drive.google.com/file/d/1RCfEZFYbA6ssn9CH1-zg1BxcwW0BWjPo/view?usp=drivesdk"/>
    <hyperlink ref="L272" r:id="rId821" display="https://drive.google.com/file/d/1JmvXG2fC4EoJd6Y6Nyrsb7e_vbLCRSeV/view?usp=drivesdk"/>
    <hyperlink ref="I273" r:id="rId822" display="https://drive.google.com/file/d/15sfX-T5KawTZ5ZTZ-Z16alCfdXpewnl3/view?usp=drivesdk"/>
    <hyperlink ref="I274" r:id="rId823" display="https://drive.google.com/file/d/1YOa17jEQQmXR5oPCRZD8377vSztnAZKA/view?usp=drivesdk"/>
    <hyperlink ref="I275" r:id="rId824" display="https://drive.google.com/file/d/1jg1miNBJZG1oalOS6HusqntFSzOivWoU/view?usp=drivesdk"/>
    <hyperlink ref="J275" r:id="rId825" display="https://drive.google.com/file/d/19uGrKL34vSQ8M4hixsO_-meftrezjy5q/view?usp=drivesdk"/>
    <hyperlink ref="I276" r:id="rId826" display="https://drive.google.com/file/d/1W1pzcq6XTbugPUjfJJXSr8Ag1eFcZ-OY/view?usp=drivesdk"/>
    <hyperlink ref="J276" r:id="rId827" display="https://drive.google.com/file/d/1ZDbOTNGuGsBcCCjnERGqmXeV53JpivL3/view?usp=drivesdk"/>
    <hyperlink ref="K276" r:id="rId828" display="https://drive.google.com/file/d/1oaycQOsz0NgFIvvVLvuMN5zStjmQdsVN/view?usp=drivesdk"/>
    <hyperlink ref="I277" r:id="rId829" display="https://drive.google.com/file/d/1zzlC-6JqVQMCI5k8WBjHk2Fq56G4sh41/view?usp=drivesdk"/>
    <hyperlink ref="I278" r:id="rId830" display="https://drive.google.com/file/d/1mZhlmwF2ltRgjCiGCbTKrAKnIxwsjBJ4/view?usp=drivesdk"/>
    <hyperlink ref="I279" r:id="rId831" display="https://drive.google.com/file/d/1QQopGWyz99AfC2kRsF0YuHYAmsGz89gC/view?usp=drivesdk"/>
    <hyperlink ref="J279" r:id="rId832" display="https://drive.google.com/file/d/1s9klSWpacIJyjUkODLMHzc-pHPOahPwu/view?usp=drivesdk"/>
    <hyperlink ref="I280" r:id="rId833" display="https://drive.google.com/file/d/1k2RaDB7CKXwlJMm_dHAKrtmiKr8WCJNf/view?usp=drivesdk"/>
    <hyperlink ref="J280" r:id="rId834" display="https://drive.google.com/file/d/12OdKkAIRkYhPPU-G0ziqU0Lis0rX6ubp/view?usp=drivesdk"/>
    <hyperlink ref="K280" r:id="rId835" display="https://drive.google.com/file/d/1adIaWjumtlBmPIrkYa9MHuxgBz3rh73I/view?usp=drivesdk"/>
    <hyperlink ref="L280" r:id="rId836" display="https://drive.google.com/file/d/1x1lYFz6tGnkdA2Wne3OJ_CglbRyu6HY9/view?usp=drivesdk"/>
    <hyperlink ref="M280" r:id="rId837" display="https://drive.google.com/file/d/1Gl6CREiI7CdP7LzHudcdSom2NY8LHVhW/view?usp=drivesdk"/>
    <hyperlink ref="N280" r:id="rId838" display="https://drive.google.com/file/d/1237uP-gcNU5F4-u_7XRnO9ZZSDiZ9NiU/view?usp=drivesdk"/>
    <hyperlink ref="O280" r:id="rId839" display="https://drive.google.com/file/d/1AQ5m9MiMvHXanoGcCoQ3HnyUW8cX8fDl/view?usp=drivesdk"/>
    <hyperlink ref="P280" r:id="rId840" display="https://drive.google.com/file/d/1VBvwTL44x14U_GNFvaoGxReKGeBVz1sQ/view?usp=drivesdk"/>
    <hyperlink ref="Q280" r:id="rId841" display="https://drive.google.com/file/d/1rq0srCkDb7-f_2r20OqRaX4QmpEdxc0x/view?usp=drivesdk"/>
    <hyperlink ref="I281" r:id="rId842" display="https://drive.google.com/file/d/1OH89i2ZMMoLhUfJuNp6oFMurUZXC9pP4/view?usp=drivesdk"/>
    <hyperlink ref="J281" r:id="rId843" display="https://drive.google.com/file/d/1vkQ1Ij4_ACnCL08-BVTqMHyKUDvfZizK/view?usp=drivesdk"/>
    <hyperlink ref="K281" r:id="rId844" display="https://drive.google.com/file/d/1qZutIjY8geskRk4LlHxbHlIXILrJmC4D/view?usp=drivesdk"/>
    <hyperlink ref="L281" r:id="rId845" display="https://drive.google.com/file/d/1GFeCV4VfZcGowDkN3KlrMwqciCvNIu3d/view?usp=drivesdk"/>
    <hyperlink ref="I282" r:id="rId846" display="https://drive.google.com/file/d/1SPdT3DlRr4hiNLzsq-yY64BhRoywlyvD/view?usp=drivesdk"/>
    <hyperlink ref="J282" r:id="rId847" display="https://drive.google.com/file/d/1d0PpwmxRat7_-gzZ8kXfAd0GBGIk-0zo/view?usp=drivesdk"/>
    <hyperlink ref="K282" r:id="rId848" display="https://drive.google.com/file/d/1iRZw6Dhn9yKvjCGbO7d13M9EGf81vdxS/view?usp=drivesdk"/>
    <hyperlink ref="L282" r:id="rId849" display="https://drive.google.com/file/d/17j4rmzbRSpvq__Gxuk3p5ym-w1O4PXH_/view?usp=drivesdk"/>
    <hyperlink ref="M282" r:id="rId850" display="https://drive.google.com/file/d/1Aw_K2rSiHfzgzcEz6D-aslnrr4-lYAk4/view?usp=drivesdk"/>
    <hyperlink ref="I283" r:id="rId851" display="https://drive.google.com/file/d/1I-OdGImreG7eMIFD0BVpeiUxF4nw70sE/view?usp=drivesdk"/>
    <hyperlink ref="J283" r:id="rId852" display="https://drive.google.com/file/d/1A3vvJBn0d1TRBEk1aaeRZqRfTTpXKT96/view?usp=drivesdk"/>
    <hyperlink ref="K283" r:id="rId853" display="https://drive.google.com/file/d/1lNaI5Ut_Q4Uqqy-adVcCgavXE7D15qh5/view?usp=drivesdk"/>
    <hyperlink ref="L283" r:id="rId854" display="https://drive.google.com/file/d/1e7vDhOEA_iRf6fBavPIl1l1Nxnd0lOyW/view?usp=drivesdk"/>
    <hyperlink ref="I284" r:id="rId855" display="https://drive.google.com/file/d/1fgfTX0KT3ylzHG9svrm3Yfx8vZwwabKz/view?usp=drivesdk"/>
    <hyperlink ref="J284" r:id="rId856" display="https://drive.google.com/file/d/1avo7zEK4IiiEqQpNNg6OVlAsTzy30Syi/view?usp=drivesdk"/>
    <hyperlink ref="K284" r:id="rId857" display="https://drive.google.com/file/d/1tNPANr_zNgvUVBOSzU8L3N4jf4bLYP0H/view?usp=drivesdk"/>
    <hyperlink ref="L284" r:id="rId858" display="https://drive.google.com/file/d/15F7rv6NCSg4hVNeIj_AmcZZ_wbu8_i8W/view?usp=drivesdk"/>
    <hyperlink ref="I285" r:id="rId859" display="https://drive.google.com/file/d/1uTHe38hQCZVvp45eAoAiihSMVOOxlKgb/view?usp=drivesdk"/>
    <hyperlink ref="J285" r:id="rId860" display="https://drive.google.com/file/d/1V6NIF7Tm8DCAOQIbw_7Fi-UtsezB9MvT/view?usp=drivesdk"/>
    <hyperlink ref="K285" r:id="rId861" display="https://drive.google.com/file/d/1QyDSJVcXKrJJn0PGNm98n5mizuKnHXuJ/view?usp=drivesdk"/>
    <hyperlink ref="L285" r:id="rId862" display="https://drive.google.com/file/d/1iSmu-0GfEBFsiQdx0vuOO4xjY3IZclS1/view?usp=drivesdk"/>
    <hyperlink ref="I286" r:id="rId863" display="https://drive.google.com/file/d/1nKiuEJ_nvl-0cg0To-NuD8PhteHivs8s/view?usp=drivesdk"/>
    <hyperlink ref="J286" r:id="rId864" display="https://drive.google.com/file/d/1vupFQs7fAx2WnvqCWb2d5xi5A5rQW_yw/view?usp=drivesdk"/>
    <hyperlink ref="K286" r:id="rId865" display="https://drive.google.com/file/d/1qZqClfAtIU3Ij7e7LoJN5t1wD-pxdNCI/view?usp=drivesdk"/>
    <hyperlink ref="L286" r:id="rId866" display="https://drive.google.com/file/d/1yZjso4_C-PbUfbXiVP44jjgW6z-Eb-8t/view?usp=drivesdk"/>
    <hyperlink ref="I287" r:id="rId867" display="https://drive.google.com/file/d/17dvL6CCv-_3ThI7ZEWcpj7oEEbLSGnKJ/view?usp=drivesdk"/>
    <hyperlink ref="J287" r:id="rId868" display="https://drive.google.com/file/d/1q-aha6098Nwl-BvY_zbs008ZrhAso5fg/view?usp=drivesdk"/>
    <hyperlink ref="K287" r:id="rId869" display="https://drive.google.com/file/d/1uu80-9PSbxnzxc6NS4EnxUfT0iVJLO5H/view?usp=drivesdk"/>
    <hyperlink ref="I288" r:id="rId870" display="https://drive.google.com/file/d/1eNTs0gollEPO5QVowlkG2A8ujsZHpti1/view?usp=drivesdk"/>
    <hyperlink ref="J288" r:id="rId871" display="https://drive.google.com/file/d/1kdDOSGeVKp_0w6hBxEYdEKSGjSs__6RN/view?usp=drivesdk"/>
    <hyperlink ref="K288" r:id="rId872" display="https://drive.google.com/file/d/1qhfzNv1bc3jZACNaWJs20MjK6q10mg4v/view?usp=drivesdk"/>
    <hyperlink ref="L288" r:id="rId873" display="https://drive.google.com/file/d/1tdNw7feYOPtti0JM9sA7BJ3Dqmrp4E6b/view?usp=drivesdk"/>
    <hyperlink ref="I289" r:id="rId874" display="https://drive.google.com/file/d/107NrPTVWE6D7583JXhK0iCw6CfAQI7Ux/view?usp=drivesdk"/>
    <hyperlink ref="J289" r:id="rId875" display="https://drive.google.com/file/d/1wWWXWTV_8ltMy8-C-Ao68oJy5fXXPQmx/view?usp=drivesdk"/>
    <hyperlink ref="K289" r:id="rId876" display="https://drive.google.com/file/d/1PeCh0siw1JiKrsaSyw062McnpwwevGaJ/view?usp=drivesdk"/>
    <hyperlink ref="L289" r:id="rId877" display="https://drive.google.com/file/d/1VmAq11WZdgBilJkidsfV9IxVecv8wXr3/view?usp=drivesd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7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3" min="3" style="0" width="34.13"/>
    <col collapsed="false" customWidth="true" hidden="false" outlineLevel="0" max="7" min="7" style="0" width="5.25"/>
    <col collapsed="false" customWidth="true" hidden="false" outlineLevel="0" max="11" min="8" style="0" width="7.75"/>
    <col collapsed="false" customWidth="true" hidden="false" outlineLevel="0" max="12" min="12" style="0" width="8.13"/>
    <col collapsed="false" customWidth="true" hidden="false" outlineLevel="0" max="13" min="13" style="0" width="10.38"/>
  </cols>
  <sheetData>
    <row r="1" customFormat="false" ht="15.75" hidden="false" customHeight="false" outlineLevel="0" collapsed="false">
      <c r="A1" s="3" t="s">
        <v>2187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.75" hidden="false" customHeight="false" outlineLevel="0" collapsed="false">
      <c r="A2" s="4" t="n">
        <v>46004</v>
      </c>
      <c r="B2" s="4"/>
      <c r="L2" s="5" t="s">
        <v>2188</v>
      </c>
      <c r="M2" s="5"/>
    </row>
    <row r="3" customFormat="false" ht="39.55" hidden="false" customHeight="false" outlineLevel="0" collapsed="false">
      <c r="A3" s="6" t="s">
        <v>2189</v>
      </c>
      <c r="B3" s="6" t="s">
        <v>2190</v>
      </c>
      <c r="C3" s="6" t="s">
        <v>2191</v>
      </c>
      <c r="D3" s="6" t="s">
        <v>2192</v>
      </c>
      <c r="E3" s="6" t="s">
        <v>2193</v>
      </c>
      <c r="F3" s="6" t="s">
        <v>2194</v>
      </c>
      <c r="G3" s="6" t="s">
        <v>2195</v>
      </c>
      <c r="H3" s="6" t="s">
        <v>2196</v>
      </c>
      <c r="I3" s="6" t="s">
        <v>2197</v>
      </c>
      <c r="J3" s="6" t="s">
        <v>2198</v>
      </c>
      <c r="K3" s="6" t="s">
        <v>2199</v>
      </c>
      <c r="L3" s="7" t="s">
        <v>2200</v>
      </c>
      <c r="M3" s="7" t="s">
        <v>2201</v>
      </c>
    </row>
    <row r="4" customFormat="false" ht="15.75" hidden="false" customHeight="false" outlineLevel="0" collapsed="false">
      <c r="A4" s="6" t="n">
        <v>196066</v>
      </c>
      <c r="B4" s="6" t="s">
        <v>2202</v>
      </c>
      <c r="C4" s="6" t="s">
        <v>2203</v>
      </c>
      <c r="D4" s="6" t="s">
        <v>130</v>
      </c>
      <c r="E4" s="6" t="s">
        <v>2204</v>
      </c>
      <c r="F4" s="6" t="s">
        <v>2205</v>
      </c>
      <c r="G4" s="6" t="s">
        <v>2206</v>
      </c>
      <c r="H4" s="6" t="n">
        <f aca="false">VLOOKUP($A4,Day1!$A$1:$H$394,4,FALSE())</f>
        <v>7</v>
      </c>
      <c r="I4" s="6" t="n">
        <f aca="false">VLOOKUP($A4,Day1!$A$1:$H$394,5,FALSE())</f>
        <v>1.5</v>
      </c>
      <c r="J4" s="6" t="n">
        <f aca="false">VLOOKUP($A4,Day1!$A$1:$H$394,6,FALSE())</f>
        <v>6</v>
      </c>
      <c r="K4" s="6" t="n">
        <f aca="false">VLOOKUP($A4,Day1!$A$1:$H$394,7,FALSE())</f>
        <v>0</v>
      </c>
      <c r="L4" s="8" t="n">
        <f aca="false">SUM(H4:K4)</f>
        <v>14.5</v>
      </c>
      <c r="M4" s="8" t="str">
        <f aca="false">ROMAN(RANK(L4,$L$4:$L$59,0))</f>
        <v>I</v>
      </c>
    </row>
    <row r="5" customFormat="false" ht="15.75" hidden="false" customHeight="false" outlineLevel="0" collapsed="false">
      <c r="A5" s="6" t="n">
        <v>185254</v>
      </c>
      <c r="B5" s="6" t="s">
        <v>2202</v>
      </c>
      <c r="C5" s="6" t="s">
        <v>2207</v>
      </c>
      <c r="D5" s="6" t="s">
        <v>1880</v>
      </c>
      <c r="E5" s="6" t="s">
        <v>2208</v>
      </c>
      <c r="F5" s="6" t="s">
        <v>2205</v>
      </c>
      <c r="G5" s="6" t="s">
        <v>2209</v>
      </c>
      <c r="H5" s="6" t="n">
        <f aca="false">VLOOKUP($A5,Day1!$A$1:$H$394,4,FALSE())</f>
        <v>7</v>
      </c>
      <c r="I5" s="6" t="n">
        <f aca="false">VLOOKUP($A5,Day1!$A$1:$H$394,5,FALSE())</f>
        <v>0</v>
      </c>
      <c r="J5" s="6" t="n">
        <f aca="false">VLOOKUP($A5,Day1!$A$1:$H$394,6,FALSE())</f>
        <v>7</v>
      </c>
      <c r="K5" s="6" t="n">
        <f aca="false">VLOOKUP($A5,Day1!$A$1:$H$394,7,FALSE())</f>
        <v>0</v>
      </c>
      <c r="L5" s="8" t="n">
        <f aca="false">SUM(H5:K5)</f>
        <v>14</v>
      </c>
      <c r="M5" s="8" t="str">
        <f aca="false">ROMAN(RANK(L5,$L$4:$L$59,0))</f>
        <v>II</v>
      </c>
    </row>
    <row r="6" customFormat="false" ht="15.75" hidden="false" customHeight="false" outlineLevel="0" collapsed="false">
      <c r="A6" s="6" t="n">
        <v>185192</v>
      </c>
      <c r="B6" s="6" t="s">
        <v>2202</v>
      </c>
      <c r="C6" s="6" t="s">
        <v>2207</v>
      </c>
      <c r="D6" s="6" t="s">
        <v>1680</v>
      </c>
      <c r="E6" s="6" t="s">
        <v>580</v>
      </c>
      <c r="F6" s="6" t="s">
        <v>2205</v>
      </c>
      <c r="G6" s="6" t="s">
        <v>2206</v>
      </c>
      <c r="H6" s="6" t="n">
        <f aca="false">VLOOKUP($A6,Day1!$A$1:$H$394,4,FALSE())</f>
        <v>0</v>
      </c>
      <c r="I6" s="6" t="n">
        <f aca="false">VLOOKUP($A6,Day1!$A$1:$H$394,5,FALSE())</f>
        <v>3</v>
      </c>
      <c r="J6" s="6" t="n">
        <f aca="false">VLOOKUP($A6,Day1!$A$1:$H$394,6,FALSE())</f>
        <v>7</v>
      </c>
      <c r="K6" s="6" t="n">
        <f aca="false">VLOOKUP($A6,Day1!$A$1:$H$394,7,FALSE())</f>
        <v>0</v>
      </c>
      <c r="L6" s="8" t="n">
        <f aca="false">SUM(H6:K6)</f>
        <v>10</v>
      </c>
      <c r="M6" s="8" t="str">
        <f aca="false">ROMAN(RANK(L6,$L$4:$L$59,0))</f>
        <v>III</v>
      </c>
    </row>
    <row r="7" customFormat="false" ht="15.75" hidden="false" customHeight="false" outlineLevel="0" collapsed="false">
      <c r="A7" s="6" t="n">
        <v>197176</v>
      </c>
      <c r="B7" s="6" t="s">
        <v>2202</v>
      </c>
      <c r="C7" s="6" t="s">
        <v>2210</v>
      </c>
      <c r="D7" s="6" t="s">
        <v>1677</v>
      </c>
      <c r="E7" s="6" t="s">
        <v>2211</v>
      </c>
      <c r="F7" s="6" t="s">
        <v>2205</v>
      </c>
      <c r="G7" s="6" t="s">
        <v>2209</v>
      </c>
      <c r="H7" s="6" t="n">
        <f aca="false">VLOOKUP($A7,Day1!$A$1:$H$394,4,FALSE())</f>
        <v>0</v>
      </c>
      <c r="I7" s="6" t="n">
        <f aca="false">VLOOKUP($A7,Day1!$A$1:$H$394,5,FALSE())</f>
        <v>3</v>
      </c>
      <c r="J7" s="6" t="n">
        <v>6</v>
      </c>
      <c r="K7" s="6" t="n">
        <f aca="false">VLOOKUP($A7,Day1!$A$1:$H$394,7,FALSE())</f>
        <v>0</v>
      </c>
      <c r="L7" s="8" t="n">
        <f aca="false">SUM(H7:K7)</f>
        <v>9</v>
      </c>
      <c r="M7" s="8" t="str">
        <f aca="false">ROMAN(RANK(L7,$L$4:$L$59,0))</f>
        <v>IV</v>
      </c>
    </row>
    <row r="8" customFormat="false" ht="15.75" hidden="false" customHeight="false" outlineLevel="0" collapsed="false">
      <c r="A8" s="6" t="n">
        <v>185249</v>
      </c>
      <c r="B8" s="6" t="s">
        <v>2202</v>
      </c>
      <c r="C8" s="6" t="s">
        <v>2207</v>
      </c>
      <c r="D8" s="6" t="s">
        <v>1818</v>
      </c>
      <c r="E8" s="6" t="s">
        <v>1655</v>
      </c>
      <c r="F8" s="6" t="s">
        <v>2205</v>
      </c>
      <c r="G8" s="6" t="s">
        <v>2209</v>
      </c>
      <c r="H8" s="6" t="n">
        <f aca="false">VLOOKUP($A8,Day1!$A$1:$H$394,4,FALSE())</f>
        <v>7</v>
      </c>
      <c r="I8" s="6" t="n">
        <f aca="false">VLOOKUP($A8,Day1!$A$1:$H$394,5,FALSE())</f>
        <v>0</v>
      </c>
      <c r="J8" s="6" t="n">
        <f aca="false">VLOOKUP($A8,Day1!$A$1:$H$394,6,FALSE())</f>
        <v>0</v>
      </c>
      <c r="K8" s="6" t="n">
        <f aca="false">VLOOKUP($A8,Day1!$A$1:$H$394,7,FALSE())</f>
        <v>1</v>
      </c>
      <c r="L8" s="8" t="n">
        <f aca="false">SUM(H8:K8)</f>
        <v>8</v>
      </c>
      <c r="M8" s="8" t="str">
        <f aca="false">ROMAN(RANK(L8,$L$4:$L$59,0))</f>
        <v>V</v>
      </c>
    </row>
    <row r="9" customFormat="false" ht="15.75" hidden="false" customHeight="false" outlineLevel="0" collapsed="false">
      <c r="A9" s="6" t="n">
        <v>195731</v>
      </c>
      <c r="B9" s="6" t="s">
        <v>2202</v>
      </c>
      <c r="C9" s="6" t="s">
        <v>2203</v>
      </c>
      <c r="D9" s="6" t="s">
        <v>451</v>
      </c>
      <c r="E9" s="6" t="s">
        <v>757</v>
      </c>
      <c r="F9" s="6" t="s">
        <v>2205</v>
      </c>
      <c r="G9" s="6" t="s">
        <v>2212</v>
      </c>
      <c r="H9" s="6" t="n">
        <f aca="false">VLOOKUP($A9,Day1!$A$1:$H$394,4,FALSE())</f>
        <v>2</v>
      </c>
      <c r="I9" s="6" t="n">
        <f aca="false">VLOOKUP($A9,Day1!$A$1:$H$394,5,FALSE())</f>
        <v>0</v>
      </c>
      <c r="J9" s="6" t="n">
        <f aca="false">VLOOKUP($A9,Day1!$A$1:$H$394,6,FALSE())</f>
        <v>5</v>
      </c>
      <c r="K9" s="6" t="n">
        <f aca="false">VLOOKUP($A9,Day1!$A$1:$H$394,7,FALSE())</f>
        <v>0</v>
      </c>
      <c r="L9" s="8" t="n">
        <f aca="false">SUM(H9:K9)</f>
        <v>7</v>
      </c>
      <c r="M9" s="8" t="str">
        <f aca="false">ROMAN(RANK(L9,$L$4:$L$59,0))</f>
        <v>VI</v>
      </c>
    </row>
    <row r="10" customFormat="false" ht="15.75" hidden="false" customHeight="false" outlineLevel="0" collapsed="false">
      <c r="A10" s="6" t="n">
        <v>185252</v>
      </c>
      <c r="B10" s="6" t="s">
        <v>2202</v>
      </c>
      <c r="C10" s="6" t="s">
        <v>2207</v>
      </c>
      <c r="D10" s="6" t="s">
        <v>527</v>
      </c>
      <c r="E10" s="6" t="s">
        <v>2213</v>
      </c>
      <c r="F10" s="6" t="s">
        <v>2205</v>
      </c>
      <c r="G10" s="6" t="s">
        <v>2209</v>
      </c>
      <c r="H10" s="6" t="n">
        <f aca="false">VLOOKUP($A10,Day1!$A$1:$H$394,4,FALSE())</f>
        <v>0</v>
      </c>
      <c r="I10" s="6" t="n">
        <f aca="false">VLOOKUP($A10,Day1!$A$1:$H$394,5,FALSE())</f>
        <v>0</v>
      </c>
      <c r="J10" s="6" t="n">
        <f aca="false">VLOOKUP($A10,Day1!$A$1:$H$394,6,FALSE())</f>
        <v>6</v>
      </c>
      <c r="K10" s="6" t="n">
        <f aca="false">VLOOKUP($A10,Day1!$A$1:$H$394,7,FALSE())</f>
        <v>1</v>
      </c>
      <c r="L10" s="8" t="n">
        <f aca="false">SUM(H10:K10)</f>
        <v>7</v>
      </c>
      <c r="M10" s="8" t="str">
        <f aca="false">ROMAN(RANK(L10,$L$4:$L$59,0))</f>
        <v>VI</v>
      </c>
    </row>
    <row r="11" customFormat="false" ht="15.75" hidden="false" customHeight="false" outlineLevel="0" collapsed="false">
      <c r="A11" s="6" t="n">
        <v>196067</v>
      </c>
      <c r="B11" s="6" t="s">
        <v>2202</v>
      </c>
      <c r="C11" s="6" t="s">
        <v>2203</v>
      </c>
      <c r="D11" s="6" t="s">
        <v>1795</v>
      </c>
      <c r="E11" s="6" t="s">
        <v>150</v>
      </c>
      <c r="F11" s="6" t="s">
        <v>2205</v>
      </c>
      <c r="G11" s="6" t="s">
        <v>2206</v>
      </c>
      <c r="H11" s="6" t="n">
        <f aca="false">VLOOKUP($A11,Day1!$A$1:$H$394,4,FALSE())</f>
        <v>0</v>
      </c>
      <c r="I11" s="6" t="n">
        <f aca="false">VLOOKUP($A11,Day1!$A$1:$H$394,5,FALSE())</f>
        <v>0</v>
      </c>
      <c r="J11" s="6" t="n">
        <f aca="false">VLOOKUP($A11,Day1!$A$1:$H$394,6,FALSE())</f>
        <v>5</v>
      </c>
      <c r="K11" s="6" t="n">
        <f aca="false">VLOOKUP($A11,Day1!$A$1:$H$394,7,FALSE())</f>
        <v>0</v>
      </c>
      <c r="L11" s="8" t="n">
        <f aca="false">SUM(H11:K11)</f>
        <v>5</v>
      </c>
      <c r="M11" s="8" t="str">
        <f aca="false">ROMAN(RANK(L11,$L$4:$L$59,0))</f>
        <v>VIII</v>
      </c>
    </row>
    <row r="12" customFormat="false" ht="15.75" hidden="false" customHeight="false" outlineLevel="0" collapsed="false">
      <c r="A12" s="6" t="n">
        <v>185222</v>
      </c>
      <c r="B12" s="6" t="s">
        <v>2202</v>
      </c>
      <c r="C12" s="6" t="s">
        <v>2207</v>
      </c>
      <c r="D12" s="6" t="s">
        <v>1863</v>
      </c>
      <c r="E12" s="6" t="s">
        <v>2214</v>
      </c>
      <c r="F12" s="6" t="s">
        <v>2205</v>
      </c>
      <c r="G12" s="6" t="s">
        <v>2212</v>
      </c>
      <c r="H12" s="6" t="n">
        <f aca="false">VLOOKUP($A12,Day1!$A$1:$H$394,4,FALSE())</f>
        <v>0</v>
      </c>
      <c r="I12" s="6" t="n">
        <f aca="false">VLOOKUP($A12,Day1!$A$1:$H$394,5,FALSE())</f>
        <v>0</v>
      </c>
      <c r="J12" s="6" t="n">
        <f aca="false">VLOOKUP($A12,Day1!$A$1:$H$394,6,FALSE())</f>
        <v>5</v>
      </c>
      <c r="K12" s="6" t="n">
        <f aca="false">VLOOKUP($A12,Day1!$A$1:$H$394,7,FALSE())</f>
        <v>0</v>
      </c>
      <c r="L12" s="8" t="n">
        <f aca="false">SUM(H12:K12)</f>
        <v>5</v>
      </c>
      <c r="M12" s="8" t="str">
        <f aca="false">ROMAN(RANK(L12,$L$4:$L$59,0))</f>
        <v>VIII</v>
      </c>
    </row>
    <row r="13" customFormat="false" ht="15.75" hidden="false" customHeight="false" outlineLevel="0" collapsed="false">
      <c r="A13" s="6" t="n">
        <v>205622</v>
      </c>
      <c r="B13" s="6" t="s">
        <v>2202</v>
      </c>
      <c r="C13" s="6" t="s">
        <v>2215</v>
      </c>
      <c r="D13" s="6" t="s">
        <v>243</v>
      </c>
      <c r="E13" s="6" t="s">
        <v>2216</v>
      </c>
      <c r="F13" s="6" t="s">
        <v>2205</v>
      </c>
      <c r="G13" s="6" t="s">
        <v>2209</v>
      </c>
      <c r="H13" s="6" t="n">
        <f aca="false">VLOOKUP($A13,Day1!$A$1:$H$394,4,FALSE())</f>
        <v>5</v>
      </c>
      <c r="I13" s="6" t="n">
        <f aca="false">VLOOKUP($A13,Day1!$A$1:$H$394,5,FALSE())</f>
        <v>0</v>
      </c>
      <c r="J13" s="6" t="n">
        <f aca="false">VLOOKUP($A13,Day1!$A$1:$H$394,6,FALSE())</f>
        <v>0</v>
      </c>
      <c r="K13" s="6" t="n">
        <f aca="false">VLOOKUP($A13,Day1!$A$1:$H$394,7,FALSE())</f>
        <v>0</v>
      </c>
      <c r="L13" s="8" t="n">
        <f aca="false">SUM(H13:K13)</f>
        <v>5</v>
      </c>
      <c r="M13" s="8" t="str">
        <f aca="false">ROMAN(RANK(L13,$L$4:$L$59,0))</f>
        <v>VIII</v>
      </c>
    </row>
    <row r="14" customFormat="false" ht="15.75" hidden="false" customHeight="false" outlineLevel="0" collapsed="false">
      <c r="A14" s="6" t="n">
        <v>185187</v>
      </c>
      <c r="B14" s="6" t="s">
        <v>2202</v>
      </c>
      <c r="C14" s="6" t="s">
        <v>2207</v>
      </c>
      <c r="D14" s="6" t="s">
        <v>1683</v>
      </c>
      <c r="E14" s="6" t="s">
        <v>2217</v>
      </c>
      <c r="F14" s="6" t="s">
        <v>2205</v>
      </c>
      <c r="G14" s="6" t="s">
        <v>2206</v>
      </c>
      <c r="H14" s="6" t="n">
        <f aca="false">VLOOKUP($A14,Day1!$A$1:$H$394,4,FALSE())</f>
        <v>0</v>
      </c>
      <c r="I14" s="6" t="n">
        <f aca="false">VLOOKUP($A14,Day1!$A$1:$H$394,5,FALSE())</f>
        <v>3</v>
      </c>
      <c r="J14" s="6" t="n">
        <f aca="false">VLOOKUP($A14,Day1!$A$1:$H$394,6,FALSE())</f>
        <v>1</v>
      </c>
      <c r="K14" s="6" t="n">
        <f aca="false">VLOOKUP($A14,Day1!$A$1:$H$394,7,FALSE())</f>
        <v>0</v>
      </c>
      <c r="L14" s="8" t="n">
        <f aca="false">SUM(H14:K14)</f>
        <v>4</v>
      </c>
      <c r="M14" s="8" t="str">
        <f aca="false">ROMAN(RANK(L14,$L$4:$L$59,0))</f>
        <v>XI</v>
      </c>
    </row>
    <row r="15" customFormat="false" ht="15.75" hidden="false" customHeight="false" outlineLevel="0" collapsed="false">
      <c r="A15" s="6" t="n">
        <v>187279</v>
      </c>
      <c r="B15" s="6" t="s">
        <v>2202</v>
      </c>
      <c r="C15" s="6" t="s">
        <v>2218</v>
      </c>
      <c r="D15" s="6" t="s">
        <v>1866</v>
      </c>
      <c r="E15" s="6" t="s">
        <v>839</v>
      </c>
      <c r="F15" s="6" t="s">
        <v>2205</v>
      </c>
      <c r="G15" s="6" t="s">
        <v>2212</v>
      </c>
      <c r="H15" s="6" t="n">
        <f aca="false">VLOOKUP($A15,Day1!$A$1:$H$394,4,FALSE())</f>
        <v>2</v>
      </c>
      <c r="I15" s="6" t="n">
        <f aca="false">VLOOKUP($A15,Day1!$A$1:$H$394,5,FALSE())</f>
        <v>0</v>
      </c>
      <c r="J15" s="6" t="n">
        <f aca="false">VLOOKUP($A15,Day1!$A$1:$H$394,6,FALSE())</f>
        <v>0</v>
      </c>
      <c r="K15" s="6" t="n">
        <f aca="false">VLOOKUP($A15,Day1!$A$1:$H$394,7,FALSE())</f>
        <v>0</v>
      </c>
      <c r="L15" s="8" t="n">
        <f aca="false">SUM(H15:K15)</f>
        <v>2</v>
      </c>
      <c r="M15" s="8" t="str">
        <f aca="false">ROMAN(RANK(L15,$L$4:$L$59,0))</f>
        <v>XII</v>
      </c>
    </row>
    <row r="16" customFormat="false" ht="15.75" hidden="false" customHeight="false" outlineLevel="0" collapsed="false">
      <c r="A16" s="6" t="n">
        <v>111961</v>
      </c>
      <c r="B16" s="6" t="s">
        <v>2202</v>
      </c>
      <c r="C16" s="6" t="s">
        <v>2219</v>
      </c>
      <c r="D16" s="6" t="s">
        <v>1760</v>
      </c>
      <c r="E16" s="6" t="s">
        <v>1610</v>
      </c>
      <c r="F16" s="6" t="s">
        <v>2205</v>
      </c>
      <c r="G16" s="6" t="s">
        <v>2209</v>
      </c>
      <c r="H16" s="6" t="n">
        <f aca="false">VLOOKUP($A16,Day1!$A$1:$H$394,4,FALSE())</f>
        <v>2</v>
      </c>
      <c r="I16" s="6" t="n">
        <f aca="false">VLOOKUP($A16,Day1!$A$1:$H$394,5,FALSE())</f>
        <v>0</v>
      </c>
      <c r="J16" s="6" t="n">
        <f aca="false">VLOOKUP($A16,Day1!$A$1:$H$394,6,FALSE())</f>
        <v>0</v>
      </c>
      <c r="K16" s="6" t="n">
        <f aca="false">VLOOKUP($A16,Day1!$A$1:$H$394,7,FALSE())</f>
        <v>0</v>
      </c>
      <c r="L16" s="8" t="n">
        <f aca="false">SUM(H16:K16)</f>
        <v>2</v>
      </c>
      <c r="M16" s="8" t="str">
        <f aca="false">ROMAN(RANK(L16,$L$4:$L$59,0))</f>
        <v>XII</v>
      </c>
    </row>
    <row r="17" customFormat="false" ht="15.75" hidden="false" customHeight="false" outlineLevel="0" collapsed="false">
      <c r="A17" s="6" t="n">
        <v>185181</v>
      </c>
      <c r="B17" s="6" t="s">
        <v>2202</v>
      </c>
      <c r="C17" s="6" t="s">
        <v>2207</v>
      </c>
      <c r="D17" s="6" t="s">
        <v>676</v>
      </c>
      <c r="E17" s="6" t="s">
        <v>2220</v>
      </c>
      <c r="F17" s="6" t="s">
        <v>2205</v>
      </c>
      <c r="G17" s="6" t="s">
        <v>2206</v>
      </c>
      <c r="H17" s="6" t="n">
        <f aca="false">VLOOKUP($A17,Day1!$A$1:$H$394,4,FALSE())</f>
        <v>0</v>
      </c>
      <c r="I17" s="6" t="n">
        <f aca="false">VLOOKUP($A17,Day1!$A$1:$H$394,5,FALSE())</f>
        <v>2</v>
      </c>
      <c r="J17" s="6" t="n">
        <f aca="false">VLOOKUP($A17,Day1!$A$1:$H$394,6,FALSE())</f>
        <v>0</v>
      </c>
      <c r="K17" s="6" t="n">
        <f aca="false">VLOOKUP($A17,Day1!$A$1:$H$394,7,FALSE())</f>
        <v>0</v>
      </c>
      <c r="L17" s="8" t="n">
        <f aca="false">SUM(H17:K17)</f>
        <v>2</v>
      </c>
      <c r="M17" s="8" t="str">
        <f aca="false">ROMAN(RANK(L17,$L$4:$L$59,0))</f>
        <v>XII</v>
      </c>
    </row>
    <row r="18" customFormat="false" ht="15.75" hidden="false" customHeight="false" outlineLevel="0" collapsed="false">
      <c r="A18" s="6" t="n">
        <v>181050</v>
      </c>
      <c r="B18" s="6" t="s">
        <v>2202</v>
      </c>
      <c r="C18" s="6" t="s">
        <v>2221</v>
      </c>
      <c r="D18" s="6" t="s">
        <v>1808</v>
      </c>
      <c r="E18" s="6" t="s">
        <v>2204</v>
      </c>
      <c r="F18" s="6" t="s">
        <v>2205</v>
      </c>
      <c r="G18" s="6" t="s">
        <v>2212</v>
      </c>
      <c r="H18" s="6" t="n">
        <f aca="false">VLOOKUP($A18,Day1!$A$1:$H$394,4,FALSE())</f>
        <v>2</v>
      </c>
      <c r="I18" s="6" t="n">
        <f aca="false">VLOOKUP($A18,Day1!$A$1:$H$394,5,FALSE())</f>
        <v>0</v>
      </c>
      <c r="J18" s="6" t="n">
        <f aca="false">VLOOKUP($A18,Day1!$A$1:$H$394,6,FALSE())</f>
        <v>0</v>
      </c>
      <c r="K18" s="6" t="n">
        <f aca="false">VLOOKUP($A18,Day1!$A$1:$H$394,7,FALSE())</f>
        <v>0</v>
      </c>
      <c r="L18" s="8" t="n">
        <f aca="false">SUM(H18:K18)</f>
        <v>2</v>
      </c>
      <c r="M18" s="8" t="str">
        <f aca="false">ROMAN(RANK(L18,$L$4:$L$59,0))</f>
        <v>XII</v>
      </c>
    </row>
    <row r="19" customFormat="false" ht="15.75" hidden="false" customHeight="false" outlineLevel="0" collapsed="false">
      <c r="A19" s="6" t="n">
        <v>185241</v>
      </c>
      <c r="B19" s="6" t="s">
        <v>2202</v>
      </c>
      <c r="C19" s="6" t="s">
        <v>2207</v>
      </c>
      <c r="D19" s="6" t="s">
        <v>1856</v>
      </c>
      <c r="E19" s="6" t="s">
        <v>868</v>
      </c>
      <c r="F19" s="6" t="s">
        <v>2205</v>
      </c>
      <c r="G19" s="6" t="s">
        <v>2209</v>
      </c>
      <c r="H19" s="6" t="n">
        <f aca="false">VLOOKUP($A19,Day1!$A$1:$H$394,4,FALSE())</f>
        <v>0</v>
      </c>
      <c r="I19" s="6" t="n">
        <f aca="false">VLOOKUP($A19,Day1!$A$1:$H$394,5,FALSE())</f>
        <v>0</v>
      </c>
      <c r="J19" s="6" t="n">
        <f aca="false">VLOOKUP($A19,Day1!$A$1:$H$394,6,FALSE())</f>
        <v>0</v>
      </c>
      <c r="K19" s="6" t="n">
        <f aca="false">VLOOKUP($A19,Day1!$A$1:$H$394,7,FALSE())</f>
        <v>1</v>
      </c>
      <c r="L19" s="8" t="n">
        <f aca="false">SUM(H19:K19)</f>
        <v>1</v>
      </c>
      <c r="M19" s="8" t="str">
        <f aca="false">ROMAN(RANK(L19,$L$4:$L$59,0))</f>
        <v>XVI</v>
      </c>
    </row>
    <row r="20" customFormat="false" ht="15.75" hidden="false" customHeight="false" outlineLevel="0" collapsed="false">
      <c r="A20" s="6" t="n">
        <v>189753</v>
      </c>
      <c r="B20" s="6" t="s">
        <v>2202</v>
      </c>
      <c r="C20" s="6" t="s">
        <v>2222</v>
      </c>
      <c r="D20" s="6" t="s">
        <v>1668</v>
      </c>
      <c r="E20" s="6" t="s">
        <v>2223</v>
      </c>
      <c r="F20" s="6" t="s">
        <v>2205</v>
      </c>
      <c r="G20" s="6" t="s">
        <v>2212</v>
      </c>
      <c r="H20" s="6" t="n">
        <f aca="false">VLOOKUP($A20,Day1!$A$1:$H$394,4,FALSE())</f>
        <v>0</v>
      </c>
      <c r="I20" s="6" t="n">
        <f aca="false">VLOOKUP($A20,Day1!$A$1:$H$394,5,FALSE())</f>
        <v>0</v>
      </c>
      <c r="J20" s="6" t="n">
        <f aca="false">VLOOKUP($A20,Day1!$A$1:$H$394,6,FALSE())</f>
        <v>1</v>
      </c>
      <c r="K20" s="6" t="n">
        <f aca="false">VLOOKUP($A20,Day1!$A$1:$H$394,7,FALSE())</f>
        <v>0</v>
      </c>
      <c r="L20" s="8" t="n">
        <f aca="false">SUM(H20:K20)</f>
        <v>1</v>
      </c>
      <c r="M20" s="8" t="str">
        <f aca="false">ROMAN(RANK(L20,$L$4:$L$59,0))</f>
        <v>XVI</v>
      </c>
    </row>
    <row r="21" customFormat="false" ht="15.75" hidden="false" customHeight="false" outlineLevel="0" collapsed="false">
      <c r="A21" s="6" t="n">
        <v>181091</v>
      </c>
      <c r="B21" s="6" t="s">
        <v>2202</v>
      </c>
      <c r="C21" s="6" t="s">
        <v>2221</v>
      </c>
      <c r="D21" s="6" t="s">
        <v>1771</v>
      </c>
      <c r="E21" s="6" t="s">
        <v>2224</v>
      </c>
      <c r="F21" s="6" t="s">
        <v>2205</v>
      </c>
      <c r="G21" s="6" t="s">
        <v>2225</v>
      </c>
      <c r="H21" s="6" t="n">
        <f aca="false">VLOOKUP($A21,Day1!$A$1:$H$394,4,FALSE())</f>
        <v>0</v>
      </c>
      <c r="I21" s="6" t="n">
        <f aca="false">VLOOKUP($A21,Day1!$A$1:$H$394,5,FALSE())</f>
        <v>0</v>
      </c>
      <c r="J21" s="6" t="n">
        <f aca="false">VLOOKUP($A21,Day1!$A$1:$H$394,6,FALSE())</f>
        <v>0</v>
      </c>
      <c r="K21" s="6" t="n">
        <f aca="false">VLOOKUP($A21,Day1!$A$1:$H$394,7,FALSE())</f>
        <v>1</v>
      </c>
      <c r="L21" s="8" t="n">
        <f aca="false">SUM(H21:K21)</f>
        <v>1</v>
      </c>
      <c r="M21" s="8" t="str">
        <f aca="false">ROMAN(RANK(L21,$L$4:$L$59,0))</f>
        <v>XVI</v>
      </c>
    </row>
    <row r="22" customFormat="false" ht="15.75" hidden="false" customHeight="false" outlineLevel="0" collapsed="false">
      <c r="A22" s="6" t="n">
        <v>185242</v>
      </c>
      <c r="B22" s="6" t="s">
        <v>2202</v>
      </c>
      <c r="C22" s="6" t="s">
        <v>2207</v>
      </c>
      <c r="D22" s="6" t="s">
        <v>1858</v>
      </c>
      <c r="E22" s="6" t="s">
        <v>2226</v>
      </c>
      <c r="F22" s="6" t="s">
        <v>2205</v>
      </c>
      <c r="G22" s="6" t="s">
        <v>2209</v>
      </c>
      <c r="H22" s="6" t="n">
        <f aca="false">VLOOKUP($A22,Day1!$A$1:$H$394,4,FALSE())</f>
        <v>0</v>
      </c>
      <c r="I22" s="6" t="n">
        <f aca="false">VLOOKUP($A22,Day1!$A$1:$H$394,5,FALSE())</f>
        <v>0</v>
      </c>
      <c r="J22" s="6" t="n">
        <f aca="false">VLOOKUP($A22,Day1!$A$1:$H$394,6,FALSE())</f>
        <v>0</v>
      </c>
      <c r="K22" s="6" t="n">
        <f aca="false">VLOOKUP($A22,Day1!$A$1:$H$394,7,FALSE())</f>
        <v>1</v>
      </c>
      <c r="L22" s="8" t="n">
        <f aca="false">SUM(H22:K22)</f>
        <v>1</v>
      </c>
      <c r="M22" s="8" t="str">
        <f aca="false">ROMAN(RANK(L22,$L$4:$L$59,0))</f>
        <v>XVI</v>
      </c>
    </row>
    <row r="23" customFormat="false" ht="15.75" hidden="false" customHeight="false" outlineLevel="0" collapsed="false">
      <c r="A23" s="6" t="n">
        <v>194915</v>
      </c>
      <c r="B23" s="6" t="s">
        <v>2202</v>
      </c>
      <c r="C23" s="6" t="s">
        <v>2227</v>
      </c>
      <c r="D23" s="6" t="s">
        <v>1119</v>
      </c>
      <c r="E23" s="6" t="s">
        <v>572</v>
      </c>
      <c r="F23" s="6" t="s">
        <v>2205</v>
      </c>
      <c r="G23" s="6" t="s">
        <v>2212</v>
      </c>
      <c r="H23" s="6" t="n">
        <f aca="false">VLOOKUP($A23,Day1!$A$1:$H$394,4,FALSE())</f>
        <v>0.5</v>
      </c>
      <c r="I23" s="6" t="n">
        <f aca="false">VLOOKUP($A23,Day1!$A$1:$H$394,5,FALSE())</f>
        <v>0</v>
      </c>
      <c r="J23" s="6" t="n">
        <f aca="false">VLOOKUP($A23,Day1!$A$1:$H$394,6,FALSE())</f>
        <v>0</v>
      </c>
      <c r="K23" s="6" t="n">
        <f aca="false">VLOOKUP($A23,Day1!$A$1:$H$394,7,FALSE())</f>
        <v>0</v>
      </c>
      <c r="L23" s="8" t="n">
        <f aca="false">SUM(H23:K23)</f>
        <v>0.5</v>
      </c>
      <c r="M23" s="8" t="str">
        <f aca="false">ROMAN(RANK(L23,$L$4:$L$59,0))</f>
        <v>XX</v>
      </c>
    </row>
    <row r="24" customFormat="false" ht="15.75" hidden="false" customHeight="false" outlineLevel="0" collapsed="false">
      <c r="A24" s="6" t="n">
        <v>197200</v>
      </c>
      <c r="B24" s="6" t="s">
        <v>2202</v>
      </c>
      <c r="C24" s="6" t="s">
        <v>2210</v>
      </c>
      <c r="D24" s="6" t="s">
        <v>1742</v>
      </c>
      <c r="E24" s="6" t="s">
        <v>764</v>
      </c>
      <c r="F24" s="6" t="s">
        <v>2205</v>
      </c>
      <c r="G24" s="6" t="s">
        <v>2212</v>
      </c>
      <c r="H24" s="6" t="n">
        <f aca="false">VLOOKUP($A24,Day1!$A$1:$H$394,4,FALSE())</f>
        <v>0</v>
      </c>
      <c r="I24" s="6" t="n">
        <f aca="false">VLOOKUP($A24,Day1!$A$1:$H$394,5,FALSE())</f>
        <v>0</v>
      </c>
      <c r="J24" s="6" t="n">
        <f aca="false">VLOOKUP($A24,Day1!$A$1:$H$394,6,FALSE())</f>
        <v>0</v>
      </c>
      <c r="K24" s="6" t="n">
        <f aca="false">VLOOKUP($A24,Day1!$A$1:$H$394,7,FALSE())</f>
        <v>0</v>
      </c>
      <c r="L24" s="8" t="n">
        <f aca="false">SUM(H24:K24)</f>
        <v>0</v>
      </c>
      <c r="M24" s="8" t="str">
        <f aca="false">ROMAN(RANK(L24,$L$4:$L$59,0))</f>
        <v>XXI</v>
      </c>
    </row>
    <row r="25" customFormat="false" ht="15.75" hidden="false" customHeight="false" outlineLevel="0" collapsed="false">
      <c r="A25" s="6" t="n">
        <v>181098</v>
      </c>
      <c r="B25" s="6" t="s">
        <v>2202</v>
      </c>
      <c r="C25" s="6" t="s">
        <v>2221</v>
      </c>
      <c r="D25" s="6" t="s">
        <v>1798</v>
      </c>
      <c r="E25" s="6" t="s">
        <v>2228</v>
      </c>
      <c r="F25" s="6" t="s">
        <v>2205</v>
      </c>
      <c r="G25" s="6" t="s">
        <v>2229</v>
      </c>
      <c r="H25" s="6" t="n">
        <f aca="false">VLOOKUP($A25,Day1!$A$1:$H$394,4,FALSE())</f>
        <v>0</v>
      </c>
      <c r="I25" s="6" t="n">
        <f aca="false">VLOOKUP($A25,Day1!$A$1:$H$394,5,FALSE())</f>
        <v>0</v>
      </c>
      <c r="J25" s="6" t="n">
        <f aca="false">VLOOKUP($A25,Day1!$A$1:$H$394,6,FALSE())</f>
        <v>0</v>
      </c>
      <c r="K25" s="6" t="n">
        <f aca="false">VLOOKUP($A25,Day1!$A$1:$H$394,7,FALSE())</f>
        <v>0</v>
      </c>
      <c r="L25" s="8" t="n">
        <f aca="false">SUM(H25:K25)</f>
        <v>0</v>
      </c>
      <c r="M25" s="8" t="str">
        <f aca="false">ROMAN(RANK(L25,$L$4:$L$59,0))</f>
        <v>XXI</v>
      </c>
    </row>
    <row r="26" customFormat="false" ht="15.75" hidden="false" customHeight="false" outlineLevel="0" collapsed="false">
      <c r="A26" s="6" t="n">
        <v>185183</v>
      </c>
      <c r="B26" s="6" t="s">
        <v>2202</v>
      </c>
      <c r="C26" s="6" t="s">
        <v>2207</v>
      </c>
      <c r="D26" s="6" t="s">
        <v>1758</v>
      </c>
      <c r="E26" s="6" t="s">
        <v>868</v>
      </c>
      <c r="F26" s="6" t="s">
        <v>2205</v>
      </c>
      <c r="G26" s="6" t="s">
        <v>2206</v>
      </c>
      <c r="H26" s="6" t="n">
        <f aca="false">VLOOKUP($A26,Day1!$A$1:$H$394,4,FALSE())</f>
        <v>0</v>
      </c>
      <c r="I26" s="6" t="n">
        <f aca="false">VLOOKUP($A26,Day1!$A$1:$H$394,5,FALSE())</f>
        <v>0</v>
      </c>
      <c r="J26" s="6" t="n">
        <f aca="false">VLOOKUP($A26,Day1!$A$1:$H$394,6,FALSE())</f>
        <v>0</v>
      </c>
      <c r="K26" s="6" t="n">
        <f aca="false">VLOOKUP($A26,Day1!$A$1:$H$394,7,FALSE())</f>
        <v>0</v>
      </c>
      <c r="L26" s="8" t="n">
        <f aca="false">SUM(H26:K26)</f>
        <v>0</v>
      </c>
      <c r="M26" s="8" t="str">
        <f aca="false">ROMAN(RANK(L26,$L$4:$L$59,0))</f>
        <v>XXI</v>
      </c>
    </row>
    <row r="27" customFormat="false" ht="15.75" hidden="false" customHeight="false" outlineLevel="0" collapsed="false">
      <c r="A27" s="6" t="n">
        <v>181107</v>
      </c>
      <c r="B27" s="6" t="s">
        <v>2202</v>
      </c>
      <c r="C27" s="6" t="s">
        <v>2221</v>
      </c>
      <c r="D27" s="6" t="s">
        <v>1766</v>
      </c>
      <c r="E27" s="6" t="s">
        <v>2230</v>
      </c>
      <c r="F27" s="6" t="s">
        <v>2205</v>
      </c>
      <c r="G27" s="6" t="s">
        <v>2231</v>
      </c>
      <c r="H27" s="6" t="n">
        <f aca="false">VLOOKUP($A27,Day1!$A$1:$H$394,4,FALSE())</f>
        <v>0</v>
      </c>
      <c r="I27" s="6" t="n">
        <f aca="false">VLOOKUP($A27,Day1!$A$1:$H$394,5,FALSE())</f>
        <v>0</v>
      </c>
      <c r="J27" s="6" t="n">
        <f aca="false">VLOOKUP($A27,Day1!$A$1:$H$394,6,FALSE())</f>
        <v>0</v>
      </c>
      <c r="K27" s="6" t="n">
        <f aca="false">VLOOKUP($A27,Day1!$A$1:$H$394,7,FALSE())</f>
        <v>0</v>
      </c>
      <c r="L27" s="8" t="n">
        <f aca="false">SUM(H27:K27)</f>
        <v>0</v>
      </c>
      <c r="M27" s="8" t="str">
        <f aca="false">ROMAN(RANK(L27,$L$4:$L$59,0))</f>
        <v>XXI</v>
      </c>
    </row>
    <row r="28" customFormat="false" ht="15.75" hidden="false" customHeight="false" outlineLevel="0" collapsed="false">
      <c r="A28" s="6" t="n">
        <v>197177</v>
      </c>
      <c r="B28" s="6" t="s">
        <v>2202</v>
      </c>
      <c r="C28" s="6" t="s">
        <v>2210</v>
      </c>
      <c r="D28" s="6" t="s">
        <v>157</v>
      </c>
      <c r="E28" s="6" t="s">
        <v>2232</v>
      </c>
      <c r="F28" s="6" t="s">
        <v>2205</v>
      </c>
      <c r="G28" s="6" t="s">
        <v>2209</v>
      </c>
      <c r="H28" s="6" t="n">
        <f aca="false">VLOOKUP($A28,Day1!$A$1:$H$394,4,FALSE())</f>
        <v>0</v>
      </c>
      <c r="I28" s="6" t="n">
        <f aca="false">VLOOKUP($A28,Day1!$A$1:$H$394,5,FALSE())</f>
        <v>0</v>
      </c>
      <c r="J28" s="6" t="n">
        <f aca="false">VLOOKUP($A28,Day1!$A$1:$H$394,6,FALSE())</f>
        <v>0</v>
      </c>
      <c r="K28" s="6" t="n">
        <f aca="false">VLOOKUP($A28,Day1!$A$1:$H$394,7,FALSE())</f>
        <v>0</v>
      </c>
      <c r="L28" s="8" t="n">
        <f aca="false">SUM(H28:K28)</f>
        <v>0</v>
      </c>
      <c r="M28" s="8" t="str">
        <f aca="false">ROMAN(RANK(L28,$L$4:$L$59,0))</f>
        <v>XXI</v>
      </c>
    </row>
    <row r="29" customFormat="false" ht="15.75" hidden="false" customHeight="false" outlineLevel="0" collapsed="false">
      <c r="A29" s="6" t="n">
        <v>185185</v>
      </c>
      <c r="B29" s="6" t="s">
        <v>2202</v>
      </c>
      <c r="C29" s="6" t="s">
        <v>2207</v>
      </c>
      <c r="D29" s="6" t="s">
        <v>1717</v>
      </c>
      <c r="E29" s="6" t="s">
        <v>2233</v>
      </c>
      <c r="F29" s="6" t="s">
        <v>2205</v>
      </c>
      <c r="G29" s="6" t="s">
        <v>2206</v>
      </c>
      <c r="H29" s="6" t="n">
        <f aca="false">VLOOKUP($A29,Day1!$A$1:$H$394,4,FALSE())</f>
        <v>0</v>
      </c>
      <c r="I29" s="6" t="n">
        <f aca="false">VLOOKUP($A29,Day1!$A$1:$H$394,5,FALSE())</f>
        <v>0</v>
      </c>
      <c r="J29" s="6" t="n">
        <f aca="false">VLOOKUP($A29,Day1!$A$1:$H$394,6,FALSE())</f>
        <v>0</v>
      </c>
      <c r="K29" s="6" t="n">
        <f aca="false">VLOOKUP($A29,Day1!$A$1:$H$394,7,FALSE())</f>
        <v>0</v>
      </c>
      <c r="L29" s="8" t="n">
        <f aca="false">SUM(H29:K29)</f>
        <v>0</v>
      </c>
      <c r="M29" s="8" t="str">
        <f aca="false">ROMAN(RANK(L29,$L$4:$L$59,0))</f>
        <v>XXI</v>
      </c>
    </row>
    <row r="30" customFormat="false" ht="15.75" hidden="false" customHeight="false" outlineLevel="0" collapsed="false">
      <c r="A30" s="6" t="n">
        <v>190486</v>
      </c>
      <c r="B30" s="6" t="s">
        <v>2202</v>
      </c>
      <c r="C30" s="6" t="s">
        <v>2221</v>
      </c>
      <c r="D30" s="6" t="s">
        <v>1785</v>
      </c>
      <c r="E30" s="6" t="s">
        <v>2234</v>
      </c>
      <c r="F30" s="6" t="s">
        <v>2205</v>
      </c>
      <c r="G30" s="6" t="s">
        <v>2206</v>
      </c>
      <c r="H30" s="6" t="n">
        <f aca="false">VLOOKUP($A30,Day1!$A$1:$H$394,4,FALSE())</f>
        <v>0</v>
      </c>
      <c r="I30" s="6" t="n">
        <f aca="false">VLOOKUP($A30,Day1!$A$1:$H$394,5,FALSE())</f>
        <v>0</v>
      </c>
      <c r="J30" s="6" t="n">
        <f aca="false">VLOOKUP($A30,Day1!$A$1:$H$394,6,FALSE())</f>
        <v>0</v>
      </c>
      <c r="K30" s="6" t="n">
        <f aca="false">VLOOKUP($A30,Day1!$A$1:$H$394,7,FALSE())</f>
        <v>0</v>
      </c>
      <c r="L30" s="8" t="n">
        <f aca="false">SUM(H30:K30)</f>
        <v>0</v>
      </c>
      <c r="M30" s="8" t="str">
        <f aca="false">ROMAN(RANK(L30,$L$4:$L$59,0))</f>
        <v>XXI</v>
      </c>
    </row>
    <row r="31" customFormat="false" ht="15.75" hidden="false" customHeight="false" outlineLevel="0" collapsed="false">
      <c r="A31" s="6" t="n">
        <v>197179</v>
      </c>
      <c r="B31" s="6" t="s">
        <v>2202</v>
      </c>
      <c r="C31" s="6" t="s">
        <v>2210</v>
      </c>
      <c r="D31" s="6" t="s">
        <v>1749</v>
      </c>
      <c r="E31" s="6" t="s">
        <v>2235</v>
      </c>
      <c r="F31" s="6" t="s">
        <v>2205</v>
      </c>
      <c r="G31" s="6" t="s">
        <v>2209</v>
      </c>
      <c r="H31" s="6" t="n">
        <f aca="false">VLOOKUP($A31,Day1!$A$1:$H$394,4,FALSE())</f>
        <v>0</v>
      </c>
      <c r="I31" s="6" t="n">
        <f aca="false">VLOOKUP($A31,Day1!$A$1:$H$394,5,FALSE())</f>
        <v>0</v>
      </c>
      <c r="J31" s="6" t="n">
        <f aca="false">VLOOKUP($A31,Day1!$A$1:$H$394,6,FALSE())</f>
        <v>0</v>
      </c>
      <c r="K31" s="6" t="n">
        <f aca="false">VLOOKUP($A31,Day1!$A$1:$H$394,7,FALSE())</f>
        <v>0</v>
      </c>
      <c r="L31" s="8" t="n">
        <f aca="false">SUM(H31:K31)</f>
        <v>0</v>
      </c>
      <c r="M31" s="8" t="str">
        <f aca="false">ROMAN(RANK(L31,$L$4:$L$59,0))</f>
        <v>XXI</v>
      </c>
    </row>
    <row r="32" customFormat="false" ht="15.75" hidden="false" customHeight="false" outlineLevel="0" collapsed="false">
      <c r="A32" s="6" t="n">
        <v>185186</v>
      </c>
      <c r="B32" s="6" t="s">
        <v>2202</v>
      </c>
      <c r="C32" s="6" t="s">
        <v>2207</v>
      </c>
      <c r="D32" s="6" t="s">
        <v>1690</v>
      </c>
      <c r="E32" s="6" t="s">
        <v>2236</v>
      </c>
      <c r="F32" s="6" t="s">
        <v>2205</v>
      </c>
      <c r="G32" s="6" t="s">
        <v>2206</v>
      </c>
      <c r="H32" s="6" t="n">
        <f aca="false">VLOOKUP($A32,Day1!$A$1:$H$394,4,FALSE())</f>
        <v>0</v>
      </c>
      <c r="I32" s="6" t="n">
        <f aca="false">VLOOKUP($A32,Day1!$A$1:$H$394,5,FALSE())</f>
        <v>0</v>
      </c>
      <c r="J32" s="6" t="n">
        <f aca="false">VLOOKUP($A32,Day1!$A$1:$H$394,6,FALSE())</f>
        <v>0</v>
      </c>
      <c r="K32" s="6" t="n">
        <f aca="false">VLOOKUP($A32,Day1!$A$1:$H$394,7,FALSE())</f>
        <v>0</v>
      </c>
      <c r="L32" s="8" t="n">
        <f aca="false">SUM(H32:K32)</f>
        <v>0</v>
      </c>
      <c r="M32" s="8" t="str">
        <f aca="false">ROMAN(RANK(L32,$L$4:$L$59,0))</f>
        <v>XXI</v>
      </c>
    </row>
    <row r="33" customFormat="false" ht="15.75" hidden="false" customHeight="false" outlineLevel="0" collapsed="false">
      <c r="A33" s="6" t="n">
        <v>197180</v>
      </c>
      <c r="B33" s="6" t="s">
        <v>2202</v>
      </c>
      <c r="C33" s="6" t="s">
        <v>2210</v>
      </c>
      <c r="D33" s="6" t="s">
        <v>1738</v>
      </c>
      <c r="E33" s="6" t="s">
        <v>2237</v>
      </c>
      <c r="F33" s="6" t="s">
        <v>2205</v>
      </c>
      <c r="G33" s="6" t="s">
        <v>2209</v>
      </c>
      <c r="H33" s="6" t="n">
        <f aca="false">VLOOKUP($A33,Day1!$A$1:$H$394,4,FALSE())</f>
        <v>0</v>
      </c>
      <c r="I33" s="6" t="n">
        <f aca="false">VLOOKUP($A33,Day1!$A$1:$H$394,5,FALSE())</f>
        <v>0</v>
      </c>
      <c r="J33" s="6" t="n">
        <f aca="false">VLOOKUP($A33,Day1!$A$1:$H$394,6,FALSE())</f>
        <v>0</v>
      </c>
      <c r="K33" s="6" t="n">
        <f aca="false">VLOOKUP($A33,Day1!$A$1:$H$394,7,FALSE())</f>
        <v>0</v>
      </c>
      <c r="L33" s="8" t="n">
        <f aca="false">SUM(H33:K33)</f>
        <v>0</v>
      </c>
      <c r="M33" s="8" t="str">
        <f aca="false">ROMAN(RANK(L33,$L$4:$L$59,0))</f>
        <v>XXI</v>
      </c>
    </row>
    <row r="34" customFormat="false" ht="15.75" hidden="false" customHeight="false" outlineLevel="0" collapsed="false">
      <c r="A34" s="6" t="n">
        <v>181059</v>
      </c>
      <c r="B34" s="6" t="s">
        <v>2202</v>
      </c>
      <c r="C34" s="6" t="s">
        <v>2221</v>
      </c>
      <c r="D34" s="6" t="s">
        <v>1735</v>
      </c>
      <c r="E34" s="6" t="s">
        <v>2238</v>
      </c>
      <c r="F34" s="6" t="s">
        <v>2205</v>
      </c>
      <c r="G34" s="6" t="s">
        <v>2206</v>
      </c>
      <c r="H34" s="6" t="n">
        <f aca="false">VLOOKUP($A34,Day1!$A$1:$H$394,4,FALSE())</f>
        <v>0</v>
      </c>
      <c r="I34" s="6" t="n">
        <f aca="false">VLOOKUP($A34,Day1!$A$1:$H$394,5,FALSE())</f>
        <v>0</v>
      </c>
      <c r="J34" s="6" t="n">
        <f aca="false">VLOOKUP($A34,Day1!$A$1:$H$394,6,FALSE())</f>
        <v>0</v>
      </c>
      <c r="K34" s="6" t="n">
        <f aca="false">VLOOKUP($A34,Day1!$A$1:$H$394,7,FALSE())</f>
        <v>0</v>
      </c>
      <c r="L34" s="8" t="n">
        <f aca="false">SUM(H34:K34)</f>
        <v>0</v>
      </c>
      <c r="M34" s="8" t="str">
        <f aca="false">ROMAN(RANK(L34,$L$4:$L$59,0))</f>
        <v>XXI</v>
      </c>
    </row>
    <row r="35" customFormat="false" ht="15.75" hidden="false" customHeight="false" outlineLevel="0" collapsed="false">
      <c r="A35" s="6" t="n">
        <v>181061</v>
      </c>
      <c r="B35" s="6" t="s">
        <v>2202</v>
      </c>
      <c r="C35" s="6" t="s">
        <v>2221</v>
      </c>
      <c r="D35" s="6" t="s">
        <v>1813</v>
      </c>
      <c r="E35" s="6" t="s">
        <v>1160</v>
      </c>
      <c r="F35" s="6" t="s">
        <v>2205</v>
      </c>
      <c r="G35" s="6" t="s">
        <v>2206</v>
      </c>
      <c r="H35" s="6" t="n">
        <f aca="false">VLOOKUP($A35,Day1!$A$1:$H$394,4,FALSE())</f>
        <v>0</v>
      </c>
      <c r="I35" s="6" t="n">
        <f aca="false">VLOOKUP($A35,Day1!$A$1:$H$394,5,FALSE())</f>
        <v>0</v>
      </c>
      <c r="J35" s="6" t="n">
        <f aca="false">VLOOKUP($A35,Day1!$A$1:$H$394,6,FALSE())</f>
        <v>0</v>
      </c>
      <c r="K35" s="6" t="n">
        <f aca="false">VLOOKUP($A35,Day1!$A$1:$H$394,7,FALSE())</f>
        <v>0</v>
      </c>
      <c r="L35" s="8" t="n">
        <f aca="false">SUM(H35:K35)</f>
        <v>0</v>
      </c>
      <c r="M35" s="8" t="str">
        <f aca="false">ROMAN(RANK(L35,$L$4:$L$59,0))</f>
        <v>XXI</v>
      </c>
    </row>
    <row r="36" customFormat="false" ht="15.75" hidden="false" customHeight="false" outlineLevel="0" collapsed="false">
      <c r="A36" s="6" t="n">
        <v>197186</v>
      </c>
      <c r="B36" s="6" t="s">
        <v>2202</v>
      </c>
      <c r="C36" s="6" t="s">
        <v>2210</v>
      </c>
      <c r="D36" s="6" t="s">
        <v>639</v>
      </c>
      <c r="E36" s="6" t="s">
        <v>2239</v>
      </c>
      <c r="F36" s="6" t="s">
        <v>2205</v>
      </c>
      <c r="G36" s="6" t="s">
        <v>2209</v>
      </c>
      <c r="H36" s="6" t="n">
        <f aca="false">VLOOKUP($A36,Day1!$A$1:$H$394,4,FALSE())</f>
        <v>0</v>
      </c>
      <c r="I36" s="6" t="n">
        <f aca="false">VLOOKUP($A36,Day1!$A$1:$H$394,5,FALSE())</f>
        <v>0</v>
      </c>
      <c r="J36" s="6" t="n">
        <f aca="false">VLOOKUP($A36,Day1!$A$1:$H$394,6,FALSE())</f>
        <v>0</v>
      </c>
      <c r="K36" s="6" t="n">
        <f aca="false">VLOOKUP($A36,Day1!$A$1:$H$394,7,FALSE())</f>
        <v>0</v>
      </c>
      <c r="L36" s="8" t="n">
        <f aca="false">SUM(H36:K36)</f>
        <v>0</v>
      </c>
      <c r="M36" s="8" t="str">
        <f aca="false">ROMAN(RANK(L36,$L$4:$L$59,0))</f>
        <v>XXI</v>
      </c>
    </row>
    <row r="37" customFormat="false" ht="15.75" hidden="false" customHeight="false" outlineLevel="0" collapsed="false">
      <c r="A37" s="6" t="n">
        <v>197192</v>
      </c>
      <c r="B37" s="6" t="s">
        <v>2202</v>
      </c>
      <c r="C37" s="6" t="s">
        <v>2210</v>
      </c>
      <c r="D37" s="6" t="s">
        <v>1725</v>
      </c>
      <c r="E37" s="6" t="s">
        <v>2240</v>
      </c>
      <c r="F37" s="6" t="s">
        <v>2205</v>
      </c>
      <c r="G37" s="6" t="s">
        <v>2212</v>
      </c>
      <c r="H37" s="6" t="n">
        <f aca="false">VLOOKUP($A37,Day1!$A$1:$H$394,4,FALSE())</f>
        <v>0</v>
      </c>
      <c r="I37" s="6" t="n">
        <f aca="false">VLOOKUP($A37,Day1!$A$1:$H$394,5,FALSE())</f>
        <v>0</v>
      </c>
      <c r="J37" s="6" t="n">
        <f aca="false">VLOOKUP($A37,Day1!$A$1:$H$394,6,FALSE())</f>
        <v>0</v>
      </c>
      <c r="K37" s="6" t="n">
        <f aca="false">VLOOKUP($A37,Day1!$A$1:$H$394,7,FALSE())</f>
        <v>0</v>
      </c>
      <c r="L37" s="8" t="n">
        <f aca="false">SUM(H37:K37)</f>
        <v>0</v>
      </c>
      <c r="M37" s="8" t="str">
        <f aca="false">ROMAN(RANK(L37,$L$4:$L$59,0))</f>
        <v>XXI</v>
      </c>
    </row>
    <row r="38" customFormat="false" ht="15.75" hidden="false" customHeight="false" outlineLevel="0" collapsed="false">
      <c r="A38" s="6" t="n">
        <v>181096</v>
      </c>
      <c r="B38" s="6" t="s">
        <v>2202</v>
      </c>
      <c r="C38" s="6" t="s">
        <v>2221</v>
      </c>
      <c r="D38" s="6" t="s">
        <v>1740</v>
      </c>
      <c r="E38" s="6" t="s">
        <v>2241</v>
      </c>
      <c r="F38" s="6" t="s">
        <v>2205</v>
      </c>
      <c r="G38" s="6" t="s">
        <v>2225</v>
      </c>
      <c r="H38" s="6" t="n">
        <f aca="false">VLOOKUP($A38,Day1!$A$1:$H$394,4,FALSE())</f>
        <v>0</v>
      </c>
      <c r="I38" s="6" t="n">
        <f aca="false">VLOOKUP($A38,Day1!$A$1:$H$394,5,FALSE())</f>
        <v>0</v>
      </c>
      <c r="J38" s="6" t="n">
        <f aca="false">VLOOKUP($A38,Day1!$A$1:$H$394,6,FALSE())</f>
        <v>0</v>
      </c>
      <c r="K38" s="6" t="n">
        <f aca="false">VLOOKUP($A38,Day1!$A$1:$H$394,7,FALSE())</f>
        <v>0</v>
      </c>
      <c r="L38" s="8" t="n">
        <f aca="false">SUM(H38:K38)</f>
        <v>0</v>
      </c>
      <c r="M38" s="8" t="str">
        <f aca="false">ROMAN(RANK(L38,$L$4:$L$59,0))</f>
        <v>XXI</v>
      </c>
    </row>
    <row r="39" customFormat="false" ht="15.75" hidden="false" customHeight="false" outlineLevel="0" collapsed="false">
      <c r="A39" s="6" t="n">
        <v>197182</v>
      </c>
      <c r="B39" s="6" t="s">
        <v>2202</v>
      </c>
      <c r="C39" s="6" t="s">
        <v>2210</v>
      </c>
      <c r="D39" s="6" t="s">
        <v>1695</v>
      </c>
      <c r="E39" s="6" t="s">
        <v>2242</v>
      </c>
      <c r="F39" s="6" t="s">
        <v>2205</v>
      </c>
      <c r="G39" s="6" t="s">
        <v>2209</v>
      </c>
      <c r="H39" s="6" t="n">
        <f aca="false">VLOOKUP($A39,Day1!$A$1:$H$394,4,FALSE())</f>
        <v>0</v>
      </c>
      <c r="I39" s="6" t="n">
        <f aca="false">VLOOKUP($A39,Day1!$A$1:$H$394,5,FALSE())</f>
        <v>0</v>
      </c>
      <c r="J39" s="6" t="n">
        <f aca="false">VLOOKUP($A39,Day1!$A$1:$H$394,6,FALSE())</f>
        <v>0</v>
      </c>
      <c r="K39" s="6" t="n">
        <f aca="false">VLOOKUP($A39,Day1!$A$1:$H$394,7,FALSE())</f>
        <v>0</v>
      </c>
      <c r="L39" s="8" t="n">
        <f aca="false">SUM(H39:K39)</f>
        <v>0</v>
      </c>
      <c r="M39" s="8" t="str">
        <f aca="false">ROMAN(RANK(L39,$L$4:$L$59,0))</f>
        <v>XXI</v>
      </c>
    </row>
    <row r="40" customFormat="false" ht="15.75" hidden="false" customHeight="false" outlineLevel="0" collapsed="false">
      <c r="A40" s="6" t="n">
        <v>197188</v>
      </c>
      <c r="B40" s="6" t="s">
        <v>2202</v>
      </c>
      <c r="C40" s="6" t="s">
        <v>2210</v>
      </c>
      <c r="D40" s="6" t="s">
        <v>1708</v>
      </c>
      <c r="E40" s="6" t="s">
        <v>2243</v>
      </c>
      <c r="F40" s="6" t="s">
        <v>2205</v>
      </c>
      <c r="G40" s="6" t="s">
        <v>2212</v>
      </c>
      <c r="H40" s="6" t="n">
        <f aca="false">VLOOKUP($A40,Day1!$A$1:$H$394,4,FALSE())</f>
        <v>0</v>
      </c>
      <c r="I40" s="6" t="n">
        <f aca="false">VLOOKUP($A40,Day1!$A$1:$H$394,5,FALSE())</f>
        <v>0</v>
      </c>
      <c r="J40" s="6" t="n">
        <f aca="false">VLOOKUP($A40,Day1!$A$1:$H$394,6,FALSE())</f>
        <v>0</v>
      </c>
      <c r="K40" s="6" t="n">
        <f aca="false">VLOOKUP($A40,Day1!$A$1:$H$394,7,FALSE())</f>
        <v>0</v>
      </c>
      <c r="L40" s="8" t="n">
        <f aca="false">SUM(H40:K40)</f>
        <v>0</v>
      </c>
      <c r="M40" s="8" t="str">
        <f aca="false">ROMAN(RANK(L40,$L$4:$L$59,0))</f>
        <v>XXI</v>
      </c>
    </row>
    <row r="41" customFormat="false" ht="15.75" hidden="false" customHeight="false" outlineLevel="0" collapsed="false">
      <c r="A41" s="6" t="n">
        <v>196073</v>
      </c>
      <c r="B41" s="6" t="s">
        <v>2202</v>
      </c>
      <c r="C41" s="6" t="s">
        <v>2203</v>
      </c>
      <c r="D41" s="6" t="s">
        <v>1730</v>
      </c>
      <c r="E41" s="6" t="s">
        <v>1866</v>
      </c>
      <c r="F41" s="6" t="s">
        <v>2205</v>
      </c>
      <c r="G41" s="6" t="s">
        <v>2206</v>
      </c>
      <c r="H41" s="6" t="n">
        <f aca="false">VLOOKUP($A41,Day1!$A$1:$H$394,4,FALSE())</f>
        <v>0</v>
      </c>
      <c r="I41" s="6" t="n">
        <f aca="false">VLOOKUP($A41,Day1!$A$1:$H$394,5,FALSE())</f>
        <v>0</v>
      </c>
      <c r="J41" s="6" t="n">
        <f aca="false">VLOOKUP($A41,Day1!$A$1:$H$394,6,FALSE())</f>
        <v>0</v>
      </c>
      <c r="K41" s="6" t="n">
        <f aca="false">VLOOKUP($A41,Day1!$A$1:$H$394,7,FALSE())</f>
        <v>0</v>
      </c>
      <c r="L41" s="8" t="n">
        <f aca="false">SUM(H41:K41)</f>
        <v>0</v>
      </c>
      <c r="M41" s="8" t="str">
        <f aca="false">ROMAN(RANK(L41,$L$4:$L$59,0))</f>
        <v>XXI</v>
      </c>
    </row>
    <row r="42" customFormat="false" ht="15.75" hidden="false" customHeight="false" outlineLevel="0" collapsed="false">
      <c r="A42" s="6" t="n">
        <v>181087</v>
      </c>
      <c r="B42" s="6" t="s">
        <v>2202</v>
      </c>
      <c r="C42" s="6" t="s">
        <v>2221</v>
      </c>
      <c r="D42" s="6" t="s">
        <v>1721</v>
      </c>
      <c r="E42" s="6" t="s">
        <v>2244</v>
      </c>
      <c r="F42" s="6" t="s">
        <v>2205</v>
      </c>
      <c r="G42" s="6" t="s">
        <v>2225</v>
      </c>
      <c r="H42" s="6" t="n">
        <f aca="false">VLOOKUP($A42,Day1!$A$1:$H$394,4,FALSE())</f>
        <v>0</v>
      </c>
      <c r="I42" s="6" t="n">
        <f aca="false">VLOOKUP($A42,Day1!$A$1:$H$394,5,FALSE())</f>
        <v>0</v>
      </c>
      <c r="J42" s="6" t="n">
        <f aca="false">VLOOKUP($A42,Day1!$A$1:$H$394,6,FALSE())</f>
        <v>0</v>
      </c>
      <c r="K42" s="6" t="n">
        <f aca="false">VLOOKUP($A42,Day1!$A$1:$H$394,7,FALSE())</f>
        <v>0</v>
      </c>
      <c r="L42" s="8" t="n">
        <f aca="false">SUM(H42:K42)</f>
        <v>0</v>
      </c>
      <c r="M42" s="8" t="str">
        <f aca="false">ROMAN(RANK(L42,$L$4:$L$59,0))</f>
        <v>XXI</v>
      </c>
    </row>
    <row r="43" customFormat="false" ht="15.75" hidden="false" customHeight="false" outlineLevel="0" collapsed="false">
      <c r="A43" s="6" t="n">
        <v>190449</v>
      </c>
      <c r="B43" s="6" t="s">
        <v>2202</v>
      </c>
      <c r="C43" s="6" t="s">
        <v>2222</v>
      </c>
      <c r="D43" s="6" t="s">
        <v>1715</v>
      </c>
      <c r="E43" s="6" t="s">
        <v>2245</v>
      </c>
      <c r="F43" s="6" t="s">
        <v>2205</v>
      </c>
      <c r="G43" s="6" t="s">
        <v>2212</v>
      </c>
      <c r="H43" s="6" t="n">
        <f aca="false">VLOOKUP($A43,Day1!$A$1:$H$394,4,FALSE())</f>
        <v>0</v>
      </c>
      <c r="I43" s="6" t="n">
        <f aca="false">VLOOKUP($A43,Day1!$A$1:$H$394,5,FALSE())</f>
        <v>0</v>
      </c>
      <c r="J43" s="6" t="n">
        <f aca="false">VLOOKUP($A43,Day1!$A$1:$H$394,6,FALSE())</f>
        <v>0</v>
      </c>
      <c r="K43" s="6" t="n">
        <f aca="false">VLOOKUP($A43,Day1!$A$1:$H$394,7,FALSE())</f>
        <v>0</v>
      </c>
      <c r="L43" s="8" t="n">
        <f aca="false">SUM(H43:K43)</f>
        <v>0</v>
      </c>
      <c r="M43" s="8" t="str">
        <f aca="false">ROMAN(RANK(L43,$L$4:$L$59,0))</f>
        <v>XXI</v>
      </c>
    </row>
    <row r="44" customFormat="false" ht="15.75" hidden="false" customHeight="false" outlineLevel="0" collapsed="false">
      <c r="A44" s="6" t="n">
        <v>185257</v>
      </c>
      <c r="B44" s="6" t="s">
        <v>2202</v>
      </c>
      <c r="C44" s="6" t="s">
        <v>2207</v>
      </c>
      <c r="D44" s="6" t="s">
        <v>1840</v>
      </c>
      <c r="E44" s="6" t="s">
        <v>2246</v>
      </c>
      <c r="F44" s="6" t="s">
        <v>2205</v>
      </c>
      <c r="G44" s="6" t="s">
        <v>2209</v>
      </c>
      <c r="H44" s="6" t="n">
        <f aca="false">VLOOKUP($A44,Day1!$A$1:$H$394,4,FALSE())</f>
        <v>0</v>
      </c>
      <c r="I44" s="6" t="n">
        <f aca="false">VLOOKUP($A44,Day1!$A$1:$H$394,5,FALSE())</f>
        <v>0</v>
      </c>
      <c r="J44" s="6" t="n">
        <f aca="false">VLOOKUP($A44,Day1!$A$1:$H$394,6,FALSE())</f>
        <v>0</v>
      </c>
      <c r="K44" s="6" t="n">
        <f aca="false">VLOOKUP($A44,Day1!$A$1:$H$394,7,FALSE())</f>
        <v>0</v>
      </c>
      <c r="L44" s="8" t="n">
        <f aca="false">SUM(H44:K44)</f>
        <v>0</v>
      </c>
      <c r="M44" s="8" t="str">
        <f aca="false">ROMAN(RANK(L44,$L$4:$L$59,0))</f>
        <v>XXI</v>
      </c>
    </row>
    <row r="45" customFormat="false" ht="15.75" hidden="false" customHeight="false" outlineLevel="0" collapsed="false">
      <c r="A45" s="6" t="n">
        <v>181844</v>
      </c>
      <c r="B45" s="6" t="s">
        <v>2202</v>
      </c>
      <c r="C45" s="6" t="s">
        <v>2247</v>
      </c>
      <c r="D45" s="6" t="s">
        <v>1778</v>
      </c>
      <c r="E45" s="6" t="s">
        <v>2248</v>
      </c>
      <c r="F45" s="6" t="s">
        <v>2205</v>
      </c>
      <c r="G45" s="6" t="s">
        <v>2212</v>
      </c>
      <c r="H45" s="6" t="n">
        <f aca="false">VLOOKUP($A45,Day1!$A$1:$H$394,4,FALSE())</f>
        <v>0</v>
      </c>
      <c r="I45" s="6" t="n">
        <f aca="false">VLOOKUP($A45,Day1!$A$1:$H$394,5,FALSE())</f>
        <v>0</v>
      </c>
      <c r="J45" s="6" t="n">
        <f aca="false">VLOOKUP($A45,Day1!$A$1:$H$394,6,FALSE())</f>
        <v>0</v>
      </c>
      <c r="K45" s="6" t="n">
        <f aca="false">VLOOKUP($A45,Day1!$A$1:$H$394,7,FALSE())</f>
        <v>0</v>
      </c>
      <c r="L45" s="8" t="n">
        <f aca="false">SUM(H45:K45)</f>
        <v>0</v>
      </c>
      <c r="M45" s="8" t="str">
        <f aca="false">ROMAN(RANK(L45,$L$4:$L$59,0))</f>
        <v>XXI</v>
      </c>
    </row>
    <row r="46" customFormat="false" ht="15.75" hidden="false" customHeight="false" outlineLevel="0" collapsed="false">
      <c r="A46" s="6" t="n">
        <v>181850</v>
      </c>
      <c r="B46" s="6" t="s">
        <v>2202</v>
      </c>
      <c r="C46" s="6" t="s">
        <v>2247</v>
      </c>
      <c r="D46" s="6" t="s">
        <v>1803</v>
      </c>
      <c r="E46" s="6" t="s">
        <v>2249</v>
      </c>
      <c r="F46" s="6" t="s">
        <v>2205</v>
      </c>
      <c r="G46" s="6" t="s">
        <v>2212</v>
      </c>
      <c r="H46" s="6" t="n">
        <f aca="false">VLOOKUP($A46,Day1!$A$1:$H$394,4,FALSE())</f>
        <v>0</v>
      </c>
      <c r="I46" s="6" t="n">
        <f aca="false">VLOOKUP($A46,Day1!$A$1:$H$394,5,FALSE())</f>
        <v>0</v>
      </c>
      <c r="J46" s="6" t="n">
        <f aca="false">VLOOKUP($A46,Day1!$A$1:$H$394,6,FALSE())</f>
        <v>0</v>
      </c>
      <c r="K46" s="6" t="n">
        <f aca="false">VLOOKUP($A46,Day1!$A$1:$H$394,7,FALSE())</f>
        <v>0</v>
      </c>
      <c r="L46" s="8" t="n">
        <f aca="false">SUM(H46:K46)</f>
        <v>0</v>
      </c>
      <c r="M46" s="8" t="str">
        <f aca="false">ROMAN(RANK(L46,$L$4:$L$59,0))</f>
        <v>XXI</v>
      </c>
    </row>
    <row r="47" customFormat="false" ht="15.75" hidden="false" customHeight="false" outlineLevel="0" collapsed="false">
      <c r="A47" s="6" t="n">
        <v>181092</v>
      </c>
      <c r="B47" s="6" t="s">
        <v>2202</v>
      </c>
      <c r="C47" s="6" t="s">
        <v>2221</v>
      </c>
      <c r="D47" s="6" t="s">
        <v>1744</v>
      </c>
      <c r="E47" s="6" t="s">
        <v>2250</v>
      </c>
      <c r="F47" s="6" t="s">
        <v>2205</v>
      </c>
      <c r="G47" s="6" t="s">
        <v>2225</v>
      </c>
      <c r="H47" s="6" t="n">
        <f aca="false">VLOOKUP($A47,Day1!$A$1:$H$394,4,FALSE())</f>
        <v>0</v>
      </c>
      <c r="I47" s="6" t="n">
        <f aca="false">VLOOKUP($A47,Day1!$A$1:$H$394,5,FALSE())</f>
        <v>0</v>
      </c>
      <c r="J47" s="6" t="n">
        <f aca="false">VLOOKUP($A47,Day1!$A$1:$H$394,6,FALSE())</f>
        <v>0</v>
      </c>
      <c r="K47" s="6" t="n">
        <f aca="false">VLOOKUP($A47,Day1!$A$1:$H$394,7,FALSE())</f>
        <v>0</v>
      </c>
      <c r="L47" s="8" t="n">
        <f aca="false">SUM(H47:K47)</f>
        <v>0</v>
      </c>
      <c r="M47" s="8" t="str">
        <f aca="false">ROMAN(RANK(L47,$L$4:$L$59,0))</f>
        <v>XXI</v>
      </c>
    </row>
    <row r="48" customFormat="false" ht="15.75" hidden="false" customHeight="false" outlineLevel="0" collapsed="false">
      <c r="A48" s="6" t="n">
        <v>181082</v>
      </c>
      <c r="B48" s="6" t="s">
        <v>2202</v>
      </c>
      <c r="C48" s="6" t="s">
        <v>2221</v>
      </c>
      <c r="D48" s="6" t="s">
        <v>1790</v>
      </c>
      <c r="E48" s="6" t="s">
        <v>2251</v>
      </c>
      <c r="F48" s="6" t="s">
        <v>2205</v>
      </c>
      <c r="G48" s="6" t="s">
        <v>2206</v>
      </c>
      <c r="H48" s="6" t="n">
        <f aca="false">VLOOKUP($A48,Day1!$A$1:$H$394,4,FALSE())</f>
        <v>0</v>
      </c>
      <c r="I48" s="6" t="n">
        <f aca="false">VLOOKUP($A48,Day1!$A$1:$H$394,5,FALSE())</f>
        <v>0</v>
      </c>
      <c r="J48" s="6" t="n">
        <f aca="false">VLOOKUP($A48,Day1!$A$1:$H$394,6,FALSE())</f>
        <v>0</v>
      </c>
      <c r="K48" s="6" t="n">
        <f aca="false">VLOOKUP($A48,Day1!$A$1:$H$394,7,FALSE())</f>
        <v>0</v>
      </c>
      <c r="L48" s="8" t="n">
        <f aca="false">SUM(H48:K48)</f>
        <v>0</v>
      </c>
      <c r="M48" s="8" t="str">
        <f aca="false">ROMAN(RANK(L48,$L$4:$L$59,0))</f>
        <v>XXI</v>
      </c>
    </row>
    <row r="49" customFormat="false" ht="15.75" hidden="false" customHeight="false" outlineLevel="0" collapsed="false">
      <c r="A49" s="6" t="n">
        <v>185262</v>
      </c>
      <c r="B49" s="6" t="s">
        <v>2202</v>
      </c>
      <c r="C49" s="6" t="s">
        <v>2207</v>
      </c>
      <c r="D49" s="6" t="s">
        <v>1849</v>
      </c>
      <c r="E49" s="6" t="s">
        <v>2252</v>
      </c>
      <c r="F49" s="6" t="s">
        <v>2205</v>
      </c>
      <c r="G49" s="6" t="s">
        <v>2209</v>
      </c>
      <c r="H49" s="6" t="n">
        <f aca="false">VLOOKUP($A49,Day1!$A$1:$H$394,4,FALSE())</f>
        <v>0</v>
      </c>
      <c r="I49" s="6" t="n">
        <f aca="false">VLOOKUP($A49,Day1!$A$1:$H$394,5,FALSE())</f>
        <v>0</v>
      </c>
      <c r="J49" s="6" t="n">
        <f aca="false">VLOOKUP($A49,Day1!$A$1:$H$394,6,FALSE())</f>
        <v>0</v>
      </c>
      <c r="K49" s="6" t="n">
        <f aca="false">VLOOKUP($A49,Day1!$A$1:$H$394,7,FALSE())</f>
        <v>0</v>
      </c>
      <c r="L49" s="8" t="n">
        <f aca="false">SUM(H49:K49)</f>
        <v>0</v>
      </c>
      <c r="M49" s="8" t="str">
        <f aca="false">ROMAN(RANK(L49,$L$4:$L$59,0))</f>
        <v>XXI</v>
      </c>
    </row>
    <row r="50" customFormat="false" ht="15.75" hidden="false" customHeight="false" outlineLevel="0" collapsed="false">
      <c r="A50" s="6" t="n">
        <v>197187</v>
      </c>
      <c r="B50" s="6" t="s">
        <v>2202</v>
      </c>
      <c r="C50" s="6" t="s">
        <v>2210</v>
      </c>
      <c r="D50" s="6" t="s">
        <v>1688</v>
      </c>
      <c r="E50" s="6" t="s">
        <v>2216</v>
      </c>
      <c r="F50" s="6" t="s">
        <v>2205</v>
      </c>
      <c r="G50" s="6" t="s">
        <v>2212</v>
      </c>
      <c r="H50" s="6" t="n">
        <f aca="false">VLOOKUP($A50,Day1!$A$1:$H$394,4,FALSE())</f>
        <v>0</v>
      </c>
      <c r="I50" s="6" t="n">
        <f aca="false">VLOOKUP($A50,Day1!$A$1:$H$394,5,FALSE())</f>
        <v>0</v>
      </c>
      <c r="J50" s="6" t="n">
        <f aca="false">VLOOKUP($A50,Day1!$A$1:$H$394,6,FALSE())</f>
        <v>0</v>
      </c>
      <c r="K50" s="6" t="n">
        <f aca="false">VLOOKUP($A50,Day1!$A$1:$H$394,7,FALSE())</f>
        <v>0</v>
      </c>
      <c r="L50" s="8" t="n">
        <f aca="false">SUM(H50:K50)</f>
        <v>0</v>
      </c>
      <c r="M50" s="8" t="str">
        <f aca="false">ROMAN(RANK(L50,$L$4:$L$59,0))</f>
        <v>XXI</v>
      </c>
    </row>
    <row r="51" customFormat="false" ht="15.75" hidden="false" customHeight="false" outlineLevel="0" collapsed="false">
      <c r="A51" s="6" t="n">
        <v>162363</v>
      </c>
      <c r="B51" s="6" t="s">
        <v>2202</v>
      </c>
      <c r="C51" s="6" t="s">
        <v>2222</v>
      </c>
      <c r="D51" s="6" t="s">
        <v>1823</v>
      </c>
      <c r="E51" s="6" t="s">
        <v>757</v>
      </c>
      <c r="F51" s="6" t="s">
        <v>2205</v>
      </c>
      <c r="G51" s="6" t="s">
        <v>2212</v>
      </c>
      <c r="H51" s="6" t="n">
        <f aca="false">VLOOKUP($A51,Day1!$A$1:$H$394,4,FALSE())</f>
        <v>0</v>
      </c>
      <c r="I51" s="6" t="n">
        <f aca="false">VLOOKUP($A51,Day1!$A$1:$H$394,5,FALSE())</f>
        <v>0</v>
      </c>
      <c r="J51" s="6" t="n">
        <f aca="false">VLOOKUP($A51,Day1!$A$1:$H$394,6,FALSE())</f>
        <v>0</v>
      </c>
      <c r="K51" s="6" t="n">
        <f aca="false">VLOOKUP($A51,Day1!$A$1:$H$394,7,FALSE())</f>
        <v>0</v>
      </c>
      <c r="L51" s="8" t="n">
        <f aca="false">SUM(H51:K51)</f>
        <v>0</v>
      </c>
      <c r="M51" s="8" t="str">
        <f aca="false">ROMAN(RANK(L51,$L$4:$L$59,0))</f>
        <v>XXI</v>
      </c>
    </row>
    <row r="52" customFormat="false" ht="15.75" hidden="false" customHeight="false" outlineLevel="0" collapsed="false">
      <c r="A52" s="6" t="n">
        <v>197184</v>
      </c>
      <c r="B52" s="6" t="s">
        <v>2202</v>
      </c>
      <c r="C52" s="6" t="s">
        <v>2210</v>
      </c>
      <c r="D52" s="6" t="s">
        <v>1854</v>
      </c>
      <c r="E52" s="6" t="s">
        <v>749</v>
      </c>
      <c r="F52" s="6" t="s">
        <v>2205</v>
      </c>
      <c r="G52" s="6" t="s">
        <v>2209</v>
      </c>
      <c r="H52" s="6" t="n">
        <f aca="false">VLOOKUP($A52,Day1!$A$1:$H$394,4,FALSE())</f>
        <v>0</v>
      </c>
      <c r="I52" s="6" t="n">
        <f aca="false">VLOOKUP($A52,Day1!$A$1:$H$394,5,FALSE())</f>
        <v>0</v>
      </c>
      <c r="J52" s="6" t="n">
        <f aca="false">VLOOKUP($A52,Day1!$A$1:$H$394,6,FALSE())</f>
        <v>0</v>
      </c>
      <c r="K52" s="6" t="n">
        <f aca="false">VLOOKUP($A52,Day1!$A$1:$H$394,7,FALSE())</f>
        <v>0</v>
      </c>
      <c r="L52" s="8" t="n">
        <f aca="false">SUM(H52:K52)</f>
        <v>0</v>
      </c>
      <c r="M52" s="8" t="str">
        <f aca="false">ROMAN(RANK(L52,$L$4:$L$59,0))</f>
        <v>XXI</v>
      </c>
    </row>
    <row r="53" customFormat="false" ht="15.75" hidden="false" customHeight="false" outlineLevel="0" collapsed="false">
      <c r="A53" s="6" t="n">
        <v>185297</v>
      </c>
      <c r="B53" s="6" t="s">
        <v>2202</v>
      </c>
      <c r="C53" s="6" t="s">
        <v>2253</v>
      </c>
      <c r="D53" s="6" t="s">
        <v>2</v>
      </c>
      <c r="E53" s="6" t="s">
        <v>2254</v>
      </c>
      <c r="F53" s="6" t="s">
        <v>2205</v>
      </c>
      <c r="G53" s="6" t="s">
        <v>2209</v>
      </c>
      <c r="H53" s="6" t="n">
        <f aca="false">VLOOKUP($A53,Day1!$A$1:$H$394,4,FALSE())</f>
        <v>0</v>
      </c>
      <c r="I53" s="6" t="n">
        <f aca="false">VLOOKUP($A53,Day1!$A$1:$H$394,5,FALSE())</f>
        <v>0</v>
      </c>
      <c r="J53" s="6" t="n">
        <f aca="false">VLOOKUP($A53,Day1!$A$1:$H$394,6,FALSE())</f>
        <v>0</v>
      </c>
      <c r="K53" s="6" t="n">
        <f aca="false">VLOOKUP($A53,Day1!$A$1:$H$394,7,FALSE())</f>
        <v>0</v>
      </c>
      <c r="L53" s="8" t="n">
        <f aca="false">SUM(H53:K53)</f>
        <v>0</v>
      </c>
      <c r="M53" s="8" t="str">
        <f aca="false">ROMAN(RANK(L53,$L$4:$L$59,0))</f>
        <v>XXI</v>
      </c>
    </row>
    <row r="54" customFormat="false" ht="15.75" hidden="false" customHeight="false" outlineLevel="0" collapsed="false">
      <c r="A54" s="6" t="n">
        <v>213856</v>
      </c>
      <c r="B54" s="6" t="s">
        <v>2202</v>
      </c>
      <c r="C54" s="6" t="s">
        <v>2255</v>
      </c>
      <c r="D54" s="6" t="s">
        <v>1835</v>
      </c>
      <c r="E54" s="6" t="s">
        <v>2256</v>
      </c>
      <c r="F54" s="6" t="s">
        <v>2205</v>
      </c>
      <c r="G54" s="6" t="s">
        <v>2212</v>
      </c>
      <c r="H54" s="6" t="n">
        <f aca="false">VLOOKUP($A54,Day1!$A$1:$H$394,4,FALSE())</f>
        <v>0</v>
      </c>
      <c r="I54" s="6" t="n">
        <f aca="false">VLOOKUP($A54,Day1!$A$1:$H$394,5,FALSE())</f>
        <v>0</v>
      </c>
      <c r="J54" s="6" t="n">
        <f aca="false">VLOOKUP($A54,Day1!$A$1:$H$394,6,FALSE())</f>
        <v>0</v>
      </c>
      <c r="K54" s="6" t="n">
        <f aca="false">VLOOKUP($A54,Day1!$A$1:$H$394,7,FALSE())</f>
        <v>0</v>
      </c>
      <c r="L54" s="8" t="n">
        <f aca="false">SUM(H54:K54)</f>
        <v>0</v>
      </c>
      <c r="M54" s="8" t="str">
        <f aca="false">ROMAN(RANK(L54,$L$4:$L$59,0))</f>
        <v>XXI</v>
      </c>
    </row>
    <row r="55" customFormat="false" ht="15.75" hidden="false" customHeight="false" outlineLevel="0" collapsed="false">
      <c r="A55" s="6" t="n">
        <v>219280</v>
      </c>
      <c r="B55" s="6" t="s">
        <v>2202</v>
      </c>
      <c r="C55" s="6" t="s">
        <v>2257</v>
      </c>
      <c r="D55" s="6" t="s">
        <v>1752</v>
      </c>
      <c r="E55" s="6" t="s">
        <v>2258</v>
      </c>
      <c r="F55" s="6" t="s">
        <v>2205</v>
      </c>
      <c r="G55" s="6" t="s">
        <v>2209</v>
      </c>
      <c r="H55" s="6" t="n">
        <f aca="false">VLOOKUP($A55,Day1!$A$1:$H$394,4,FALSE())</f>
        <v>0</v>
      </c>
      <c r="I55" s="6" t="n">
        <f aca="false">VLOOKUP($A55,Day1!$A$1:$H$394,5,FALSE())</f>
        <v>0</v>
      </c>
      <c r="J55" s="6" t="n">
        <f aca="false">VLOOKUP($A55,Day1!$A$1:$H$394,6,FALSE())</f>
        <v>0</v>
      </c>
      <c r="K55" s="6" t="n">
        <f aca="false">VLOOKUP($A55,Day1!$A$1:$H$394,7,FALSE())</f>
        <v>0</v>
      </c>
      <c r="L55" s="8" t="n">
        <f aca="false">SUM(H55:K55)</f>
        <v>0</v>
      </c>
      <c r="M55" s="8" t="str">
        <f aca="false">ROMAN(RANK(L55,$L$4:$L$59,0))</f>
        <v>XXI</v>
      </c>
    </row>
    <row r="56" customFormat="false" ht="15.75" hidden="false" customHeight="false" outlineLevel="0" collapsed="false">
      <c r="A56" s="6" t="n">
        <v>183292</v>
      </c>
      <c r="B56" s="6" t="s">
        <v>2202</v>
      </c>
      <c r="C56" s="6" t="s">
        <v>2259</v>
      </c>
      <c r="D56" s="6" t="s">
        <v>2260</v>
      </c>
      <c r="E56" s="6" t="s">
        <v>757</v>
      </c>
      <c r="F56" s="6" t="s">
        <v>2205</v>
      </c>
      <c r="G56" s="6" t="s">
        <v>2212</v>
      </c>
      <c r="H56" s="6" t="n">
        <f aca="false">VLOOKUP($A56,Day1!$A$1:$H$394,4,FALSE())</f>
        <v>0</v>
      </c>
      <c r="I56" s="6" t="n">
        <f aca="false">VLOOKUP($A56,Day1!$A$1:$H$394,5,FALSE())</f>
        <v>0</v>
      </c>
      <c r="J56" s="6" t="n">
        <f aca="false">VLOOKUP($A56,Day1!$A$1:$H$394,6,FALSE())</f>
        <v>0</v>
      </c>
      <c r="K56" s="6" t="n">
        <f aca="false">VLOOKUP($A56,Day1!$A$1:$H$394,7,FALSE())</f>
        <v>0</v>
      </c>
      <c r="L56" s="8" t="n">
        <f aca="false">SUM(H56:K56)</f>
        <v>0</v>
      </c>
      <c r="M56" s="8" t="str">
        <f aca="false">ROMAN(RANK(L56,$L$4:$L$59,0))</f>
        <v>XXI</v>
      </c>
    </row>
    <row r="57" customFormat="false" ht="15.75" hidden="false" customHeight="false" outlineLevel="0" collapsed="false">
      <c r="A57" s="6" t="n">
        <v>219429</v>
      </c>
      <c r="B57" s="6" t="s">
        <v>2202</v>
      </c>
      <c r="C57" s="6" t="s">
        <v>2261</v>
      </c>
      <c r="D57" s="6" t="s">
        <v>1710</v>
      </c>
      <c r="E57" s="6" t="s">
        <v>2262</v>
      </c>
      <c r="F57" s="6" t="s">
        <v>2205</v>
      </c>
      <c r="G57" s="6" t="s">
        <v>2206</v>
      </c>
      <c r="H57" s="6" t="n">
        <f aca="false">VLOOKUP($A57,Day1!$A$1:$H$394,4,FALSE())</f>
        <v>0</v>
      </c>
      <c r="I57" s="6" t="n">
        <f aca="false">VLOOKUP($A57,Day1!$A$1:$H$394,5,FALSE())</f>
        <v>0</v>
      </c>
      <c r="J57" s="6" t="n">
        <f aca="false">VLOOKUP($A57,Day1!$A$1:$H$394,6,FALSE())</f>
        <v>0</v>
      </c>
      <c r="K57" s="6" t="n">
        <f aca="false">VLOOKUP($A57,Day1!$A$1:$H$394,7,FALSE())</f>
        <v>0</v>
      </c>
      <c r="L57" s="8" t="n">
        <f aca="false">SUM(H57:K57)</f>
        <v>0</v>
      </c>
      <c r="M57" s="8" t="str">
        <f aca="false">ROMAN(RANK(L57,$L$4:$L$59,0))</f>
        <v>XXI</v>
      </c>
    </row>
    <row r="58" customFormat="false" ht="15.75" hidden="false" customHeight="false" outlineLevel="0" collapsed="false">
      <c r="A58" s="6" t="n">
        <v>187502</v>
      </c>
      <c r="B58" s="6" t="s">
        <v>2202</v>
      </c>
      <c r="C58" s="6" t="s">
        <v>2263</v>
      </c>
      <c r="D58" s="6" t="s">
        <v>427</v>
      </c>
      <c r="E58" s="6" t="s">
        <v>2264</v>
      </c>
      <c r="F58" s="6" t="s">
        <v>2205</v>
      </c>
      <c r="G58" s="6" t="s">
        <v>2212</v>
      </c>
      <c r="H58" s="6" t="n">
        <f aca="false">VLOOKUP($A58,Day1!$A$1:$H$394,4,FALSE())</f>
        <v>0</v>
      </c>
      <c r="I58" s="6" t="n">
        <f aca="false">VLOOKUP($A58,Day1!$A$1:$H$394,5,FALSE())</f>
        <v>0</v>
      </c>
      <c r="J58" s="6" t="n">
        <f aca="false">VLOOKUP($A58,Day1!$A$1:$H$394,6,FALSE())</f>
        <v>0</v>
      </c>
      <c r="K58" s="6" t="n">
        <f aca="false">VLOOKUP($A58,Day1!$A$1:$H$394,7,FALSE())</f>
        <v>0</v>
      </c>
      <c r="L58" s="8" t="n">
        <f aca="false">SUM(H58:K58)</f>
        <v>0</v>
      </c>
      <c r="M58" s="8" t="str">
        <f aca="false">ROMAN(RANK(L58,$L$4:$L$59,0))</f>
        <v>XXI</v>
      </c>
    </row>
    <row r="59" customFormat="false" ht="15.75" hidden="false" customHeight="false" outlineLevel="0" collapsed="false">
      <c r="A59" s="6" t="n">
        <v>111669</v>
      </c>
      <c r="B59" s="6" t="s">
        <v>2202</v>
      </c>
      <c r="C59" s="6" t="s">
        <v>2265</v>
      </c>
      <c r="D59" s="6" t="s">
        <v>1735</v>
      </c>
      <c r="E59" s="6" t="s">
        <v>2249</v>
      </c>
      <c r="F59" s="6" t="s">
        <v>2205</v>
      </c>
      <c r="G59" s="6" t="s">
        <v>2209</v>
      </c>
      <c r="H59" s="6" t="n">
        <f aca="false">VLOOKUP($A59,Day1!$A$1:$H$394,4,FALSE())</f>
        <v>0</v>
      </c>
      <c r="I59" s="6" t="n">
        <f aca="false">VLOOKUP($A59,Day1!$A$1:$H$394,5,FALSE())</f>
        <v>0</v>
      </c>
      <c r="J59" s="6" t="n">
        <f aca="false">VLOOKUP($A59,Day1!$A$1:$H$394,6,FALSE())</f>
        <v>0</v>
      </c>
      <c r="K59" s="6" t="n">
        <f aca="false">VLOOKUP($A59,Day1!$A$1:$H$394,7,FALSE())</f>
        <v>0</v>
      </c>
      <c r="L59" s="8" t="n">
        <f aca="false">SUM(H59:K59)</f>
        <v>0</v>
      </c>
      <c r="M59" s="8" t="str">
        <f aca="false">ROMAN(RANK(L59,$L$4:$L$59,0))</f>
        <v>XXI</v>
      </c>
    </row>
    <row r="61" customFormat="false" ht="15.75" hidden="false" customHeight="false" outlineLevel="0" collapsed="false">
      <c r="A61" s="5" t="s">
        <v>2266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.7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customFormat="false" ht="15.75" hidden="false" customHeight="false" outlineLevel="0" collapsed="false">
      <c r="A63" s="5" t="s">
        <v>2267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</sheetData>
  <autoFilter ref="A3:M59">
    <sortState ref="A4:M59">
      <sortCondition ref="A4:A59" descending="1" customList=""/>
    </sortState>
  </autoFilter>
  <mergeCells count="6">
    <mergeCell ref="A1:M1"/>
    <mergeCell ref="A2:B2"/>
    <mergeCell ref="L2:M2"/>
    <mergeCell ref="A61:M61"/>
    <mergeCell ref="A62:M62"/>
    <mergeCell ref="A63:M63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63"/>
    <col collapsed="false" customWidth="true" hidden="false" outlineLevel="0" max="3" min="3" style="0" width="33.88"/>
    <col collapsed="false" customWidth="true" hidden="false" outlineLevel="0" max="11" min="8" style="0" width="8.25"/>
    <col collapsed="false" customWidth="true" hidden="false" outlineLevel="0" max="13" min="12" style="0" width="7.25"/>
  </cols>
  <sheetData>
    <row r="1" customFormat="false" ht="15.75" hidden="false" customHeight="false" outlineLevel="0" collapsed="false">
      <c r="A1" s="3" t="s">
        <v>2187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.75" hidden="false" customHeight="false" outlineLevel="0" collapsed="false">
      <c r="A2" s="10" t="n">
        <v>46004</v>
      </c>
      <c r="B2" s="10"/>
      <c r="J2" s="11" t="s">
        <v>2268</v>
      </c>
      <c r="K2" s="11"/>
      <c r="L2" s="11"/>
      <c r="M2" s="11"/>
    </row>
    <row r="3" customFormat="false" ht="39.55" hidden="false" customHeight="false" outlineLevel="0" collapsed="false">
      <c r="A3" s="6" t="s">
        <v>2189</v>
      </c>
      <c r="B3" s="6" t="s">
        <v>2190</v>
      </c>
      <c r="C3" s="6" t="s">
        <v>2191</v>
      </c>
      <c r="D3" s="6" t="s">
        <v>2192</v>
      </c>
      <c r="E3" s="6" t="s">
        <v>2193</v>
      </c>
      <c r="F3" s="6" t="s">
        <v>2194</v>
      </c>
      <c r="G3" s="6" t="s">
        <v>2195</v>
      </c>
      <c r="H3" s="6" t="s">
        <v>2196</v>
      </c>
      <c r="I3" s="6" t="s">
        <v>2197</v>
      </c>
      <c r="J3" s="6" t="s">
        <v>2198</v>
      </c>
      <c r="K3" s="6" t="s">
        <v>2199</v>
      </c>
      <c r="L3" s="7" t="s">
        <v>2200</v>
      </c>
      <c r="M3" s="7" t="s">
        <v>2201</v>
      </c>
    </row>
    <row r="4" customFormat="false" ht="15.75" hidden="false" customHeight="false" outlineLevel="0" collapsed="false">
      <c r="A4" s="6" t="n">
        <v>185284</v>
      </c>
      <c r="B4" s="6" t="s">
        <v>2269</v>
      </c>
      <c r="C4" s="6" t="s">
        <v>2207</v>
      </c>
      <c r="D4" s="6" t="s">
        <v>1688</v>
      </c>
      <c r="E4" s="6" t="s">
        <v>2270</v>
      </c>
      <c r="F4" s="6" t="s">
        <v>2271</v>
      </c>
      <c r="G4" s="6" t="s">
        <v>2225</v>
      </c>
      <c r="H4" s="6" t="n">
        <f aca="false">VLOOKUP($A4,Day1!$A$1:$H$394,4,FALSE())</f>
        <v>1.5</v>
      </c>
      <c r="I4" s="6" t="n">
        <f aca="false">VLOOKUP($A4,Day1!$A$1:$H$394,5,FALSE())</f>
        <v>0</v>
      </c>
      <c r="J4" s="6" t="n">
        <f aca="false">VLOOKUP($A4,Day1!$A$1:$H$394,6,FALSE())</f>
        <v>6</v>
      </c>
      <c r="K4" s="6" t="n">
        <f aca="false">VLOOKUP($A4,Day1!$A$1:$H$394,7,FALSE())</f>
        <v>1</v>
      </c>
      <c r="L4" s="8" t="n">
        <f aca="false">SUM(H4:K4)</f>
        <v>8.5</v>
      </c>
      <c r="M4" s="12" t="str">
        <f aca="false">ROMAN(RANK(L4,$L$4:$L$74,0))</f>
        <v>I</v>
      </c>
    </row>
    <row r="5" customFormat="false" ht="15.75" hidden="false" customHeight="false" outlineLevel="0" collapsed="false">
      <c r="A5" s="6" t="n">
        <v>187417</v>
      </c>
      <c r="B5" s="6" t="s">
        <v>2269</v>
      </c>
      <c r="C5" s="6" t="s">
        <v>2222</v>
      </c>
      <c r="D5" s="6" t="s">
        <v>2161</v>
      </c>
      <c r="E5" s="6" t="s">
        <v>2272</v>
      </c>
      <c r="F5" s="6" t="s">
        <v>2271</v>
      </c>
      <c r="G5" s="6" t="s">
        <v>2229</v>
      </c>
      <c r="H5" s="6" t="n">
        <f aca="false">VLOOKUP($A5,Day1!$A$1:$H$394,4,FALSE())</f>
        <v>1</v>
      </c>
      <c r="I5" s="6" t="n">
        <f aca="false">VLOOKUP($A5,Day1!$A$1:$H$394,5,FALSE())</f>
        <v>0</v>
      </c>
      <c r="J5" s="6" t="n">
        <f aca="false">VLOOKUP($A5,Day1!$A$1:$H$394,6,FALSE())</f>
        <v>6</v>
      </c>
      <c r="K5" s="6" t="n">
        <f aca="false">VLOOKUP($A5,Day1!$A$1:$H$394,7,FALSE())</f>
        <v>1</v>
      </c>
      <c r="L5" s="8" t="n">
        <f aca="false">SUM(H5:K5)</f>
        <v>8</v>
      </c>
      <c r="M5" s="12" t="str">
        <f aca="false">ROMAN(RANK(L5,$L$4:$L$74,0))</f>
        <v>II</v>
      </c>
    </row>
    <row r="6" customFormat="false" ht="15.75" hidden="false" customHeight="false" outlineLevel="0" collapsed="false">
      <c r="A6" s="6" t="n">
        <v>159136</v>
      </c>
      <c r="B6" s="6" t="s">
        <v>2269</v>
      </c>
      <c r="C6" s="6" t="s">
        <v>2221</v>
      </c>
      <c r="D6" s="6" t="s">
        <v>2056</v>
      </c>
      <c r="E6" s="6" t="s">
        <v>2273</v>
      </c>
      <c r="F6" s="6" t="s">
        <v>2271</v>
      </c>
      <c r="G6" s="6" t="s">
        <v>2206</v>
      </c>
      <c r="H6" s="6" t="n">
        <f aca="false">VLOOKUP($A6,Day1!$A$1:$H$394,4,FALSE())</f>
        <v>1</v>
      </c>
      <c r="I6" s="6" t="n">
        <f aca="false">VLOOKUP($A6,Day1!$A$1:$H$394,5,FALSE())</f>
        <v>0</v>
      </c>
      <c r="J6" s="6" t="n">
        <f aca="false">VLOOKUP($A6,Day1!$A$1:$H$394,6,FALSE())</f>
        <v>7</v>
      </c>
      <c r="K6" s="6" t="n">
        <f aca="false">VLOOKUP($A6,Day1!$A$1:$H$394,7,FALSE())</f>
        <v>0</v>
      </c>
      <c r="L6" s="8" t="n">
        <f aca="false">SUM(H6:K6)</f>
        <v>8</v>
      </c>
      <c r="M6" s="8" t="str">
        <f aca="false">ROMAN(RANK(L6,$L$4:$L$74,0))</f>
        <v>II</v>
      </c>
      <c r="N6" s="1" t="n">
        <v>36000</v>
      </c>
    </row>
    <row r="7" customFormat="false" ht="15.75" hidden="false" customHeight="false" outlineLevel="0" collapsed="false">
      <c r="A7" s="6" t="n">
        <v>185285</v>
      </c>
      <c r="B7" s="6" t="s">
        <v>2269</v>
      </c>
      <c r="C7" s="6" t="s">
        <v>2207</v>
      </c>
      <c r="D7" s="6" t="s">
        <v>2145</v>
      </c>
      <c r="E7" s="6" t="s">
        <v>2270</v>
      </c>
      <c r="F7" s="6" t="s">
        <v>2271</v>
      </c>
      <c r="G7" s="6" t="s">
        <v>2225</v>
      </c>
      <c r="H7" s="6" t="n">
        <f aca="false">VLOOKUP($A7,Day1!$A$1:$H$394,4,FALSE())</f>
        <v>0</v>
      </c>
      <c r="I7" s="6" t="n">
        <f aca="false">VLOOKUP($A7,Day1!$A$1:$H$394,5,FALSE())</f>
        <v>0</v>
      </c>
      <c r="J7" s="6" t="n">
        <f aca="false">VLOOKUP($A7,Day1!$A$1:$H$394,6,FALSE())</f>
        <v>6</v>
      </c>
      <c r="K7" s="6" t="n">
        <f aca="false">VLOOKUP($A7,Day1!$A$1:$H$394,7,FALSE())</f>
        <v>1.5</v>
      </c>
      <c r="L7" s="8" t="n">
        <f aca="false">SUM(H7:K7)</f>
        <v>7.5</v>
      </c>
      <c r="M7" s="12" t="str">
        <f aca="false">ROMAN(RANK(L7,$L$4:$L$74,0))</f>
        <v>IV</v>
      </c>
    </row>
    <row r="8" customFormat="false" ht="15.75" hidden="false" customHeight="false" outlineLevel="0" collapsed="false">
      <c r="A8" s="6" t="n">
        <v>144728</v>
      </c>
      <c r="B8" s="6" t="s">
        <v>2269</v>
      </c>
      <c r="C8" s="6" t="s">
        <v>2222</v>
      </c>
      <c r="D8" s="6" t="s">
        <v>1902</v>
      </c>
      <c r="E8" s="6" t="s">
        <v>2274</v>
      </c>
      <c r="F8" s="6" t="s">
        <v>2271</v>
      </c>
      <c r="G8" s="6" t="s">
        <v>2209</v>
      </c>
      <c r="H8" s="6" t="n">
        <f aca="false">VLOOKUP($A8,Day1!$A$1:$H$394,4,FALSE())</f>
        <v>0</v>
      </c>
      <c r="I8" s="6" t="n">
        <f aca="false">VLOOKUP($A8,Day1!$A$1:$H$394,5,FALSE())</f>
        <v>2</v>
      </c>
      <c r="J8" s="6" t="n">
        <f aca="false">VLOOKUP($A8,Day1!$A$1:$H$394,6,FALSE())</f>
        <v>5.5</v>
      </c>
      <c r="K8" s="6" t="n">
        <f aca="false">VLOOKUP($A8,Day1!$A$1:$H$394,7,FALSE())</f>
        <v>0</v>
      </c>
      <c r="L8" s="8" t="n">
        <f aca="false">SUM(H8:K8)</f>
        <v>7.5</v>
      </c>
      <c r="M8" s="8" t="str">
        <f aca="false">ROMAN(RANK(L8,$L$4:$L$74,0))</f>
        <v>IV</v>
      </c>
      <c r="N8" s="1" t="n">
        <v>27000</v>
      </c>
    </row>
    <row r="9" customFormat="false" ht="15.75" hidden="false" customHeight="false" outlineLevel="0" collapsed="false">
      <c r="A9" s="6" t="n">
        <v>162248</v>
      </c>
      <c r="B9" s="6" t="s">
        <v>2269</v>
      </c>
      <c r="C9" s="6" t="s">
        <v>2222</v>
      </c>
      <c r="D9" s="6" t="s">
        <v>2100</v>
      </c>
      <c r="E9" s="6" t="s">
        <v>2275</v>
      </c>
      <c r="F9" s="6" t="s">
        <v>2271</v>
      </c>
      <c r="G9" s="6" t="s">
        <v>2225</v>
      </c>
      <c r="H9" s="6" t="n">
        <f aca="false">VLOOKUP($A9,Day1!$A$1:$H$394,4,FALSE())</f>
        <v>0</v>
      </c>
      <c r="I9" s="6" t="n">
        <f aca="false">VLOOKUP($A9,Day1!$A$1:$H$394,5,FALSE())</f>
        <v>0</v>
      </c>
      <c r="J9" s="6" t="n">
        <f aca="false">VLOOKUP($A9,Day1!$A$1:$H$394,6,FALSE())</f>
        <v>6</v>
      </c>
      <c r="K9" s="6" t="n">
        <f aca="false">VLOOKUP($A9,Day1!$A$1:$H$394,7,FALSE())</f>
        <v>0</v>
      </c>
      <c r="L9" s="8" t="n">
        <f aca="false">SUM(H9:K9)</f>
        <v>6</v>
      </c>
      <c r="M9" s="8" t="str">
        <f aca="false">ROMAN(RANK(L9,$L$4:$L$74,0))</f>
        <v>VI</v>
      </c>
    </row>
    <row r="10" customFormat="false" ht="15.75" hidden="false" customHeight="false" outlineLevel="0" collapsed="false">
      <c r="A10" s="6" t="n">
        <v>131693</v>
      </c>
      <c r="B10" s="6" t="s">
        <v>2269</v>
      </c>
      <c r="C10" s="6" t="s">
        <v>2207</v>
      </c>
      <c r="D10" s="6" t="s">
        <v>1895</v>
      </c>
      <c r="E10" s="6" t="s">
        <v>1178</v>
      </c>
      <c r="F10" s="6" t="s">
        <v>2271</v>
      </c>
      <c r="G10" s="6" t="s">
        <v>2206</v>
      </c>
      <c r="H10" s="6" t="n">
        <f aca="false">VLOOKUP($A10,Day1!$A$1:$H$394,4,FALSE())</f>
        <v>0</v>
      </c>
      <c r="I10" s="6" t="n">
        <f aca="false">VLOOKUP($A10,Day1!$A$1:$H$394,5,FALSE())</f>
        <v>0</v>
      </c>
      <c r="J10" s="6" t="n">
        <f aca="false">VLOOKUP($A10,Day1!$A$1:$H$394,6,FALSE())</f>
        <v>6</v>
      </c>
      <c r="K10" s="6" t="n">
        <f aca="false">VLOOKUP($A10,Day1!$A$1:$H$394,7,FALSE())</f>
        <v>0</v>
      </c>
      <c r="L10" s="8" t="n">
        <f aca="false">SUM(H10:K10)</f>
        <v>6</v>
      </c>
      <c r="M10" s="8" t="str">
        <f aca="false">ROMAN(RANK(L10,$L$4:$L$74,0))</f>
        <v>VI</v>
      </c>
    </row>
    <row r="11" customFormat="false" ht="15.75" hidden="false" customHeight="false" outlineLevel="0" collapsed="false">
      <c r="A11" s="6" t="n">
        <v>131712</v>
      </c>
      <c r="B11" s="6" t="s">
        <v>2269</v>
      </c>
      <c r="C11" s="6" t="s">
        <v>2207</v>
      </c>
      <c r="D11" s="6" t="s">
        <v>2080</v>
      </c>
      <c r="E11" s="6" t="s">
        <v>2276</v>
      </c>
      <c r="F11" s="6" t="s">
        <v>2271</v>
      </c>
      <c r="G11" s="6" t="s">
        <v>2209</v>
      </c>
      <c r="H11" s="6" t="n">
        <f aca="false">VLOOKUP($A11,Day1!$A$1:$H$394,4,FALSE())</f>
        <v>0</v>
      </c>
      <c r="I11" s="6" t="n">
        <f aca="false">VLOOKUP($A11,Day1!$A$1:$H$394,5,FALSE())</f>
        <v>0</v>
      </c>
      <c r="J11" s="6" t="n">
        <f aca="false">VLOOKUP($A11,Day1!$A$1:$H$394,6,FALSE())</f>
        <v>5</v>
      </c>
      <c r="K11" s="6" t="n">
        <f aca="false">VLOOKUP($A11,Day1!$A$1:$H$394,7,FALSE())</f>
        <v>0</v>
      </c>
      <c r="L11" s="8" t="n">
        <f aca="false">SUM(H11:K11)</f>
        <v>5</v>
      </c>
      <c r="M11" s="8" t="str">
        <f aca="false">ROMAN(RANK(L11,$L$4:$L$74,0))</f>
        <v>VIII</v>
      </c>
    </row>
    <row r="12" customFormat="false" ht="15.75" hidden="false" customHeight="false" outlineLevel="0" collapsed="false">
      <c r="A12" s="6" t="n">
        <v>145506</v>
      </c>
      <c r="B12" s="6" t="s">
        <v>2269</v>
      </c>
      <c r="C12" s="6" t="s">
        <v>2277</v>
      </c>
      <c r="D12" s="6" t="s">
        <v>624</v>
      </c>
      <c r="E12" s="6" t="s">
        <v>1088</v>
      </c>
      <c r="F12" s="6" t="s">
        <v>2271</v>
      </c>
      <c r="G12" s="6" t="s">
        <v>2209</v>
      </c>
      <c r="H12" s="6" t="n">
        <f aca="false">VLOOKUP($A12,Day1!$A$1:$H$394,4,FALSE())</f>
        <v>0</v>
      </c>
      <c r="I12" s="6" t="n">
        <f aca="false">VLOOKUP($A12,Day1!$A$1:$H$394,5,FALSE())</f>
        <v>0</v>
      </c>
      <c r="J12" s="6" t="n">
        <f aca="false">VLOOKUP($A12,Day1!$A$1:$H$394,6,FALSE())</f>
        <v>5</v>
      </c>
      <c r="K12" s="6" t="n">
        <f aca="false">VLOOKUP($A12,Day1!$A$1:$H$394,7,FALSE())</f>
        <v>0</v>
      </c>
      <c r="L12" s="8" t="n">
        <f aca="false">SUM(H12:K12)</f>
        <v>5</v>
      </c>
      <c r="M12" s="8" t="str">
        <f aca="false">ROMAN(RANK(L12,$L$4:$L$74,0))</f>
        <v>VIII</v>
      </c>
    </row>
    <row r="13" customFormat="false" ht="15.75" hidden="false" customHeight="false" outlineLevel="0" collapsed="false">
      <c r="A13" s="6" t="n">
        <v>124381</v>
      </c>
      <c r="B13" s="6" t="s">
        <v>2269</v>
      </c>
      <c r="C13" s="6" t="s">
        <v>2207</v>
      </c>
      <c r="D13" s="6" t="s">
        <v>2062</v>
      </c>
      <c r="E13" s="6" t="s">
        <v>2274</v>
      </c>
      <c r="F13" s="6" t="s">
        <v>2271</v>
      </c>
      <c r="G13" s="6" t="s">
        <v>2225</v>
      </c>
      <c r="H13" s="6" t="n">
        <f aca="false">VLOOKUP($A13,Day1!$A$1:$H$394,4,FALSE())</f>
        <v>1</v>
      </c>
      <c r="I13" s="6" t="n">
        <f aca="false">VLOOKUP($A13,Day1!$A$1:$H$394,5,FALSE())</f>
        <v>0</v>
      </c>
      <c r="J13" s="6" t="n">
        <f aca="false">VLOOKUP($A13,Day1!$A$1:$H$394,6,FALSE())</f>
        <v>3</v>
      </c>
      <c r="K13" s="6" t="n">
        <f aca="false">VLOOKUP($A13,Day1!$A$1:$H$394,7,FALSE())</f>
        <v>0</v>
      </c>
      <c r="L13" s="8" t="n">
        <f aca="false">SUM(H13:K13)</f>
        <v>4</v>
      </c>
      <c r="M13" s="8" t="str">
        <f aca="false">ROMAN(RANK(L13,$L$4:$L$74,0))</f>
        <v>X</v>
      </c>
    </row>
    <row r="14" customFormat="false" ht="15.75" hidden="false" customHeight="false" outlineLevel="0" collapsed="false">
      <c r="A14" s="6" t="n">
        <v>124388</v>
      </c>
      <c r="B14" s="6" t="s">
        <v>2269</v>
      </c>
      <c r="C14" s="6" t="s">
        <v>2207</v>
      </c>
      <c r="D14" s="6" t="s">
        <v>2105</v>
      </c>
      <c r="E14" s="6" t="s">
        <v>2234</v>
      </c>
      <c r="F14" s="6" t="s">
        <v>2271</v>
      </c>
      <c r="G14" s="6" t="s">
        <v>2225</v>
      </c>
      <c r="H14" s="6" t="n">
        <f aca="false">VLOOKUP($A14,Day1!$A$1:$H$394,4,FALSE())</f>
        <v>1</v>
      </c>
      <c r="I14" s="6" t="n">
        <f aca="false">VLOOKUP($A14,Day1!$A$1:$H$394,5,FALSE())</f>
        <v>0</v>
      </c>
      <c r="J14" s="6" t="n">
        <f aca="false">VLOOKUP($A14,Day1!$A$1:$H$394,6,FALSE())</f>
        <v>3</v>
      </c>
      <c r="K14" s="6" t="n">
        <f aca="false">VLOOKUP($A14,Day1!$A$1:$H$394,7,FALSE())</f>
        <v>0</v>
      </c>
      <c r="L14" s="8" t="n">
        <f aca="false">SUM(H14:K14)</f>
        <v>4</v>
      </c>
      <c r="M14" s="8" t="str">
        <f aca="false">ROMAN(RANK(L14,$L$4:$L$74,0))</f>
        <v>X</v>
      </c>
    </row>
    <row r="15" customFormat="false" ht="15.75" hidden="false" customHeight="false" outlineLevel="0" collapsed="false">
      <c r="A15" s="6" t="n">
        <v>124372</v>
      </c>
      <c r="B15" s="6" t="s">
        <v>2269</v>
      </c>
      <c r="C15" s="6" t="s">
        <v>2207</v>
      </c>
      <c r="D15" s="6" t="s">
        <v>2043</v>
      </c>
      <c r="E15" s="6" t="s">
        <v>2278</v>
      </c>
      <c r="F15" s="6" t="s">
        <v>2271</v>
      </c>
      <c r="G15" s="6" t="s">
        <v>2225</v>
      </c>
      <c r="H15" s="6" t="n">
        <f aca="false">VLOOKUP($A15,Day1!$A$1:$H$394,4,FALSE())</f>
        <v>1</v>
      </c>
      <c r="I15" s="6" t="n">
        <f aca="false">VLOOKUP($A15,Day1!$A$1:$H$394,5,FALSE())</f>
        <v>2</v>
      </c>
      <c r="J15" s="6" t="n">
        <f aca="false">VLOOKUP($A15,Day1!$A$1:$H$394,6,FALSE())</f>
        <v>0</v>
      </c>
      <c r="K15" s="6" t="n">
        <f aca="false">VLOOKUP($A15,Day1!$A$1:$H$394,7,FALSE())</f>
        <v>0</v>
      </c>
      <c r="L15" s="8" t="n">
        <f aca="false">SUM(H15:K15)</f>
        <v>3</v>
      </c>
      <c r="M15" s="8" t="str">
        <f aca="false">ROMAN(RANK(L15,$L$4:$L$74,0))</f>
        <v>XII</v>
      </c>
    </row>
    <row r="16" customFormat="false" ht="15.75" hidden="false" customHeight="false" outlineLevel="0" collapsed="false">
      <c r="A16" s="6" t="n">
        <v>124387</v>
      </c>
      <c r="B16" s="6" t="s">
        <v>2269</v>
      </c>
      <c r="C16" s="6" t="s">
        <v>2207</v>
      </c>
      <c r="D16" s="6" t="s">
        <v>1930</v>
      </c>
      <c r="E16" s="6" t="s">
        <v>230</v>
      </c>
      <c r="F16" s="6" t="s">
        <v>2271</v>
      </c>
      <c r="G16" s="6" t="s">
        <v>2225</v>
      </c>
      <c r="H16" s="6" t="n">
        <f aca="false">VLOOKUP($A16,Day1!$A$1:$H$394,4,FALSE())</f>
        <v>0</v>
      </c>
      <c r="I16" s="6" t="n">
        <f aca="false">VLOOKUP($A16,Day1!$A$1:$H$394,5,FALSE())</f>
        <v>0</v>
      </c>
      <c r="J16" s="6" t="n">
        <f aca="false">VLOOKUP($A16,Day1!$A$1:$H$394,6,FALSE())</f>
        <v>3</v>
      </c>
      <c r="K16" s="6" t="n">
        <f aca="false">VLOOKUP($A16,Day1!$A$1:$H$394,7,FALSE())</f>
        <v>0</v>
      </c>
      <c r="L16" s="8" t="n">
        <f aca="false">SUM(H16:K16)</f>
        <v>3</v>
      </c>
      <c r="M16" s="8" t="str">
        <f aca="false">ROMAN(RANK(L16,$L$4:$L$74,0))</f>
        <v>XII</v>
      </c>
    </row>
    <row r="17" customFormat="false" ht="15.75" hidden="false" customHeight="false" outlineLevel="0" collapsed="false">
      <c r="A17" s="6" t="n">
        <v>185292</v>
      </c>
      <c r="B17" s="6" t="s">
        <v>2269</v>
      </c>
      <c r="C17" s="6" t="s">
        <v>2207</v>
      </c>
      <c r="D17" s="6" t="s">
        <v>2110</v>
      </c>
      <c r="E17" s="6" t="s">
        <v>2279</v>
      </c>
      <c r="F17" s="6" t="s">
        <v>2271</v>
      </c>
      <c r="G17" s="6" t="s">
        <v>2225</v>
      </c>
      <c r="H17" s="6" t="n">
        <f aca="false">VLOOKUP($A17,Day1!$A$1:$H$394,4,FALSE())</f>
        <v>0</v>
      </c>
      <c r="I17" s="6" t="n">
        <f aca="false">VLOOKUP($A17,Day1!$A$1:$H$394,5,FALSE())</f>
        <v>0</v>
      </c>
      <c r="J17" s="6" t="n">
        <f aca="false">VLOOKUP($A17,Day1!$A$1:$H$394,6,FALSE())</f>
        <v>3</v>
      </c>
      <c r="K17" s="6" t="n">
        <f aca="false">VLOOKUP($A17,Day1!$A$1:$H$394,7,FALSE())</f>
        <v>0</v>
      </c>
      <c r="L17" s="8" t="n">
        <f aca="false">SUM(H17:K17)</f>
        <v>3</v>
      </c>
      <c r="M17" s="8" t="str">
        <f aca="false">ROMAN(RANK(L17,$L$4:$L$74,0))</f>
        <v>XII</v>
      </c>
    </row>
    <row r="18" customFormat="false" ht="15.75" hidden="false" customHeight="false" outlineLevel="0" collapsed="false">
      <c r="A18" s="6" t="n">
        <v>122516</v>
      </c>
      <c r="B18" s="6" t="s">
        <v>2269</v>
      </c>
      <c r="C18" s="6" t="s">
        <v>2261</v>
      </c>
      <c r="D18" s="6" t="s">
        <v>2068</v>
      </c>
      <c r="E18" s="6" t="s">
        <v>2280</v>
      </c>
      <c r="F18" s="6" t="s">
        <v>2271</v>
      </c>
      <c r="G18" s="6" t="s">
        <v>2212</v>
      </c>
      <c r="H18" s="6" t="n">
        <f aca="false">VLOOKUP($A18,Day1!$A$1:$H$394,4,FALSE())</f>
        <v>0</v>
      </c>
      <c r="I18" s="6" t="n">
        <f aca="false">VLOOKUP($A18,Day1!$A$1:$H$394,5,FALSE())</f>
        <v>0</v>
      </c>
      <c r="J18" s="6" t="n">
        <f aca="false">VLOOKUP($A18,Day1!$A$1:$H$394,6,FALSE())</f>
        <v>3</v>
      </c>
      <c r="K18" s="6" t="n">
        <f aca="false">VLOOKUP($A18,Day1!$A$1:$H$394,7,FALSE())</f>
        <v>0</v>
      </c>
      <c r="L18" s="8" t="n">
        <f aca="false">SUM(H18:K18)</f>
        <v>3</v>
      </c>
      <c r="M18" s="8" t="str">
        <f aca="false">ROMAN(RANK(L18,$L$4:$L$74,0))</f>
        <v>XII</v>
      </c>
    </row>
    <row r="19" customFormat="false" ht="15.75" hidden="false" customHeight="false" outlineLevel="0" collapsed="false">
      <c r="A19" s="6" t="n">
        <v>117566</v>
      </c>
      <c r="B19" s="6" t="s">
        <v>2269</v>
      </c>
      <c r="C19" s="6" t="s">
        <v>2259</v>
      </c>
      <c r="D19" s="6" t="s">
        <v>2051</v>
      </c>
      <c r="E19" s="6" t="s">
        <v>2281</v>
      </c>
      <c r="F19" s="6" t="s">
        <v>2271</v>
      </c>
      <c r="G19" s="6" t="s">
        <v>2212</v>
      </c>
      <c r="H19" s="6" t="n">
        <f aca="false">VLOOKUP($A19,Day1!$A$1:$H$394,4,FALSE())</f>
        <v>0</v>
      </c>
      <c r="I19" s="6" t="n">
        <f aca="false">VLOOKUP($A19,Day1!$A$1:$H$394,5,FALSE())</f>
        <v>0</v>
      </c>
      <c r="J19" s="6" t="n">
        <f aca="false">VLOOKUP($A19,Day1!$A$1:$H$394,6,FALSE())</f>
        <v>3</v>
      </c>
      <c r="K19" s="6" t="n">
        <f aca="false">VLOOKUP($A19,Day1!$A$1:$H$394,7,FALSE())</f>
        <v>0</v>
      </c>
      <c r="L19" s="8" t="n">
        <f aca="false">SUM(H19:K19)</f>
        <v>3</v>
      </c>
      <c r="M19" s="8" t="str">
        <f aca="false">ROMAN(RANK(L19,$L$4:$L$74,0))</f>
        <v>XII</v>
      </c>
    </row>
    <row r="20" customFormat="false" ht="15.75" hidden="false" customHeight="false" outlineLevel="0" collapsed="false">
      <c r="A20" s="6" t="n">
        <v>132940</v>
      </c>
      <c r="B20" s="6" t="s">
        <v>2269</v>
      </c>
      <c r="C20" s="6" t="s">
        <v>2207</v>
      </c>
      <c r="D20" s="6" t="s">
        <v>2135</v>
      </c>
      <c r="E20" s="6" t="s">
        <v>757</v>
      </c>
      <c r="F20" s="6" t="s">
        <v>2271</v>
      </c>
      <c r="G20" s="6" t="s">
        <v>2206</v>
      </c>
      <c r="H20" s="6" t="n">
        <f aca="false">VLOOKUP($A20,Day1!$A$1:$H$394,4,FALSE())</f>
        <v>2</v>
      </c>
      <c r="I20" s="6" t="n">
        <f aca="false">VLOOKUP($A20,Day1!$A$1:$H$394,5,FALSE())</f>
        <v>0</v>
      </c>
      <c r="J20" s="6" t="n">
        <f aca="false">VLOOKUP($A20,Day1!$A$1:$H$394,6,FALSE())</f>
        <v>0</v>
      </c>
      <c r="K20" s="6" t="n">
        <f aca="false">VLOOKUP($A20,Day1!$A$1:$H$394,7,FALSE())</f>
        <v>0</v>
      </c>
      <c r="L20" s="8" t="n">
        <f aca="false">SUM(H20:K20)</f>
        <v>2</v>
      </c>
      <c r="M20" s="8" t="str">
        <f aca="false">ROMAN(RANK(L20,$L$4:$L$74,0))</f>
        <v>XVII</v>
      </c>
    </row>
    <row r="21" customFormat="false" ht="15.75" hidden="false" customHeight="false" outlineLevel="0" collapsed="false">
      <c r="A21" s="6" t="n">
        <v>147916</v>
      </c>
      <c r="B21" s="6" t="s">
        <v>2269</v>
      </c>
      <c r="C21" s="6" t="s">
        <v>2222</v>
      </c>
      <c r="D21" s="6" t="s">
        <v>1889</v>
      </c>
      <c r="E21" s="6" t="s">
        <v>2282</v>
      </c>
      <c r="F21" s="6" t="s">
        <v>2271</v>
      </c>
      <c r="G21" s="6" t="s">
        <v>2209</v>
      </c>
      <c r="H21" s="6" t="n">
        <f aca="false">VLOOKUP($A21,Day1!$A$1:$H$394,4,FALSE())</f>
        <v>2</v>
      </c>
      <c r="I21" s="6" t="n">
        <f aca="false">VLOOKUP($A21,Day1!$A$1:$H$394,5,FALSE())</f>
        <v>0</v>
      </c>
      <c r="J21" s="6" t="n">
        <f aca="false">VLOOKUP($A21,Day1!$A$1:$H$394,6,FALSE())</f>
        <v>0</v>
      </c>
      <c r="K21" s="6" t="n">
        <f aca="false">VLOOKUP($A21,Day1!$A$1:$H$394,7,FALSE())</f>
        <v>0</v>
      </c>
      <c r="L21" s="8" t="n">
        <f aca="false">SUM(H21:K21)</f>
        <v>2</v>
      </c>
      <c r="M21" s="8" t="str">
        <f aca="false">ROMAN(RANK(L21,$L$4:$L$74,0))</f>
        <v>XVII</v>
      </c>
    </row>
    <row r="22" customFormat="false" ht="15.75" hidden="false" customHeight="false" outlineLevel="0" collapsed="false">
      <c r="A22" s="6" t="n">
        <v>126607</v>
      </c>
      <c r="B22" s="6" t="s">
        <v>2269</v>
      </c>
      <c r="C22" s="6" t="s">
        <v>2207</v>
      </c>
      <c r="D22" s="6" t="s">
        <v>2150</v>
      </c>
      <c r="E22" s="6" t="s">
        <v>2283</v>
      </c>
      <c r="F22" s="6" t="s">
        <v>2271</v>
      </c>
      <c r="G22" s="6" t="s">
        <v>2225</v>
      </c>
      <c r="H22" s="6" t="n">
        <f aca="false">VLOOKUP($A22,Day1!$A$1:$H$394,4,FALSE())</f>
        <v>2</v>
      </c>
      <c r="I22" s="6" t="n">
        <f aca="false">VLOOKUP($A22,Day1!$A$1:$H$394,5,FALSE())</f>
        <v>0</v>
      </c>
      <c r="J22" s="6" t="n">
        <f aca="false">VLOOKUP($A22,Day1!$A$1:$H$394,6,FALSE())</f>
        <v>0</v>
      </c>
      <c r="K22" s="6" t="n">
        <f aca="false">VLOOKUP($A22,Day1!$A$1:$H$394,7,FALSE())</f>
        <v>0</v>
      </c>
      <c r="L22" s="8" t="n">
        <f aca="false">SUM(H22:K22)</f>
        <v>2</v>
      </c>
      <c r="M22" s="8" t="str">
        <f aca="false">ROMAN(RANK(L22,$L$4:$L$74,0))</f>
        <v>XVII</v>
      </c>
    </row>
    <row r="23" customFormat="false" ht="15.75" hidden="false" customHeight="false" outlineLevel="0" collapsed="false">
      <c r="A23" s="6" t="n">
        <v>111396</v>
      </c>
      <c r="B23" s="6" t="s">
        <v>2269</v>
      </c>
      <c r="C23" s="6" t="s">
        <v>2215</v>
      </c>
      <c r="D23" s="6" t="s">
        <v>2156</v>
      </c>
      <c r="E23" s="6" t="s">
        <v>2284</v>
      </c>
      <c r="F23" s="6" t="s">
        <v>2271</v>
      </c>
      <c r="G23" s="6" t="s">
        <v>2209</v>
      </c>
      <c r="H23" s="6" t="n">
        <f aca="false">VLOOKUP($A23,Day1!$A$1:$H$394,4,FALSE())</f>
        <v>2</v>
      </c>
      <c r="I23" s="6" t="n">
        <f aca="false">VLOOKUP($A23,Day1!$A$1:$H$394,5,FALSE())</f>
        <v>0</v>
      </c>
      <c r="J23" s="6" t="n">
        <f aca="false">VLOOKUP($A23,Day1!$A$1:$H$394,6,FALSE())</f>
        <v>0</v>
      </c>
      <c r="K23" s="6" t="n">
        <f aca="false">VLOOKUP($A23,Day1!$A$1:$H$394,7,FALSE())</f>
        <v>0</v>
      </c>
      <c r="L23" s="8" t="n">
        <f aca="false">SUM(H23:K23)</f>
        <v>2</v>
      </c>
      <c r="M23" s="8" t="str">
        <f aca="false">ROMAN(RANK(L23,$L$4:$L$74,0))</f>
        <v>XVII</v>
      </c>
    </row>
    <row r="24" customFormat="false" ht="15.75" hidden="false" customHeight="false" outlineLevel="0" collapsed="false">
      <c r="A24" s="6" t="n">
        <v>187434</v>
      </c>
      <c r="B24" s="6" t="s">
        <v>2269</v>
      </c>
      <c r="C24" s="6" t="s">
        <v>2222</v>
      </c>
      <c r="D24" s="6" t="s">
        <v>2114</v>
      </c>
      <c r="E24" s="6" t="s">
        <v>2285</v>
      </c>
      <c r="F24" s="6" t="s">
        <v>2271</v>
      </c>
      <c r="G24" s="6" t="s">
        <v>2225</v>
      </c>
      <c r="H24" s="6" t="n">
        <f aca="false">VLOOKUP($A24,Day1!$A$1:$H$394,4,FALSE())</f>
        <v>1</v>
      </c>
      <c r="I24" s="6" t="n">
        <f aca="false">VLOOKUP($A24,Day1!$A$1:$H$394,5,FALSE())</f>
        <v>1</v>
      </c>
      <c r="J24" s="6" t="n">
        <f aca="false">VLOOKUP($A24,Day1!$A$1:$H$394,6,FALSE())</f>
        <v>0</v>
      </c>
      <c r="K24" s="6" t="n">
        <f aca="false">VLOOKUP($A24,Day1!$A$1:$H$394,7,FALSE())</f>
        <v>0</v>
      </c>
      <c r="L24" s="8" t="n">
        <f aca="false">SUM(H24:K24)</f>
        <v>2</v>
      </c>
      <c r="M24" s="8" t="str">
        <f aca="false">ROMAN(RANK(L24,$L$4:$L$74,0))</f>
        <v>XVII</v>
      </c>
    </row>
    <row r="25" customFormat="false" ht="15.75" hidden="false" customHeight="false" outlineLevel="0" collapsed="false">
      <c r="A25" s="6" t="n">
        <v>124376</v>
      </c>
      <c r="B25" s="6" t="s">
        <v>2269</v>
      </c>
      <c r="C25" s="6" t="s">
        <v>2207</v>
      </c>
      <c r="D25" s="6" t="s">
        <v>2066</v>
      </c>
      <c r="E25" s="6" t="s">
        <v>2286</v>
      </c>
      <c r="F25" s="6" t="s">
        <v>2271</v>
      </c>
      <c r="G25" s="6" t="s">
        <v>2225</v>
      </c>
      <c r="H25" s="6" t="n">
        <f aca="false">VLOOKUP($A25,Day1!$A$1:$H$394,4,FALSE())</f>
        <v>1</v>
      </c>
      <c r="I25" s="6" t="n">
        <f aca="false">VLOOKUP($A25,Day1!$A$1:$H$394,5,FALSE())</f>
        <v>0</v>
      </c>
      <c r="J25" s="6" t="n">
        <f aca="false">VLOOKUP($A25,Day1!$A$1:$H$394,6,FALSE())</f>
        <v>1</v>
      </c>
      <c r="K25" s="6" t="n">
        <f aca="false">VLOOKUP($A25,Day1!$A$1:$H$394,7,FALSE())</f>
        <v>0</v>
      </c>
      <c r="L25" s="8" t="n">
        <f aca="false">SUM(H25:K25)</f>
        <v>2</v>
      </c>
      <c r="M25" s="8" t="str">
        <f aca="false">ROMAN(RANK(L25,$L$4:$L$74,0))</f>
        <v>XVII</v>
      </c>
    </row>
    <row r="26" customFormat="false" ht="15.75" hidden="false" customHeight="false" outlineLevel="0" collapsed="false">
      <c r="A26" s="6" t="n">
        <v>223001</v>
      </c>
      <c r="B26" s="6" t="s">
        <v>2269</v>
      </c>
      <c r="C26" s="6" t="s">
        <v>2222</v>
      </c>
      <c r="D26" s="6" t="s">
        <v>2120</v>
      </c>
      <c r="E26" s="6" t="s">
        <v>2287</v>
      </c>
      <c r="F26" s="6" t="s">
        <v>2271</v>
      </c>
      <c r="G26" s="6" t="s">
        <v>2209</v>
      </c>
      <c r="H26" s="6" t="n">
        <f aca="false">VLOOKUP($A26,Day1!$A$1:$H$394,4,FALSE())</f>
        <v>1</v>
      </c>
      <c r="I26" s="6" t="n">
        <f aca="false">VLOOKUP($A26,Day1!$A$1:$H$394,5,FALSE())</f>
        <v>0</v>
      </c>
      <c r="J26" s="6" t="n">
        <f aca="false">VLOOKUP($A26,Day1!$A$1:$H$394,6,FALSE())</f>
        <v>0</v>
      </c>
      <c r="K26" s="6" t="n">
        <f aca="false">VLOOKUP($A26,Day1!$A$1:$H$394,7,FALSE())</f>
        <v>1</v>
      </c>
      <c r="L26" s="8" t="n">
        <f aca="false">SUM(H26:K26)</f>
        <v>2</v>
      </c>
      <c r="M26" s="8" t="str">
        <f aca="false">ROMAN(RANK(L26,$L$4:$L$74,0))</f>
        <v>XVII</v>
      </c>
    </row>
    <row r="27" customFormat="false" ht="15.75" hidden="false" customHeight="false" outlineLevel="0" collapsed="false">
      <c r="A27" s="6" t="n">
        <v>159948</v>
      </c>
      <c r="B27" s="6" t="s">
        <v>2269</v>
      </c>
      <c r="C27" s="6" t="s">
        <v>2222</v>
      </c>
      <c r="D27" s="6" t="s">
        <v>2288</v>
      </c>
      <c r="E27" s="6" t="s">
        <v>2289</v>
      </c>
      <c r="F27" s="6" t="s">
        <v>2271</v>
      </c>
      <c r="G27" s="6" t="s">
        <v>2225</v>
      </c>
      <c r="H27" s="6" t="n">
        <f aca="false">VLOOKUP($A27,Day1!$A$1:$H$394,4,FALSE())</f>
        <v>0</v>
      </c>
      <c r="I27" s="6" t="n">
        <f aca="false">VLOOKUP($A27,Day1!$A$1:$H$394,5,FALSE())</f>
        <v>1</v>
      </c>
      <c r="J27" s="6" t="n">
        <f aca="false">VLOOKUP($A27,Day1!$A$1:$H$394,6,FALSE())</f>
        <v>0</v>
      </c>
      <c r="K27" s="6" t="n">
        <f aca="false">VLOOKUP($A27,Day1!$A$1:$H$394,7,FALSE())</f>
        <v>1</v>
      </c>
      <c r="L27" s="8" t="n">
        <f aca="false">SUM(H27:K27)</f>
        <v>2</v>
      </c>
      <c r="M27" s="8" t="str">
        <f aca="false">ROMAN(RANK(L27,$L$4:$L$74,0))</f>
        <v>XVII</v>
      </c>
    </row>
    <row r="28" customFormat="false" ht="15.75" hidden="false" customHeight="false" outlineLevel="0" collapsed="false">
      <c r="A28" s="6" t="n">
        <v>180871</v>
      </c>
      <c r="B28" s="6" t="s">
        <v>2269</v>
      </c>
      <c r="C28" s="6" t="s">
        <v>2290</v>
      </c>
      <c r="D28" s="6" t="s">
        <v>126</v>
      </c>
      <c r="E28" s="6" t="s">
        <v>2291</v>
      </c>
      <c r="F28" s="6" t="s">
        <v>2271</v>
      </c>
      <c r="G28" s="6" t="s">
        <v>2212</v>
      </c>
      <c r="H28" s="6" t="n">
        <f aca="false">VLOOKUP($A28,Day1!$A$1:$H$394,4,FALSE())</f>
        <v>1</v>
      </c>
      <c r="I28" s="6" t="n">
        <f aca="false">VLOOKUP($A28,Day1!$A$1:$H$394,5,FALSE())</f>
        <v>0</v>
      </c>
      <c r="J28" s="6" t="n">
        <f aca="false">VLOOKUP($A28,Day1!$A$1:$H$394,6,FALSE())</f>
        <v>1</v>
      </c>
      <c r="K28" s="6" t="n">
        <f aca="false">VLOOKUP($A28,Day1!$A$1:$H$394,7,FALSE())</f>
        <v>0</v>
      </c>
      <c r="L28" s="8" t="n">
        <f aca="false">SUM(H28:K28)</f>
        <v>2</v>
      </c>
      <c r="M28" s="8" t="str">
        <f aca="false">ROMAN(RANK(L28,$L$4:$L$74,0))</f>
        <v>XVII</v>
      </c>
    </row>
    <row r="29" customFormat="false" ht="15.75" hidden="false" customHeight="false" outlineLevel="0" collapsed="false">
      <c r="A29" s="6" t="n">
        <v>185304</v>
      </c>
      <c r="B29" s="6" t="s">
        <v>2269</v>
      </c>
      <c r="C29" s="6" t="s">
        <v>2207</v>
      </c>
      <c r="D29" s="6" t="s">
        <v>153</v>
      </c>
      <c r="E29" s="6" t="s">
        <v>2292</v>
      </c>
      <c r="F29" s="6" t="s">
        <v>2271</v>
      </c>
      <c r="G29" s="6" t="s">
        <v>2206</v>
      </c>
      <c r="H29" s="6" t="n">
        <f aca="false">VLOOKUP($A29,Day1!$A$1:$H$394,4,FALSE())</f>
        <v>1</v>
      </c>
      <c r="I29" s="6" t="n">
        <f aca="false">VLOOKUP($A29,Day1!$A$1:$H$394,5,FALSE())</f>
        <v>0</v>
      </c>
      <c r="J29" s="6" t="n">
        <f aca="false">VLOOKUP($A29,Day1!$A$1:$H$394,6,FALSE())</f>
        <v>0</v>
      </c>
      <c r="K29" s="6" t="n">
        <f aca="false">VLOOKUP($A29,Day1!$A$1:$H$394,7,FALSE())</f>
        <v>1</v>
      </c>
      <c r="L29" s="8" t="n">
        <f aca="false">SUM(H29:K29)</f>
        <v>2</v>
      </c>
      <c r="M29" s="8" t="str">
        <f aca="false">ROMAN(RANK(L29,$L$4:$L$74,0))</f>
        <v>XVII</v>
      </c>
    </row>
    <row r="30" customFormat="false" ht="15.75" hidden="false" customHeight="false" outlineLevel="0" collapsed="false">
      <c r="A30" s="6" t="n">
        <v>185684</v>
      </c>
      <c r="B30" s="6" t="s">
        <v>2269</v>
      </c>
      <c r="C30" s="6" t="s">
        <v>2207</v>
      </c>
      <c r="D30" s="6" t="s">
        <v>472</v>
      </c>
      <c r="E30" s="6" t="s">
        <v>2293</v>
      </c>
      <c r="F30" s="6" t="s">
        <v>2271</v>
      </c>
      <c r="G30" s="6" t="s">
        <v>2212</v>
      </c>
      <c r="H30" s="6" t="n">
        <f aca="false">VLOOKUP($A30,Day1!$A$1:$H$394,4,FALSE())</f>
        <v>1</v>
      </c>
      <c r="I30" s="6" t="n">
        <f aca="false">VLOOKUP($A30,Day1!$A$1:$H$394,5,FALSE())</f>
        <v>0</v>
      </c>
      <c r="J30" s="6" t="n">
        <f aca="false">VLOOKUP($A30,Day1!$A$1:$H$394,6,FALSE())</f>
        <v>0</v>
      </c>
      <c r="K30" s="6" t="n">
        <f aca="false">VLOOKUP($A30,Day1!$A$1:$H$394,7,FALSE())</f>
        <v>1</v>
      </c>
      <c r="L30" s="8" t="n">
        <f aca="false">SUM(H30:K30)</f>
        <v>2</v>
      </c>
      <c r="M30" s="8" t="str">
        <f aca="false">ROMAN(RANK(L30,$L$4:$L$74,0))</f>
        <v>XVII</v>
      </c>
    </row>
    <row r="31" customFormat="false" ht="15.75" hidden="false" customHeight="false" outlineLevel="0" collapsed="false">
      <c r="A31" s="6" t="n">
        <v>185687</v>
      </c>
      <c r="B31" s="6" t="s">
        <v>2269</v>
      </c>
      <c r="C31" s="6" t="s">
        <v>2207</v>
      </c>
      <c r="D31" s="6" t="s">
        <v>1930</v>
      </c>
      <c r="E31" s="6" t="s">
        <v>2294</v>
      </c>
      <c r="F31" s="6" t="s">
        <v>2271</v>
      </c>
      <c r="G31" s="6" t="s">
        <v>2225</v>
      </c>
      <c r="H31" s="6" t="n">
        <f aca="false">VLOOKUP($A31,Day1!$A$1:$H$394,4,FALSE())</f>
        <v>0</v>
      </c>
      <c r="I31" s="6" t="n">
        <f aca="false">VLOOKUP($A31,Day1!$A$1:$H$394,5,FALSE())</f>
        <v>0</v>
      </c>
      <c r="J31" s="6" t="n">
        <f aca="false">VLOOKUP($A31,Day1!$A$1:$H$394,6,FALSE())</f>
        <v>1</v>
      </c>
      <c r="K31" s="6" t="n">
        <f aca="false">VLOOKUP($A31,Day1!$A$1:$H$394,7,FALSE())</f>
        <v>1</v>
      </c>
      <c r="L31" s="8" t="n">
        <f aca="false">SUM(H31:K31)</f>
        <v>2</v>
      </c>
      <c r="M31" s="8" t="str">
        <f aca="false">ROMAN(RANK(L31,$L$4:$L$74,0))</f>
        <v>XVII</v>
      </c>
    </row>
    <row r="32" customFormat="false" ht="15.75" hidden="false" customHeight="false" outlineLevel="0" collapsed="false">
      <c r="A32" s="6" t="n">
        <v>185196</v>
      </c>
      <c r="B32" s="6" t="s">
        <v>2269</v>
      </c>
      <c r="C32" s="6" t="s">
        <v>2253</v>
      </c>
      <c r="D32" s="6" t="s">
        <v>1178</v>
      </c>
      <c r="E32" s="6" t="s">
        <v>2213</v>
      </c>
      <c r="F32" s="6" t="s">
        <v>2271</v>
      </c>
      <c r="G32" s="6" t="s">
        <v>2209</v>
      </c>
      <c r="H32" s="6" t="n">
        <f aca="false">VLOOKUP($A32,Day1!$A$1:$H$394,4,FALSE())</f>
        <v>0</v>
      </c>
      <c r="I32" s="6" t="n">
        <f aca="false">VLOOKUP($A32,Day1!$A$1:$H$394,5,FALSE())</f>
        <v>2</v>
      </c>
      <c r="J32" s="6" t="n">
        <f aca="false">VLOOKUP($A32,Day1!$A$1:$H$394,6,FALSE())</f>
        <v>0</v>
      </c>
      <c r="K32" s="6" t="n">
        <f aca="false">VLOOKUP($A32,Day1!$A$1:$H$394,7,FALSE())</f>
        <v>0</v>
      </c>
      <c r="L32" s="8" t="n">
        <f aca="false">SUM(H32:K32)</f>
        <v>2</v>
      </c>
      <c r="M32" s="8" t="str">
        <f aca="false">ROMAN(RANK(L32,$L$4:$L$74,0))</f>
        <v>XVII</v>
      </c>
    </row>
    <row r="33" customFormat="false" ht="15.75" hidden="false" customHeight="false" outlineLevel="0" collapsed="false">
      <c r="A33" s="6" t="n">
        <v>2890</v>
      </c>
      <c r="B33" s="6" t="s">
        <v>2269</v>
      </c>
      <c r="C33" s="6" t="s">
        <v>2222</v>
      </c>
      <c r="D33" s="6" t="s">
        <v>2125</v>
      </c>
      <c r="E33" s="6" t="s">
        <v>2129</v>
      </c>
      <c r="F33" s="6" t="s">
        <v>2271</v>
      </c>
      <c r="G33" s="6" t="s">
        <v>2225</v>
      </c>
      <c r="H33" s="6" t="n">
        <f aca="false">VLOOKUP($A33,Day1!$A$1:$H$394,4,FALSE())</f>
        <v>1</v>
      </c>
      <c r="I33" s="6" t="n">
        <f aca="false">VLOOKUP($A33,Day1!$A$1:$H$394,5,FALSE())</f>
        <v>0</v>
      </c>
      <c r="J33" s="6" t="n">
        <f aca="false">VLOOKUP($A33,Day1!$A$1:$H$394,6,FALSE())</f>
        <v>0</v>
      </c>
      <c r="K33" s="6" t="n">
        <f aca="false">VLOOKUP($A33,Day1!$A$1:$H$394,7,FALSE())</f>
        <v>0</v>
      </c>
      <c r="L33" s="8" t="n">
        <f aca="false">SUM(H33:K33)</f>
        <v>1</v>
      </c>
      <c r="M33" s="8" t="str">
        <f aca="false">ROMAN(RANK(L33,$L$4:$L$74,0))</f>
        <v>XXX</v>
      </c>
    </row>
    <row r="34" customFormat="false" ht="15.75" hidden="false" customHeight="false" outlineLevel="0" collapsed="false">
      <c r="A34" s="6" t="n">
        <v>124386</v>
      </c>
      <c r="B34" s="6" t="s">
        <v>2269</v>
      </c>
      <c r="C34" s="6" t="s">
        <v>2207</v>
      </c>
      <c r="D34" s="6" t="s">
        <v>1998</v>
      </c>
      <c r="E34" s="6" t="s">
        <v>1088</v>
      </c>
      <c r="F34" s="6" t="s">
        <v>2271</v>
      </c>
      <c r="G34" s="6" t="s">
        <v>2225</v>
      </c>
      <c r="H34" s="6" t="n">
        <f aca="false">VLOOKUP($A34,Day1!$A$1:$H$394,4,FALSE())</f>
        <v>0</v>
      </c>
      <c r="I34" s="6" t="n">
        <f aca="false">VLOOKUP($A34,Day1!$A$1:$H$394,5,FALSE())</f>
        <v>0</v>
      </c>
      <c r="J34" s="6" t="n">
        <f aca="false">VLOOKUP($A34,Day1!$A$1:$H$394,6,FALSE())</f>
        <v>0</v>
      </c>
      <c r="K34" s="6" t="n">
        <f aca="false">VLOOKUP($A34,Day1!$A$1:$H$394,7,FALSE())</f>
        <v>1</v>
      </c>
      <c r="L34" s="8" t="n">
        <f aca="false">SUM(H34:K34)</f>
        <v>1</v>
      </c>
      <c r="M34" s="8" t="str">
        <f aca="false">ROMAN(RANK(L34,$L$4:$L$74,0))</f>
        <v>XXX</v>
      </c>
    </row>
    <row r="35" customFormat="false" ht="15.75" hidden="false" customHeight="false" outlineLevel="0" collapsed="false">
      <c r="A35" s="6" t="n">
        <v>71077</v>
      </c>
      <c r="B35" s="6" t="s">
        <v>2269</v>
      </c>
      <c r="C35" s="6" t="s">
        <v>2222</v>
      </c>
      <c r="D35" s="6" t="s">
        <v>2129</v>
      </c>
      <c r="E35" s="6" t="s">
        <v>658</v>
      </c>
      <c r="F35" s="6" t="s">
        <v>2271</v>
      </c>
      <c r="G35" s="6" t="s">
        <v>2229</v>
      </c>
      <c r="H35" s="6" t="n">
        <f aca="false">VLOOKUP($A35,Day1!$A$1:$H$394,4,FALSE())</f>
        <v>0</v>
      </c>
      <c r="I35" s="6" t="n">
        <f aca="false">VLOOKUP($A35,Day1!$A$1:$H$394,5,FALSE())</f>
        <v>0</v>
      </c>
      <c r="J35" s="6" t="n">
        <f aca="false">VLOOKUP($A35,Day1!$A$1:$H$394,6,FALSE())</f>
        <v>1</v>
      </c>
      <c r="K35" s="6" t="n">
        <f aca="false">VLOOKUP($A35,Day1!$A$1:$H$394,7,FALSE())</f>
        <v>0</v>
      </c>
      <c r="L35" s="8" t="n">
        <f aca="false">SUM(H35:K35)</f>
        <v>1</v>
      </c>
      <c r="M35" s="8" t="str">
        <f aca="false">ROMAN(RANK(L35,$L$4:$L$74,0))</f>
        <v>XXX</v>
      </c>
    </row>
    <row r="36" customFormat="false" ht="15.75" hidden="false" customHeight="false" outlineLevel="0" collapsed="false">
      <c r="A36" s="6" t="n">
        <v>227361</v>
      </c>
      <c r="B36" s="6" t="s">
        <v>2269</v>
      </c>
      <c r="C36" s="6" t="s">
        <v>2295</v>
      </c>
      <c r="D36" s="6" t="s">
        <v>2006</v>
      </c>
      <c r="E36" s="6" t="s">
        <v>2296</v>
      </c>
      <c r="F36" s="6" t="s">
        <v>2271</v>
      </c>
      <c r="G36" s="6" t="s">
        <v>2206</v>
      </c>
      <c r="H36" s="6" t="n">
        <f aca="false">VLOOKUP($A36,Day1!$A$1:$H$394,4,FALSE())</f>
        <v>1</v>
      </c>
      <c r="I36" s="6" t="n">
        <f aca="false">VLOOKUP($A36,Day1!$A$1:$H$394,5,FALSE())</f>
        <v>0</v>
      </c>
      <c r="J36" s="6" t="n">
        <f aca="false">VLOOKUP($A36,Day1!$A$1:$H$394,6,FALSE())</f>
        <v>0</v>
      </c>
      <c r="K36" s="6" t="n">
        <f aca="false">VLOOKUP($A36,Day1!$A$1:$H$394,7,FALSE())</f>
        <v>0</v>
      </c>
      <c r="L36" s="8" t="n">
        <f aca="false">SUM(H36:K36)</f>
        <v>1</v>
      </c>
      <c r="M36" s="8" t="str">
        <f aca="false">ROMAN(RANK(L36,$L$4:$L$74,0))</f>
        <v>XXX</v>
      </c>
    </row>
    <row r="37" customFormat="false" ht="15.75" hidden="false" customHeight="false" outlineLevel="0" collapsed="false">
      <c r="A37" s="6" t="n">
        <v>187492</v>
      </c>
      <c r="B37" s="6" t="s">
        <v>2269</v>
      </c>
      <c r="C37" s="6" t="s">
        <v>2222</v>
      </c>
      <c r="D37" s="6" t="s">
        <v>2122</v>
      </c>
      <c r="E37" s="6" t="s">
        <v>615</v>
      </c>
      <c r="F37" s="6" t="s">
        <v>2271</v>
      </c>
      <c r="G37" s="6" t="s">
        <v>2229</v>
      </c>
      <c r="H37" s="6" t="n">
        <f aca="false">VLOOKUP($A37,Day1!$A$1:$H$394,4,FALSE())</f>
        <v>1</v>
      </c>
      <c r="I37" s="6" t="n">
        <f aca="false">VLOOKUP($A37,Day1!$A$1:$H$394,5,FALSE())</f>
        <v>0</v>
      </c>
      <c r="J37" s="6" t="n">
        <f aca="false">VLOOKUP($A37,Day1!$A$1:$H$394,6,FALSE())</f>
        <v>0</v>
      </c>
      <c r="K37" s="6" t="n">
        <f aca="false">VLOOKUP($A37,Day1!$A$1:$H$394,7,FALSE())</f>
        <v>0</v>
      </c>
      <c r="L37" s="8" t="n">
        <f aca="false">SUM(H37:K37)</f>
        <v>1</v>
      </c>
      <c r="M37" s="8" t="str">
        <f aca="false">ROMAN(RANK(L37,$L$4:$L$74,0))</f>
        <v>XXX</v>
      </c>
    </row>
    <row r="38" customFormat="false" ht="15.75" hidden="false" customHeight="false" outlineLevel="0" collapsed="false">
      <c r="A38" s="6" t="n">
        <v>155160</v>
      </c>
      <c r="B38" s="6" t="s">
        <v>2269</v>
      </c>
      <c r="C38" s="6" t="s">
        <v>2221</v>
      </c>
      <c r="D38" s="6" t="s">
        <v>764</v>
      </c>
      <c r="E38" s="6" t="s">
        <v>757</v>
      </c>
      <c r="F38" s="6" t="s">
        <v>2271</v>
      </c>
      <c r="G38" s="6" t="s">
        <v>2225</v>
      </c>
      <c r="H38" s="6" t="n">
        <f aca="false">VLOOKUP($A38,Day1!$A$1:$H$394,4,FALSE())</f>
        <v>1</v>
      </c>
      <c r="I38" s="6" t="n">
        <f aca="false">VLOOKUP($A38,Day1!$A$1:$H$394,5,FALSE())</f>
        <v>0</v>
      </c>
      <c r="J38" s="6" t="n">
        <f aca="false">VLOOKUP($A38,Day1!$A$1:$H$394,6,FALSE())</f>
        <v>0</v>
      </c>
      <c r="K38" s="6" t="n">
        <f aca="false">VLOOKUP($A38,Day1!$A$1:$H$394,7,FALSE())</f>
        <v>0</v>
      </c>
      <c r="L38" s="8" t="n">
        <f aca="false">SUM(H38:K38)</f>
        <v>1</v>
      </c>
      <c r="M38" s="8" t="str">
        <f aca="false">ROMAN(RANK(L38,$L$4:$L$74,0))</f>
        <v>XXX</v>
      </c>
    </row>
    <row r="39" customFormat="false" ht="15.75" hidden="false" customHeight="false" outlineLevel="0" collapsed="false">
      <c r="A39" s="6" t="n">
        <v>124378</v>
      </c>
      <c r="B39" s="6" t="s">
        <v>2269</v>
      </c>
      <c r="C39" s="6" t="s">
        <v>2207</v>
      </c>
      <c r="D39" s="6" t="s">
        <v>1971</v>
      </c>
      <c r="E39" s="6" t="s">
        <v>2297</v>
      </c>
      <c r="F39" s="6" t="s">
        <v>2271</v>
      </c>
      <c r="G39" s="6" t="s">
        <v>2225</v>
      </c>
      <c r="H39" s="6" t="n">
        <f aca="false">VLOOKUP($A39,Day1!$A$1:$H$394,4,FALSE())</f>
        <v>1</v>
      </c>
      <c r="I39" s="6" t="n">
        <f aca="false">VLOOKUP($A39,Day1!$A$1:$H$394,5,FALSE())</f>
        <v>0</v>
      </c>
      <c r="J39" s="6" t="n">
        <f aca="false">VLOOKUP($A39,Day1!$A$1:$H$394,6,FALSE())</f>
        <v>0</v>
      </c>
      <c r="K39" s="6" t="n">
        <f aca="false">VLOOKUP($A39,Day1!$A$1:$H$394,7,FALSE())</f>
        <v>0</v>
      </c>
      <c r="L39" s="8" t="n">
        <f aca="false">SUM(H39:K39)</f>
        <v>1</v>
      </c>
      <c r="M39" s="8" t="str">
        <f aca="false">ROMAN(RANK(L39,$L$4:$L$74,0))</f>
        <v>XXX</v>
      </c>
    </row>
    <row r="40" customFormat="false" ht="15.75" hidden="false" customHeight="false" outlineLevel="0" collapsed="false">
      <c r="A40" s="6" t="n">
        <v>162539</v>
      </c>
      <c r="B40" s="6" t="s">
        <v>2269</v>
      </c>
      <c r="C40" s="6" t="s">
        <v>2221</v>
      </c>
      <c r="D40" s="6" t="s">
        <v>2011</v>
      </c>
      <c r="E40" s="6" t="s">
        <v>2298</v>
      </c>
      <c r="F40" s="6" t="s">
        <v>2271</v>
      </c>
      <c r="G40" s="6" t="s">
        <v>2209</v>
      </c>
      <c r="H40" s="6" t="n">
        <f aca="false">VLOOKUP($A40,Day1!$A$1:$H$394,4,FALSE())</f>
        <v>1</v>
      </c>
      <c r="I40" s="6" t="n">
        <f aca="false">VLOOKUP($A40,Day1!$A$1:$H$394,5,FALSE())</f>
        <v>0</v>
      </c>
      <c r="J40" s="6" t="n">
        <f aca="false">VLOOKUP($A40,Day1!$A$1:$H$394,6,FALSE())</f>
        <v>0</v>
      </c>
      <c r="K40" s="6" t="n">
        <f aca="false">VLOOKUP($A40,Day1!$A$1:$H$394,7,FALSE())</f>
        <v>0</v>
      </c>
      <c r="L40" s="8" t="n">
        <f aca="false">SUM(H40:K40)</f>
        <v>1</v>
      </c>
      <c r="M40" s="8" t="str">
        <f aca="false">ROMAN(RANK(L40,$L$4:$L$74,0))</f>
        <v>XXX</v>
      </c>
    </row>
    <row r="41" customFormat="false" ht="15.75" hidden="false" customHeight="false" outlineLevel="0" collapsed="false">
      <c r="A41" s="6" t="n">
        <v>146933</v>
      </c>
      <c r="B41" s="6" t="s">
        <v>2269</v>
      </c>
      <c r="C41" s="6" t="s">
        <v>2222</v>
      </c>
      <c r="D41" s="6" t="s">
        <v>44</v>
      </c>
      <c r="E41" s="6" t="s">
        <v>2299</v>
      </c>
      <c r="F41" s="6" t="s">
        <v>2271</v>
      </c>
      <c r="G41" s="6" t="s">
        <v>2209</v>
      </c>
      <c r="H41" s="6" t="n">
        <f aca="false">VLOOKUP($A41,Day1!$A$1:$H$394,4,FALSE())</f>
        <v>1</v>
      </c>
      <c r="I41" s="6" t="n">
        <f aca="false">VLOOKUP($A41,Day1!$A$1:$H$394,5,FALSE())</f>
        <v>0</v>
      </c>
      <c r="J41" s="6" t="n">
        <f aca="false">VLOOKUP($A41,Day1!$A$1:$H$394,6,FALSE())</f>
        <v>0</v>
      </c>
      <c r="K41" s="6" t="n">
        <f aca="false">VLOOKUP($A41,Day1!$A$1:$H$394,7,FALSE())</f>
        <v>0</v>
      </c>
      <c r="L41" s="8" t="n">
        <f aca="false">SUM(H41:K41)</f>
        <v>1</v>
      </c>
      <c r="M41" s="8" t="str">
        <f aca="false">ROMAN(RANK(L41,$L$4:$L$74,0))</f>
        <v>XXX</v>
      </c>
    </row>
    <row r="42" customFormat="false" ht="15.75" hidden="false" customHeight="false" outlineLevel="0" collapsed="false">
      <c r="A42" s="6" t="n">
        <v>147437</v>
      </c>
      <c r="B42" s="6" t="s">
        <v>2269</v>
      </c>
      <c r="C42" s="6" t="s">
        <v>2222</v>
      </c>
      <c r="D42" s="6" t="s">
        <v>1993</v>
      </c>
      <c r="E42" s="6" t="s">
        <v>2300</v>
      </c>
      <c r="F42" s="6" t="s">
        <v>2271</v>
      </c>
      <c r="G42" s="6" t="s">
        <v>2209</v>
      </c>
      <c r="H42" s="6" t="n">
        <f aca="false">VLOOKUP($A42,Day1!$A$1:$H$394,4,FALSE())</f>
        <v>1</v>
      </c>
      <c r="I42" s="6" t="n">
        <f aca="false">VLOOKUP($A42,Day1!$A$1:$H$394,5,FALSE())</f>
        <v>0</v>
      </c>
      <c r="J42" s="6" t="n">
        <f aca="false">VLOOKUP($A42,Day1!$A$1:$H$394,6,FALSE())</f>
        <v>0</v>
      </c>
      <c r="K42" s="6" t="n">
        <f aca="false">VLOOKUP($A42,Day1!$A$1:$H$394,7,FALSE())</f>
        <v>0</v>
      </c>
      <c r="L42" s="8" t="n">
        <f aca="false">SUM(H42:K42)</f>
        <v>1</v>
      </c>
      <c r="M42" s="8" t="str">
        <f aca="false">ROMAN(RANK(L42,$L$4:$L$74,0))</f>
        <v>XXX</v>
      </c>
    </row>
    <row r="43" customFormat="false" ht="15.75" hidden="false" customHeight="false" outlineLevel="0" collapsed="false">
      <c r="A43" s="6" t="n">
        <v>185689</v>
      </c>
      <c r="B43" s="6" t="s">
        <v>2269</v>
      </c>
      <c r="C43" s="6" t="s">
        <v>2207</v>
      </c>
      <c r="D43" s="6" t="s">
        <v>263</v>
      </c>
      <c r="E43" s="6" t="s">
        <v>868</v>
      </c>
      <c r="F43" s="6" t="s">
        <v>2271</v>
      </c>
      <c r="G43" s="6" t="s">
        <v>2225</v>
      </c>
      <c r="H43" s="6" t="n">
        <f aca="false">VLOOKUP($A43,Day1!$A$1:$H$394,4,FALSE())</f>
        <v>1</v>
      </c>
      <c r="I43" s="6" t="n">
        <f aca="false">VLOOKUP($A43,Day1!$A$1:$H$394,5,FALSE())</f>
        <v>0</v>
      </c>
      <c r="J43" s="6" t="n">
        <f aca="false">VLOOKUP($A43,Day1!$A$1:$H$394,6,FALSE())</f>
        <v>0</v>
      </c>
      <c r="K43" s="6" t="n">
        <f aca="false">VLOOKUP($A43,Day1!$A$1:$H$394,7,FALSE())</f>
        <v>0</v>
      </c>
      <c r="L43" s="8" t="n">
        <f aca="false">SUM(H43:K43)</f>
        <v>1</v>
      </c>
      <c r="M43" s="8" t="str">
        <f aca="false">ROMAN(RANK(L43,$L$4:$L$74,0))</f>
        <v>XXX</v>
      </c>
    </row>
    <row r="44" customFormat="false" ht="15.75" hidden="false" customHeight="false" outlineLevel="0" collapsed="false">
      <c r="A44" s="6" t="n">
        <v>209372</v>
      </c>
      <c r="B44" s="6" t="s">
        <v>2269</v>
      </c>
      <c r="C44" s="6" t="s">
        <v>2253</v>
      </c>
      <c r="D44" s="6" t="s">
        <v>1944</v>
      </c>
      <c r="E44" s="6" t="s">
        <v>2301</v>
      </c>
      <c r="F44" s="6" t="s">
        <v>2271</v>
      </c>
      <c r="G44" s="6" t="s">
        <v>2209</v>
      </c>
      <c r="H44" s="6" t="n">
        <f aca="false">VLOOKUP($A44,Day1!$A$1:$H$394,4,FALSE())</f>
        <v>1</v>
      </c>
      <c r="I44" s="6" t="n">
        <f aca="false">VLOOKUP($A44,Day1!$A$1:$H$394,5,FALSE())</f>
        <v>0</v>
      </c>
      <c r="J44" s="6" t="n">
        <f aca="false">VLOOKUP($A44,Day1!$A$1:$H$394,6,FALSE())</f>
        <v>0</v>
      </c>
      <c r="K44" s="6" t="n">
        <f aca="false">VLOOKUP($A44,Day1!$A$1:$H$394,7,FALSE())</f>
        <v>0</v>
      </c>
      <c r="L44" s="8" t="n">
        <f aca="false">SUM(H44:K44)</f>
        <v>1</v>
      </c>
      <c r="M44" s="8" t="str">
        <f aca="false">ROMAN(RANK(L44,$L$4:$L$74,0))</f>
        <v>XXX</v>
      </c>
    </row>
    <row r="45" customFormat="false" ht="15.75" hidden="false" customHeight="false" outlineLevel="0" collapsed="false">
      <c r="A45" s="6" t="n">
        <v>146828</v>
      </c>
      <c r="B45" s="6" t="s">
        <v>2269</v>
      </c>
      <c r="C45" s="6" t="s">
        <v>2222</v>
      </c>
      <c r="D45" s="6" t="s">
        <v>1949</v>
      </c>
      <c r="E45" s="6" t="s">
        <v>477</v>
      </c>
      <c r="F45" s="6" t="s">
        <v>2271</v>
      </c>
      <c r="G45" s="6" t="s">
        <v>2209</v>
      </c>
      <c r="H45" s="6" t="n">
        <f aca="false">VLOOKUP($A45,Day1!$A$1:$H$394,4,FALSE())</f>
        <v>0</v>
      </c>
      <c r="I45" s="6" t="n">
        <f aca="false">VLOOKUP($A45,Day1!$A$1:$H$394,5,FALSE())</f>
        <v>0</v>
      </c>
      <c r="J45" s="6" t="n">
        <f aca="false">VLOOKUP($A45,Day1!$A$1:$H$394,6,FALSE())</f>
        <v>0</v>
      </c>
      <c r="K45" s="6" t="n">
        <f aca="false">VLOOKUP($A45,Day1!$A$1:$H$394,7,FALSE())</f>
        <v>1</v>
      </c>
      <c r="L45" s="8" t="n">
        <f aca="false">SUM(H45:K45)</f>
        <v>1</v>
      </c>
      <c r="M45" s="8" t="str">
        <f aca="false">ROMAN(RANK(L45,$L$4:$L$74,0))</f>
        <v>XXX</v>
      </c>
    </row>
    <row r="46" customFormat="false" ht="15.75" hidden="false" customHeight="false" outlineLevel="0" collapsed="false">
      <c r="A46" s="6" t="n">
        <v>174200</v>
      </c>
      <c r="B46" s="6" t="s">
        <v>2269</v>
      </c>
      <c r="C46" s="6" t="s">
        <v>2302</v>
      </c>
      <c r="D46" s="6" t="s">
        <v>2131</v>
      </c>
      <c r="E46" s="6" t="s">
        <v>2303</v>
      </c>
      <c r="F46" s="6" t="s">
        <v>2271</v>
      </c>
      <c r="G46" s="6" t="s">
        <v>2212</v>
      </c>
      <c r="H46" s="6" t="n">
        <f aca="false">VLOOKUP($A46,Day1!$A$1:$H$394,4,FALSE())</f>
        <v>0</v>
      </c>
      <c r="I46" s="6" t="n">
        <f aca="false">VLOOKUP($A46,Day1!$A$1:$H$394,5,FALSE())</f>
        <v>0</v>
      </c>
      <c r="J46" s="6" t="n">
        <f aca="false">VLOOKUP($A46,Day1!$A$1:$H$394,6,FALSE())</f>
        <v>1</v>
      </c>
      <c r="K46" s="6" t="n">
        <f aca="false">VLOOKUP($A46,Day1!$A$1:$H$394,7,FALSE())</f>
        <v>0</v>
      </c>
      <c r="L46" s="8" t="n">
        <f aca="false">SUM(H46:K46)</f>
        <v>1</v>
      </c>
      <c r="M46" s="8" t="str">
        <f aca="false">ROMAN(RANK(L46,$L$4:$L$74,0))</f>
        <v>XXX</v>
      </c>
    </row>
    <row r="47" customFormat="false" ht="15.75" hidden="false" customHeight="false" outlineLevel="0" collapsed="false">
      <c r="A47" s="6" t="n">
        <v>126663</v>
      </c>
      <c r="B47" s="6" t="s">
        <v>2269</v>
      </c>
      <c r="C47" s="6" t="s">
        <v>2207</v>
      </c>
      <c r="D47" s="6" t="s">
        <v>1935</v>
      </c>
      <c r="E47" s="6" t="s">
        <v>2304</v>
      </c>
      <c r="F47" s="6" t="s">
        <v>2271</v>
      </c>
      <c r="G47" s="6" t="s">
        <v>2209</v>
      </c>
      <c r="H47" s="6" t="n">
        <f aca="false">VLOOKUP($A47,Day1!$A$1:$H$394,4,FALSE())</f>
        <v>1</v>
      </c>
      <c r="I47" s="6" t="n">
        <f aca="false">VLOOKUP($A47,Day1!$A$1:$H$394,5,FALSE())</f>
        <v>0</v>
      </c>
      <c r="J47" s="6" t="n">
        <f aca="false">VLOOKUP($A47,Day1!$A$1:$H$394,6,FALSE())</f>
        <v>0</v>
      </c>
      <c r="K47" s="6" t="n">
        <f aca="false">VLOOKUP($A47,Day1!$A$1:$H$394,7,FALSE())</f>
        <v>0</v>
      </c>
      <c r="L47" s="8" t="n">
        <f aca="false">SUM(H47:K47)</f>
        <v>1</v>
      </c>
      <c r="M47" s="8" t="str">
        <f aca="false">ROMAN(RANK(L47,$L$4:$L$74,0))</f>
        <v>XXX</v>
      </c>
    </row>
    <row r="48" customFormat="false" ht="15.75" hidden="false" customHeight="false" outlineLevel="0" collapsed="false">
      <c r="A48" s="6" t="n">
        <v>18238</v>
      </c>
      <c r="B48" s="6" t="s">
        <v>2269</v>
      </c>
      <c r="C48" s="6" t="s">
        <v>2207</v>
      </c>
      <c r="D48" s="6" t="s">
        <v>2038</v>
      </c>
      <c r="E48" s="6" t="s">
        <v>1088</v>
      </c>
      <c r="F48" s="6" t="s">
        <v>2271</v>
      </c>
      <c r="G48" s="6" t="s">
        <v>2225</v>
      </c>
      <c r="H48" s="6" t="n">
        <f aca="false">VLOOKUP($A48,Day1!$A$1:$H$394,4,FALSE())</f>
        <v>0.5</v>
      </c>
      <c r="I48" s="6" t="n">
        <f aca="false">VLOOKUP($A48,Day1!$A$1:$H$394,5,FALSE())</f>
        <v>0</v>
      </c>
      <c r="J48" s="6" t="n">
        <f aca="false">VLOOKUP($A48,Day1!$A$1:$H$394,6,FALSE())</f>
        <v>0</v>
      </c>
      <c r="K48" s="6" t="n">
        <f aca="false">VLOOKUP($A48,Day1!$A$1:$H$394,7,FALSE())</f>
        <v>0</v>
      </c>
      <c r="L48" s="8" t="n">
        <f aca="false">SUM(H48:K48)</f>
        <v>0.5</v>
      </c>
      <c r="M48" s="8" t="str">
        <f aca="false">ROMAN(RANK(L48,$L$4:$L$74,0))</f>
        <v>XLV</v>
      </c>
    </row>
    <row r="49" customFormat="false" ht="15.75" hidden="false" customHeight="false" outlineLevel="0" collapsed="false">
      <c r="A49" s="6" t="n">
        <v>167116</v>
      </c>
      <c r="B49" s="6" t="s">
        <v>2269</v>
      </c>
      <c r="C49" s="6" t="s">
        <v>2221</v>
      </c>
      <c r="D49" s="6" t="s">
        <v>44</v>
      </c>
      <c r="E49" s="6" t="s">
        <v>2305</v>
      </c>
      <c r="F49" s="6" t="s">
        <v>2271</v>
      </c>
      <c r="G49" s="6" t="s">
        <v>2231</v>
      </c>
      <c r="H49" s="6" t="n">
        <f aca="false">VLOOKUP($A49,Day1!$A$1:$H$394,4,FALSE())</f>
        <v>0</v>
      </c>
      <c r="I49" s="6" t="n">
        <f aca="false">VLOOKUP($A49,Day1!$A$1:$H$394,5,FALSE())</f>
        <v>0</v>
      </c>
      <c r="J49" s="6" t="n">
        <f aca="false">VLOOKUP($A49,Day1!$A$1:$H$394,6,FALSE())</f>
        <v>0</v>
      </c>
      <c r="K49" s="6" t="n">
        <f aca="false">VLOOKUP($A49,Day1!$A$1:$H$394,7,FALSE())</f>
        <v>0</v>
      </c>
      <c r="L49" s="8" t="n">
        <f aca="false">SUM(H49:K49)</f>
        <v>0</v>
      </c>
      <c r="M49" s="8" t="str">
        <f aca="false">ROMAN(RANK(L49,$L$4:$L$74,0))</f>
        <v>XLVI</v>
      </c>
    </row>
    <row r="50" customFormat="false" ht="15.75" hidden="false" customHeight="false" outlineLevel="0" collapsed="false">
      <c r="A50" s="6" t="n">
        <v>198335</v>
      </c>
      <c r="B50" s="6" t="s">
        <v>2269</v>
      </c>
      <c r="C50" s="6" t="s">
        <v>2253</v>
      </c>
      <c r="D50" s="6" t="s">
        <v>167</v>
      </c>
      <c r="E50" s="6" t="s">
        <v>224</v>
      </c>
      <c r="F50" s="6" t="s">
        <v>2271</v>
      </c>
      <c r="G50" s="6" t="s">
        <v>2212</v>
      </c>
      <c r="H50" s="6" t="n">
        <f aca="false">VLOOKUP($A50,Day1!$A$1:$H$394,4,FALSE())</f>
        <v>0</v>
      </c>
      <c r="I50" s="6" t="n">
        <f aca="false">VLOOKUP($A50,Day1!$A$1:$H$394,5,FALSE())</f>
        <v>0</v>
      </c>
      <c r="J50" s="6" t="n">
        <f aca="false">VLOOKUP($A50,Day1!$A$1:$H$394,6,FALSE())</f>
        <v>0</v>
      </c>
      <c r="K50" s="6" t="n">
        <f aca="false">VLOOKUP($A50,Day1!$A$1:$H$394,7,FALSE())</f>
        <v>0</v>
      </c>
      <c r="L50" s="8" t="n">
        <f aca="false">SUM(H50:K50)</f>
        <v>0</v>
      </c>
      <c r="M50" s="8" t="str">
        <f aca="false">ROMAN(RANK(L50,$L$4:$L$74,0))</f>
        <v>XLVI</v>
      </c>
    </row>
    <row r="51" customFormat="false" ht="15.75" hidden="false" customHeight="false" outlineLevel="0" collapsed="false">
      <c r="A51" s="6" t="n">
        <v>205916</v>
      </c>
      <c r="B51" s="6" t="s">
        <v>2269</v>
      </c>
      <c r="C51" s="6" t="s">
        <v>2218</v>
      </c>
      <c r="D51" s="6" t="s">
        <v>2306</v>
      </c>
      <c r="E51" s="6" t="s">
        <v>1984</v>
      </c>
      <c r="F51" s="6" t="s">
        <v>2271</v>
      </c>
      <c r="G51" s="6" t="s">
        <v>2212</v>
      </c>
      <c r="H51" s="6" t="n">
        <f aca="false">VLOOKUP($A51,Day1!$A$1:$H$394,4,FALSE())</f>
        <v>0</v>
      </c>
      <c r="I51" s="6" t="n">
        <f aca="false">VLOOKUP($A51,Day1!$A$1:$H$394,5,FALSE())</f>
        <v>0</v>
      </c>
      <c r="J51" s="6" t="n">
        <f aca="false">VLOOKUP($A51,Day1!$A$1:$H$394,6,FALSE())</f>
        <v>0</v>
      </c>
      <c r="K51" s="6" t="n">
        <f aca="false">VLOOKUP($A51,Day1!$A$1:$H$394,7,FALSE())</f>
        <v>0</v>
      </c>
      <c r="L51" s="8" t="n">
        <f aca="false">SUM(H51:K51)</f>
        <v>0</v>
      </c>
      <c r="M51" s="8" t="str">
        <f aca="false">ROMAN(RANK(L51,$L$4:$L$74,0))</f>
        <v>XLVI</v>
      </c>
    </row>
    <row r="52" customFormat="false" ht="15.75" hidden="false" customHeight="false" outlineLevel="0" collapsed="false">
      <c r="A52" s="6" t="n">
        <v>117922</v>
      </c>
      <c r="B52" s="6" t="s">
        <v>2269</v>
      </c>
      <c r="C52" s="6" t="s">
        <v>2218</v>
      </c>
      <c r="D52" s="6" t="s">
        <v>2307</v>
      </c>
      <c r="E52" s="6" t="s">
        <v>1974</v>
      </c>
      <c r="F52" s="6" t="s">
        <v>2271</v>
      </c>
      <c r="G52" s="6" t="s">
        <v>2212</v>
      </c>
      <c r="H52" s="6" t="n">
        <f aca="false">VLOOKUP($A52,Day1!$A$1:$H$394,4,FALSE())</f>
        <v>0</v>
      </c>
      <c r="I52" s="6" t="n">
        <f aca="false">VLOOKUP($A52,Day1!$A$1:$H$394,5,FALSE())</f>
        <v>0</v>
      </c>
      <c r="J52" s="6" t="n">
        <f aca="false">VLOOKUP($A52,Day1!$A$1:$H$394,6,FALSE())</f>
        <v>0</v>
      </c>
      <c r="K52" s="6" t="n">
        <f aca="false">VLOOKUP($A52,Day1!$A$1:$H$394,7,FALSE())</f>
        <v>0</v>
      </c>
      <c r="L52" s="8" t="n">
        <f aca="false">SUM(H52:K52)</f>
        <v>0</v>
      </c>
      <c r="M52" s="8" t="str">
        <f aca="false">ROMAN(RANK(L52,$L$4:$L$74,0))</f>
        <v>XLVI</v>
      </c>
    </row>
    <row r="53" customFormat="false" ht="15.75" hidden="false" customHeight="false" outlineLevel="0" collapsed="false">
      <c r="A53" s="6" t="n">
        <v>150343</v>
      </c>
      <c r="B53" s="6" t="s">
        <v>2269</v>
      </c>
      <c r="C53" s="6" t="s">
        <v>2207</v>
      </c>
      <c r="D53" s="6" t="s">
        <v>2089</v>
      </c>
      <c r="E53" s="6" t="s">
        <v>2234</v>
      </c>
      <c r="F53" s="6" t="s">
        <v>2271</v>
      </c>
      <c r="G53" s="6" t="s">
        <v>2225</v>
      </c>
      <c r="H53" s="6" t="n">
        <f aca="false">VLOOKUP($A53,Day1!$A$1:$H$394,4,FALSE())</f>
        <v>0</v>
      </c>
      <c r="I53" s="6" t="n">
        <f aca="false">VLOOKUP($A53,Day1!$A$1:$H$394,5,FALSE())</f>
        <v>0</v>
      </c>
      <c r="J53" s="6" t="n">
        <f aca="false">VLOOKUP($A53,Day1!$A$1:$H$394,6,FALSE())</f>
        <v>0</v>
      </c>
      <c r="K53" s="6" t="n">
        <f aca="false">VLOOKUP($A53,Day1!$A$1:$H$394,7,FALSE())</f>
        <v>0</v>
      </c>
      <c r="L53" s="8" t="n">
        <f aca="false">SUM(H53:K53)</f>
        <v>0</v>
      </c>
      <c r="M53" s="8" t="str">
        <f aca="false">ROMAN(RANK(L53,$L$4:$L$74,0))</f>
        <v>XLVI</v>
      </c>
    </row>
    <row r="54" customFormat="false" ht="15.75" hidden="false" customHeight="false" outlineLevel="0" collapsed="false">
      <c r="A54" s="6" t="n">
        <v>222947</v>
      </c>
      <c r="B54" s="6" t="s">
        <v>2269</v>
      </c>
      <c r="C54" s="6" t="s">
        <v>2222</v>
      </c>
      <c r="D54" s="6" t="s">
        <v>2075</v>
      </c>
      <c r="E54" s="6" t="s">
        <v>2308</v>
      </c>
      <c r="F54" s="6" t="s">
        <v>2271</v>
      </c>
      <c r="G54" s="6" t="s">
        <v>2209</v>
      </c>
      <c r="H54" s="6" t="n">
        <f aca="false">VLOOKUP($A54,Day1!$A$1:$H$394,4,FALSE())</f>
        <v>0</v>
      </c>
      <c r="I54" s="6" t="n">
        <f aca="false">VLOOKUP($A54,Day1!$A$1:$H$394,5,FALSE())</f>
        <v>0</v>
      </c>
      <c r="J54" s="6" t="n">
        <f aca="false">VLOOKUP($A54,Day1!$A$1:$H$394,6,FALSE())</f>
        <v>0</v>
      </c>
      <c r="K54" s="6" t="n">
        <f aca="false">VLOOKUP($A54,Day1!$A$1:$H$394,7,FALSE())</f>
        <v>0</v>
      </c>
      <c r="L54" s="8" t="n">
        <f aca="false">SUM(H54:K54)</f>
        <v>0</v>
      </c>
      <c r="M54" s="8" t="str">
        <f aca="false">ROMAN(RANK(L54,$L$4:$L$74,0))</f>
        <v>XLVI</v>
      </c>
    </row>
    <row r="55" customFormat="false" ht="15.75" hidden="false" customHeight="false" outlineLevel="0" collapsed="false">
      <c r="A55" s="6" t="n">
        <v>74069</v>
      </c>
      <c r="B55" s="6" t="s">
        <v>2269</v>
      </c>
      <c r="C55" s="6" t="s">
        <v>2222</v>
      </c>
      <c r="D55" s="6" t="s">
        <v>572</v>
      </c>
      <c r="E55" s="6" t="s">
        <v>2309</v>
      </c>
      <c r="F55" s="6" t="s">
        <v>2271</v>
      </c>
      <c r="G55" s="6" t="s">
        <v>2209</v>
      </c>
      <c r="H55" s="6" t="n">
        <f aca="false">VLOOKUP($A55,Day1!$A$1:$H$394,4,FALSE())</f>
        <v>0</v>
      </c>
      <c r="I55" s="6" t="n">
        <f aca="false">VLOOKUP($A55,Day1!$A$1:$H$394,5,FALSE())</f>
        <v>0</v>
      </c>
      <c r="J55" s="6" t="n">
        <f aca="false">VLOOKUP($A55,Day1!$A$1:$H$394,6,FALSE())</f>
        <v>0</v>
      </c>
      <c r="K55" s="6" t="n">
        <f aca="false">VLOOKUP($A55,Day1!$A$1:$H$394,7,FALSE())</f>
        <v>0</v>
      </c>
      <c r="L55" s="8" t="n">
        <f aca="false">SUM(H55:K55)</f>
        <v>0</v>
      </c>
      <c r="M55" s="8" t="str">
        <f aca="false">ROMAN(RANK(L55,$L$4:$L$74,0))</f>
        <v>XLVI</v>
      </c>
    </row>
    <row r="56" customFormat="false" ht="15.75" hidden="false" customHeight="false" outlineLevel="0" collapsed="false">
      <c r="A56" s="6" t="n">
        <v>126520</v>
      </c>
      <c r="B56" s="6" t="s">
        <v>2269</v>
      </c>
      <c r="C56" s="6" t="s">
        <v>2310</v>
      </c>
      <c r="D56" s="6" t="s">
        <v>2046</v>
      </c>
      <c r="E56" s="6" t="s">
        <v>2311</v>
      </c>
      <c r="F56" s="6" t="s">
        <v>2271</v>
      </c>
      <c r="G56" s="6" t="s">
        <v>2206</v>
      </c>
      <c r="H56" s="6" t="n">
        <f aca="false">VLOOKUP($A56,Day1!$A$1:$H$394,4,FALSE())</f>
        <v>0</v>
      </c>
      <c r="I56" s="6" t="n">
        <f aca="false">VLOOKUP($A56,Day1!$A$1:$H$394,5,FALSE())</f>
        <v>0</v>
      </c>
      <c r="J56" s="6" t="n">
        <f aca="false">VLOOKUP($A56,Day1!$A$1:$H$394,6,FALSE())</f>
        <v>0</v>
      </c>
      <c r="K56" s="6" t="n">
        <f aca="false">VLOOKUP($A56,Day1!$A$1:$H$394,7,FALSE())</f>
        <v>0</v>
      </c>
      <c r="L56" s="8" t="n">
        <f aca="false">SUM(H56:K56)</f>
        <v>0</v>
      </c>
      <c r="M56" s="8" t="str">
        <f aca="false">ROMAN(RANK(L56,$L$4:$L$74,0))</f>
        <v>XLVI</v>
      </c>
    </row>
    <row r="57" customFormat="false" ht="15.75" hidden="false" customHeight="false" outlineLevel="0" collapsed="false">
      <c r="A57" s="6" t="n">
        <v>148114</v>
      </c>
      <c r="B57" s="6" t="s">
        <v>2269</v>
      </c>
      <c r="C57" s="6" t="s">
        <v>2263</v>
      </c>
      <c r="D57" s="6" t="s">
        <v>2081</v>
      </c>
      <c r="E57" s="6" t="s">
        <v>2312</v>
      </c>
      <c r="F57" s="6" t="s">
        <v>2271</v>
      </c>
      <c r="G57" s="6" t="s">
        <v>2209</v>
      </c>
      <c r="H57" s="6" t="n">
        <f aca="false">VLOOKUP($A57,Day1!$A$1:$H$394,4,FALSE())</f>
        <v>0</v>
      </c>
      <c r="I57" s="6" t="n">
        <f aca="false">VLOOKUP($A57,Day1!$A$1:$H$394,5,FALSE())</f>
        <v>0</v>
      </c>
      <c r="J57" s="6" t="n">
        <f aca="false">VLOOKUP($A57,Day1!$A$1:$H$394,6,FALSE())</f>
        <v>0</v>
      </c>
      <c r="K57" s="6" t="n">
        <f aca="false">VLOOKUP($A57,Day1!$A$1:$H$394,7,FALSE())</f>
        <v>0</v>
      </c>
      <c r="L57" s="8" t="n">
        <f aca="false">SUM(H57:K57)</f>
        <v>0</v>
      </c>
      <c r="M57" s="8" t="str">
        <f aca="false">ROMAN(RANK(L57,$L$4:$L$74,0))</f>
        <v>XLVI</v>
      </c>
    </row>
    <row r="58" customFormat="false" ht="15.75" hidden="false" customHeight="false" outlineLevel="0" collapsed="false">
      <c r="A58" s="6" t="n">
        <v>180862</v>
      </c>
      <c r="B58" s="6" t="s">
        <v>2269</v>
      </c>
      <c r="C58" s="6" t="s">
        <v>2290</v>
      </c>
      <c r="D58" s="6" t="s">
        <v>1954</v>
      </c>
      <c r="E58" s="6" t="s">
        <v>2313</v>
      </c>
      <c r="F58" s="6" t="s">
        <v>2271</v>
      </c>
      <c r="G58" s="6" t="s">
        <v>2212</v>
      </c>
      <c r="H58" s="6" t="n">
        <f aca="false">VLOOKUP($A58,Day1!$A$1:$H$394,4,FALSE())</f>
        <v>0</v>
      </c>
      <c r="I58" s="6" t="n">
        <f aca="false">VLOOKUP($A58,Day1!$A$1:$H$394,5,FALSE())</f>
        <v>0</v>
      </c>
      <c r="J58" s="6" t="n">
        <f aca="false">VLOOKUP($A58,Day1!$A$1:$H$394,6,FALSE())</f>
        <v>0</v>
      </c>
      <c r="K58" s="6" t="n">
        <f aca="false">VLOOKUP($A58,Day1!$A$1:$H$394,7,FALSE())</f>
        <v>0</v>
      </c>
      <c r="L58" s="8" t="n">
        <f aca="false">SUM(H58:K58)</f>
        <v>0</v>
      </c>
      <c r="M58" s="8" t="str">
        <f aca="false">ROMAN(RANK(L58,$L$4:$L$74,0))</f>
        <v>XLVI</v>
      </c>
    </row>
    <row r="59" customFormat="false" ht="15.75" hidden="false" customHeight="false" outlineLevel="0" collapsed="false">
      <c r="A59" s="6" t="n">
        <v>190162</v>
      </c>
      <c r="B59" s="6" t="s">
        <v>2269</v>
      </c>
      <c r="C59" s="6" t="s">
        <v>2263</v>
      </c>
      <c r="D59" s="6" t="s">
        <v>243</v>
      </c>
      <c r="E59" s="6" t="s">
        <v>2314</v>
      </c>
      <c r="F59" s="6" t="s">
        <v>2271</v>
      </c>
      <c r="G59" s="6" t="s">
        <v>2209</v>
      </c>
      <c r="H59" s="6" t="n">
        <f aca="false">VLOOKUP($A59,Day1!$A$1:$H$394,4,FALSE())</f>
        <v>0</v>
      </c>
      <c r="I59" s="6" t="n">
        <f aca="false">VLOOKUP($A59,Day1!$A$1:$H$394,5,FALSE())</f>
        <v>0</v>
      </c>
      <c r="J59" s="6" t="n">
        <f aca="false">VLOOKUP($A59,Day1!$A$1:$H$394,6,FALSE())</f>
        <v>0</v>
      </c>
      <c r="K59" s="6" t="n">
        <f aca="false">VLOOKUP($A59,Day1!$A$1:$H$394,7,FALSE())</f>
        <v>0</v>
      </c>
      <c r="L59" s="8" t="n">
        <f aca="false">SUM(H59:K59)</f>
        <v>0</v>
      </c>
      <c r="M59" s="8" t="str">
        <f aca="false">ROMAN(RANK(L59,$L$4:$L$74,0))</f>
        <v>XLVI</v>
      </c>
    </row>
    <row r="60" customFormat="false" ht="15.75" hidden="false" customHeight="false" outlineLevel="0" collapsed="false">
      <c r="A60" s="6" t="n">
        <v>130571</v>
      </c>
      <c r="B60" s="6" t="s">
        <v>2269</v>
      </c>
      <c r="C60" s="6" t="s">
        <v>2310</v>
      </c>
      <c r="D60" s="6" t="s">
        <v>2001</v>
      </c>
      <c r="E60" s="6" t="s">
        <v>2315</v>
      </c>
      <c r="F60" s="6" t="s">
        <v>2271</v>
      </c>
      <c r="G60" s="6" t="s">
        <v>2206</v>
      </c>
      <c r="H60" s="6" t="n">
        <f aca="false">VLOOKUP($A60,Day1!$A$1:$H$394,4,FALSE())</f>
        <v>0</v>
      </c>
      <c r="I60" s="6" t="n">
        <f aca="false">VLOOKUP($A60,Day1!$A$1:$H$394,5,FALSE())</f>
        <v>0</v>
      </c>
      <c r="J60" s="6" t="n">
        <f aca="false">VLOOKUP($A60,Day1!$A$1:$H$394,6,FALSE())</f>
        <v>0</v>
      </c>
      <c r="K60" s="6" t="n">
        <f aca="false">VLOOKUP($A60,Day1!$A$1:$H$394,7,FALSE())</f>
        <v>0</v>
      </c>
      <c r="L60" s="8" t="n">
        <f aca="false">SUM(H60:K60)</f>
        <v>0</v>
      </c>
      <c r="M60" s="8" t="str">
        <f aca="false">ROMAN(RANK(L60,$L$4:$L$74,0))</f>
        <v>XLVI</v>
      </c>
    </row>
    <row r="61" customFormat="false" ht="15.75" hidden="false" customHeight="false" outlineLevel="0" collapsed="false">
      <c r="A61" s="6" t="n">
        <v>164128</v>
      </c>
      <c r="B61" s="6" t="s">
        <v>2269</v>
      </c>
      <c r="C61" s="6" t="s">
        <v>2221</v>
      </c>
      <c r="D61" s="6" t="s">
        <v>1813</v>
      </c>
      <c r="E61" s="6" t="s">
        <v>2316</v>
      </c>
      <c r="F61" s="6" t="s">
        <v>2271</v>
      </c>
      <c r="G61" s="6" t="s">
        <v>2209</v>
      </c>
      <c r="H61" s="6" t="n">
        <f aca="false">VLOOKUP($A61,Day1!$A$1:$H$394,4,FALSE())</f>
        <v>0</v>
      </c>
      <c r="I61" s="6" t="n">
        <f aca="false">VLOOKUP($A61,Day1!$A$1:$H$394,5,FALSE())</f>
        <v>0</v>
      </c>
      <c r="J61" s="6" t="n">
        <f aca="false">VLOOKUP($A61,Day1!$A$1:$H$394,6,FALSE())</f>
        <v>0</v>
      </c>
      <c r="K61" s="6" t="n">
        <f aca="false">VLOOKUP($A61,Day1!$A$1:$H$394,7,FALSE())</f>
        <v>0</v>
      </c>
      <c r="L61" s="8" t="n">
        <f aca="false">SUM(H61:K61)</f>
        <v>0</v>
      </c>
      <c r="M61" s="8" t="str">
        <f aca="false">ROMAN(RANK(L61,$L$4:$L$74,0))</f>
        <v>XLVI</v>
      </c>
    </row>
    <row r="62" customFormat="false" ht="15.75" hidden="false" customHeight="false" outlineLevel="0" collapsed="false">
      <c r="A62" s="6" t="n">
        <v>124227</v>
      </c>
      <c r="B62" s="6" t="s">
        <v>2269</v>
      </c>
      <c r="C62" s="6" t="s">
        <v>2295</v>
      </c>
      <c r="D62" s="6" t="s">
        <v>2014</v>
      </c>
      <c r="E62" s="6" t="s">
        <v>2317</v>
      </c>
      <c r="F62" s="6" t="s">
        <v>2271</v>
      </c>
      <c r="G62" s="6" t="s">
        <v>2209</v>
      </c>
      <c r="H62" s="6" t="n">
        <f aca="false">VLOOKUP($A62,Day1!$A$1:$H$394,4,FALSE())</f>
        <v>0</v>
      </c>
      <c r="I62" s="6" t="n">
        <f aca="false">VLOOKUP($A62,Day1!$A$1:$H$394,5,FALSE())</f>
        <v>0</v>
      </c>
      <c r="J62" s="6" t="n">
        <f aca="false">VLOOKUP($A62,Day1!$A$1:$H$394,6,FALSE())</f>
        <v>0</v>
      </c>
      <c r="K62" s="6" t="n">
        <f aca="false">VLOOKUP($A62,Day1!$A$1:$H$394,7,FALSE())</f>
        <v>0</v>
      </c>
      <c r="L62" s="8" t="n">
        <f aca="false">SUM(H62:K62)</f>
        <v>0</v>
      </c>
      <c r="M62" s="8" t="str">
        <f aca="false">ROMAN(RANK(L62,$L$4:$L$74,0))</f>
        <v>XLVI</v>
      </c>
    </row>
    <row r="63" customFormat="false" ht="15.75" hidden="false" customHeight="false" outlineLevel="0" collapsed="false">
      <c r="A63" s="6" t="n">
        <v>187883</v>
      </c>
      <c r="B63" s="6" t="s">
        <v>2269</v>
      </c>
      <c r="C63" s="6" t="s">
        <v>2221</v>
      </c>
      <c r="D63" s="6" t="s">
        <v>157</v>
      </c>
      <c r="E63" s="6" t="s">
        <v>2318</v>
      </c>
      <c r="F63" s="6" t="s">
        <v>2271</v>
      </c>
      <c r="G63" s="6" t="s">
        <v>2225</v>
      </c>
      <c r="H63" s="6" t="n">
        <f aca="false">VLOOKUP($A63,Day1!$A$1:$H$394,4,FALSE())</f>
        <v>0</v>
      </c>
      <c r="I63" s="6" t="n">
        <f aca="false">VLOOKUP($A63,Day1!$A$1:$H$394,5,FALSE())</f>
        <v>0</v>
      </c>
      <c r="J63" s="6" t="n">
        <f aca="false">VLOOKUP($A63,Day1!$A$1:$H$394,6,FALSE())</f>
        <v>0</v>
      </c>
      <c r="K63" s="6" t="n">
        <f aca="false">VLOOKUP($A63,Day1!$A$1:$H$394,7,FALSE())</f>
        <v>0</v>
      </c>
      <c r="L63" s="8" t="n">
        <f aca="false">SUM(H63:K63)</f>
        <v>0</v>
      </c>
      <c r="M63" s="8" t="str">
        <f aca="false">ROMAN(RANK(L63,$L$4:$L$74,0))</f>
        <v>XLVI</v>
      </c>
    </row>
    <row r="64" customFormat="false" ht="15.75" hidden="false" customHeight="false" outlineLevel="0" collapsed="false">
      <c r="A64" s="6" t="n">
        <v>124227</v>
      </c>
      <c r="B64" s="6" t="s">
        <v>2269</v>
      </c>
      <c r="C64" s="6" t="s">
        <v>2295</v>
      </c>
      <c r="D64" s="6" t="s">
        <v>2014</v>
      </c>
      <c r="E64" s="6" t="s">
        <v>2317</v>
      </c>
      <c r="F64" s="6" t="s">
        <v>2271</v>
      </c>
      <c r="G64" s="6" t="s">
        <v>2212</v>
      </c>
      <c r="H64" s="6" t="n">
        <f aca="false">VLOOKUP($A64,Day1!$A$1:$H$394,4,FALSE())</f>
        <v>0</v>
      </c>
      <c r="I64" s="6" t="n">
        <f aca="false">VLOOKUP($A64,Day1!$A$1:$H$394,5,FALSE())</f>
        <v>0</v>
      </c>
      <c r="J64" s="6" t="n">
        <f aca="false">VLOOKUP($A64,Day1!$A$1:$H$394,6,FALSE())</f>
        <v>0</v>
      </c>
      <c r="K64" s="6" t="n">
        <f aca="false">VLOOKUP($A64,Day1!$A$1:$H$394,7,FALSE())</f>
        <v>0</v>
      </c>
      <c r="L64" s="8" t="n">
        <f aca="false">SUM(H64:K64)</f>
        <v>0</v>
      </c>
      <c r="M64" s="8" t="str">
        <f aca="false">ROMAN(RANK(L64,$L$4:$L$74,0))</f>
        <v>XLVI</v>
      </c>
    </row>
    <row r="65" customFormat="false" ht="15.75" hidden="false" customHeight="false" outlineLevel="0" collapsed="false">
      <c r="A65" s="6" t="n">
        <v>116428</v>
      </c>
      <c r="B65" s="6" t="s">
        <v>2269</v>
      </c>
      <c r="C65" s="6" t="s">
        <v>2257</v>
      </c>
      <c r="D65" s="6" t="s">
        <v>1921</v>
      </c>
      <c r="E65" s="6" t="s">
        <v>757</v>
      </c>
      <c r="F65" s="6" t="s">
        <v>2271</v>
      </c>
      <c r="G65" s="6" t="s">
        <v>2209</v>
      </c>
      <c r="H65" s="6" t="n">
        <f aca="false">VLOOKUP($A65,Day1!$A$1:$H$394,4,FALSE())</f>
        <v>0</v>
      </c>
      <c r="I65" s="6" t="n">
        <f aca="false">VLOOKUP($A65,Day1!$A$1:$H$394,5,FALSE())</f>
        <v>0</v>
      </c>
      <c r="J65" s="6" t="n">
        <f aca="false">VLOOKUP($A65,Day1!$A$1:$H$394,6,FALSE())</f>
        <v>0</v>
      </c>
      <c r="K65" s="6" t="n">
        <f aca="false">VLOOKUP($A65,Day1!$A$1:$H$394,7,FALSE())</f>
        <v>0</v>
      </c>
      <c r="L65" s="8" t="n">
        <f aca="false">SUM(H65:K65)</f>
        <v>0</v>
      </c>
      <c r="M65" s="8" t="str">
        <f aca="false">ROMAN(RANK(L65,$L$4:$L$74,0))</f>
        <v>XLVI</v>
      </c>
    </row>
    <row r="66" customFormat="false" ht="15.75" hidden="false" customHeight="false" outlineLevel="0" collapsed="false">
      <c r="A66" s="6" t="n">
        <v>195630</v>
      </c>
      <c r="B66" s="6" t="s">
        <v>2269</v>
      </c>
      <c r="C66" s="6" t="s">
        <v>2203</v>
      </c>
      <c r="D66" s="6" t="s">
        <v>2008</v>
      </c>
      <c r="E66" s="6" t="s">
        <v>2319</v>
      </c>
      <c r="F66" s="6" t="s">
        <v>2271</v>
      </c>
      <c r="G66" s="6" t="s">
        <v>2212</v>
      </c>
      <c r="H66" s="6" t="n">
        <f aca="false">VLOOKUP($A66,Day1!$A$1:$H$394,4,FALSE())</f>
        <v>0</v>
      </c>
      <c r="I66" s="6" t="n">
        <f aca="false">VLOOKUP($A66,Day1!$A$1:$H$394,5,FALSE())</f>
        <v>0</v>
      </c>
      <c r="J66" s="6" t="n">
        <f aca="false">VLOOKUP($A66,Day1!$A$1:$H$394,6,FALSE())</f>
        <v>0</v>
      </c>
      <c r="K66" s="6" t="n">
        <f aca="false">VLOOKUP($A66,Day1!$A$1:$H$394,7,FALSE())</f>
        <v>0</v>
      </c>
      <c r="L66" s="8" t="n">
        <f aca="false">SUM(H66:K66)</f>
        <v>0</v>
      </c>
      <c r="M66" s="8" t="str">
        <f aca="false">ROMAN(RANK(L66,$L$4:$L$74,0))</f>
        <v>XLVI</v>
      </c>
    </row>
    <row r="67" customFormat="false" ht="15.75" hidden="false" customHeight="false" outlineLevel="0" collapsed="false">
      <c r="A67" s="6" t="n">
        <v>127069</v>
      </c>
      <c r="B67" s="6" t="s">
        <v>2269</v>
      </c>
      <c r="C67" s="6" t="s">
        <v>2207</v>
      </c>
      <c r="D67" s="6" t="s">
        <v>1717</v>
      </c>
      <c r="E67" s="6" t="s">
        <v>2320</v>
      </c>
      <c r="F67" s="6" t="s">
        <v>2271</v>
      </c>
      <c r="G67" s="6" t="s">
        <v>2225</v>
      </c>
      <c r="H67" s="6" t="n">
        <f aca="false">VLOOKUP($A67,Day1!$A$1:$H$394,4,FALSE())</f>
        <v>0</v>
      </c>
      <c r="I67" s="6" t="n">
        <f aca="false">VLOOKUP($A67,Day1!$A$1:$H$394,5,FALSE())</f>
        <v>0</v>
      </c>
      <c r="J67" s="6" t="n">
        <f aca="false">VLOOKUP($A67,Day1!$A$1:$H$394,6,FALSE())</f>
        <v>0</v>
      </c>
      <c r="K67" s="6" t="n">
        <f aca="false">VLOOKUP($A67,Day1!$A$1:$H$394,7,FALSE())</f>
        <v>0</v>
      </c>
      <c r="L67" s="8" t="n">
        <f aca="false">SUM(H67:K67)</f>
        <v>0</v>
      </c>
      <c r="M67" s="8" t="str">
        <f aca="false">ROMAN(RANK(L67,$L$4:$L$74,0))</f>
        <v>XLVI</v>
      </c>
    </row>
    <row r="68" customFormat="false" ht="15.75" hidden="false" customHeight="false" outlineLevel="0" collapsed="false">
      <c r="A68" s="6" t="n">
        <v>112760</v>
      </c>
      <c r="B68" s="6" t="s">
        <v>2269</v>
      </c>
      <c r="C68" s="6" t="s">
        <v>2227</v>
      </c>
      <c r="D68" s="6" t="s">
        <v>2083</v>
      </c>
      <c r="E68" s="6" t="s">
        <v>2321</v>
      </c>
      <c r="F68" s="6" t="s">
        <v>2271</v>
      </c>
      <c r="G68" s="6" t="s">
        <v>2209</v>
      </c>
      <c r="H68" s="6" t="n">
        <f aca="false">VLOOKUP($A68,Day1!$A$1:$H$394,4,FALSE())</f>
        <v>0</v>
      </c>
      <c r="I68" s="6" t="n">
        <f aca="false">VLOOKUP($A68,Day1!$A$1:$H$394,5,FALSE())</f>
        <v>0</v>
      </c>
      <c r="J68" s="6" t="n">
        <f aca="false">VLOOKUP($A68,Day1!$A$1:$H$394,6,FALSE())</f>
        <v>0</v>
      </c>
      <c r="K68" s="6" t="n">
        <f aca="false">VLOOKUP($A68,Day1!$A$1:$H$394,7,FALSE())</f>
        <v>0</v>
      </c>
      <c r="L68" s="8" t="n">
        <f aca="false">SUM(H68:K68)</f>
        <v>0</v>
      </c>
      <c r="M68" s="8" t="str">
        <f aca="false">ROMAN(RANK(L68,$L$4:$L$74,0))</f>
        <v>XLVI</v>
      </c>
    </row>
    <row r="69" customFormat="false" ht="15.75" hidden="false" customHeight="false" outlineLevel="0" collapsed="false">
      <c r="A69" s="6" t="n">
        <v>111608</v>
      </c>
      <c r="B69" s="6" t="s">
        <v>2269</v>
      </c>
      <c r="C69" s="6" t="s">
        <v>2265</v>
      </c>
      <c r="D69" s="6" t="s">
        <v>1011</v>
      </c>
      <c r="E69" s="6" t="s">
        <v>1717</v>
      </c>
      <c r="F69" s="6" t="s">
        <v>2271</v>
      </c>
      <c r="G69" s="6" t="s">
        <v>2212</v>
      </c>
      <c r="H69" s="6" t="n">
        <f aca="false">VLOOKUP($A69,Day1!$A$1:$H$394,4,FALSE())</f>
        <v>0</v>
      </c>
      <c r="I69" s="6" t="n">
        <f aca="false">VLOOKUP($A69,Day1!$A$1:$H$394,5,FALSE())</f>
        <v>0</v>
      </c>
      <c r="J69" s="6" t="n">
        <f aca="false">VLOOKUP($A69,Day1!$A$1:$H$394,6,FALSE())</f>
        <v>0</v>
      </c>
      <c r="K69" s="6" t="n">
        <f aca="false">VLOOKUP($A69,Day1!$A$1:$H$394,7,FALSE())</f>
        <v>0</v>
      </c>
      <c r="L69" s="8" t="n">
        <f aca="false">SUM(H69:K69)</f>
        <v>0</v>
      </c>
      <c r="M69" s="8" t="str">
        <f aca="false">ROMAN(RANK(L69,$L$4:$L$74,0))</f>
        <v>XLVI</v>
      </c>
    </row>
    <row r="70" customFormat="false" ht="15.75" hidden="false" customHeight="false" outlineLevel="0" collapsed="false">
      <c r="A70" s="6" t="n">
        <v>154261</v>
      </c>
      <c r="B70" s="6" t="s">
        <v>2269</v>
      </c>
      <c r="C70" s="6" t="s">
        <v>2207</v>
      </c>
      <c r="D70" s="6" t="s">
        <v>723</v>
      </c>
      <c r="E70" s="6" t="s">
        <v>975</v>
      </c>
      <c r="F70" s="6" t="s">
        <v>2271</v>
      </c>
      <c r="G70" s="6" t="s">
        <v>2225</v>
      </c>
      <c r="H70" s="6" t="n">
        <f aca="false">VLOOKUP($A70,Day1!$A$1:$H$394,4,FALSE())</f>
        <v>0</v>
      </c>
      <c r="I70" s="6" t="n">
        <f aca="false">VLOOKUP($A70,Day1!$A$1:$H$394,5,FALSE())</f>
        <v>0</v>
      </c>
      <c r="J70" s="6" t="n">
        <f aca="false">VLOOKUP($A70,Day1!$A$1:$H$394,6,FALSE())</f>
        <v>0</v>
      </c>
      <c r="K70" s="6" t="n">
        <f aca="false">VLOOKUP($A70,Day1!$A$1:$H$394,7,FALSE())</f>
        <v>0</v>
      </c>
      <c r="L70" s="8" t="n">
        <f aca="false">SUM(H70:K70)</f>
        <v>0</v>
      </c>
      <c r="M70" s="8" t="str">
        <f aca="false">ROMAN(RANK(L70,$L$4:$L$74,0))</f>
        <v>XLVI</v>
      </c>
    </row>
    <row r="71" customFormat="false" ht="15.75" hidden="false" customHeight="false" outlineLevel="0" collapsed="false">
      <c r="A71" s="6" t="n">
        <v>164037</v>
      </c>
      <c r="B71" s="6" t="s">
        <v>2269</v>
      </c>
      <c r="C71" s="6" t="s">
        <v>2255</v>
      </c>
      <c r="D71" s="6" t="s">
        <v>1979</v>
      </c>
      <c r="E71" s="6" t="s">
        <v>2322</v>
      </c>
      <c r="F71" s="6" t="s">
        <v>2271</v>
      </c>
      <c r="G71" s="6" t="s">
        <v>2212</v>
      </c>
      <c r="H71" s="6" t="n">
        <f aca="false">VLOOKUP($A71,Day1!$A$1:$H$394,4,FALSE())</f>
        <v>0</v>
      </c>
      <c r="I71" s="6" t="n">
        <f aca="false">VLOOKUP($A71,Day1!$A$1:$H$394,5,FALSE())</f>
        <v>0</v>
      </c>
      <c r="J71" s="6" t="n">
        <f aca="false">VLOOKUP($A71,Day1!$A$1:$H$394,6,FALSE())</f>
        <v>0</v>
      </c>
      <c r="K71" s="6" t="n">
        <f aca="false">VLOOKUP($A71,Day1!$A$1:$H$394,7,FALSE())</f>
        <v>0</v>
      </c>
      <c r="L71" s="8" t="n">
        <f aca="false">SUM(H71:K71)</f>
        <v>0</v>
      </c>
      <c r="M71" s="8" t="str">
        <f aca="false">ROMAN(RANK(L71,$L$4:$L$74,0))</f>
        <v>XLVI</v>
      </c>
    </row>
    <row r="72" customFormat="false" ht="15.75" hidden="false" customHeight="false" outlineLevel="0" collapsed="false">
      <c r="A72" s="6" t="n">
        <v>126654</v>
      </c>
      <c r="B72" s="6" t="s">
        <v>2269</v>
      </c>
      <c r="C72" s="6" t="s">
        <v>2207</v>
      </c>
      <c r="D72" s="6" t="s">
        <v>1964</v>
      </c>
      <c r="E72" s="6" t="s">
        <v>2323</v>
      </c>
      <c r="F72" s="6" t="s">
        <v>2271</v>
      </c>
      <c r="G72" s="6" t="s">
        <v>2225</v>
      </c>
      <c r="H72" s="6" t="n">
        <f aca="false">VLOOKUP($A72,Day1!$A$1:$H$394,4,FALSE())</f>
        <v>0</v>
      </c>
      <c r="I72" s="6" t="n">
        <f aca="false">VLOOKUP($A72,Day1!$A$1:$H$394,5,FALSE())</f>
        <v>0</v>
      </c>
      <c r="J72" s="6" t="n">
        <f aca="false">VLOOKUP($A72,Day1!$A$1:$H$394,6,FALSE())</f>
        <v>0</v>
      </c>
      <c r="K72" s="6" t="n">
        <f aca="false">VLOOKUP($A72,Day1!$A$1:$H$394,7,FALSE())</f>
        <v>0</v>
      </c>
      <c r="L72" s="8" t="n">
        <f aca="false">SUM(H72:K72)</f>
        <v>0</v>
      </c>
      <c r="M72" s="8" t="str">
        <f aca="false">ROMAN(RANK(L72,$L$4:$L$74,0))</f>
        <v>XLVI</v>
      </c>
    </row>
    <row r="73" customFormat="false" ht="15.75" hidden="false" customHeight="false" outlineLevel="0" collapsed="false">
      <c r="A73" s="6" t="n">
        <v>188093</v>
      </c>
      <c r="B73" s="6" t="s">
        <v>2269</v>
      </c>
      <c r="C73" s="6" t="s">
        <v>2219</v>
      </c>
      <c r="D73" s="6" t="s">
        <v>1912</v>
      </c>
      <c r="E73" s="6" t="s">
        <v>1610</v>
      </c>
      <c r="F73" s="6" t="s">
        <v>2271</v>
      </c>
      <c r="G73" s="6" t="s">
        <v>2209</v>
      </c>
      <c r="H73" s="6" t="n">
        <f aca="false">VLOOKUP($A73,Day1!$A$1:$H$394,4,FALSE())</f>
        <v>0</v>
      </c>
      <c r="I73" s="6" t="n">
        <f aca="false">VLOOKUP($A73,Day1!$A$1:$H$394,5,FALSE())</f>
        <v>0</v>
      </c>
      <c r="J73" s="6" t="n">
        <f aca="false">VLOOKUP($A73,Day1!$A$1:$H$394,6,FALSE())</f>
        <v>0</v>
      </c>
      <c r="K73" s="6" t="n">
        <f aca="false">VLOOKUP($A73,Day1!$A$1:$H$394,7,FALSE())</f>
        <v>0</v>
      </c>
      <c r="L73" s="8" t="n">
        <f aca="false">SUM(H73:K73)</f>
        <v>0</v>
      </c>
      <c r="M73" s="8" t="str">
        <f aca="false">ROMAN(RANK(L73,$L$4:$L$74,0))</f>
        <v>XLVI</v>
      </c>
    </row>
    <row r="74" customFormat="false" ht="15.75" hidden="false" customHeight="false" outlineLevel="0" collapsed="false">
      <c r="A74" s="6" t="n">
        <v>171678</v>
      </c>
      <c r="B74" s="6" t="s">
        <v>2269</v>
      </c>
      <c r="C74" s="6" t="s">
        <v>2247</v>
      </c>
      <c r="D74" s="6" t="s">
        <v>2064</v>
      </c>
      <c r="E74" s="6" t="s">
        <v>749</v>
      </c>
      <c r="F74" s="6" t="s">
        <v>2271</v>
      </c>
      <c r="G74" s="6" t="s">
        <v>2212</v>
      </c>
      <c r="H74" s="6" t="n">
        <f aca="false">VLOOKUP($A74,Day1!$A$1:$H$394,4,FALSE())</f>
        <v>0</v>
      </c>
      <c r="I74" s="6" t="n">
        <f aca="false">VLOOKUP($A74,Day1!$A$1:$H$394,5,FALSE())</f>
        <v>0</v>
      </c>
      <c r="J74" s="6" t="n">
        <f aca="false">VLOOKUP($A74,Day1!$A$1:$H$394,6,FALSE())</f>
        <v>0</v>
      </c>
      <c r="K74" s="6" t="n">
        <f aca="false">VLOOKUP($A74,Day1!$A$1:$H$394,7,FALSE())</f>
        <v>0</v>
      </c>
      <c r="L74" s="8" t="n">
        <f aca="false">SUM(H74:K74)</f>
        <v>0</v>
      </c>
      <c r="M74" s="8" t="str">
        <f aca="false">ROMAN(RANK(L74,$L$4:$L$74,0))</f>
        <v>XLVI</v>
      </c>
    </row>
    <row r="76" customFormat="false" ht="15.75" hidden="false" customHeight="false" outlineLevel="0" collapsed="false">
      <c r="A76" s="5" t="s">
        <v>2266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5.7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customFormat="false" ht="15.75" hidden="false" customHeight="false" outlineLevel="0" collapsed="false">
      <c r="A78" s="5" t="s">
        <v>2324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</sheetData>
  <mergeCells count="6">
    <mergeCell ref="A1:M1"/>
    <mergeCell ref="A2:B2"/>
    <mergeCell ref="J2:M2"/>
    <mergeCell ref="A76:L76"/>
    <mergeCell ref="A77:L77"/>
    <mergeCell ref="A78:L78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tru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.13"/>
    <col collapsed="false" customWidth="true" hidden="false" outlineLevel="0" max="3" min="3" style="0" width="33.63"/>
    <col collapsed="false" customWidth="true" hidden="false" outlineLevel="0" max="7" min="7" style="0" width="7.25"/>
    <col collapsed="false" customWidth="true" hidden="false" outlineLevel="0" max="12" min="8" style="0" width="7.5"/>
  </cols>
  <sheetData>
    <row r="1" customFormat="false" ht="15.75" hidden="false" customHeight="false" outlineLevel="0" collapsed="false">
      <c r="A1" s="3" t="s">
        <v>2187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.75" hidden="false" customHeight="false" outlineLevel="0" collapsed="false">
      <c r="A2" s="10" t="n">
        <v>46005</v>
      </c>
      <c r="B2" s="10"/>
      <c r="J2" s="11" t="s">
        <v>2325</v>
      </c>
      <c r="K2" s="11"/>
      <c r="L2" s="11"/>
      <c r="M2" s="11"/>
    </row>
    <row r="3" customFormat="false" ht="15.75" hidden="false" customHeight="false" outlineLevel="0" collapsed="false">
      <c r="A3" s="6" t="s">
        <v>2189</v>
      </c>
      <c r="B3" s="6" t="s">
        <v>2190</v>
      </c>
      <c r="C3" s="6" t="s">
        <v>2191</v>
      </c>
      <c r="D3" s="6" t="s">
        <v>2192</v>
      </c>
      <c r="E3" s="6" t="s">
        <v>2193</v>
      </c>
      <c r="F3" s="6" t="s">
        <v>2194</v>
      </c>
      <c r="G3" s="6" t="s">
        <v>2195</v>
      </c>
      <c r="H3" s="6" t="s">
        <v>2196</v>
      </c>
      <c r="I3" s="6" t="s">
        <v>2197</v>
      </c>
      <c r="J3" s="6" t="s">
        <v>2198</v>
      </c>
      <c r="K3" s="6" t="s">
        <v>2199</v>
      </c>
      <c r="L3" s="6" t="s">
        <v>2200</v>
      </c>
      <c r="M3" s="6" t="s">
        <v>2201</v>
      </c>
    </row>
    <row r="4" customFormat="false" ht="15.75" hidden="false" customHeight="false" outlineLevel="0" collapsed="false">
      <c r="A4" s="6" t="n">
        <v>186917</v>
      </c>
      <c r="B4" s="6" t="s">
        <v>2326</v>
      </c>
      <c r="C4" s="6" t="s">
        <v>2207</v>
      </c>
      <c r="D4" s="6" t="s">
        <v>170</v>
      </c>
      <c r="E4" s="6" t="s">
        <v>2313</v>
      </c>
      <c r="F4" s="6" t="s">
        <v>2327</v>
      </c>
      <c r="G4" s="6" t="s">
        <v>2206</v>
      </c>
      <c r="H4" s="6" t="n">
        <f aca="false">VLOOKUP($A4,Day2!$A$1:$H$400,4,FALSE())</f>
        <v>4</v>
      </c>
      <c r="I4" s="6" t="n">
        <f aca="false">VLOOKUP($A4,Day2!$A$1:$H$400,5,FALSE())</f>
        <v>0</v>
      </c>
      <c r="J4" s="6" t="n">
        <f aca="false">VLOOKUP($A4,Day2!$A$1:$H$400,6,FALSE())</f>
        <v>0</v>
      </c>
      <c r="K4" s="6" t="n">
        <f aca="false">VLOOKUP($A4,Day2!$A$1:$H$400,7,FALSE())</f>
        <v>0</v>
      </c>
      <c r="L4" s="8" t="n">
        <f aca="false">SUM(G4:K4)</f>
        <v>4</v>
      </c>
      <c r="M4" s="8" t="str">
        <f aca="false">ROMAN(RANK(L4,$L$4:$L$51,0))</f>
        <v>I</v>
      </c>
    </row>
    <row r="5" customFormat="false" ht="15.75" hidden="false" customHeight="false" outlineLevel="0" collapsed="false">
      <c r="A5" s="6" t="n">
        <v>174556</v>
      </c>
      <c r="B5" s="6" t="s">
        <v>2326</v>
      </c>
      <c r="C5" s="6" t="s">
        <v>2222</v>
      </c>
      <c r="D5" s="6" t="s">
        <v>184</v>
      </c>
      <c r="E5" s="6" t="s">
        <v>2328</v>
      </c>
      <c r="F5" s="6" t="s">
        <v>2327</v>
      </c>
      <c r="G5" s="6" t="s">
        <v>2209</v>
      </c>
      <c r="H5" s="6" t="n">
        <f aca="false">VLOOKUP($A5,Day2!$A$1:$H$400,4,FALSE())</f>
        <v>3</v>
      </c>
      <c r="I5" s="6" t="n">
        <f aca="false">VLOOKUP($A5,Day2!$A$1:$H$400,5,FALSE())</f>
        <v>0</v>
      </c>
      <c r="J5" s="6" t="n">
        <f aca="false">VLOOKUP($A5,Day2!$A$1:$H$400,6,FALSE())</f>
        <v>0</v>
      </c>
      <c r="K5" s="6" t="n">
        <f aca="false">VLOOKUP($A5,Day2!$A$1:$H$400,7,FALSE())</f>
        <v>0</v>
      </c>
      <c r="L5" s="8" t="n">
        <f aca="false">SUM(G5:K5)</f>
        <v>3</v>
      </c>
      <c r="M5" s="8" t="str">
        <f aca="false">ROMAN(RANK(L5,$L$4:$L$51,0))</f>
        <v>II</v>
      </c>
    </row>
    <row r="6" customFormat="false" ht="15.75" hidden="false" customHeight="false" outlineLevel="0" collapsed="false">
      <c r="A6" s="6" t="n">
        <v>192744</v>
      </c>
      <c r="B6" s="6" t="s">
        <v>2326</v>
      </c>
      <c r="C6" s="6" t="s">
        <v>2310</v>
      </c>
      <c r="D6" s="6" t="s">
        <v>167</v>
      </c>
      <c r="E6" s="6" t="s">
        <v>2329</v>
      </c>
      <c r="F6" s="6" t="s">
        <v>2327</v>
      </c>
      <c r="G6" s="6" t="s">
        <v>2212</v>
      </c>
      <c r="H6" s="6" t="n">
        <f aca="false">VLOOKUP($A6,Day2!$A$1:$H$400,4,FALSE())</f>
        <v>2</v>
      </c>
      <c r="I6" s="6" t="n">
        <f aca="false">VLOOKUP($A6,Day2!$A$1:$H$400,5,FALSE())</f>
        <v>0</v>
      </c>
      <c r="J6" s="6" t="n">
        <f aca="false">VLOOKUP($A6,Day2!$A$1:$H$400,6,FALSE())</f>
        <v>0</v>
      </c>
      <c r="K6" s="6" t="n">
        <f aca="false">VLOOKUP($A6,Day2!$A$1:$H$400,7,FALSE())</f>
        <v>0</v>
      </c>
      <c r="L6" s="8" t="n">
        <f aca="false">SUM(G6:K6)</f>
        <v>2</v>
      </c>
      <c r="M6" s="8" t="str">
        <f aca="false">ROMAN(RANK(L6,$L$4:$L$51,0))</f>
        <v>III</v>
      </c>
    </row>
    <row r="7" customFormat="false" ht="15.75" hidden="false" customHeight="false" outlineLevel="0" collapsed="false">
      <c r="A7" s="6" t="n">
        <v>188003</v>
      </c>
      <c r="B7" s="6" t="s">
        <v>2326</v>
      </c>
      <c r="C7" s="6" t="s">
        <v>2219</v>
      </c>
      <c r="D7" s="6" t="s">
        <v>44</v>
      </c>
      <c r="E7" s="6" t="s">
        <v>2330</v>
      </c>
      <c r="F7" s="6" t="s">
        <v>2327</v>
      </c>
      <c r="G7" s="6" t="s">
        <v>2209</v>
      </c>
      <c r="H7" s="6" t="n">
        <f aca="false">VLOOKUP($A7,Day2!$A$1:$H$400,4,FALSE())</f>
        <v>0</v>
      </c>
      <c r="I7" s="6" t="n">
        <f aca="false">VLOOKUP($A7,Day2!$A$1:$H$400,5,FALSE())</f>
        <v>0</v>
      </c>
      <c r="J7" s="6" t="n">
        <f aca="false">VLOOKUP($A7,Day2!$A$1:$H$400,6,FALSE())</f>
        <v>0</v>
      </c>
      <c r="K7" s="6" t="n">
        <f aca="false">VLOOKUP($A7,Day2!$A$1:$H$400,7,FALSE())</f>
        <v>0</v>
      </c>
      <c r="L7" s="8" t="n">
        <f aca="false">SUM(G7:K7)</f>
        <v>0</v>
      </c>
      <c r="M7" s="8" t="str">
        <f aca="false">ROMAN(RANK(L7,$L$4:$L$51,0))</f>
        <v>IV</v>
      </c>
    </row>
    <row r="8" customFormat="false" ht="15.75" hidden="false" customHeight="false" outlineLevel="0" collapsed="false">
      <c r="A8" s="6" t="n">
        <v>175004</v>
      </c>
      <c r="B8" s="6" t="s">
        <v>2326</v>
      </c>
      <c r="C8" s="6" t="s">
        <v>2261</v>
      </c>
      <c r="D8" s="6" t="s">
        <v>130</v>
      </c>
      <c r="E8" s="6" t="s">
        <v>764</v>
      </c>
      <c r="F8" s="6" t="s">
        <v>2327</v>
      </c>
      <c r="G8" s="6" t="s">
        <v>2212</v>
      </c>
      <c r="H8" s="6" t="n">
        <f aca="false">VLOOKUP($A8,Day2!$A$1:$H$400,4,FALSE())</f>
        <v>0</v>
      </c>
      <c r="I8" s="6" t="n">
        <f aca="false">VLOOKUP($A8,Day2!$A$1:$H$400,5,FALSE())</f>
        <v>0</v>
      </c>
      <c r="J8" s="6" t="n">
        <f aca="false">VLOOKUP($A8,Day2!$A$1:$H$400,6,FALSE())</f>
        <v>0</v>
      </c>
      <c r="K8" s="6" t="n">
        <f aca="false">VLOOKUP($A8,Day2!$A$1:$H$400,7,FALSE())</f>
        <v>0</v>
      </c>
      <c r="L8" s="8" t="n">
        <f aca="false">SUM(G8:K8)</f>
        <v>0</v>
      </c>
      <c r="M8" s="8" t="str">
        <f aca="false">ROMAN(RANK(L8,$L$4:$L$51,0))</f>
        <v>IV</v>
      </c>
    </row>
    <row r="9" customFormat="false" ht="15.75" hidden="false" customHeight="false" outlineLevel="0" collapsed="false">
      <c r="A9" s="6" t="n">
        <v>196042</v>
      </c>
      <c r="B9" s="6" t="s">
        <v>2326</v>
      </c>
      <c r="C9" s="6" t="s">
        <v>2203</v>
      </c>
      <c r="D9" s="6" t="s">
        <v>162</v>
      </c>
      <c r="E9" s="6" t="s">
        <v>2204</v>
      </c>
      <c r="F9" s="6" t="s">
        <v>2327</v>
      </c>
      <c r="G9" s="6" t="s">
        <v>2212</v>
      </c>
      <c r="H9" s="6" t="n">
        <f aca="false">VLOOKUP($A9,Day2!$A$1:$H$400,4,FALSE())</f>
        <v>0</v>
      </c>
      <c r="I9" s="6" t="n">
        <f aca="false">VLOOKUP($A9,Day2!$A$1:$H$400,5,FALSE())</f>
        <v>0</v>
      </c>
      <c r="J9" s="6" t="n">
        <f aca="false">VLOOKUP($A9,Day2!$A$1:$H$400,6,FALSE())</f>
        <v>0</v>
      </c>
      <c r="K9" s="6" t="n">
        <f aca="false">VLOOKUP($A9,Day2!$A$1:$H$400,7,FALSE())</f>
        <v>0</v>
      </c>
      <c r="L9" s="8" t="n">
        <f aca="false">SUM(G9:K9)</f>
        <v>0</v>
      </c>
      <c r="M9" s="8" t="str">
        <f aca="false">ROMAN(RANK(L9,$L$4:$L$51,0))</f>
        <v>IV</v>
      </c>
    </row>
    <row r="10" customFormat="false" ht="15.75" hidden="false" customHeight="false" outlineLevel="0" collapsed="false">
      <c r="A10" s="6" t="n">
        <v>88991</v>
      </c>
      <c r="B10" s="6" t="s">
        <v>2326</v>
      </c>
      <c r="C10" s="6" t="s">
        <v>2295</v>
      </c>
      <c r="D10" s="6" t="s">
        <v>17</v>
      </c>
      <c r="E10" s="6" t="s">
        <v>2331</v>
      </c>
      <c r="F10" s="6" t="s">
        <v>2327</v>
      </c>
      <c r="G10" s="6" t="s">
        <v>2209</v>
      </c>
      <c r="H10" s="6" t="n">
        <f aca="false">VLOOKUP($A10,Day2!$A$1:$H$400,4,FALSE())</f>
        <v>0</v>
      </c>
      <c r="I10" s="6" t="n">
        <f aca="false">VLOOKUP($A10,Day2!$A$1:$H$400,5,FALSE())</f>
        <v>0</v>
      </c>
      <c r="J10" s="6" t="n">
        <f aca="false">VLOOKUP($A10,Day2!$A$1:$H$400,6,FALSE())</f>
        <v>0</v>
      </c>
      <c r="K10" s="6" t="n">
        <f aca="false">VLOOKUP($A10,Day2!$A$1:$H$400,7,FALSE())</f>
        <v>0</v>
      </c>
      <c r="L10" s="8" t="n">
        <f aca="false">SUM(G10:K10)</f>
        <v>0</v>
      </c>
      <c r="M10" s="8" t="str">
        <f aca="false">ROMAN(RANK(L10,$L$4:$L$51,0))</f>
        <v>IV</v>
      </c>
    </row>
    <row r="11" customFormat="false" ht="15.75" hidden="false" customHeight="false" outlineLevel="0" collapsed="false">
      <c r="A11" s="6" t="n">
        <v>88997</v>
      </c>
      <c r="B11" s="6" t="s">
        <v>2326</v>
      </c>
      <c r="C11" s="6" t="s">
        <v>2295</v>
      </c>
      <c r="D11" s="6" t="s">
        <v>109</v>
      </c>
      <c r="E11" s="6" t="s">
        <v>2332</v>
      </c>
      <c r="F11" s="6" t="s">
        <v>2327</v>
      </c>
      <c r="G11" s="6" t="s">
        <v>2212</v>
      </c>
      <c r="H11" s="6" t="n">
        <f aca="false">VLOOKUP($A11,Day2!$A$1:$H$400,4,FALSE())</f>
        <v>0</v>
      </c>
      <c r="I11" s="6" t="n">
        <f aca="false">VLOOKUP($A11,Day2!$A$1:$H$400,5,FALSE())</f>
        <v>0</v>
      </c>
      <c r="J11" s="6" t="n">
        <f aca="false">VLOOKUP($A11,Day2!$A$1:$H$400,6,FALSE())</f>
        <v>0</v>
      </c>
      <c r="K11" s="6" t="n">
        <f aca="false">VLOOKUP($A11,Day2!$A$1:$H$400,7,FALSE())</f>
        <v>0</v>
      </c>
      <c r="L11" s="8" t="n">
        <f aca="false">SUM(G11:K11)</f>
        <v>0</v>
      </c>
      <c r="M11" s="8" t="str">
        <f aca="false">ROMAN(RANK(L11,$L$4:$L$51,0))</f>
        <v>IV</v>
      </c>
    </row>
    <row r="12" customFormat="false" ht="15.75" hidden="false" customHeight="false" outlineLevel="0" collapsed="false">
      <c r="A12" s="6" t="n">
        <v>124028</v>
      </c>
      <c r="B12" s="6" t="s">
        <v>2326</v>
      </c>
      <c r="C12" s="6" t="s">
        <v>2295</v>
      </c>
      <c r="D12" s="6" t="s">
        <v>29</v>
      </c>
      <c r="E12" s="6" t="s">
        <v>1011</v>
      </c>
      <c r="F12" s="6" t="s">
        <v>2327</v>
      </c>
      <c r="G12" s="6" t="s">
        <v>2212</v>
      </c>
      <c r="H12" s="6" t="n">
        <f aca="false">VLOOKUP($A12,Day2!$A$1:$H$400,4,FALSE())</f>
        <v>0</v>
      </c>
      <c r="I12" s="6" t="n">
        <f aca="false">VLOOKUP($A12,Day2!$A$1:$H$400,5,FALSE())</f>
        <v>0</v>
      </c>
      <c r="J12" s="6" t="n">
        <f aca="false">VLOOKUP($A12,Day2!$A$1:$H$400,6,FALSE())</f>
        <v>0</v>
      </c>
      <c r="K12" s="6" t="n">
        <f aca="false">VLOOKUP($A12,Day2!$A$1:$H$400,7,FALSE())</f>
        <v>0</v>
      </c>
      <c r="L12" s="8" t="n">
        <f aca="false">SUM(G12:K12)</f>
        <v>0</v>
      </c>
      <c r="M12" s="8" t="str">
        <f aca="false">ROMAN(RANK(L12,$L$4:$L$51,0))</f>
        <v>IV</v>
      </c>
    </row>
    <row r="13" customFormat="false" ht="15.75" hidden="false" customHeight="false" outlineLevel="0" collapsed="false">
      <c r="A13" s="6" t="n">
        <v>196638</v>
      </c>
      <c r="B13" s="6" t="s">
        <v>2326</v>
      </c>
      <c r="C13" s="6" t="s">
        <v>2210</v>
      </c>
      <c r="D13" s="6" t="s">
        <v>175</v>
      </c>
      <c r="E13" s="6" t="s">
        <v>1193</v>
      </c>
      <c r="F13" s="6" t="s">
        <v>2327</v>
      </c>
      <c r="G13" s="6" t="s">
        <v>2212</v>
      </c>
      <c r="H13" s="6" t="n">
        <f aca="false">VLOOKUP($A13,Day2!$A$1:$H$400,4,FALSE())</f>
        <v>0</v>
      </c>
      <c r="I13" s="6" t="n">
        <f aca="false">VLOOKUP($A13,Day2!$A$1:$H$400,5,FALSE())</f>
        <v>0</v>
      </c>
      <c r="J13" s="6" t="n">
        <f aca="false">VLOOKUP($A13,Day2!$A$1:$H$400,6,FALSE())</f>
        <v>0</v>
      </c>
      <c r="K13" s="6" t="n">
        <f aca="false">VLOOKUP($A13,Day2!$A$1:$H$400,7,FALSE())</f>
        <v>0</v>
      </c>
      <c r="L13" s="8" t="n">
        <f aca="false">SUM(G13:K13)</f>
        <v>0</v>
      </c>
      <c r="M13" s="8" t="str">
        <f aca="false">ROMAN(RANK(L13,$L$4:$L$51,0))</f>
        <v>IV</v>
      </c>
    </row>
    <row r="14" customFormat="false" ht="15.75" hidden="false" customHeight="false" outlineLevel="0" collapsed="false">
      <c r="A14" s="6" t="n">
        <v>83909</v>
      </c>
      <c r="B14" s="6" t="s">
        <v>2326</v>
      </c>
      <c r="C14" s="6" t="s">
        <v>2207</v>
      </c>
      <c r="D14" s="6" t="s">
        <v>11</v>
      </c>
      <c r="E14" s="6" t="s">
        <v>2300</v>
      </c>
      <c r="F14" s="6" t="s">
        <v>2327</v>
      </c>
      <c r="G14" s="6" t="s">
        <v>2225</v>
      </c>
      <c r="H14" s="6" t="n">
        <f aca="false">VLOOKUP($A14,Day2!$A$1:$H$400,4,FALSE())</f>
        <v>0</v>
      </c>
      <c r="I14" s="6" t="n">
        <f aca="false">VLOOKUP($A14,Day2!$A$1:$H$400,5,FALSE())</f>
        <v>0</v>
      </c>
      <c r="J14" s="6" t="n">
        <f aca="false">VLOOKUP($A14,Day2!$A$1:$H$400,6,FALSE())</f>
        <v>0</v>
      </c>
      <c r="K14" s="6" t="n">
        <f aca="false">VLOOKUP($A14,Day2!$A$1:$H$400,7,FALSE())</f>
        <v>0</v>
      </c>
      <c r="L14" s="8" t="n">
        <f aca="false">SUM(G14:K14)</f>
        <v>0</v>
      </c>
      <c r="M14" s="8" t="str">
        <f aca="false">ROMAN(RANK(L14,$L$4:$L$51,0))</f>
        <v>IV</v>
      </c>
    </row>
    <row r="15" customFormat="false" ht="15.75" hidden="false" customHeight="false" outlineLevel="0" collapsed="false">
      <c r="A15" s="6" t="n">
        <v>83920</v>
      </c>
      <c r="B15" s="6" t="s">
        <v>2326</v>
      </c>
      <c r="C15" s="6" t="s">
        <v>2207</v>
      </c>
      <c r="D15" s="6" t="s">
        <v>126</v>
      </c>
      <c r="E15" s="6" t="s">
        <v>2333</v>
      </c>
      <c r="F15" s="6" t="s">
        <v>2327</v>
      </c>
      <c r="G15" s="6" t="s">
        <v>2225</v>
      </c>
      <c r="H15" s="6" t="n">
        <f aca="false">VLOOKUP($A15,Day2!$A$1:$H$400,4,FALSE())</f>
        <v>0</v>
      </c>
      <c r="I15" s="6" t="n">
        <f aca="false">VLOOKUP($A15,Day2!$A$1:$H$400,5,FALSE())</f>
        <v>0</v>
      </c>
      <c r="J15" s="6" t="n">
        <f aca="false">VLOOKUP($A15,Day2!$A$1:$H$400,6,FALSE())</f>
        <v>0</v>
      </c>
      <c r="K15" s="6" t="n">
        <f aca="false">VLOOKUP($A15,Day2!$A$1:$H$400,7,FALSE())</f>
        <v>0</v>
      </c>
      <c r="L15" s="8" t="n">
        <f aca="false">SUM(G15:K15)</f>
        <v>0</v>
      </c>
      <c r="M15" s="8" t="str">
        <f aca="false">ROMAN(RANK(L15,$L$4:$L$51,0))</f>
        <v>IV</v>
      </c>
    </row>
    <row r="16" customFormat="false" ht="15.75" hidden="false" customHeight="false" outlineLevel="0" collapsed="false">
      <c r="A16" s="6" t="n">
        <v>83927</v>
      </c>
      <c r="B16" s="6" t="s">
        <v>2326</v>
      </c>
      <c r="C16" s="6" t="s">
        <v>2207</v>
      </c>
      <c r="D16" s="6" t="s">
        <v>20</v>
      </c>
      <c r="E16" s="6" t="s">
        <v>2334</v>
      </c>
      <c r="F16" s="6" t="s">
        <v>2327</v>
      </c>
      <c r="G16" s="6" t="s">
        <v>2225</v>
      </c>
      <c r="H16" s="6" t="n">
        <f aca="false">VLOOKUP($A16,Day2!$A$1:$H$400,4,FALSE())</f>
        <v>0</v>
      </c>
      <c r="I16" s="6" t="n">
        <f aca="false">VLOOKUP($A16,Day2!$A$1:$H$400,5,FALSE())</f>
        <v>0</v>
      </c>
      <c r="J16" s="6" t="n">
        <f aca="false">VLOOKUP($A16,Day2!$A$1:$H$400,6,FALSE())</f>
        <v>0</v>
      </c>
      <c r="K16" s="6" t="n">
        <f aca="false">VLOOKUP($A16,Day2!$A$1:$H$400,7,FALSE())</f>
        <v>0</v>
      </c>
      <c r="L16" s="8" t="n">
        <f aca="false">SUM(G16:K16)</f>
        <v>0</v>
      </c>
      <c r="M16" s="8" t="str">
        <f aca="false">ROMAN(RANK(L16,$L$4:$L$51,0))</f>
        <v>IV</v>
      </c>
    </row>
    <row r="17" customFormat="false" ht="15.75" hidden="false" customHeight="false" outlineLevel="0" collapsed="false">
      <c r="A17" s="6" t="n">
        <v>133280</v>
      </c>
      <c r="B17" s="6" t="s">
        <v>2326</v>
      </c>
      <c r="C17" s="6" t="s">
        <v>2207</v>
      </c>
      <c r="D17" s="6" t="s">
        <v>38</v>
      </c>
      <c r="E17" s="6" t="s">
        <v>2335</v>
      </c>
      <c r="F17" s="6" t="s">
        <v>2327</v>
      </c>
      <c r="G17" s="6" t="s">
        <v>2225</v>
      </c>
      <c r="H17" s="6" t="n">
        <f aca="false">VLOOKUP($A17,Day2!$A$1:$H$400,4,FALSE())</f>
        <v>0</v>
      </c>
      <c r="I17" s="6" t="n">
        <f aca="false">VLOOKUP($A17,Day2!$A$1:$H$400,5,FALSE())</f>
        <v>0</v>
      </c>
      <c r="J17" s="6" t="n">
        <f aca="false">VLOOKUP($A17,Day2!$A$1:$H$400,6,FALSE())</f>
        <v>0</v>
      </c>
      <c r="K17" s="6" t="n">
        <f aca="false">VLOOKUP($A17,Day2!$A$1:$H$400,7,FALSE())</f>
        <v>0</v>
      </c>
      <c r="L17" s="8" t="n">
        <f aca="false">SUM(G17:K17)</f>
        <v>0</v>
      </c>
      <c r="M17" s="8" t="str">
        <f aca="false">ROMAN(RANK(L17,$L$4:$L$51,0))</f>
        <v>IV</v>
      </c>
    </row>
    <row r="18" customFormat="false" ht="15.75" hidden="false" customHeight="false" outlineLevel="0" collapsed="false">
      <c r="A18" s="6" t="n">
        <v>166655</v>
      </c>
      <c r="B18" s="6" t="s">
        <v>2326</v>
      </c>
      <c r="C18" s="6" t="s">
        <v>2207</v>
      </c>
      <c r="D18" s="6" t="s">
        <v>2</v>
      </c>
      <c r="E18" s="6" t="s">
        <v>2336</v>
      </c>
      <c r="F18" s="6" t="s">
        <v>2327</v>
      </c>
      <c r="G18" s="6" t="s">
        <v>2206</v>
      </c>
      <c r="H18" s="6" t="n">
        <f aca="false">VLOOKUP($A18,Day2!$A$1:$H$400,4,FALSE())</f>
        <v>0</v>
      </c>
      <c r="I18" s="6" t="n">
        <f aca="false">VLOOKUP($A18,Day2!$A$1:$H$400,5,FALSE())</f>
        <v>0</v>
      </c>
      <c r="J18" s="6" t="n">
        <f aca="false">VLOOKUP($A18,Day2!$A$1:$H$400,6,FALSE())</f>
        <v>0</v>
      </c>
      <c r="K18" s="6" t="n">
        <f aca="false">VLOOKUP($A18,Day2!$A$1:$H$400,7,FALSE())</f>
        <v>0</v>
      </c>
      <c r="L18" s="8" t="n">
        <f aca="false">SUM(G18:K18)</f>
        <v>0</v>
      </c>
      <c r="M18" s="8" t="str">
        <f aca="false">ROMAN(RANK(L18,$L$4:$L$51,0))</f>
        <v>IV</v>
      </c>
    </row>
    <row r="19" customFormat="false" ht="15.75" hidden="false" customHeight="false" outlineLevel="0" collapsed="false">
      <c r="A19" s="6" t="n">
        <v>74043</v>
      </c>
      <c r="B19" s="6" t="s">
        <v>2326</v>
      </c>
      <c r="C19" s="6" t="s">
        <v>2222</v>
      </c>
      <c r="D19" s="6" t="s">
        <v>40</v>
      </c>
      <c r="E19" s="6" t="s">
        <v>2337</v>
      </c>
      <c r="F19" s="6" t="s">
        <v>2327</v>
      </c>
      <c r="G19" s="6" t="s">
        <v>2206</v>
      </c>
      <c r="H19" s="6" t="n">
        <f aca="false">VLOOKUP($A19,Day2!$A$1:$H$400,4,FALSE())</f>
        <v>0</v>
      </c>
      <c r="I19" s="6" t="n">
        <f aca="false">VLOOKUP($A19,Day2!$A$1:$H$400,5,FALSE())</f>
        <v>0</v>
      </c>
      <c r="J19" s="6" t="n">
        <f aca="false">VLOOKUP($A19,Day2!$A$1:$H$400,6,FALSE())</f>
        <v>0</v>
      </c>
      <c r="K19" s="6" t="n">
        <f aca="false">VLOOKUP($A19,Day2!$A$1:$H$400,7,FALSE())</f>
        <v>0</v>
      </c>
      <c r="L19" s="8" t="n">
        <f aca="false">SUM(G19:K19)</f>
        <v>0</v>
      </c>
      <c r="M19" s="8" t="str">
        <f aca="false">ROMAN(RANK(L19,$L$4:$L$51,0))</f>
        <v>IV</v>
      </c>
    </row>
    <row r="20" customFormat="false" ht="15.75" hidden="false" customHeight="false" outlineLevel="0" collapsed="false">
      <c r="A20" s="6" t="n">
        <v>74051</v>
      </c>
      <c r="B20" s="6" t="s">
        <v>2326</v>
      </c>
      <c r="C20" s="6" t="s">
        <v>2222</v>
      </c>
      <c r="D20" s="6" t="s">
        <v>23</v>
      </c>
      <c r="E20" s="6" t="s">
        <v>2338</v>
      </c>
      <c r="F20" s="6" t="s">
        <v>2327</v>
      </c>
      <c r="G20" s="6" t="s">
        <v>2212</v>
      </c>
      <c r="H20" s="6" t="n">
        <f aca="false">VLOOKUP($A20,Day2!$A$1:$H$400,4,FALSE())</f>
        <v>0</v>
      </c>
      <c r="I20" s="6" t="n">
        <f aca="false">VLOOKUP($A20,Day2!$A$1:$H$400,5,FALSE())</f>
        <v>0</v>
      </c>
      <c r="J20" s="6" t="n">
        <f aca="false">VLOOKUP($A20,Day2!$A$1:$H$400,6,FALSE())</f>
        <v>0</v>
      </c>
      <c r="K20" s="6" t="n">
        <f aca="false">VLOOKUP($A20,Day2!$A$1:$H$400,7,FALSE())</f>
        <v>0</v>
      </c>
      <c r="L20" s="8" t="n">
        <f aca="false">SUM(G20:K20)</f>
        <v>0</v>
      </c>
      <c r="M20" s="8" t="str">
        <f aca="false">ROMAN(RANK(L20,$L$4:$L$51,0))</f>
        <v>IV</v>
      </c>
    </row>
    <row r="21" customFormat="false" ht="15.75" hidden="false" customHeight="false" outlineLevel="0" collapsed="false">
      <c r="A21" s="6" t="n">
        <v>111753</v>
      </c>
      <c r="B21" s="6" t="s">
        <v>2326</v>
      </c>
      <c r="C21" s="6" t="s">
        <v>2257</v>
      </c>
      <c r="D21" s="6" t="s">
        <v>46</v>
      </c>
      <c r="E21" s="6" t="s">
        <v>2339</v>
      </c>
      <c r="F21" s="6" t="s">
        <v>2327</v>
      </c>
      <c r="G21" s="6" t="s">
        <v>2206</v>
      </c>
      <c r="H21" s="6" t="n">
        <f aca="false">VLOOKUP($A21,Day2!$A$1:$H$400,4,FALSE())</f>
        <v>0</v>
      </c>
      <c r="I21" s="6" t="n">
        <f aca="false">VLOOKUP($A21,Day2!$A$1:$H$400,5,FALSE())</f>
        <v>0</v>
      </c>
      <c r="J21" s="6" t="n">
        <f aca="false">VLOOKUP($A21,Day2!$A$1:$H$400,6,FALSE())</f>
        <v>0</v>
      </c>
      <c r="K21" s="6" t="n">
        <f aca="false">VLOOKUP($A21,Day2!$A$1:$H$400,7,FALSE())</f>
        <v>0</v>
      </c>
      <c r="L21" s="8" t="n">
        <f aca="false">SUM(G21:K21)</f>
        <v>0</v>
      </c>
      <c r="M21" s="8" t="str">
        <f aca="false">ROMAN(RANK(L21,$L$4:$L$51,0))</f>
        <v>IV</v>
      </c>
    </row>
    <row r="22" customFormat="false" ht="15.75" hidden="false" customHeight="false" outlineLevel="0" collapsed="false">
      <c r="A22" s="6" t="n">
        <v>223952</v>
      </c>
      <c r="B22" s="6" t="s">
        <v>2326</v>
      </c>
      <c r="C22" s="6" t="s">
        <v>2257</v>
      </c>
      <c r="D22" s="6" t="s">
        <v>101</v>
      </c>
      <c r="E22" s="6" t="s">
        <v>2317</v>
      </c>
      <c r="F22" s="6" t="s">
        <v>2327</v>
      </c>
      <c r="G22" s="6" t="s">
        <v>2212</v>
      </c>
      <c r="H22" s="6" t="n">
        <f aca="false">VLOOKUP($A22,Day2!$A$1:$H$400,4,FALSE())</f>
        <v>0</v>
      </c>
      <c r="I22" s="6" t="n">
        <f aca="false">VLOOKUP($A22,Day2!$A$1:$H$400,5,FALSE())</f>
        <v>0</v>
      </c>
      <c r="J22" s="6" t="n">
        <f aca="false">VLOOKUP($A22,Day2!$A$1:$H$400,6,FALSE())</f>
        <v>0</v>
      </c>
      <c r="K22" s="6" t="n">
        <f aca="false">VLOOKUP($A22,Day2!$A$1:$H$400,7,FALSE())</f>
        <v>0</v>
      </c>
      <c r="L22" s="8" t="n">
        <f aca="false">SUM(G22:K22)</f>
        <v>0</v>
      </c>
      <c r="M22" s="8" t="str">
        <f aca="false">ROMAN(RANK(L22,$L$4:$L$51,0))</f>
        <v>IV</v>
      </c>
    </row>
    <row r="23" customFormat="false" ht="15.75" hidden="false" customHeight="false" outlineLevel="0" collapsed="false">
      <c r="A23" s="6" t="n">
        <v>111570</v>
      </c>
      <c r="B23" s="6" t="s">
        <v>2326</v>
      </c>
      <c r="C23" s="6" t="s">
        <v>2215</v>
      </c>
      <c r="D23" s="6" t="s">
        <v>94</v>
      </c>
      <c r="E23" s="6" t="s">
        <v>2340</v>
      </c>
      <c r="F23" s="6" t="s">
        <v>2327</v>
      </c>
      <c r="G23" s="6" t="s">
        <v>2209</v>
      </c>
      <c r="H23" s="6" t="n">
        <f aca="false">VLOOKUP($A23,Day2!$A$1:$H$400,4,FALSE())</f>
        <v>0</v>
      </c>
      <c r="I23" s="6" t="n">
        <f aca="false">VLOOKUP($A23,Day2!$A$1:$H$400,5,FALSE())</f>
        <v>0</v>
      </c>
      <c r="J23" s="6" t="n">
        <f aca="false">VLOOKUP($A23,Day2!$A$1:$H$400,6,FALSE())</f>
        <v>0</v>
      </c>
      <c r="K23" s="6" t="n">
        <f aca="false">VLOOKUP($A23,Day2!$A$1:$H$400,7,FALSE())</f>
        <v>0</v>
      </c>
      <c r="L23" s="8" t="n">
        <f aca="false">SUM(G23:K23)</f>
        <v>0</v>
      </c>
      <c r="M23" s="8" t="str">
        <f aca="false">ROMAN(RANK(L23,$L$4:$L$51,0))</f>
        <v>IV</v>
      </c>
    </row>
    <row r="24" customFormat="false" ht="15.75" hidden="false" customHeight="false" outlineLevel="0" collapsed="false">
      <c r="A24" s="6" t="n">
        <v>181522</v>
      </c>
      <c r="B24" s="6" t="s">
        <v>2326</v>
      </c>
      <c r="C24" s="6" t="s">
        <v>2259</v>
      </c>
      <c r="D24" s="6" t="s">
        <v>51</v>
      </c>
      <c r="E24" s="6" t="s">
        <v>2341</v>
      </c>
      <c r="F24" s="6" t="s">
        <v>2327</v>
      </c>
      <c r="G24" s="6" t="s">
        <v>2209</v>
      </c>
      <c r="H24" s="6" t="n">
        <f aca="false">VLOOKUP($A24,Day2!$A$1:$H$400,4,FALSE())</f>
        <v>0</v>
      </c>
      <c r="I24" s="6" t="n">
        <f aca="false">VLOOKUP($A24,Day2!$A$1:$H$400,5,FALSE())</f>
        <v>0</v>
      </c>
      <c r="J24" s="6" t="n">
        <f aca="false">VLOOKUP($A24,Day2!$A$1:$H$400,6,FALSE())</f>
        <v>0</v>
      </c>
      <c r="K24" s="6" t="n">
        <f aca="false">VLOOKUP($A24,Day2!$A$1:$H$400,7,FALSE())</f>
        <v>0</v>
      </c>
      <c r="L24" s="8" t="n">
        <f aca="false">SUM(G24:K24)</f>
        <v>0</v>
      </c>
      <c r="M24" s="8" t="str">
        <f aca="false">ROMAN(RANK(L24,$L$4:$L$51,0))</f>
        <v>IV</v>
      </c>
    </row>
    <row r="25" customFormat="false" ht="15.75" hidden="false" customHeight="false" outlineLevel="0" collapsed="false">
      <c r="A25" s="6" t="n">
        <v>181525</v>
      </c>
      <c r="B25" s="6" t="s">
        <v>2326</v>
      </c>
      <c r="C25" s="6" t="s">
        <v>2259</v>
      </c>
      <c r="D25" s="6" t="s">
        <v>153</v>
      </c>
      <c r="E25" s="6" t="s">
        <v>2342</v>
      </c>
      <c r="F25" s="6" t="s">
        <v>2327</v>
      </c>
      <c r="G25" s="6" t="s">
        <v>2209</v>
      </c>
      <c r="H25" s="6" t="n">
        <f aca="false">VLOOKUP($A25,Day2!$A$1:$H$400,4,FALSE())</f>
        <v>0</v>
      </c>
      <c r="I25" s="6" t="n">
        <f aca="false">VLOOKUP($A25,Day2!$A$1:$H$400,5,FALSE())</f>
        <v>0</v>
      </c>
      <c r="J25" s="6" t="n">
        <f aca="false">VLOOKUP($A25,Day2!$A$1:$H$400,6,FALSE())</f>
        <v>0</v>
      </c>
      <c r="K25" s="6" t="n">
        <f aca="false">VLOOKUP($A25,Day2!$A$1:$H$400,7,FALSE())</f>
        <v>0</v>
      </c>
      <c r="L25" s="8" t="n">
        <f aca="false">SUM(G25:K25)</f>
        <v>0</v>
      </c>
      <c r="M25" s="8" t="str">
        <f aca="false">ROMAN(RANK(L25,$L$4:$L$51,0))</f>
        <v>IV</v>
      </c>
    </row>
    <row r="26" customFormat="false" ht="15.75" hidden="false" customHeight="false" outlineLevel="0" collapsed="false">
      <c r="A26" s="6" t="n">
        <v>112064</v>
      </c>
      <c r="B26" s="6" t="s">
        <v>2326</v>
      </c>
      <c r="C26" s="6" t="s">
        <v>2221</v>
      </c>
      <c r="D26" s="6" t="s">
        <v>25</v>
      </c>
      <c r="E26" s="6" t="s">
        <v>2343</v>
      </c>
      <c r="F26" s="6" t="s">
        <v>2327</v>
      </c>
      <c r="G26" s="6" t="s">
        <v>2212</v>
      </c>
      <c r="H26" s="6" t="n">
        <f aca="false">VLOOKUP($A26,Day2!$A$1:$H$400,4,FALSE())</f>
        <v>0</v>
      </c>
      <c r="I26" s="6" t="n">
        <f aca="false">VLOOKUP($A26,Day2!$A$1:$H$400,5,FALSE())</f>
        <v>0</v>
      </c>
      <c r="J26" s="6" t="n">
        <f aca="false">VLOOKUP($A26,Day2!$A$1:$H$400,6,FALSE())</f>
        <v>0</v>
      </c>
      <c r="K26" s="6" t="n">
        <f aca="false">VLOOKUP($A26,Day2!$A$1:$H$400,7,FALSE())</f>
        <v>0</v>
      </c>
      <c r="L26" s="8" t="n">
        <f aca="false">SUM(G26:K26)</f>
        <v>0</v>
      </c>
      <c r="M26" s="8" t="str">
        <f aca="false">ROMAN(RANK(L26,$L$4:$L$51,0))</f>
        <v>IV</v>
      </c>
    </row>
    <row r="27" customFormat="false" ht="15.75" hidden="false" customHeight="false" outlineLevel="0" collapsed="false">
      <c r="A27" s="6" t="n">
        <v>74053</v>
      </c>
      <c r="B27" s="6" t="s">
        <v>2326</v>
      </c>
      <c r="C27" s="6" t="s">
        <v>2222</v>
      </c>
      <c r="D27" s="6" t="s">
        <v>123</v>
      </c>
      <c r="E27" s="6" t="s">
        <v>2344</v>
      </c>
      <c r="F27" s="6" t="s">
        <v>2327</v>
      </c>
      <c r="G27" s="6" t="s">
        <v>2212</v>
      </c>
      <c r="H27" s="6" t="n">
        <f aca="false">VLOOKUP($A27,Day2!$A$1:$H$400,4,FALSE())</f>
        <v>0</v>
      </c>
      <c r="I27" s="6" t="n">
        <f aca="false">VLOOKUP($A27,Day2!$A$1:$H$400,5,FALSE())</f>
        <v>0</v>
      </c>
      <c r="J27" s="6" t="n">
        <f aca="false">VLOOKUP($A27,Day2!$A$1:$H$400,6,FALSE())</f>
        <v>0</v>
      </c>
      <c r="K27" s="6" t="n">
        <f aca="false">VLOOKUP($A27,Day2!$A$1:$H$400,7,FALSE())</f>
        <v>0</v>
      </c>
      <c r="L27" s="8" t="n">
        <f aca="false">SUM(G27:K27)</f>
        <v>0</v>
      </c>
      <c r="M27" s="8" t="str">
        <f aca="false">ROMAN(RANK(L27,$L$4:$L$51,0))</f>
        <v>IV</v>
      </c>
    </row>
    <row r="28" customFormat="false" ht="15.75" hidden="false" customHeight="false" outlineLevel="0" collapsed="false">
      <c r="A28" s="6" t="n">
        <v>187530</v>
      </c>
      <c r="B28" s="6" t="s">
        <v>2326</v>
      </c>
      <c r="C28" s="6" t="s">
        <v>2222</v>
      </c>
      <c r="D28" s="6" t="s">
        <v>63</v>
      </c>
      <c r="E28" s="6" t="s">
        <v>2345</v>
      </c>
      <c r="F28" s="6" t="s">
        <v>2327</v>
      </c>
      <c r="G28" s="6" t="s">
        <v>2225</v>
      </c>
      <c r="H28" s="6" t="n">
        <f aca="false">VLOOKUP($A28,Day2!$A$1:$H$400,4,FALSE())</f>
        <v>0</v>
      </c>
      <c r="I28" s="6" t="n">
        <f aca="false">VLOOKUP($A28,Day2!$A$1:$H$400,5,FALSE())</f>
        <v>0</v>
      </c>
      <c r="J28" s="6" t="n">
        <f aca="false">VLOOKUP($A28,Day2!$A$1:$H$400,6,FALSE())</f>
        <v>0</v>
      </c>
      <c r="K28" s="6" t="n">
        <f aca="false">VLOOKUP($A28,Day2!$A$1:$H$400,7,FALSE())</f>
        <v>0</v>
      </c>
      <c r="L28" s="8" t="n">
        <f aca="false">SUM(G28:K28)</f>
        <v>0</v>
      </c>
      <c r="M28" s="8" t="str">
        <f aca="false">ROMAN(RANK(L28,$L$4:$L$51,0))</f>
        <v>IV</v>
      </c>
    </row>
    <row r="29" customFormat="false" ht="15.75" hidden="false" customHeight="false" outlineLevel="0" collapsed="false">
      <c r="A29" s="6" t="n">
        <v>220595</v>
      </c>
      <c r="B29" s="6" t="s">
        <v>2326</v>
      </c>
      <c r="C29" s="6" t="s">
        <v>2222</v>
      </c>
      <c r="D29" s="6" t="s">
        <v>48</v>
      </c>
      <c r="E29" s="6" t="s">
        <v>2346</v>
      </c>
      <c r="F29" s="6" t="s">
        <v>2327</v>
      </c>
      <c r="G29" s="6" t="s">
        <v>2206</v>
      </c>
      <c r="H29" s="6" t="n">
        <f aca="false">VLOOKUP($A29,Day2!$A$1:$H$400,4,FALSE())</f>
        <v>0</v>
      </c>
      <c r="I29" s="6" t="n">
        <f aca="false">VLOOKUP($A29,Day2!$A$1:$H$400,5,FALSE())</f>
        <v>0</v>
      </c>
      <c r="J29" s="6" t="n">
        <f aca="false">VLOOKUP($A29,Day2!$A$1:$H$400,6,FALSE())</f>
        <v>0</v>
      </c>
      <c r="K29" s="6" t="n">
        <f aca="false">VLOOKUP($A29,Day2!$A$1:$H$400,7,FALSE())</f>
        <v>0</v>
      </c>
      <c r="L29" s="8" t="n">
        <f aca="false">SUM(G29:K29)</f>
        <v>0</v>
      </c>
      <c r="M29" s="8" t="str">
        <f aca="false">ROMAN(RANK(L29,$L$4:$L$51,0))</f>
        <v>IV</v>
      </c>
    </row>
    <row r="30" customFormat="false" ht="15.75" hidden="false" customHeight="false" outlineLevel="0" collapsed="false">
      <c r="A30" s="6" t="n">
        <v>222710</v>
      </c>
      <c r="B30" s="6" t="s">
        <v>2326</v>
      </c>
      <c r="C30" s="6" t="s">
        <v>2222</v>
      </c>
      <c r="D30" s="6" t="s">
        <v>58</v>
      </c>
      <c r="E30" s="6" t="s">
        <v>2347</v>
      </c>
      <c r="F30" s="6" t="s">
        <v>2327</v>
      </c>
      <c r="G30" s="6" t="s">
        <v>2225</v>
      </c>
      <c r="H30" s="6" t="n">
        <f aca="false">VLOOKUP($A30,Day2!$A$1:$H$400,4,FALSE())</f>
        <v>0</v>
      </c>
      <c r="I30" s="6" t="n">
        <f aca="false">VLOOKUP($A30,Day2!$A$1:$H$400,5,FALSE())</f>
        <v>0</v>
      </c>
      <c r="J30" s="6" t="n">
        <f aca="false">VLOOKUP($A30,Day2!$A$1:$H$400,6,FALSE())</f>
        <v>0</v>
      </c>
      <c r="K30" s="6" t="n">
        <f aca="false">VLOOKUP($A30,Day2!$A$1:$H$400,7,FALSE())</f>
        <v>0</v>
      </c>
      <c r="L30" s="8" t="n">
        <f aca="false">SUM(G30:K30)</f>
        <v>0</v>
      </c>
      <c r="M30" s="8" t="str">
        <f aca="false">ROMAN(RANK(L30,$L$4:$L$51,0))</f>
        <v>IV</v>
      </c>
    </row>
    <row r="31" customFormat="false" ht="15.75" hidden="false" customHeight="false" outlineLevel="0" collapsed="false">
      <c r="A31" s="6" t="n">
        <v>223462</v>
      </c>
      <c r="B31" s="6" t="s">
        <v>2326</v>
      </c>
      <c r="C31" s="6" t="s">
        <v>2222</v>
      </c>
      <c r="D31" s="6" t="s">
        <v>29</v>
      </c>
      <c r="E31" s="6" t="s">
        <v>2348</v>
      </c>
      <c r="F31" s="6" t="s">
        <v>2327</v>
      </c>
      <c r="G31" s="6" t="s">
        <v>2212</v>
      </c>
      <c r="H31" s="6" t="n">
        <f aca="false">VLOOKUP($A31,Day2!$A$1:$H$400,4,FALSE())</f>
        <v>0</v>
      </c>
      <c r="I31" s="6" t="n">
        <f aca="false">VLOOKUP($A31,Day2!$A$1:$H$400,5,FALSE())</f>
        <v>0</v>
      </c>
      <c r="J31" s="6" t="n">
        <f aca="false">VLOOKUP($A31,Day2!$A$1:$H$400,6,FALSE())</f>
        <v>0</v>
      </c>
      <c r="K31" s="6" t="n">
        <f aca="false">VLOOKUP($A31,Day2!$A$1:$H$400,7,FALSE())</f>
        <v>0</v>
      </c>
      <c r="L31" s="8" t="n">
        <f aca="false">SUM(G31:K31)</f>
        <v>0</v>
      </c>
      <c r="M31" s="8" t="str">
        <f aca="false">ROMAN(RANK(L31,$L$4:$L$51,0))</f>
        <v>IV</v>
      </c>
    </row>
    <row r="32" customFormat="false" ht="15.75" hidden="false" customHeight="false" outlineLevel="0" collapsed="false">
      <c r="A32" s="6" t="n">
        <v>113065</v>
      </c>
      <c r="B32" s="6" t="s">
        <v>2326</v>
      </c>
      <c r="C32" s="6" t="s">
        <v>2302</v>
      </c>
      <c r="D32" s="6" t="s">
        <v>145</v>
      </c>
      <c r="E32" s="6" t="s">
        <v>1170</v>
      </c>
      <c r="F32" s="6" t="s">
        <v>2327</v>
      </c>
      <c r="G32" s="6" t="s">
        <v>2209</v>
      </c>
      <c r="H32" s="6" t="n">
        <f aca="false">VLOOKUP($A32,Day2!$A$1:$H$400,4,FALSE())</f>
        <v>0</v>
      </c>
      <c r="I32" s="6" t="n">
        <f aca="false">VLOOKUP($A32,Day2!$A$1:$H$400,5,FALSE())</f>
        <v>0</v>
      </c>
      <c r="J32" s="6" t="n">
        <f aca="false">VLOOKUP($A32,Day2!$A$1:$H$400,6,FALSE())</f>
        <v>0</v>
      </c>
      <c r="K32" s="6" t="n">
        <f aca="false">VLOOKUP($A32,Day2!$A$1:$H$400,7,FALSE())</f>
        <v>0</v>
      </c>
      <c r="L32" s="8" t="n">
        <f aca="false">SUM(G32:K32)</f>
        <v>0</v>
      </c>
      <c r="M32" s="8" t="str">
        <f aca="false">ROMAN(RANK(L32,$L$4:$L$51,0))</f>
        <v>IV</v>
      </c>
    </row>
    <row r="33" customFormat="false" ht="15.75" hidden="false" customHeight="false" outlineLevel="0" collapsed="false">
      <c r="A33" s="6" t="n">
        <v>141476</v>
      </c>
      <c r="B33" s="6" t="s">
        <v>2326</v>
      </c>
      <c r="C33" s="6" t="s">
        <v>2227</v>
      </c>
      <c r="D33" s="6" t="s">
        <v>35</v>
      </c>
      <c r="E33" s="6" t="s">
        <v>2349</v>
      </c>
      <c r="F33" s="6" t="s">
        <v>2327</v>
      </c>
      <c r="G33" s="6" t="s">
        <v>2212</v>
      </c>
      <c r="H33" s="6" t="n">
        <f aca="false">VLOOKUP($A33,Day2!$A$1:$H$400,4,FALSE())</f>
        <v>0</v>
      </c>
      <c r="I33" s="6" t="n">
        <f aca="false">VLOOKUP($A33,Day2!$A$1:$H$400,5,FALSE())</f>
        <v>0</v>
      </c>
      <c r="J33" s="6" t="n">
        <f aca="false">VLOOKUP($A33,Day2!$A$1:$H$400,6,FALSE())</f>
        <v>0</v>
      </c>
      <c r="K33" s="6" t="n">
        <f aca="false">VLOOKUP($A33,Day2!$A$1:$H$400,7,FALSE())</f>
        <v>0</v>
      </c>
      <c r="L33" s="8" t="n">
        <f aca="false">SUM(G33:K33)</f>
        <v>0</v>
      </c>
      <c r="M33" s="8" t="str">
        <f aca="false">ROMAN(RANK(L33,$L$4:$L$51,0))</f>
        <v>IV</v>
      </c>
    </row>
    <row r="34" customFormat="false" ht="15.75" hidden="false" customHeight="false" outlineLevel="0" collapsed="false">
      <c r="A34" s="6" t="n">
        <v>109722</v>
      </c>
      <c r="B34" s="6" t="s">
        <v>2326</v>
      </c>
      <c r="C34" s="6" t="s">
        <v>2263</v>
      </c>
      <c r="D34" s="6" t="s">
        <v>44</v>
      </c>
      <c r="E34" s="6" t="s">
        <v>2350</v>
      </c>
      <c r="F34" s="6" t="s">
        <v>2327</v>
      </c>
      <c r="G34" s="6" t="s">
        <v>2212</v>
      </c>
      <c r="H34" s="6" t="n">
        <f aca="false">VLOOKUP($A34,Day2!$A$1:$H$400,4,FALSE())</f>
        <v>0</v>
      </c>
      <c r="I34" s="6" t="n">
        <f aca="false">VLOOKUP($A34,Day2!$A$1:$H$400,5,FALSE())</f>
        <v>0</v>
      </c>
      <c r="J34" s="6" t="n">
        <f aca="false">VLOOKUP($A34,Day2!$A$1:$H$400,6,FALSE())</f>
        <v>0</v>
      </c>
      <c r="K34" s="6" t="n">
        <f aca="false">VLOOKUP($A34,Day2!$A$1:$H$400,7,FALSE())</f>
        <v>0</v>
      </c>
      <c r="L34" s="8" t="n">
        <f aca="false">SUM(G34:K34)</f>
        <v>0</v>
      </c>
      <c r="M34" s="8" t="str">
        <f aca="false">ROMAN(RANK(L34,$L$4:$L$51,0))</f>
        <v>IV</v>
      </c>
    </row>
    <row r="35" customFormat="false" ht="15.75" hidden="false" customHeight="false" outlineLevel="0" collapsed="false">
      <c r="A35" s="6" t="n">
        <v>138766</v>
      </c>
      <c r="B35" s="6" t="s">
        <v>2326</v>
      </c>
      <c r="C35" s="6" t="s">
        <v>2263</v>
      </c>
      <c r="D35" s="6" t="s">
        <v>68</v>
      </c>
      <c r="E35" s="6" t="s">
        <v>2351</v>
      </c>
      <c r="F35" s="6" t="s">
        <v>2327</v>
      </c>
      <c r="G35" s="6" t="s">
        <v>2212</v>
      </c>
      <c r="H35" s="6" t="n">
        <f aca="false">VLOOKUP($A35,Day2!$A$1:$H$400,4,FALSE())</f>
        <v>0</v>
      </c>
      <c r="I35" s="6" t="n">
        <f aca="false">VLOOKUP($A35,Day2!$A$1:$H$400,5,FALSE())</f>
        <v>0</v>
      </c>
      <c r="J35" s="6" t="n">
        <f aca="false">VLOOKUP($A35,Day2!$A$1:$H$400,6,FALSE())</f>
        <v>0</v>
      </c>
      <c r="K35" s="6" t="n">
        <f aca="false">VLOOKUP($A35,Day2!$A$1:$H$400,7,FALSE())</f>
        <v>0</v>
      </c>
      <c r="L35" s="8" t="n">
        <f aca="false">SUM(G35:K35)</f>
        <v>0</v>
      </c>
      <c r="M35" s="8" t="str">
        <f aca="false">ROMAN(RANK(L35,$L$4:$L$51,0))</f>
        <v>IV</v>
      </c>
    </row>
    <row r="36" customFormat="false" ht="15.75" hidden="false" customHeight="false" outlineLevel="0" collapsed="false">
      <c r="A36" s="6" t="n">
        <v>111331</v>
      </c>
      <c r="B36" s="6" t="s">
        <v>2326</v>
      </c>
      <c r="C36" s="6" t="s">
        <v>2265</v>
      </c>
      <c r="D36" s="6" t="s">
        <v>120</v>
      </c>
      <c r="E36" s="6" t="s">
        <v>2352</v>
      </c>
      <c r="F36" s="6" t="s">
        <v>2327</v>
      </c>
      <c r="G36" s="6" t="s">
        <v>2209</v>
      </c>
      <c r="H36" s="6" t="n">
        <f aca="false">VLOOKUP($A36,Day2!$A$1:$H$400,4,FALSE())</f>
        <v>0</v>
      </c>
      <c r="I36" s="6" t="n">
        <f aca="false">VLOOKUP($A36,Day2!$A$1:$H$400,5,FALSE())</f>
        <v>0</v>
      </c>
      <c r="J36" s="6" t="n">
        <f aca="false">VLOOKUP($A36,Day2!$A$1:$H$400,6,FALSE())</f>
        <v>0</v>
      </c>
      <c r="K36" s="6" t="n">
        <f aca="false">VLOOKUP($A36,Day2!$A$1:$H$400,7,FALSE())</f>
        <v>0</v>
      </c>
      <c r="L36" s="8" t="n">
        <f aca="false">SUM(G36:K36)</f>
        <v>0</v>
      </c>
      <c r="M36" s="8" t="str">
        <f aca="false">ROMAN(RANK(L36,$L$4:$L$51,0))</f>
        <v>IV</v>
      </c>
    </row>
    <row r="37" customFormat="false" ht="15.75" hidden="false" customHeight="false" outlineLevel="0" collapsed="false">
      <c r="A37" s="6" t="n">
        <v>95427</v>
      </c>
      <c r="B37" s="6" t="s">
        <v>2326</v>
      </c>
      <c r="C37" s="6" t="s">
        <v>2222</v>
      </c>
      <c r="D37" s="6" t="s">
        <v>133</v>
      </c>
      <c r="E37" s="6" t="s">
        <v>2228</v>
      </c>
      <c r="F37" s="6" t="s">
        <v>2327</v>
      </c>
      <c r="G37" s="6" t="s">
        <v>2212</v>
      </c>
      <c r="H37" s="6" t="n">
        <f aca="false">VLOOKUP($A37,Day2!$A$1:$H$400,4,FALSE())</f>
        <v>0</v>
      </c>
      <c r="I37" s="6" t="n">
        <f aca="false">VLOOKUP($A37,Day2!$A$1:$H$400,5,FALSE())</f>
        <v>0</v>
      </c>
      <c r="J37" s="6" t="n">
        <f aca="false">VLOOKUP($A37,Day2!$A$1:$H$400,6,FALSE())</f>
        <v>0</v>
      </c>
      <c r="K37" s="6" t="n">
        <f aca="false">VLOOKUP($A37,Day2!$A$1:$H$400,7,FALSE())</f>
        <v>0</v>
      </c>
      <c r="L37" s="8" t="n">
        <f aca="false">SUM(G37:K37)</f>
        <v>0</v>
      </c>
      <c r="M37" s="8" t="str">
        <f aca="false">ROMAN(RANK(L37,$L$4:$L$51,0))</f>
        <v>IV</v>
      </c>
    </row>
    <row r="38" customFormat="false" ht="15.75" hidden="false" customHeight="false" outlineLevel="0" collapsed="false">
      <c r="A38" s="6" t="n">
        <v>165616</v>
      </c>
      <c r="B38" s="6" t="s">
        <v>2326</v>
      </c>
      <c r="C38" s="6" t="s">
        <v>2277</v>
      </c>
      <c r="D38" s="6" t="s">
        <v>54</v>
      </c>
      <c r="E38" s="6" t="s">
        <v>25</v>
      </c>
      <c r="F38" s="6" t="s">
        <v>2327</v>
      </c>
      <c r="G38" s="6" t="s">
        <v>2212</v>
      </c>
      <c r="H38" s="6" t="n">
        <f aca="false">VLOOKUP($A38,Day2!$A$1:$H$400,4,FALSE())</f>
        <v>0</v>
      </c>
      <c r="I38" s="6" t="n">
        <f aca="false">VLOOKUP($A38,Day2!$A$1:$H$400,5,FALSE())</f>
        <v>0</v>
      </c>
      <c r="J38" s="6" t="n">
        <f aca="false">VLOOKUP($A38,Day2!$A$1:$H$400,6,FALSE())</f>
        <v>0</v>
      </c>
      <c r="K38" s="6" t="n">
        <f aca="false">VLOOKUP($A38,Day2!$A$1:$H$400,7,FALSE())</f>
        <v>0</v>
      </c>
      <c r="L38" s="8" t="n">
        <f aca="false">SUM(G38:K38)</f>
        <v>0</v>
      </c>
      <c r="M38" s="8" t="str">
        <f aca="false">ROMAN(RANK(L38,$L$4:$L$51,0))</f>
        <v>IV</v>
      </c>
    </row>
    <row r="39" customFormat="false" ht="15.75" hidden="false" customHeight="false" outlineLevel="0" collapsed="false">
      <c r="A39" s="6" t="n">
        <v>165643</v>
      </c>
      <c r="B39" s="6" t="s">
        <v>2326</v>
      </c>
      <c r="C39" s="6" t="s">
        <v>2277</v>
      </c>
      <c r="D39" s="6" t="s">
        <v>42</v>
      </c>
      <c r="E39" s="6" t="s">
        <v>2353</v>
      </c>
      <c r="F39" s="6" t="s">
        <v>2327</v>
      </c>
      <c r="G39" s="6" t="s">
        <v>2209</v>
      </c>
      <c r="H39" s="6" t="n">
        <f aca="false">VLOOKUP($A39,Day2!$A$1:$H$400,4,FALSE())</f>
        <v>0</v>
      </c>
      <c r="I39" s="6" t="n">
        <f aca="false">VLOOKUP($A39,Day2!$A$1:$H$400,5,FALSE())</f>
        <v>0</v>
      </c>
      <c r="J39" s="6" t="n">
        <f aca="false">VLOOKUP($A39,Day2!$A$1:$H$400,6,FALSE())</f>
        <v>0</v>
      </c>
      <c r="K39" s="6" t="n">
        <f aca="false">VLOOKUP($A39,Day2!$A$1:$H$400,7,FALSE())</f>
        <v>0</v>
      </c>
      <c r="L39" s="8" t="n">
        <f aca="false">SUM(G39:K39)</f>
        <v>0</v>
      </c>
      <c r="M39" s="8" t="str">
        <f aca="false">ROMAN(RANK(L39,$L$4:$L$51,0))</f>
        <v>IV</v>
      </c>
    </row>
    <row r="40" customFormat="false" ht="15.75" hidden="false" customHeight="false" outlineLevel="0" collapsed="false">
      <c r="A40" s="6" t="n">
        <v>186793</v>
      </c>
      <c r="B40" s="6" t="s">
        <v>2326</v>
      </c>
      <c r="C40" s="6" t="s">
        <v>2277</v>
      </c>
      <c r="D40" s="6" t="s">
        <v>79</v>
      </c>
      <c r="E40" s="6" t="s">
        <v>2354</v>
      </c>
      <c r="F40" s="6" t="s">
        <v>2327</v>
      </c>
      <c r="G40" s="6" t="s">
        <v>2209</v>
      </c>
      <c r="H40" s="6" t="n">
        <f aca="false">VLOOKUP($A40,Day2!$A$1:$H$400,4,FALSE())</f>
        <v>0</v>
      </c>
      <c r="I40" s="6" t="n">
        <f aca="false">VLOOKUP($A40,Day2!$A$1:$H$400,5,FALSE())</f>
        <v>0</v>
      </c>
      <c r="J40" s="6" t="n">
        <f aca="false">VLOOKUP($A40,Day2!$A$1:$H$400,6,FALSE())</f>
        <v>0</v>
      </c>
      <c r="K40" s="6" t="n">
        <f aca="false">VLOOKUP($A40,Day2!$A$1:$H$400,7,FALSE())</f>
        <v>0</v>
      </c>
      <c r="L40" s="8" t="n">
        <f aca="false">SUM(G40:K40)</f>
        <v>0</v>
      </c>
      <c r="M40" s="8" t="str">
        <f aca="false">ROMAN(RANK(L40,$L$4:$L$51,0))</f>
        <v>IV</v>
      </c>
    </row>
    <row r="41" customFormat="false" ht="15.75" hidden="false" customHeight="false" outlineLevel="0" collapsed="false">
      <c r="A41" s="6" t="n">
        <v>109847</v>
      </c>
      <c r="B41" s="6" t="s">
        <v>2326</v>
      </c>
      <c r="C41" s="6" t="s">
        <v>2290</v>
      </c>
      <c r="D41" s="6" t="s">
        <v>51</v>
      </c>
      <c r="E41" s="6" t="s">
        <v>375</v>
      </c>
      <c r="F41" s="6" t="s">
        <v>2327</v>
      </c>
      <c r="G41" s="6" t="s">
        <v>2212</v>
      </c>
      <c r="H41" s="6" t="n">
        <f aca="false">VLOOKUP($A41,Day2!$A$1:$H$400,4,FALSE())</f>
        <v>0</v>
      </c>
      <c r="I41" s="6" t="n">
        <f aca="false">VLOOKUP($A41,Day2!$A$1:$H$400,5,FALSE())</f>
        <v>0</v>
      </c>
      <c r="J41" s="6" t="n">
        <f aca="false">VLOOKUP($A41,Day2!$A$1:$H$400,6,FALSE())</f>
        <v>0</v>
      </c>
      <c r="K41" s="6" t="n">
        <f aca="false">VLOOKUP($A41,Day2!$A$1:$H$400,7,FALSE())</f>
        <v>0</v>
      </c>
      <c r="L41" s="8" t="n">
        <f aca="false">SUM(G41:K41)</f>
        <v>0</v>
      </c>
      <c r="M41" s="8" t="str">
        <f aca="false">ROMAN(RANK(L41,$L$4:$L$51,0))</f>
        <v>IV</v>
      </c>
    </row>
    <row r="42" customFormat="false" ht="15.75" hidden="false" customHeight="false" outlineLevel="0" collapsed="false">
      <c r="A42" s="6" t="n">
        <v>125987</v>
      </c>
      <c r="B42" s="6" t="s">
        <v>2326</v>
      </c>
      <c r="C42" s="6" t="s">
        <v>2253</v>
      </c>
      <c r="D42" s="6" t="s">
        <v>97</v>
      </c>
      <c r="E42" s="6" t="s">
        <v>2355</v>
      </c>
      <c r="F42" s="6" t="s">
        <v>2327</v>
      </c>
      <c r="G42" s="6" t="s">
        <v>2209</v>
      </c>
      <c r="H42" s="6" t="n">
        <f aca="false">VLOOKUP($A42,Day2!$A$1:$H$400,4,FALSE())</f>
        <v>0</v>
      </c>
      <c r="I42" s="6" t="n">
        <f aca="false">VLOOKUP($A42,Day2!$A$1:$H$400,5,FALSE())</f>
        <v>0</v>
      </c>
      <c r="J42" s="6" t="n">
        <f aca="false">VLOOKUP($A42,Day2!$A$1:$H$400,6,FALSE())</f>
        <v>0</v>
      </c>
      <c r="K42" s="6" t="n">
        <f aca="false">VLOOKUP($A42,Day2!$A$1:$H$400,7,FALSE())</f>
        <v>0</v>
      </c>
      <c r="L42" s="8" t="n">
        <f aca="false">SUM(G42:K42)</f>
        <v>0</v>
      </c>
      <c r="M42" s="8" t="str">
        <f aca="false">ROMAN(RANK(L42,$L$4:$L$51,0))</f>
        <v>IV</v>
      </c>
    </row>
    <row r="43" customFormat="false" ht="15.75" hidden="false" customHeight="false" outlineLevel="0" collapsed="false">
      <c r="A43" s="6" t="n">
        <v>115699</v>
      </c>
      <c r="B43" s="6" t="s">
        <v>2326</v>
      </c>
      <c r="C43" s="6" t="s">
        <v>2255</v>
      </c>
      <c r="D43" s="6" t="s">
        <v>32</v>
      </c>
      <c r="E43" s="6" t="s">
        <v>2283</v>
      </c>
      <c r="F43" s="6" t="s">
        <v>2327</v>
      </c>
      <c r="G43" s="6" t="s">
        <v>2212</v>
      </c>
      <c r="H43" s="6" t="n">
        <f aca="false">VLOOKUP($A43,Day2!$A$1:$H$400,4,FALSE())</f>
        <v>0</v>
      </c>
      <c r="I43" s="6" t="n">
        <f aca="false">VLOOKUP($A43,Day2!$A$1:$H$400,5,FALSE())</f>
        <v>0</v>
      </c>
      <c r="J43" s="6" t="n">
        <f aca="false">VLOOKUP($A43,Day2!$A$1:$H$400,6,FALSE())</f>
        <v>0</v>
      </c>
      <c r="K43" s="6" t="n">
        <f aca="false">VLOOKUP($A43,Day2!$A$1:$H$400,7,FALSE())</f>
        <v>0</v>
      </c>
      <c r="L43" s="8" t="n">
        <f aca="false">SUM(G43:K43)</f>
        <v>0</v>
      </c>
      <c r="M43" s="8" t="str">
        <f aca="false">ROMAN(RANK(L43,$L$4:$L$51,0))</f>
        <v>IV</v>
      </c>
    </row>
    <row r="44" customFormat="false" ht="15.75" hidden="false" customHeight="false" outlineLevel="0" collapsed="false">
      <c r="A44" s="6" t="n">
        <v>115704</v>
      </c>
      <c r="B44" s="6" t="s">
        <v>2326</v>
      </c>
      <c r="C44" s="6" t="s">
        <v>2255</v>
      </c>
      <c r="D44" s="6" t="s">
        <v>27</v>
      </c>
      <c r="E44" s="6" t="s">
        <v>2356</v>
      </c>
      <c r="F44" s="6" t="s">
        <v>2327</v>
      </c>
      <c r="G44" s="6" t="s">
        <v>2212</v>
      </c>
      <c r="H44" s="6" t="n">
        <f aca="false">VLOOKUP($A44,Day2!$A$1:$H$400,4,FALSE())</f>
        <v>0</v>
      </c>
      <c r="I44" s="6" t="n">
        <f aca="false">VLOOKUP($A44,Day2!$A$1:$H$400,5,FALSE())</f>
        <v>0</v>
      </c>
      <c r="J44" s="6" t="n">
        <f aca="false">VLOOKUP($A44,Day2!$A$1:$H$400,6,FALSE())</f>
        <v>0</v>
      </c>
      <c r="K44" s="6" t="n">
        <f aca="false">VLOOKUP($A44,Day2!$A$1:$H$400,7,FALSE())</f>
        <v>0</v>
      </c>
      <c r="L44" s="8" t="n">
        <f aca="false">SUM(G44:K44)</f>
        <v>0</v>
      </c>
      <c r="M44" s="8" t="str">
        <f aca="false">ROMAN(RANK(L44,$L$4:$L$51,0))</f>
        <v>IV</v>
      </c>
    </row>
    <row r="45" customFormat="false" ht="15.75" hidden="false" customHeight="false" outlineLevel="0" collapsed="false">
      <c r="A45" s="6" t="n">
        <v>144390</v>
      </c>
      <c r="B45" s="6" t="s">
        <v>2326</v>
      </c>
      <c r="C45" s="6" t="s">
        <v>2222</v>
      </c>
      <c r="D45" s="6" t="s">
        <v>180</v>
      </c>
      <c r="E45" s="6" t="s">
        <v>749</v>
      </c>
      <c r="F45" s="6" t="s">
        <v>2327</v>
      </c>
      <c r="G45" s="6" t="s">
        <v>2212</v>
      </c>
      <c r="H45" s="6" t="n">
        <f aca="false">VLOOKUP($A45,Day2!$A$1:$H$400,4,FALSE())</f>
        <v>0</v>
      </c>
      <c r="I45" s="6" t="n">
        <f aca="false">VLOOKUP($A45,Day2!$A$1:$H$400,5,FALSE())</f>
        <v>0</v>
      </c>
      <c r="J45" s="6" t="n">
        <f aca="false">VLOOKUP($A45,Day2!$A$1:$H$400,6,FALSE())</f>
        <v>0</v>
      </c>
      <c r="K45" s="6" t="n">
        <f aca="false">VLOOKUP($A45,Day2!$A$1:$H$400,7,FALSE())</f>
        <v>0</v>
      </c>
      <c r="L45" s="8" t="n">
        <f aca="false">SUM(G45:K45)</f>
        <v>0</v>
      </c>
      <c r="M45" s="8" t="str">
        <f aca="false">ROMAN(RANK(L45,$L$4:$L$51,0))</f>
        <v>IV</v>
      </c>
    </row>
    <row r="46" customFormat="false" ht="15.75" hidden="false" customHeight="false" outlineLevel="0" collapsed="false">
      <c r="A46" s="6" t="n">
        <v>164472</v>
      </c>
      <c r="B46" s="6" t="s">
        <v>2326</v>
      </c>
      <c r="C46" s="6" t="s">
        <v>2222</v>
      </c>
      <c r="D46" s="6" t="s">
        <v>157</v>
      </c>
      <c r="E46" s="6" t="s">
        <v>2213</v>
      </c>
      <c r="F46" s="6" t="s">
        <v>2327</v>
      </c>
      <c r="G46" s="6" t="s">
        <v>2212</v>
      </c>
      <c r="H46" s="6" t="n">
        <f aca="false">VLOOKUP($A46,Day2!$A$1:$H$400,4,FALSE())</f>
        <v>0</v>
      </c>
      <c r="I46" s="6" t="n">
        <f aca="false">VLOOKUP($A46,Day2!$A$1:$H$400,5,FALSE())</f>
        <v>0</v>
      </c>
      <c r="J46" s="6" t="n">
        <f aca="false">VLOOKUP($A46,Day2!$A$1:$H$400,6,FALSE())</f>
        <v>0</v>
      </c>
      <c r="K46" s="6" t="n">
        <f aca="false">VLOOKUP($A46,Day2!$A$1:$H$400,7,FALSE())</f>
        <v>0</v>
      </c>
      <c r="L46" s="8" t="n">
        <f aca="false">SUM(G46:K46)</f>
        <v>0</v>
      </c>
      <c r="M46" s="8" t="str">
        <f aca="false">ROMAN(RANK(L46,$L$4:$L$51,0))</f>
        <v>IV</v>
      </c>
    </row>
    <row r="47" customFormat="false" ht="15.75" hidden="false" customHeight="false" outlineLevel="0" collapsed="false">
      <c r="A47" s="6" t="n">
        <v>174382</v>
      </c>
      <c r="B47" s="6" t="s">
        <v>2326</v>
      </c>
      <c r="C47" s="6" t="s">
        <v>2222</v>
      </c>
      <c r="D47" s="6" t="s">
        <v>69</v>
      </c>
      <c r="E47" s="6" t="s">
        <v>2357</v>
      </c>
      <c r="F47" s="6" t="s">
        <v>2327</v>
      </c>
      <c r="G47" s="6" t="s">
        <v>2212</v>
      </c>
      <c r="H47" s="6" t="n">
        <f aca="false">VLOOKUP($A47,Day2!$A$1:$H$400,4,FALSE())</f>
        <v>0</v>
      </c>
      <c r="I47" s="6" t="n">
        <f aca="false">VLOOKUP($A47,Day2!$A$1:$H$400,5,FALSE())</f>
        <v>0</v>
      </c>
      <c r="J47" s="6" t="n">
        <f aca="false">VLOOKUP($A47,Day2!$A$1:$H$400,6,FALSE())</f>
        <v>0</v>
      </c>
      <c r="K47" s="6" t="n">
        <f aca="false">VLOOKUP($A47,Day2!$A$1:$H$400,7,FALSE())</f>
        <v>0</v>
      </c>
      <c r="L47" s="8" t="n">
        <f aca="false">SUM(G47:K47)</f>
        <v>0</v>
      </c>
      <c r="M47" s="8" t="str">
        <f aca="false">ROMAN(RANK(L47,$L$4:$L$51,0))</f>
        <v>IV</v>
      </c>
    </row>
    <row r="48" customFormat="false" ht="15.75" hidden="false" customHeight="false" outlineLevel="0" collapsed="false">
      <c r="A48" s="6" t="n">
        <v>174464</v>
      </c>
      <c r="B48" s="6" t="s">
        <v>2326</v>
      </c>
      <c r="C48" s="6" t="s">
        <v>2222</v>
      </c>
      <c r="D48" s="6" t="s">
        <v>150</v>
      </c>
      <c r="E48" s="6" t="s">
        <v>2358</v>
      </c>
      <c r="F48" s="6" t="s">
        <v>2327</v>
      </c>
      <c r="G48" s="6" t="s">
        <v>2212</v>
      </c>
      <c r="H48" s="6" t="n">
        <f aca="false">VLOOKUP($A48,Day2!$A$1:$H$400,4,FALSE())</f>
        <v>0</v>
      </c>
      <c r="I48" s="6" t="n">
        <f aca="false">VLOOKUP($A48,Day2!$A$1:$H$400,5,FALSE())</f>
        <v>0</v>
      </c>
      <c r="J48" s="6" t="n">
        <f aca="false">VLOOKUP($A48,Day2!$A$1:$H$400,6,FALSE())</f>
        <v>0</v>
      </c>
      <c r="K48" s="6" t="n">
        <f aca="false">VLOOKUP($A48,Day2!$A$1:$H$400,7,FALSE())</f>
        <v>0</v>
      </c>
      <c r="L48" s="8" t="n">
        <f aca="false">SUM(G48:K48)</f>
        <v>0</v>
      </c>
      <c r="M48" s="8" t="str">
        <f aca="false">ROMAN(RANK(L48,$L$4:$L$51,0))</f>
        <v>IV</v>
      </c>
    </row>
    <row r="49" customFormat="false" ht="15.75" hidden="false" customHeight="false" outlineLevel="0" collapsed="false">
      <c r="A49" s="6" t="n">
        <v>174562</v>
      </c>
      <c r="B49" s="6" t="s">
        <v>2326</v>
      </c>
      <c r="C49" s="6" t="s">
        <v>2222</v>
      </c>
      <c r="D49" s="6" t="s">
        <v>115</v>
      </c>
      <c r="E49" s="6" t="s">
        <v>2359</v>
      </c>
      <c r="F49" s="6" t="s">
        <v>2327</v>
      </c>
      <c r="G49" s="6" t="s">
        <v>2209</v>
      </c>
      <c r="H49" s="6" t="n">
        <f aca="false">VLOOKUP($A49,Day2!$A$1:$H$400,4,FALSE())</f>
        <v>0</v>
      </c>
      <c r="I49" s="6" t="n">
        <f aca="false">VLOOKUP($A49,Day2!$A$1:$H$400,5,FALSE())</f>
        <v>0</v>
      </c>
      <c r="J49" s="6" t="n">
        <f aca="false">VLOOKUP($A49,Day2!$A$1:$H$400,6,FALSE())</f>
        <v>0</v>
      </c>
      <c r="K49" s="6" t="n">
        <f aca="false">VLOOKUP($A49,Day2!$A$1:$H$400,7,FALSE())</f>
        <v>0</v>
      </c>
      <c r="L49" s="8" t="n">
        <f aca="false">SUM(G49:K49)</f>
        <v>0</v>
      </c>
      <c r="M49" s="8" t="str">
        <f aca="false">ROMAN(RANK(L49,$L$4:$L$51,0))</f>
        <v>IV</v>
      </c>
    </row>
    <row r="50" customFormat="false" ht="15.75" hidden="false" customHeight="false" outlineLevel="0" collapsed="false">
      <c r="A50" s="6" t="n">
        <v>174878</v>
      </c>
      <c r="B50" s="6" t="s">
        <v>2326</v>
      </c>
      <c r="C50" s="6" t="s">
        <v>2222</v>
      </c>
      <c r="D50" s="6" t="s">
        <v>84</v>
      </c>
      <c r="E50" s="6" t="s">
        <v>2360</v>
      </c>
      <c r="F50" s="6" t="s">
        <v>2327</v>
      </c>
      <c r="G50" s="6" t="s">
        <v>2225</v>
      </c>
      <c r="H50" s="6" t="n">
        <f aca="false">VLOOKUP($A50,Day2!$A$1:$H$400,4,FALSE())</f>
        <v>0</v>
      </c>
      <c r="I50" s="6" t="n">
        <f aca="false">VLOOKUP($A50,Day2!$A$1:$H$400,5,FALSE())</f>
        <v>0</v>
      </c>
      <c r="J50" s="6" t="n">
        <f aca="false">VLOOKUP($A50,Day2!$A$1:$H$400,6,FALSE())</f>
        <v>0</v>
      </c>
      <c r="K50" s="6" t="n">
        <f aca="false">VLOOKUP($A50,Day2!$A$1:$H$400,7,FALSE())</f>
        <v>0</v>
      </c>
      <c r="L50" s="8" t="n">
        <f aca="false">SUM(G50:K50)</f>
        <v>0</v>
      </c>
      <c r="M50" s="8" t="str">
        <f aca="false">ROMAN(RANK(L50,$L$4:$L$51,0))</f>
        <v>IV</v>
      </c>
    </row>
    <row r="51" customFormat="false" ht="15.75" hidden="false" customHeight="false" outlineLevel="0" collapsed="false">
      <c r="A51" s="6" t="n">
        <v>213249</v>
      </c>
      <c r="B51" s="6" t="s">
        <v>2326</v>
      </c>
      <c r="C51" s="6" t="s">
        <v>2255</v>
      </c>
      <c r="D51" s="6" t="s">
        <v>140</v>
      </c>
      <c r="E51" s="6" t="s">
        <v>2361</v>
      </c>
      <c r="F51" s="6" t="s">
        <v>2327</v>
      </c>
      <c r="G51" s="6" t="s">
        <v>2212</v>
      </c>
      <c r="H51" s="6" t="n">
        <f aca="false">VLOOKUP($A51,Day2!$A$1:$H$400,4,FALSE())</f>
        <v>0</v>
      </c>
      <c r="I51" s="6" t="n">
        <f aca="false">VLOOKUP($A51,Day2!$A$1:$H$400,5,FALSE())</f>
        <v>0</v>
      </c>
      <c r="J51" s="6" t="n">
        <f aca="false">VLOOKUP($A51,Day2!$A$1:$H$400,6,FALSE())</f>
        <v>0</v>
      </c>
      <c r="K51" s="6" t="n">
        <f aca="false">VLOOKUP($A51,Day2!$A$1:$H$400,7,FALSE())</f>
        <v>0</v>
      </c>
      <c r="L51" s="8" t="n">
        <f aca="false">SUM(G51:K51)</f>
        <v>0</v>
      </c>
      <c r="M51" s="8" t="str">
        <f aca="false">ROMAN(RANK(L51,$L$4:$L$51,0))</f>
        <v>IV</v>
      </c>
    </row>
    <row r="53" customFormat="false" ht="15.75" hidden="false" customHeight="false" outlineLevel="0" collapsed="false">
      <c r="A53" s="5" t="s">
        <v>2362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5.7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customFormat="false" ht="15.75" hidden="false" customHeight="false" outlineLevel="0" collapsed="false">
      <c r="A55" s="5" t="s">
        <v>2324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</sheetData>
  <mergeCells count="6">
    <mergeCell ref="A1:M1"/>
    <mergeCell ref="A2:B2"/>
    <mergeCell ref="J2:M2"/>
    <mergeCell ref="A53:L53"/>
    <mergeCell ref="A54:L54"/>
    <mergeCell ref="A55:L5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tru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25"/>
    <col collapsed="false" customWidth="true" hidden="false" outlineLevel="0" max="3" min="3" style="0" width="34.13"/>
    <col collapsed="false" customWidth="true" hidden="false" outlineLevel="0" max="7" min="7" style="0" width="5.75"/>
    <col collapsed="false" customWidth="true" hidden="false" outlineLevel="0" max="11" min="8" style="0" width="7.38"/>
    <col collapsed="false" customWidth="true" hidden="false" outlineLevel="0" max="12" min="12" style="0" width="6.63"/>
    <col collapsed="false" customWidth="true" hidden="false" outlineLevel="0" max="13" min="13" style="0" width="7.12"/>
  </cols>
  <sheetData>
    <row r="1" customFormat="false" ht="15.75" hidden="false" customHeight="false" outlineLevel="0" collapsed="false">
      <c r="A1" s="3" t="s">
        <v>2187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3"/>
      <c r="O1" s="13"/>
    </row>
    <row r="2" customFormat="false" ht="15.75" hidden="false" customHeight="false" outlineLevel="0" collapsed="false">
      <c r="A2" s="10" t="n">
        <v>46005</v>
      </c>
      <c r="B2" s="10"/>
      <c r="J2" s="11" t="s">
        <v>2363</v>
      </c>
      <c r="K2" s="11"/>
      <c r="L2" s="11"/>
      <c r="M2" s="11"/>
      <c r="N2" s="14"/>
      <c r="O2" s="14"/>
    </row>
    <row r="3" customFormat="false" ht="39.55" hidden="false" customHeight="false" outlineLevel="0" collapsed="false">
      <c r="A3" s="6" t="s">
        <v>2189</v>
      </c>
      <c r="B3" s="6" t="s">
        <v>2190</v>
      </c>
      <c r="C3" s="6" t="s">
        <v>2191</v>
      </c>
      <c r="D3" s="6" t="s">
        <v>2192</v>
      </c>
      <c r="E3" s="6" t="s">
        <v>2193</v>
      </c>
      <c r="F3" s="6" t="s">
        <v>2194</v>
      </c>
      <c r="G3" s="6" t="s">
        <v>2195</v>
      </c>
      <c r="H3" s="6" t="s">
        <v>2196</v>
      </c>
      <c r="I3" s="6" t="s">
        <v>2197</v>
      </c>
      <c r="J3" s="6" t="s">
        <v>2198</v>
      </c>
      <c r="K3" s="6" t="s">
        <v>2199</v>
      </c>
      <c r="L3" s="7" t="s">
        <v>2200</v>
      </c>
      <c r="M3" s="7" t="s">
        <v>2201</v>
      </c>
    </row>
    <row r="4" customFormat="false" ht="15.75" hidden="false" customHeight="false" outlineLevel="0" collapsed="false">
      <c r="A4" s="6" t="n">
        <v>155596</v>
      </c>
      <c r="B4" s="6" t="s">
        <v>2364</v>
      </c>
      <c r="C4" s="6" t="s">
        <v>2221</v>
      </c>
      <c r="D4" s="6" t="s">
        <v>27</v>
      </c>
      <c r="E4" s="6" t="s">
        <v>375</v>
      </c>
      <c r="F4" s="6" t="s">
        <v>2365</v>
      </c>
      <c r="G4" s="6" t="s">
        <v>2225</v>
      </c>
      <c r="H4" s="6" t="n">
        <f aca="false">VLOOKUP($A4,Day2!$A$1:$H$400,4,FALSE())</f>
        <v>4</v>
      </c>
      <c r="I4" s="6" t="n">
        <f aca="false">VLOOKUP($A4,Day2!$A$1:$H$400,5,FALSE())</f>
        <v>7</v>
      </c>
      <c r="J4" s="6" t="n">
        <f aca="false">VLOOKUP($A4,Day2!$A$1:$H$400,6,FALSE())</f>
        <v>0</v>
      </c>
      <c r="K4" s="6" t="n">
        <f aca="false">VLOOKUP($A4,Day2!$A$1:$H$400,7,FALSE())</f>
        <v>0</v>
      </c>
      <c r="L4" s="8" t="n">
        <f aca="false">SUM(G4:K4)</f>
        <v>11</v>
      </c>
      <c r="M4" s="8" t="str">
        <f aca="false">ROMAN(RANK(L4,$L$4:$L$54,0))</f>
        <v>I</v>
      </c>
    </row>
    <row r="5" customFormat="false" ht="15.75" hidden="false" customHeight="false" outlineLevel="0" collapsed="false">
      <c r="A5" s="6" t="n">
        <v>207261</v>
      </c>
      <c r="B5" s="6" t="s">
        <v>2364</v>
      </c>
      <c r="C5" s="6" t="s">
        <v>2215</v>
      </c>
      <c r="D5" s="6" t="s">
        <v>175</v>
      </c>
      <c r="E5" s="6" t="s">
        <v>2366</v>
      </c>
      <c r="F5" s="6" t="s">
        <v>2365</v>
      </c>
      <c r="G5" s="6" t="s">
        <v>2212</v>
      </c>
      <c r="H5" s="6" t="n">
        <f aca="false">VLOOKUP($A5,Day2!$A$1:$H$400,4,FALSE())</f>
        <v>0</v>
      </c>
      <c r="I5" s="6" t="n">
        <f aca="false">VLOOKUP($A5,Day2!$A$1:$H$400,5,FALSE())</f>
        <v>0</v>
      </c>
      <c r="J5" s="6" t="n">
        <f aca="false">VLOOKUP($A5,Day2!$A$1:$H$400,6,FALSE())</f>
        <v>0</v>
      </c>
      <c r="K5" s="6" t="n">
        <f aca="false">VLOOKUP($A5,Day2!$A$1:$H$400,7,FALSE())</f>
        <v>7</v>
      </c>
      <c r="L5" s="8" t="n">
        <f aca="false">SUM(G5:K5)</f>
        <v>7</v>
      </c>
      <c r="M5" s="8" t="str">
        <f aca="false">ROMAN(RANK(L5,$L$4:$L$54,0))</f>
        <v>II</v>
      </c>
    </row>
    <row r="6" customFormat="false" ht="15.75" hidden="false" customHeight="false" outlineLevel="0" collapsed="false">
      <c r="A6" s="6" t="n">
        <v>110302</v>
      </c>
      <c r="B6" s="6" t="s">
        <v>2364</v>
      </c>
      <c r="C6" s="6" t="s">
        <v>2221</v>
      </c>
      <c r="D6" s="6" t="s">
        <v>420</v>
      </c>
      <c r="E6" s="6" t="s">
        <v>2367</v>
      </c>
      <c r="F6" s="6" t="s">
        <v>2365</v>
      </c>
      <c r="G6" s="6" t="s">
        <v>2212</v>
      </c>
      <c r="H6" s="6" t="n">
        <f aca="false">VLOOKUP($A6,Day2!$A$1:$H$400,4,FALSE())</f>
        <v>0</v>
      </c>
      <c r="I6" s="6" t="n">
        <f aca="false">VLOOKUP($A6,Day2!$A$1:$H$400,5,FALSE())</f>
        <v>6</v>
      </c>
      <c r="J6" s="6" t="n">
        <f aca="false">VLOOKUP($A6,Day2!$A$1:$H$400,6,FALSE())</f>
        <v>0</v>
      </c>
      <c r="K6" s="6" t="n">
        <f aca="false">VLOOKUP($A6,Day2!$A$1:$H$400,7,FALSE())</f>
        <v>0</v>
      </c>
      <c r="L6" s="8" t="n">
        <f aca="false">SUM(G6:K6)</f>
        <v>6</v>
      </c>
      <c r="M6" s="8" t="str">
        <f aca="false">ROMAN(RANK(L6,$L$4:$L$54,0))</f>
        <v>III</v>
      </c>
    </row>
    <row r="7" customFormat="false" ht="15.75" hidden="false" customHeight="false" outlineLevel="0" collapsed="false">
      <c r="A7" s="6" t="n">
        <v>72374</v>
      </c>
      <c r="B7" s="6" t="s">
        <v>2364</v>
      </c>
      <c r="C7" s="6" t="s">
        <v>2222</v>
      </c>
      <c r="D7" s="6" t="s">
        <v>204</v>
      </c>
      <c r="E7" s="6" t="s">
        <v>1178</v>
      </c>
      <c r="F7" s="6" t="s">
        <v>2365</v>
      </c>
      <c r="G7" s="6" t="s">
        <v>2206</v>
      </c>
      <c r="H7" s="6" t="n">
        <f aca="false">VLOOKUP($A7,Day2!$A$1:$H$400,4,FALSE())</f>
        <v>0</v>
      </c>
      <c r="I7" s="6" t="n">
        <f aca="false">VLOOKUP($A7,Day2!$A$1:$H$400,5,FALSE())</f>
        <v>0</v>
      </c>
      <c r="J7" s="6" t="n">
        <f aca="false">VLOOKUP($A7,Day2!$A$1:$H$400,6,FALSE())</f>
        <v>5</v>
      </c>
      <c r="K7" s="6" t="n">
        <f aca="false">VLOOKUP($A7,Day2!$A$1:$H$400,7,FALSE())</f>
        <v>0</v>
      </c>
      <c r="L7" s="8" t="n">
        <f aca="false">SUM(G7:K7)</f>
        <v>5</v>
      </c>
      <c r="M7" s="8" t="str">
        <f aca="false">ROMAN(RANK(L7,$L$4:$L$54,0))</f>
        <v>IV</v>
      </c>
    </row>
    <row r="8" customFormat="false" ht="15.75" hidden="false" customHeight="false" outlineLevel="0" collapsed="false">
      <c r="A8" s="6" t="n">
        <v>72378</v>
      </c>
      <c r="B8" s="6" t="s">
        <v>2364</v>
      </c>
      <c r="C8" s="6" t="s">
        <v>2222</v>
      </c>
      <c r="D8" s="6" t="s">
        <v>208</v>
      </c>
      <c r="E8" s="6" t="s">
        <v>2368</v>
      </c>
      <c r="F8" s="6" t="s">
        <v>2365</v>
      </c>
      <c r="G8" s="6" t="s">
        <v>2225</v>
      </c>
      <c r="H8" s="6" t="n">
        <f aca="false">VLOOKUP($A8,Day2!$A$1:$H$400,4,FALSE())</f>
        <v>0</v>
      </c>
      <c r="I8" s="6" t="n">
        <f aca="false">VLOOKUP($A8,Day2!$A$1:$H$400,5,FALSE())</f>
        <v>0</v>
      </c>
      <c r="J8" s="6" t="n">
        <f aca="false">VLOOKUP($A8,Day2!$A$1:$H$400,6,FALSE())</f>
        <v>5</v>
      </c>
      <c r="K8" s="6" t="n">
        <f aca="false">VLOOKUP($A8,Day2!$A$1:$H$400,7,FALSE())</f>
        <v>0</v>
      </c>
      <c r="L8" s="8" t="n">
        <f aca="false">SUM(G8:K8)</f>
        <v>5</v>
      </c>
      <c r="M8" s="8" t="str">
        <f aca="false">ROMAN(RANK(L8,$L$4:$L$54,0))</f>
        <v>IV</v>
      </c>
    </row>
    <row r="9" customFormat="false" ht="15.75" hidden="false" customHeight="false" outlineLevel="0" collapsed="false">
      <c r="A9" s="6" t="n">
        <v>83902</v>
      </c>
      <c r="B9" s="6" t="s">
        <v>2364</v>
      </c>
      <c r="C9" s="6" t="s">
        <v>2207</v>
      </c>
      <c r="D9" s="6" t="s">
        <v>201</v>
      </c>
      <c r="E9" s="6" t="s">
        <v>2369</v>
      </c>
      <c r="F9" s="6" t="s">
        <v>2365</v>
      </c>
      <c r="G9" s="6" t="s">
        <v>2225</v>
      </c>
      <c r="H9" s="6" t="n">
        <f aca="false">VLOOKUP($A9,Day2!$A$1:$H$400,4,FALSE())</f>
        <v>1</v>
      </c>
      <c r="I9" s="6" t="n">
        <f aca="false">VLOOKUP($A9,Day2!$A$1:$H$400,5,FALSE())</f>
        <v>0</v>
      </c>
      <c r="J9" s="6" t="n">
        <f aca="false">VLOOKUP($A9,Day2!$A$1:$H$400,6,FALSE())</f>
        <v>2</v>
      </c>
      <c r="K9" s="6" t="n">
        <f aca="false">VLOOKUP($A9,Day2!$A$1:$H$400,7,FALSE())</f>
        <v>0</v>
      </c>
      <c r="L9" s="8" t="n">
        <f aca="false">SUM(G9:K9)</f>
        <v>3</v>
      </c>
      <c r="M9" s="8" t="str">
        <f aca="false">ROMAN(RANK(L9,$L$4:$L$54,0))</f>
        <v>VI</v>
      </c>
    </row>
    <row r="10" customFormat="false" ht="15.75" hidden="false" customHeight="false" outlineLevel="0" collapsed="false">
      <c r="A10" s="6" t="n">
        <v>110920</v>
      </c>
      <c r="B10" s="6" t="s">
        <v>2364</v>
      </c>
      <c r="C10" s="6" t="s">
        <v>2219</v>
      </c>
      <c r="D10" s="6" t="s">
        <v>243</v>
      </c>
      <c r="E10" s="6" t="s">
        <v>2370</v>
      </c>
      <c r="F10" s="6" t="s">
        <v>2365</v>
      </c>
      <c r="G10" s="6" t="s">
        <v>2209</v>
      </c>
      <c r="H10" s="6" t="n">
        <f aca="false">VLOOKUP($A10,Day2!$A$1:$H$400,4,FALSE())</f>
        <v>2</v>
      </c>
      <c r="I10" s="6" t="n">
        <f aca="false">VLOOKUP($A10,Day2!$A$1:$H$400,5,FALSE())</f>
        <v>0</v>
      </c>
      <c r="J10" s="6" t="n">
        <f aca="false">VLOOKUP($A10,Day2!$A$1:$H$400,6,FALSE())</f>
        <v>0</v>
      </c>
      <c r="K10" s="6" t="n">
        <f aca="false">VLOOKUP($A10,Day2!$A$1:$H$400,7,FALSE())</f>
        <v>0</v>
      </c>
      <c r="L10" s="8" t="n">
        <f aca="false">SUM(G10:K10)</f>
        <v>2</v>
      </c>
      <c r="M10" s="8" t="str">
        <f aca="false">ROMAN(RANK(L10,$L$4:$L$54,0))</f>
        <v>VII</v>
      </c>
    </row>
    <row r="11" customFormat="false" ht="15.75" hidden="false" customHeight="false" outlineLevel="0" collapsed="false">
      <c r="A11" s="6" t="n">
        <v>72372</v>
      </c>
      <c r="B11" s="6" t="s">
        <v>2364</v>
      </c>
      <c r="C11" s="6" t="s">
        <v>2222</v>
      </c>
      <c r="D11" s="6" t="s">
        <v>432</v>
      </c>
      <c r="E11" s="6" t="s">
        <v>2371</v>
      </c>
      <c r="F11" s="6" t="s">
        <v>2365</v>
      </c>
      <c r="G11" s="6" t="s">
        <v>2225</v>
      </c>
      <c r="H11" s="6" t="n">
        <f aca="false">VLOOKUP($A11,Day2!$A$1:$H$400,4,FALSE())</f>
        <v>2</v>
      </c>
      <c r="I11" s="6" t="n">
        <f aca="false">VLOOKUP($A11,Day2!$A$1:$H$400,5,FALSE())</f>
        <v>0</v>
      </c>
      <c r="J11" s="6" t="n">
        <f aca="false">VLOOKUP($A11,Day2!$A$1:$H$400,6,FALSE())</f>
        <v>0</v>
      </c>
      <c r="K11" s="6" t="n">
        <f aca="false">VLOOKUP($A11,Day2!$A$1:$H$400,7,FALSE())</f>
        <v>0</v>
      </c>
      <c r="L11" s="8" t="n">
        <f aca="false">SUM(G11:K11)</f>
        <v>2</v>
      </c>
      <c r="M11" s="8" t="str">
        <f aca="false">ROMAN(RANK(L11,$L$4:$L$54,0))</f>
        <v>VII</v>
      </c>
    </row>
    <row r="12" customFormat="false" ht="15.75" hidden="false" customHeight="false" outlineLevel="0" collapsed="false">
      <c r="A12" s="6" t="n">
        <v>136384</v>
      </c>
      <c r="B12" s="6" t="s">
        <v>2364</v>
      </c>
      <c r="C12" s="6" t="s">
        <v>2222</v>
      </c>
      <c r="D12" s="6" t="s">
        <v>188</v>
      </c>
      <c r="E12" s="6" t="s">
        <v>2372</v>
      </c>
      <c r="F12" s="6" t="s">
        <v>2365</v>
      </c>
      <c r="G12" s="6" t="s">
        <v>2225</v>
      </c>
      <c r="H12" s="6" t="n">
        <f aca="false">VLOOKUP($A12,Day2!$A$1:$H$400,4,FALSE())</f>
        <v>2</v>
      </c>
      <c r="I12" s="6" t="n">
        <f aca="false">VLOOKUP($A12,Day2!$A$1:$H$400,5,FALSE())</f>
        <v>0</v>
      </c>
      <c r="J12" s="6" t="n">
        <f aca="false">VLOOKUP($A12,Day2!$A$1:$H$400,6,FALSE())</f>
        <v>0</v>
      </c>
      <c r="K12" s="6" t="n">
        <f aca="false">VLOOKUP($A12,Day2!$A$1:$H$400,7,FALSE())</f>
        <v>0</v>
      </c>
      <c r="L12" s="8" t="n">
        <f aca="false">SUM(G12:K12)</f>
        <v>2</v>
      </c>
      <c r="M12" s="8" t="str">
        <f aca="false">ROMAN(RANK(L12,$L$4:$L$54,0))</f>
        <v>VII</v>
      </c>
    </row>
    <row r="13" customFormat="false" ht="15.75" hidden="false" customHeight="false" outlineLevel="0" collapsed="false">
      <c r="A13" s="6" t="n">
        <v>6061</v>
      </c>
      <c r="B13" s="6" t="s">
        <v>2364</v>
      </c>
      <c r="C13" s="6" t="s">
        <v>2207</v>
      </c>
      <c r="D13" s="6" t="s">
        <v>196</v>
      </c>
      <c r="E13" s="6" t="s">
        <v>2373</v>
      </c>
      <c r="F13" s="6" t="s">
        <v>2365</v>
      </c>
      <c r="G13" s="6" t="s">
        <v>2225</v>
      </c>
      <c r="H13" s="6" t="n">
        <f aca="false">VLOOKUP($A13,Day2!$A$1:$H$400,4,FALSE())</f>
        <v>2</v>
      </c>
      <c r="I13" s="6" t="n">
        <f aca="false">VLOOKUP($A13,Day2!$A$1:$H$400,5,FALSE())</f>
        <v>0</v>
      </c>
      <c r="J13" s="6" t="n">
        <f aca="false">VLOOKUP($A13,Day2!$A$1:$H$400,6,FALSE())</f>
        <v>0</v>
      </c>
      <c r="K13" s="6" t="n">
        <f aca="false">VLOOKUP($A13,Day2!$A$1:$H$400,7,FALSE())</f>
        <v>0</v>
      </c>
      <c r="L13" s="8" t="n">
        <f aca="false">SUM(G13:K13)</f>
        <v>2</v>
      </c>
      <c r="M13" s="8" t="str">
        <f aca="false">ROMAN(RANK(L13,$L$4:$L$54,0))</f>
        <v>VII</v>
      </c>
    </row>
    <row r="14" customFormat="false" ht="15.75" hidden="false" customHeight="false" outlineLevel="0" collapsed="false">
      <c r="A14" s="6" t="n">
        <v>111048</v>
      </c>
      <c r="B14" s="6" t="s">
        <v>2364</v>
      </c>
      <c r="C14" s="6" t="s">
        <v>2215</v>
      </c>
      <c r="D14" s="6" t="s">
        <v>408</v>
      </c>
      <c r="E14" s="6" t="s">
        <v>2216</v>
      </c>
      <c r="F14" s="6" t="s">
        <v>2365</v>
      </c>
      <c r="G14" s="6" t="s">
        <v>2209</v>
      </c>
      <c r="H14" s="6" t="n">
        <f aca="false">VLOOKUP($A14,Day2!$A$1:$H$400,4,FALSE())</f>
        <v>1</v>
      </c>
      <c r="I14" s="6" t="n">
        <f aca="false">VLOOKUP($A14,Day2!$A$1:$H$400,5,FALSE())</f>
        <v>0</v>
      </c>
      <c r="J14" s="6" t="n">
        <f aca="false">VLOOKUP($A14,Day2!$A$1:$H$400,6,FALSE())</f>
        <v>0</v>
      </c>
      <c r="K14" s="6" t="n">
        <f aca="false">VLOOKUP($A14,Day2!$A$1:$H$400,7,FALSE())</f>
        <v>0</v>
      </c>
      <c r="L14" s="8" t="n">
        <f aca="false">SUM(G14:K14)</f>
        <v>1</v>
      </c>
      <c r="M14" s="8" t="str">
        <f aca="false">ROMAN(RANK(L14,$L$4:$L$54,0))</f>
        <v>XI</v>
      </c>
    </row>
    <row r="15" customFormat="false" ht="15.75" hidden="false" customHeight="false" outlineLevel="0" collapsed="false">
      <c r="A15" s="6" t="n">
        <v>118416</v>
      </c>
      <c r="B15" s="6" t="s">
        <v>2364</v>
      </c>
      <c r="C15" s="6" t="s">
        <v>2207</v>
      </c>
      <c r="D15" s="6" t="s">
        <v>427</v>
      </c>
      <c r="E15" s="6" t="s">
        <v>2331</v>
      </c>
      <c r="F15" s="6" t="s">
        <v>2365</v>
      </c>
      <c r="G15" s="6" t="s">
        <v>2225</v>
      </c>
      <c r="H15" s="6" t="n">
        <f aca="false">VLOOKUP($A15,Day2!$A$1:$H$400,4,FALSE())</f>
        <v>0</v>
      </c>
      <c r="I15" s="6" t="n">
        <f aca="false">VLOOKUP($A15,Day2!$A$1:$H$400,5,FALSE())</f>
        <v>0</v>
      </c>
      <c r="J15" s="6" t="n">
        <f aca="false">VLOOKUP($A15,Day2!$A$1:$H$400,6,FALSE())</f>
        <v>0</v>
      </c>
      <c r="K15" s="6" t="n">
        <f aca="false">VLOOKUP($A15,Day2!$A$1:$H$400,7,FALSE())</f>
        <v>1</v>
      </c>
      <c r="L15" s="8" t="n">
        <f aca="false">SUM(G15:K15)</f>
        <v>1</v>
      </c>
      <c r="M15" s="8" t="str">
        <f aca="false">ROMAN(RANK(L15,$L$4:$L$54,0))</f>
        <v>XI</v>
      </c>
    </row>
    <row r="16" customFormat="false" ht="15.75" hidden="false" customHeight="false" outlineLevel="0" collapsed="false">
      <c r="A16" s="6" t="n">
        <v>111053</v>
      </c>
      <c r="B16" s="6" t="s">
        <v>2364</v>
      </c>
      <c r="C16" s="6" t="s">
        <v>2215</v>
      </c>
      <c r="D16" s="6" t="s">
        <v>418</v>
      </c>
      <c r="E16" s="6" t="s">
        <v>2374</v>
      </c>
      <c r="F16" s="6" t="s">
        <v>2365</v>
      </c>
      <c r="G16" s="6" t="s">
        <v>2209</v>
      </c>
      <c r="H16" s="6" t="n">
        <f aca="false">VLOOKUP($A16,Day2!$A$1:$H$400,4,FALSE())</f>
        <v>0</v>
      </c>
      <c r="I16" s="6" t="n">
        <f aca="false">VLOOKUP($A16,Day2!$A$1:$H$400,5,FALSE())</f>
        <v>0</v>
      </c>
      <c r="J16" s="6" t="n">
        <f aca="false">VLOOKUP($A16,Day2!$A$1:$H$400,6,FALSE())</f>
        <v>0</v>
      </c>
      <c r="K16" s="6" t="n">
        <f aca="false">VLOOKUP($A16,Day2!$A$1:$H$400,7,FALSE())</f>
        <v>0</v>
      </c>
      <c r="L16" s="8" t="n">
        <f aca="false">SUM(G16:K16)</f>
        <v>0</v>
      </c>
      <c r="M16" s="8" t="str">
        <f aca="false">ROMAN(RANK(L16,$L$4:$L$54,0))</f>
        <v>XIII</v>
      </c>
    </row>
    <row r="17" customFormat="false" ht="15.75" hidden="false" customHeight="false" outlineLevel="0" collapsed="false">
      <c r="A17" s="6" t="n">
        <v>164667</v>
      </c>
      <c r="B17" s="6" t="s">
        <v>2364</v>
      </c>
      <c r="C17" s="6" t="s">
        <v>2259</v>
      </c>
      <c r="D17" s="6" t="s">
        <v>403</v>
      </c>
      <c r="E17" s="6" t="s">
        <v>188</v>
      </c>
      <c r="F17" s="6" t="s">
        <v>2365</v>
      </c>
      <c r="G17" s="6" t="s">
        <v>2206</v>
      </c>
      <c r="H17" s="6" t="n">
        <f aca="false">VLOOKUP($A17,Day2!$A$1:$H$400,4,FALSE())</f>
        <v>0</v>
      </c>
      <c r="I17" s="6" t="n">
        <f aca="false">VLOOKUP($A17,Day2!$A$1:$H$400,5,FALSE())</f>
        <v>0</v>
      </c>
      <c r="J17" s="6" t="n">
        <f aca="false">VLOOKUP($A17,Day2!$A$1:$H$400,6,FALSE())</f>
        <v>0</v>
      </c>
      <c r="K17" s="6" t="n">
        <f aca="false">VLOOKUP($A17,Day2!$A$1:$H$400,7,FALSE())</f>
        <v>0</v>
      </c>
      <c r="L17" s="8" t="n">
        <f aca="false">SUM(G17:K17)</f>
        <v>0</v>
      </c>
      <c r="M17" s="8" t="str">
        <f aca="false">ROMAN(RANK(L17,$L$4:$L$54,0))</f>
        <v>XIII</v>
      </c>
    </row>
    <row r="18" customFormat="false" ht="15.75" hidden="false" customHeight="false" outlineLevel="0" collapsed="false">
      <c r="A18" s="6" t="n">
        <v>181492</v>
      </c>
      <c r="B18" s="6" t="s">
        <v>2364</v>
      </c>
      <c r="C18" s="6" t="s">
        <v>2259</v>
      </c>
      <c r="D18" s="6" t="s">
        <v>399</v>
      </c>
      <c r="E18" s="6" t="s">
        <v>613</v>
      </c>
      <c r="F18" s="6" t="s">
        <v>2365</v>
      </c>
      <c r="G18" s="6" t="s">
        <v>2212</v>
      </c>
      <c r="H18" s="6" t="n">
        <f aca="false">VLOOKUP($A18,Day2!$A$1:$H$400,4,FALSE())</f>
        <v>0</v>
      </c>
      <c r="I18" s="6" t="n">
        <f aca="false">VLOOKUP($A18,Day2!$A$1:$H$400,5,FALSE())</f>
        <v>0</v>
      </c>
      <c r="J18" s="6" t="n">
        <f aca="false">VLOOKUP($A18,Day2!$A$1:$H$400,6,FALSE())</f>
        <v>0</v>
      </c>
      <c r="K18" s="6" t="n">
        <f aca="false">VLOOKUP($A18,Day2!$A$1:$H$400,7,FALSE())</f>
        <v>0</v>
      </c>
      <c r="L18" s="8" t="n">
        <f aca="false">SUM(G18:K18)</f>
        <v>0</v>
      </c>
      <c r="M18" s="8" t="str">
        <f aca="false">ROMAN(RANK(L18,$L$4:$L$54,0))</f>
        <v>XIII</v>
      </c>
    </row>
    <row r="19" customFormat="false" ht="15.75" hidden="false" customHeight="false" outlineLevel="0" collapsed="false">
      <c r="A19" s="6" t="n">
        <v>164796</v>
      </c>
      <c r="B19" s="6" t="s">
        <v>2364</v>
      </c>
      <c r="C19" s="6" t="s">
        <v>2259</v>
      </c>
      <c r="D19" s="6" t="s">
        <v>295</v>
      </c>
      <c r="E19" s="6" t="s">
        <v>2375</v>
      </c>
      <c r="F19" s="6" t="s">
        <v>2365</v>
      </c>
      <c r="G19" s="6" t="s">
        <v>2212</v>
      </c>
      <c r="H19" s="6" t="n">
        <f aca="false">VLOOKUP($A19,Day2!$A$1:$H$400,4,FALSE())</f>
        <v>0</v>
      </c>
      <c r="I19" s="6" t="n">
        <f aca="false">VLOOKUP($A19,Day2!$A$1:$H$400,5,FALSE())</f>
        <v>0</v>
      </c>
      <c r="J19" s="6" t="n">
        <f aca="false">VLOOKUP($A19,Day2!$A$1:$H$400,6,FALSE())</f>
        <v>0</v>
      </c>
      <c r="K19" s="6" t="n">
        <f aca="false">VLOOKUP($A19,Day2!$A$1:$H$400,7,FALSE())</f>
        <v>0</v>
      </c>
      <c r="L19" s="8" t="n">
        <f aca="false">SUM(G19:K19)</f>
        <v>0</v>
      </c>
      <c r="M19" s="8" t="str">
        <f aca="false">ROMAN(RANK(L19,$L$4:$L$54,0))</f>
        <v>XIII</v>
      </c>
    </row>
    <row r="20" customFormat="false" ht="15.75" hidden="false" customHeight="false" outlineLevel="0" collapsed="false">
      <c r="A20" s="6" t="n">
        <v>190426</v>
      </c>
      <c r="B20" s="6" t="s">
        <v>2364</v>
      </c>
      <c r="C20" s="6" t="s">
        <v>2221</v>
      </c>
      <c r="D20" s="6" t="s">
        <v>299</v>
      </c>
      <c r="E20" s="6" t="s">
        <v>1610</v>
      </c>
      <c r="F20" s="6" t="s">
        <v>2365</v>
      </c>
      <c r="G20" s="6" t="s">
        <v>2209</v>
      </c>
      <c r="H20" s="6" t="n">
        <f aca="false">VLOOKUP($A20,Day2!$A$1:$H$400,4,FALSE())</f>
        <v>0</v>
      </c>
      <c r="I20" s="6" t="n">
        <f aca="false">VLOOKUP($A20,Day2!$A$1:$H$400,5,FALSE())</f>
        <v>0</v>
      </c>
      <c r="J20" s="6" t="n">
        <f aca="false">VLOOKUP($A20,Day2!$A$1:$H$400,6,FALSE())</f>
        <v>0</v>
      </c>
      <c r="K20" s="6" t="n">
        <f aca="false">VLOOKUP($A20,Day2!$A$1:$H$400,7,FALSE())</f>
        <v>0</v>
      </c>
      <c r="L20" s="8" t="n">
        <f aca="false">SUM(G20:K20)</f>
        <v>0</v>
      </c>
      <c r="M20" s="8" t="str">
        <f aca="false">ROMAN(RANK(L20,$L$4:$L$54,0))</f>
        <v>XIII</v>
      </c>
    </row>
    <row r="21" customFormat="false" ht="15.75" hidden="false" customHeight="false" outlineLevel="0" collapsed="false">
      <c r="A21" s="6" t="n">
        <v>86893</v>
      </c>
      <c r="B21" s="6" t="s">
        <v>2364</v>
      </c>
      <c r="C21" s="6" t="s">
        <v>2261</v>
      </c>
      <c r="D21" s="6" t="s">
        <v>364</v>
      </c>
      <c r="E21" s="6" t="s">
        <v>2376</v>
      </c>
      <c r="F21" s="6" t="s">
        <v>2365</v>
      </c>
      <c r="G21" s="6" t="s">
        <v>2225</v>
      </c>
      <c r="H21" s="6" t="n">
        <f aca="false">VLOOKUP($A21,Day2!$A$1:$H$400,4,FALSE())</f>
        <v>0</v>
      </c>
      <c r="I21" s="6" t="n">
        <f aca="false">VLOOKUP($A21,Day2!$A$1:$H$400,5,FALSE())</f>
        <v>0</v>
      </c>
      <c r="J21" s="6" t="n">
        <f aca="false">VLOOKUP($A21,Day2!$A$1:$H$400,6,FALSE())</f>
        <v>0</v>
      </c>
      <c r="K21" s="6" t="n">
        <f aca="false">VLOOKUP($A21,Day2!$A$1:$H$400,7,FALSE())</f>
        <v>0</v>
      </c>
      <c r="L21" s="8" t="n">
        <f aca="false">SUM(G21:K21)</f>
        <v>0</v>
      </c>
      <c r="M21" s="8" t="str">
        <f aca="false">ROMAN(RANK(L21,$L$4:$L$54,0))</f>
        <v>XIII</v>
      </c>
    </row>
    <row r="22" customFormat="false" ht="15.75" hidden="false" customHeight="false" outlineLevel="0" collapsed="false">
      <c r="A22" s="6" t="n">
        <v>117485</v>
      </c>
      <c r="B22" s="6" t="s">
        <v>2326</v>
      </c>
      <c r="C22" s="6" t="s">
        <v>2218</v>
      </c>
      <c r="D22" s="6" t="s">
        <v>74</v>
      </c>
      <c r="E22" s="6" t="s">
        <v>2377</v>
      </c>
      <c r="F22" s="6" t="s">
        <v>2327</v>
      </c>
      <c r="G22" s="6" t="s">
        <v>2212</v>
      </c>
      <c r="H22" s="6" t="n">
        <f aca="false">VLOOKUP($A22,Day2!$A$1:$H$400,4,FALSE())</f>
        <v>0</v>
      </c>
      <c r="I22" s="6" t="n">
        <f aca="false">VLOOKUP($A22,Day2!$A$1:$H$400,5,FALSE())</f>
        <v>0</v>
      </c>
      <c r="J22" s="6" t="n">
        <f aca="false">VLOOKUP($A22,Day2!$A$1:$H$400,6,FALSE())</f>
        <v>0</v>
      </c>
      <c r="K22" s="6" t="n">
        <f aca="false">VLOOKUP($A22,Day2!$A$1:$H$400,7,FALSE())</f>
        <v>0</v>
      </c>
      <c r="L22" s="8" t="n">
        <f aca="false">SUM(G22:K22)</f>
        <v>0</v>
      </c>
      <c r="M22" s="8" t="str">
        <f aca="false">ROMAN(RANK(L22,$L$4:$L$54,0))</f>
        <v>XIII</v>
      </c>
    </row>
    <row r="23" customFormat="false" ht="15.75" hidden="false" customHeight="false" outlineLevel="0" collapsed="false">
      <c r="A23" s="6" t="n">
        <v>87043</v>
      </c>
      <c r="B23" s="6" t="s">
        <v>2364</v>
      </c>
      <c r="C23" s="6" t="s">
        <v>2261</v>
      </c>
      <c r="D23" s="6" t="s">
        <v>355</v>
      </c>
      <c r="E23" s="6" t="s">
        <v>2378</v>
      </c>
      <c r="F23" s="6" t="s">
        <v>2365</v>
      </c>
      <c r="G23" s="6" t="s">
        <v>2225</v>
      </c>
      <c r="H23" s="6" t="n">
        <f aca="false">VLOOKUP($A23,Day2!$A$1:$H$400,4,FALSE())</f>
        <v>0</v>
      </c>
      <c r="I23" s="6" t="n">
        <f aca="false">VLOOKUP($A23,Day2!$A$1:$H$400,5,FALSE())</f>
        <v>0</v>
      </c>
      <c r="J23" s="6" t="n">
        <f aca="false">VLOOKUP($A23,Day2!$A$1:$H$400,6,FALSE())</f>
        <v>0</v>
      </c>
      <c r="K23" s="6" t="n">
        <f aca="false">VLOOKUP($A23,Day2!$A$1:$H$400,7,FALSE())</f>
        <v>0</v>
      </c>
      <c r="L23" s="8" t="n">
        <f aca="false">SUM(G23:K23)</f>
        <v>0</v>
      </c>
      <c r="M23" s="8" t="str">
        <f aca="false">ROMAN(RANK(L23,$L$4:$L$54,0))</f>
        <v>XIII</v>
      </c>
    </row>
    <row r="24" customFormat="false" ht="15.75" hidden="false" customHeight="false" outlineLevel="0" collapsed="false">
      <c r="A24" s="6" t="n">
        <v>121837</v>
      </c>
      <c r="B24" s="6" t="s">
        <v>2364</v>
      </c>
      <c r="C24" s="6" t="s">
        <v>2261</v>
      </c>
      <c r="D24" s="6" t="s">
        <v>303</v>
      </c>
      <c r="E24" s="6" t="s">
        <v>1655</v>
      </c>
      <c r="F24" s="6" t="s">
        <v>2365</v>
      </c>
      <c r="G24" s="6" t="s">
        <v>2212</v>
      </c>
      <c r="H24" s="6" t="n">
        <f aca="false">VLOOKUP($A24,Day2!$A$1:$H$400,4,FALSE())</f>
        <v>0</v>
      </c>
      <c r="I24" s="6" t="n">
        <f aca="false">VLOOKUP($A24,Day2!$A$1:$H$400,5,FALSE())</f>
        <v>0</v>
      </c>
      <c r="J24" s="6" t="n">
        <f aca="false">VLOOKUP($A24,Day2!$A$1:$H$400,6,FALSE())</f>
        <v>0</v>
      </c>
      <c r="K24" s="6" t="n">
        <f aca="false">VLOOKUP($A24,Day2!$A$1:$H$400,7,FALSE())</f>
        <v>0</v>
      </c>
      <c r="L24" s="8" t="n">
        <f aca="false">SUM(G24:K24)</f>
        <v>0</v>
      </c>
      <c r="M24" s="8" t="str">
        <f aca="false">ROMAN(RANK(L24,$L$4:$L$54,0))</f>
        <v>XIII</v>
      </c>
    </row>
    <row r="25" customFormat="false" ht="15.75" hidden="false" customHeight="false" outlineLevel="0" collapsed="false">
      <c r="A25" s="6" t="n">
        <v>195772</v>
      </c>
      <c r="B25" s="6" t="s">
        <v>2364</v>
      </c>
      <c r="C25" s="6" t="s">
        <v>2203</v>
      </c>
      <c r="D25" s="6" t="s">
        <v>360</v>
      </c>
      <c r="E25" s="6" t="s">
        <v>2379</v>
      </c>
      <c r="F25" s="6" t="s">
        <v>2365</v>
      </c>
      <c r="G25" s="6" t="s">
        <v>2209</v>
      </c>
      <c r="H25" s="6" t="n">
        <f aca="false">VLOOKUP($A25,Day2!$A$1:$H$400,4,FALSE())</f>
        <v>0</v>
      </c>
      <c r="I25" s="6" t="n">
        <f aca="false">VLOOKUP($A25,Day2!$A$1:$H$400,5,FALSE())</f>
        <v>0</v>
      </c>
      <c r="J25" s="6" t="n">
        <f aca="false">VLOOKUP($A25,Day2!$A$1:$H$400,6,FALSE())</f>
        <v>0</v>
      </c>
      <c r="K25" s="6" t="n">
        <f aca="false">VLOOKUP($A25,Day2!$A$1:$H$400,7,FALSE())</f>
        <v>0</v>
      </c>
      <c r="L25" s="8" t="n">
        <f aca="false">SUM(G25:K25)</f>
        <v>0</v>
      </c>
      <c r="M25" s="8" t="str">
        <f aca="false">ROMAN(RANK(L25,$L$4:$L$54,0))</f>
        <v>XIII</v>
      </c>
    </row>
    <row r="26" customFormat="false" ht="15.75" hidden="false" customHeight="false" outlineLevel="0" collapsed="false">
      <c r="A26" s="6" t="n">
        <v>195774</v>
      </c>
      <c r="B26" s="6" t="s">
        <v>2364</v>
      </c>
      <c r="C26" s="6" t="s">
        <v>2203</v>
      </c>
      <c r="D26" s="6" t="s">
        <v>423</v>
      </c>
      <c r="E26" s="6" t="s">
        <v>1610</v>
      </c>
      <c r="F26" s="6" t="s">
        <v>2365</v>
      </c>
      <c r="G26" s="6" t="s">
        <v>2212</v>
      </c>
      <c r="H26" s="6" t="n">
        <f aca="false">VLOOKUP($A26,Day2!$A$1:$H$400,4,FALSE())</f>
        <v>0</v>
      </c>
      <c r="I26" s="6" t="n">
        <f aca="false">VLOOKUP($A26,Day2!$A$1:$H$400,5,FALSE())</f>
        <v>0</v>
      </c>
      <c r="J26" s="6" t="n">
        <f aca="false">VLOOKUP($A26,Day2!$A$1:$H$400,6,FALSE())</f>
        <v>0</v>
      </c>
      <c r="K26" s="6" t="n">
        <f aca="false">VLOOKUP($A26,Day2!$A$1:$H$400,7,FALSE())</f>
        <v>0</v>
      </c>
      <c r="L26" s="8" t="n">
        <f aca="false">SUM(G26:K26)</f>
        <v>0</v>
      </c>
      <c r="M26" s="8" t="str">
        <f aca="false">ROMAN(RANK(L26,$L$4:$L$54,0))</f>
        <v>XIII</v>
      </c>
    </row>
    <row r="27" customFormat="false" ht="15.75" hidden="false" customHeight="false" outlineLevel="0" collapsed="false">
      <c r="A27" s="6" t="n">
        <v>110891</v>
      </c>
      <c r="B27" s="6" t="s">
        <v>2364</v>
      </c>
      <c r="C27" s="6" t="s">
        <v>2219</v>
      </c>
      <c r="D27" s="6" t="s">
        <v>230</v>
      </c>
      <c r="E27" s="6" t="s">
        <v>2380</v>
      </c>
      <c r="F27" s="6" t="s">
        <v>2365</v>
      </c>
      <c r="G27" s="6" t="s">
        <v>2212</v>
      </c>
      <c r="H27" s="6" t="n">
        <f aca="false">VLOOKUP($A27,Day2!$A$1:$H$400,4,FALSE())</f>
        <v>0</v>
      </c>
      <c r="I27" s="6" t="n">
        <f aca="false">VLOOKUP($A27,Day2!$A$1:$H$400,5,FALSE())</f>
        <v>0</v>
      </c>
      <c r="J27" s="6" t="n">
        <f aca="false">VLOOKUP($A27,Day2!$A$1:$H$400,6,FALSE())</f>
        <v>0</v>
      </c>
      <c r="K27" s="6" t="n">
        <f aca="false">VLOOKUP($A27,Day2!$A$1:$H$400,7,FALSE())</f>
        <v>0</v>
      </c>
      <c r="L27" s="8" t="n">
        <f aca="false">SUM(G27:K27)</f>
        <v>0</v>
      </c>
      <c r="M27" s="8" t="str">
        <f aca="false">ROMAN(RANK(L27,$L$4:$L$54,0))</f>
        <v>XIII</v>
      </c>
    </row>
    <row r="28" customFormat="false" ht="15.75" hidden="false" customHeight="false" outlineLevel="0" collapsed="false">
      <c r="A28" s="6" t="n">
        <v>110924</v>
      </c>
      <c r="B28" s="6" t="s">
        <v>2364</v>
      </c>
      <c r="C28" s="6" t="s">
        <v>2219</v>
      </c>
      <c r="D28" s="6" t="s">
        <v>384</v>
      </c>
      <c r="E28" s="6" t="s">
        <v>2381</v>
      </c>
      <c r="F28" s="6" t="s">
        <v>2365</v>
      </c>
      <c r="G28" s="6" t="s">
        <v>2209</v>
      </c>
      <c r="H28" s="6" t="n">
        <f aca="false">VLOOKUP($A28,Day2!$A$1:$H$400,4,FALSE())</f>
        <v>0</v>
      </c>
      <c r="I28" s="6" t="n">
        <f aca="false">VLOOKUP($A28,Day2!$A$1:$H$400,5,FALSE())</f>
        <v>0</v>
      </c>
      <c r="J28" s="6" t="n">
        <f aca="false">VLOOKUP($A28,Day2!$A$1:$H$400,6,FALSE())</f>
        <v>0</v>
      </c>
      <c r="K28" s="6" t="n">
        <f aca="false">VLOOKUP($A28,Day2!$A$1:$H$400,7,FALSE())</f>
        <v>0</v>
      </c>
      <c r="L28" s="8" t="n">
        <f aca="false">SUM(G28:K28)</f>
        <v>0</v>
      </c>
      <c r="M28" s="8" t="str">
        <f aca="false">ROMAN(RANK(L28,$L$4:$L$54,0))</f>
        <v>XIII</v>
      </c>
    </row>
    <row r="29" customFormat="false" ht="15.75" hidden="false" customHeight="false" outlineLevel="0" collapsed="false">
      <c r="A29" s="6" t="n">
        <v>212534</v>
      </c>
      <c r="B29" s="6" t="s">
        <v>2364</v>
      </c>
      <c r="C29" s="6" t="s">
        <v>2219</v>
      </c>
      <c r="D29" s="6" t="s">
        <v>283</v>
      </c>
      <c r="E29" s="6" t="s">
        <v>942</v>
      </c>
      <c r="F29" s="6" t="s">
        <v>2365</v>
      </c>
      <c r="G29" s="6" t="s">
        <v>2212</v>
      </c>
      <c r="H29" s="6" t="n">
        <f aca="false">VLOOKUP($A29,Day2!$A$1:$H$400,4,FALSE())</f>
        <v>0</v>
      </c>
      <c r="I29" s="6" t="n">
        <f aca="false">VLOOKUP($A29,Day2!$A$1:$H$400,5,FALSE())</f>
        <v>0</v>
      </c>
      <c r="J29" s="6" t="n">
        <f aca="false">VLOOKUP($A29,Day2!$A$1:$H$400,6,FALSE())</f>
        <v>0</v>
      </c>
      <c r="K29" s="6" t="n">
        <f aca="false">VLOOKUP($A29,Day2!$A$1:$H$400,7,FALSE())</f>
        <v>0</v>
      </c>
      <c r="L29" s="8" t="n">
        <f aca="false">SUM(G29:K29)</f>
        <v>0</v>
      </c>
      <c r="M29" s="8" t="str">
        <f aca="false">ROMAN(RANK(L29,$L$4:$L$54,0))</f>
        <v>XIII</v>
      </c>
    </row>
    <row r="30" customFormat="false" ht="15.75" hidden="false" customHeight="false" outlineLevel="0" collapsed="false">
      <c r="A30" s="6" t="n">
        <v>175032</v>
      </c>
      <c r="B30" s="6" t="s">
        <v>2364</v>
      </c>
      <c r="C30" s="6" t="s">
        <v>2310</v>
      </c>
      <c r="D30" s="6" t="s">
        <v>170</v>
      </c>
      <c r="E30" s="6" t="s">
        <v>2243</v>
      </c>
      <c r="F30" s="6" t="s">
        <v>2365</v>
      </c>
      <c r="G30" s="6" t="s">
        <v>2206</v>
      </c>
      <c r="H30" s="6" t="n">
        <f aca="false">VLOOKUP($A30,Day2!$A$1:$H$400,4,FALSE())</f>
        <v>0</v>
      </c>
      <c r="I30" s="6" t="n">
        <f aca="false">VLOOKUP($A30,Day2!$A$1:$H$400,5,FALSE())</f>
        <v>0</v>
      </c>
      <c r="J30" s="6" t="n">
        <f aca="false">VLOOKUP($A30,Day2!$A$1:$H$400,6,FALSE())</f>
        <v>0</v>
      </c>
      <c r="K30" s="6" t="n">
        <f aca="false">VLOOKUP($A30,Day2!$A$1:$H$400,7,FALSE())</f>
        <v>0</v>
      </c>
      <c r="L30" s="8" t="n">
        <f aca="false">SUM(G30:K30)</f>
        <v>0</v>
      </c>
      <c r="M30" s="8" t="str">
        <f aca="false">ROMAN(RANK(L30,$L$4:$L$54,0))</f>
        <v>XIII</v>
      </c>
    </row>
    <row r="31" customFormat="false" ht="15.75" hidden="false" customHeight="false" outlineLevel="0" collapsed="false">
      <c r="A31" s="6" t="n">
        <v>223928</v>
      </c>
      <c r="B31" s="6" t="s">
        <v>2364</v>
      </c>
      <c r="C31" s="6" t="s">
        <v>2257</v>
      </c>
      <c r="D31" s="6" t="s">
        <v>320</v>
      </c>
      <c r="E31" s="6" t="s">
        <v>2382</v>
      </c>
      <c r="F31" s="6" t="s">
        <v>2365</v>
      </c>
      <c r="G31" s="6" t="s">
        <v>2225</v>
      </c>
      <c r="H31" s="6" t="n">
        <f aca="false">VLOOKUP($A31,Day2!$A$1:$H$400,4,FALSE())</f>
        <v>0</v>
      </c>
      <c r="I31" s="6" t="n">
        <f aca="false">VLOOKUP($A31,Day2!$A$1:$H$400,5,FALSE())</f>
        <v>0</v>
      </c>
      <c r="J31" s="6" t="n">
        <f aca="false">VLOOKUP($A31,Day2!$A$1:$H$400,6,FALSE())</f>
        <v>0</v>
      </c>
      <c r="K31" s="6" t="n">
        <f aca="false">VLOOKUP($A31,Day2!$A$1:$H$400,7,FALSE())</f>
        <v>0</v>
      </c>
      <c r="L31" s="8" t="n">
        <f aca="false">SUM(G31:K31)</f>
        <v>0</v>
      </c>
      <c r="M31" s="8" t="str">
        <f aca="false">ROMAN(RANK(L31,$L$4:$L$54,0))</f>
        <v>XIII</v>
      </c>
    </row>
    <row r="32" customFormat="false" ht="15.75" hidden="false" customHeight="false" outlineLevel="0" collapsed="false">
      <c r="A32" s="6" t="n">
        <v>78586</v>
      </c>
      <c r="B32" s="6" t="s">
        <v>2364</v>
      </c>
      <c r="C32" s="6" t="s">
        <v>2295</v>
      </c>
      <c r="D32" s="6" t="s">
        <v>224</v>
      </c>
      <c r="E32" s="6" t="s">
        <v>2383</v>
      </c>
      <c r="F32" s="6" t="s">
        <v>2365</v>
      </c>
      <c r="G32" s="6" t="s">
        <v>2209</v>
      </c>
      <c r="H32" s="6" t="n">
        <f aca="false">VLOOKUP($A32,Day2!$A$1:$H$400,4,FALSE())</f>
        <v>0</v>
      </c>
      <c r="I32" s="6" t="n">
        <f aca="false">VLOOKUP($A32,Day2!$A$1:$H$400,5,FALSE())</f>
        <v>0</v>
      </c>
      <c r="J32" s="6" t="n">
        <f aca="false">VLOOKUP($A32,Day2!$A$1:$H$400,6,FALSE())</f>
        <v>0</v>
      </c>
      <c r="K32" s="6" t="n">
        <f aca="false">VLOOKUP($A32,Day2!$A$1:$H$400,7,FALSE())</f>
        <v>0</v>
      </c>
      <c r="L32" s="8" t="n">
        <f aca="false">SUM(G32:K32)</f>
        <v>0</v>
      </c>
      <c r="M32" s="8" t="str">
        <f aca="false">ROMAN(RANK(L32,$L$4:$L$54,0))</f>
        <v>XIII</v>
      </c>
    </row>
    <row r="33" customFormat="false" ht="15.75" hidden="false" customHeight="false" outlineLevel="0" collapsed="false">
      <c r="A33" s="6" t="n">
        <v>83905</v>
      </c>
      <c r="B33" s="6" t="s">
        <v>2364</v>
      </c>
      <c r="C33" s="6" t="s">
        <v>2207</v>
      </c>
      <c r="D33" s="6" t="s">
        <v>251</v>
      </c>
      <c r="E33" s="6" t="s">
        <v>1178</v>
      </c>
      <c r="F33" s="6" t="s">
        <v>2365</v>
      </c>
      <c r="G33" s="6" t="s">
        <v>2225</v>
      </c>
      <c r="H33" s="6" t="n">
        <f aca="false">VLOOKUP($A33,Day2!$A$1:$H$400,4,FALSE())</f>
        <v>0</v>
      </c>
      <c r="I33" s="6" t="n">
        <f aca="false">VLOOKUP($A33,Day2!$A$1:$H$400,5,FALSE())</f>
        <v>0</v>
      </c>
      <c r="J33" s="6" t="n">
        <f aca="false">VLOOKUP($A33,Day2!$A$1:$H$400,6,FALSE())</f>
        <v>0</v>
      </c>
      <c r="K33" s="6" t="n">
        <f aca="false">VLOOKUP($A33,Day2!$A$1:$H$400,7,FALSE())</f>
        <v>0</v>
      </c>
      <c r="L33" s="8" t="n">
        <f aca="false">SUM(G33:K33)</f>
        <v>0</v>
      </c>
      <c r="M33" s="8" t="str">
        <f aca="false">ROMAN(RANK(L33,$L$4:$L$54,0))</f>
        <v>XIII</v>
      </c>
    </row>
    <row r="34" customFormat="false" ht="15.75" hidden="false" customHeight="false" outlineLevel="0" collapsed="false">
      <c r="A34" s="6" t="n">
        <v>118386</v>
      </c>
      <c r="B34" s="6" t="s">
        <v>2364</v>
      </c>
      <c r="C34" s="6" t="s">
        <v>2207</v>
      </c>
      <c r="D34" s="6" t="s">
        <v>247</v>
      </c>
      <c r="E34" s="6" t="s">
        <v>2289</v>
      </c>
      <c r="F34" s="6" t="s">
        <v>2365</v>
      </c>
      <c r="G34" s="6" t="s">
        <v>2225</v>
      </c>
      <c r="H34" s="6" t="n">
        <f aca="false">VLOOKUP($A34,Day2!$A$1:$H$400,4,FALSE())</f>
        <v>0</v>
      </c>
      <c r="I34" s="6" t="n">
        <f aca="false">VLOOKUP($A34,Day2!$A$1:$H$400,5,FALSE())</f>
        <v>0</v>
      </c>
      <c r="J34" s="6" t="n">
        <f aca="false">VLOOKUP($A34,Day2!$A$1:$H$400,6,FALSE())</f>
        <v>0</v>
      </c>
      <c r="K34" s="6" t="n">
        <f aca="false">VLOOKUP($A34,Day2!$A$1:$H$400,7,FALSE())</f>
        <v>0</v>
      </c>
      <c r="L34" s="8" t="n">
        <f aca="false">SUM(G34:K34)</f>
        <v>0</v>
      </c>
      <c r="M34" s="8" t="str">
        <f aca="false">ROMAN(RANK(L34,$L$4:$L$54,0))</f>
        <v>XIII</v>
      </c>
    </row>
    <row r="35" customFormat="false" ht="15.75" hidden="false" customHeight="false" outlineLevel="0" collapsed="false">
      <c r="A35" s="6" t="n">
        <v>185342</v>
      </c>
      <c r="B35" s="6" t="s">
        <v>2364</v>
      </c>
      <c r="C35" s="6" t="s">
        <v>2207</v>
      </c>
      <c r="D35" s="6" t="s">
        <v>216</v>
      </c>
      <c r="E35" s="6" t="s">
        <v>2384</v>
      </c>
      <c r="F35" s="6" t="s">
        <v>2365</v>
      </c>
      <c r="G35" s="6" t="s">
        <v>2225</v>
      </c>
      <c r="H35" s="6" t="n">
        <f aca="false">VLOOKUP($A35,Day2!$A$1:$H$400,4,FALSE())</f>
        <v>0</v>
      </c>
      <c r="I35" s="6" t="n">
        <f aca="false">VLOOKUP($A35,Day2!$A$1:$H$400,5,FALSE())</f>
        <v>0</v>
      </c>
      <c r="J35" s="6" t="n">
        <f aca="false">VLOOKUP($A35,Day2!$A$1:$H$400,6,FALSE())</f>
        <v>0</v>
      </c>
      <c r="K35" s="6" t="n">
        <f aca="false">VLOOKUP($A35,Day2!$A$1:$H$400,7,FALSE())</f>
        <v>0</v>
      </c>
      <c r="L35" s="8" t="n">
        <f aca="false">SUM(G35:K35)</f>
        <v>0</v>
      </c>
      <c r="M35" s="8" t="str">
        <f aca="false">ROMAN(RANK(L35,$L$4:$L$54,0))</f>
        <v>XIII</v>
      </c>
    </row>
    <row r="36" customFormat="false" ht="15.75" hidden="false" customHeight="false" outlineLevel="0" collapsed="false">
      <c r="A36" s="6" t="n">
        <v>185346</v>
      </c>
      <c r="B36" s="6" t="s">
        <v>2364</v>
      </c>
      <c r="C36" s="6" t="s">
        <v>2207</v>
      </c>
      <c r="D36" s="6" t="s">
        <v>2385</v>
      </c>
      <c r="E36" s="6" t="s">
        <v>2246</v>
      </c>
      <c r="F36" s="6" t="s">
        <v>2365</v>
      </c>
      <c r="G36" s="6" t="s">
        <v>2225</v>
      </c>
      <c r="H36" s="8"/>
      <c r="I36" s="8"/>
      <c r="J36" s="8"/>
      <c r="K36" s="8"/>
      <c r="L36" s="8" t="n">
        <f aca="false">SUM(G36:K36)</f>
        <v>0</v>
      </c>
      <c r="M36" s="8" t="str">
        <f aca="false">ROMAN(RANK(L36,$L$4:$L$54,0))</f>
        <v>XIII</v>
      </c>
    </row>
    <row r="37" customFormat="false" ht="15.75" hidden="false" customHeight="false" outlineLevel="0" collapsed="false">
      <c r="A37" s="6" t="n">
        <v>72328</v>
      </c>
      <c r="B37" s="6" t="s">
        <v>2364</v>
      </c>
      <c r="C37" s="6" t="s">
        <v>2222</v>
      </c>
      <c r="D37" s="6" t="s">
        <v>259</v>
      </c>
      <c r="E37" s="6" t="s">
        <v>2386</v>
      </c>
      <c r="F37" s="6" t="s">
        <v>2365</v>
      </c>
      <c r="G37" s="6" t="s">
        <v>2225</v>
      </c>
      <c r="H37" s="6" t="n">
        <f aca="false">VLOOKUP($A37,Day2!$A$1:$H$400,4,FALSE())</f>
        <v>0</v>
      </c>
      <c r="I37" s="6" t="n">
        <f aca="false">VLOOKUP($A37,Day2!$A$1:$H$400,5,FALSE())</f>
        <v>0</v>
      </c>
      <c r="J37" s="6" t="n">
        <f aca="false">VLOOKUP($A37,Day2!$A$1:$H$400,6,FALSE())</f>
        <v>0</v>
      </c>
      <c r="K37" s="6" t="n">
        <f aca="false">VLOOKUP($A37,Day2!$A$1:$H$400,7,FALSE())</f>
        <v>0</v>
      </c>
      <c r="L37" s="8" t="n">
        <f aca="false">SUM(G37:K37)</f>
        <v>0</v>
      </c>
      <c r="M37" s="8" t="str">
        <f aca="false">ROMAN(RANK(L37,$L$4:$L$54,0))</f>
        <v>XIII</v>
      </c>
    </row>
    <row r="38" customFormat="false" ht="15.75" hidden="false" customHeight="false" outlineLevel="0" collapsed="false">
      <c r="A38" s="6" t="n">
        <v>88983</v>
      </c>
      <c r="B38" s="6" t="s">
        <v>2364</v>
      </c>
      <c r="C38" s="6" t="s">
        <v>2295</v>
      </c>
      <c r="D38" s="6" t="s">
        <v>238</v>
      </c>
      <c r="E38" s="6" t="s">
        <v>1979</v>
      </c>
      <c r="F38" s="6" t="s">
        <v>2365</v>
      </c>
      <c r="G38" s="6" t="s">
        <v>2206</v>
      </c>
      <c r="H38" s="6" t="n">
        <f aca="false">VLOOKUP($A38,Day2!$A$1:$H$400,4,FALSE())</f>
        <v>0</v>
      </c>
      <c r="I38" s="6" t="n">
        <f aca="false">VLOOKUP($A38,Day2!$A$1:$H$400,5,FALSE())</f>
        <v>0</v>
      </c>
      <c r="J38" s="6" t="n">
        <f aca="false">VLOOKUP($A38,Day2!$A$1:$H$400,6,FALSE())</f>
        <v>0</v>
      </c>
      <c r="K38" s="6" t="n">
        <f aca="false">VLOOKUP($A38,Day2!$A$1:$H$400,7,FALSE())</f>
        <v>0</v>
      </c>
      <c r="L38" s="8" t="n">
        <f aca="false">SUM(G38:K38)</f>
        <v>0</v>
      </c>
      <c r="M38" s="8" t="str">
        <f aca="false">ROMAN(RANK(L38,$L$4:$L$54,0))</f>
        <v>XIII</v>
      </c>
    </row>
    <row r="39" customFormat="false" ht="15.75" hidden="false" customHeight="false" outlineLevel="0" collapsed="false">
      <c r="A39" s="6" t="n">
        <v>72495</v>
      </c>
      <c r="B39" s="6" t="s">
        <v>2364</v>
      </c>
      <c r="C39" s="6" t="s">
        <v>2222</v>
      </c>
      <c r="D39" s="6" t="s">
        <v>234</v>
      </c>
      <c r="E39" s="6" t="s">
        <v>477</v>
      </c>
      <c r="F39" s="6" t="s">
        <v>2365</v>
      </c>
      <c r="G39" s="6" t="s">
        <v>2209</v>
      </c>
      <c r="H39" s="6" t="n">
        <f aca="false">VLOOKUP($A39,Day2!$A$1:$H$400,4,FALSE())</f>
        <v>0</v>
      </c>
      <c r="I39" s="6" t="n">
        <f aca="false">VLOOKUP($A39,Day2!$A$1:$H$400,5,FALSE())</f>
        <v>0</v>
      </c>
      <c r="J39" s="6" t="n">
        <f aca="false">VLOOKUP($A39,Day2!$A$1:$H$400,6,FALSE())</f>
        <v>0</v>
      </c>
      <c r="K39" s="6" t="n">
        <f aca="false">VLOOKUP($A39,Day2!$A$1:$H$400,7,FALSE())</f>
        <v>0</v>
      </c>
      <c r="L39" s="8" t="n">
        <f aca="false">SUM(G39:K39)</f>
        <v>0</v>
      </c>
      <c r="M39" s="8" t="str">
        <f aca="false">ROMAN(RANK(L39,$L$4:$L$54,0))</f>
        <v>XIII</v>
      </c>
    </row>
    <row r="40" customFormat="false" ht="15.75" hidden="false" customHeight="false" outlineLevel="0" collapsed="false">
      <c r="A40" s="6" t="n">
        <v>74034</v>
      </c>
      <c r="B40" s="6" t="s">
        <v>2364</v>
      </c>
      <c r="C40" s="6" t="s">
        <v>2222</v>
      </c>
      <c r="D40" s="6" t="s">
        <v>2387</v>
      </c>
      <c r="E40" s="6" t="s">
        <v>2388</v>
      </c>
      <c r="F40" s="6" t="s">
        <v>2365</v>
      </c>
      <c r="G40" s="6" t="s">
        <v>2212</v>
      </c>
      <c r="H40" s="8"/>
      <c r="I40" s="8"/>
      <c r="J40" s="8"/>
      <c r="K40" s="8"/>
      <c r="L40" s="8" t="n">
        <f aca="false">SUM(G40:K40)</f>
        <v>0</v>
      </c>
      <c r="M40" s="8" t="str">
        <f aca="false">ROMAN(RANK(L40,$L$4:$L$54,0))</f>
        <v>XIII</v>
      </c>
    </row>
    <row r="41" customFormat="false" ht="15.75" hidden="false" customHeight="false" outlineLevel="0" collapsed="false">
      <c r="A41" s="6" t="n">
        <v>74035</v>
      </c>
      <c r="B41" s="6" t="s">
        <v>2364</v>
      </c>
      <c r="C41" s="6" t="s">
        <v>2222</v>
      </c>
      <c r="D41" s="6" t="s">
        <v>1790</v>
      </c>
      <c r="E41" s="6" t="s">
        <v>2389</v>
      </c>
      <c r="F41" s="6" t="s">
        <v>2365</v>
      </c>
      <c r="G41" s="6" t="s">
        <v>2212</v>
      </c>
      <c r="H41" s="8"/>
      <c r="I41" s="8"/>
      <c r="J41" s="8"/>
      <c r="K41" s="8"/>
      <c r="L41" s="8" t="n">
        <f aca="false">SUM(G41:K41)</f>
        <v>0</v>
      </c>
      <c r="M41" s="8" t="str">
        <f aca="false">ROMAN(RANK(L41,$L$4:$L$54,0))</f>
        <v>XIII</v>
      </c>
    </row>
    <row r="42" customFormat="false" ht="15.75" hidden="false" customHeight="false" outlineLevel="0" collapsed="false">
      <c r="A42" s="6" t="n">
        <v>187776</v>
      </c>
      <c r="B42" s="6" t="s">
        <v>2364</v>
      </c>
      <c r="C42" s="6" t="s">
        <v>2222</v>
      </c>
      <c r="D42" s="6" t="s">
        <v>226</v>
      </c>
      <c r="E42" s="6" t="s">
        <v>1866</v>
      </c>
      <c r="F42" s="6" t="s">
        <v>2365</v>
      </c>
      <c r="G42" s="6" t="s">
        <v>2212</v>
      </c>
      <c r="H42" s="6" t="n">
        <f aca="false">VLOOKUP($A42,Day2!$A$1:$H$400,4,FALSE())</f>
        <v>0</v>
      </c>
      <c r="I42" s="6" t="n">
        <f aca="false">VLOOKUP($A42,Day2!$A$1:$H$400,5,FALSE())</f>
        <v>0</v>
      </c>
      <c r="J42" s="6" t="n">
        <f aca="false">VLOOKUP($A42,Day2!$A$1:$H$400,6,FALSE())</f>
        <v>0</v>
      </c>
      <c r="K42" s="6" t="n">
        <f aca="false">VLOOKUP($A42,Day2!$A$1:$H$400,7,FALSE())</f>
        <v>0</v>
      </c>
      <c r="L42" s="8" t="n">
        <f aca="false">SUM(G42:K42)</f>
        <v>0</v>
      </c>
      <c r="M42" s="8" t="str">
        <f aca="false">ROMAN(RANK(L42,$L$4:$L$54,0))</f>
        <v>XIII</v>
      </c>
    </row>
    <row r="43" customFormat="false" ht="15.75" hidden="false" customHeight="false" outlineLevel="0" collapsed="false">
      <c r="A43" s="6" t="n">
        <v>187800</v>
      </c>
      <c r="B43" s="6" t="s">
        <v>2364</v>
      </c>
      <c r="C43" s="6" t="s">
        <v>2222</v>
      </c>
      <c r="D43" s="6" t="s">
        <v>360</v>
      </c>
      <c r="E43" s="6" t="s">
        <v>2369</v>
      </c>
      <c r="F43" s="6" t="s">
        <v>2365</v>
      </c>
      <c r="G43" s="6" t="s">
        <v>2212</v>
      </c>
      <c r="H43" s="6" t="n">
        <f aca="false">VLOOKUP($A43,Day2!$A$1:$H$400,4,FALSE())</f>
        <v>0</v>
      </c>
      <c r="I43" s="6" t="n">
        <f aca="false">VLOOKUP($A43,Day2!$A$1:$H$400,5,FALSE())</f>
        <v>0</v>
      </c>
      <c r="J43" s="6" t="n">
        <f aca="false">VLOOKUP($A43,Day2!$A$1:$H$400,6,FALSE())</f>
        <v>0</v>
      </c>
      <c r="K43" s="6" t="n">
        <f aca="false">VLOOKUP($A43,Day2!$A$1:$H$400,7,FALSE())</f>
        <v>0</v>
      </c>
      <c r="L43" s="8" t="n">
        <f aca="false">SUM(G43:K43)</f>
        <v>0</v>
      </c>
      <c r="M43" s="8" t="str">
        <f aca="false">ROMAN(RANK(L43,$L$4:$L$54,0))</f>
        <v>XIII</v>
      </c>
    </row>
    <row r="44" customFormat="false" ht="15.75" hidden="false" customHeight="false" outlineLevel="0" collapsed="false">
      <c r="A44" s="6" t="n">
        <v>88984</v>
      </c>
      <c r="B44" s="6" t="s">
        <v>2364</v>
      </c>
      <c r="C44" s="6" t="s">
        <v>2295</v>
      </c>
      <c r="D44" s="6" t="s">
        <v>340</v>
      </c>
      <c r="E44" s="6" t="s">
        <v>2390</v>
      </c>
      <c r="F44" s="6" t="s">
        <v>2365</v>
      </c>
      <c r="G44" s="6" t="s">
        <v>2206</v>
      </c>
      <c r="H44" s="6" t="n">
        <f aca="false">VLOOKUP($A44,Day2!$A$1:$H$400,4,FALSE())</f>
        <v>0</v>
      </c>
      <c r="I44" s="6" t="n">
        <f aca="false">VLOOKUP($A44,Day2!$A$1:$H$400,5,FALSE())</f>
        <v>0</v>
      </c>
      <c r="J44" s="6" t="n">
        <f aca="false">VLOOKUP($A44,Day2!$A$1:$H$400,6,FALSE())</f>
        <v>0</v>
      </c>
      <c r="K44" s="6" t="n">
        <f aca="false">VLOOKUP($A44,Day2!$A$1:$H$400,7,FALSE())</f>
        <v>0</v>
      </c>
      <c r="L44" s="8" t="n">
        <f aca="false">SUM(G44:K44)</f>
        <v>0</v>
      </c>
      <c r="M44" s="8" t="str">
        <f aca="false">ROMAN(RANK(L44,$L$4:$L$54,0))</f>
        <v>XIII</v>
      </c>
    </row>
    <row r="45" customFormat="false" ht="15.75" hidden="false" customHeight="false" outlineLevel="0" collapsed="false">
      <c r="A45" s="6" t="n">
        <v>124324</v>
      </c>
      <c r="B45" s="6" t="s">
        <v>2364</v>
      </c>
      <c r="C45" s="6" t="s">
        <v>2295</v>
      </c>
      <c r="D45" s="6" t="s">
        <v>413</v>
      </c>
      <c r="E45" s="6" t="s">
        <v>375</v>
      </c>
      <c r="F45" s="6" t="s">
        <v>2365</v>
      </c>
      <c r="G45" s="6" t="s">
        <v>2206</v>
      </c>
      <c r="H45" s="6" t="n">
        <f aca="false">VLOOKUP($A45,Day2!$A$1:$H$400,4,FALSE())</f>
        <v>0</v>
      </c>
      <c r="I45" s="6" t="n">
        <f aca="false">VLOOKUP($A45,Day2!$A$1:$H$400,5,FALSE())</f>
        <v>0</v>
      </c>
      <c r="J45" s="6" t="n">
        <f aca="false">VLOOKUP($A45,Day2!$A$1:$H$400,6,FALSE())</f>
        <v>0</v>
      </c>
      <c r="K45" s="6" t="n">
        <f aca="false">VLOOKUP($A45,Day2!$A$1:$H$400,7,FALSE())</f>
        <v>0</v>
      </c>
      <c r="L45" s="8" t="n">
        <f aca="false">SUM(G45:K45)</f>
        <v>0</v>
      </c>
      <c r="M45" s="8" t="str">
        <f aca="false">ROMAN(RANK(L45,$L$4:$L$54,0))</f>
        <v>XIII</v>
      </c>
    </row>
    <row r="46" customFormat="false" ht="15.75" hidden="false" customHeight="false" outlineLevel="0" collapsed="false">
      <c r="A46" s="6" t="n">
        <v>161745</v>
      </c>
      <c r="B46" s="6" t="s">
        <v>2364</v>
      </c>
      <c r="C46" s="6" t="s">
        <v>2295</v>
      </c>
      <c r="D46" s="6" t="s">
        <v>291</v>
      </c>
      <c r="E46" s="6" t="s">
        <v>2391</v>
      </c>
      <c r="F46" s="6" t="s">
        <v>2365</v>
      </c>
      <c r="G46" s="6" t="s">
        <v>2209</v>
      </c>
      <c r="H46" s="6" t="n">
        <f aca="false">VLOOKUP($A46,Day2!$A$1:$H$400,4,FALSE())</f>
        <v>0</v>
      </c>
      <c r="I46" s="6" t="n">
        <f aca="false">VLOOKUP($A46,Day2!$A$1:$H$400,5,FALSE())</f>
        <v>0</v>
      </c>
      <c r="J46" s="6" t="n">
        <f aca="false">VLOOKUP($A46,Day2!$A$1:$H$400,6,FALSE())</f>
        <v>0</v>
      </c>
      <c r="K46" s="6" t="n">
        <f aca="false">VLOOKUP($A46,Day2!$A$1:$H$400,7,FALSE())</f>
        <v>0</v>
      </c>
      <c r="L46" s="8" t="n">
        <f aca="false">SUM(G46:K46)</f>
        <v>0</v>
      </c>
      <c r="M46" s="8" t="str">
        <f aca="false">ROMAN(RANK(L46,$L$4:$L$54,0))</f>
        <v>XIII</v>
      </c>
    </row>
    <row r="47" customFormat="false" ht="15.75" hidden="false" customHeight="false" outlineLevel="0" collapsed="false">
      <c r="A47" s="6" t="n">
        <v>111183</v>
      </c>
      <c r="B47" s="6" t="s">
        <v>2364</v>
      </c>
      <c r="C47" s="6" t="s">
        <v>2210</v>
      </c>
      <c r="D47" s="6" t="s">
        <v>324</v>
      </c>
      <c r="E47" s="6" t="s">
        <v>2392</v>
      </c>
      <c r="F47" s="6" t="s">
        <v>2365</v>
      </c>
      <c r="G47" s="6" t="s">
        <v>2229</v>
      </c>
      <c r="H47" s="6" t="n">
        <f aca="false">VLOOKUP($A47,Day2!$A$1:$H$400,4,FALSE())</f>
        <v>0</v>
      </c>
      <c r="I47" s="6" t="n">
        <f aca="false">VLOOKUP($A47,Day2!$A$1:$H$400,5,FALSE())</f>
        <v>0</v>
      </c>
      <c r="J47" s="6" t="n">
        <f aca="false">VLOOKUP($A47,Day2!$A$1:$H$400,6,FALSE())</f>
        <v>0</v>
      </c>
      <c r="K47" s="6" t="n">
        <f aca="false">VLOOKUP($A47,Day2!$A$1:$H$400,7,FALSE())</f>
        <v>0</v>
      </c>
      <c r="L47" s="8" t="n">
        <f aca="false">SUM(G47:K47)</f>
        <v>0</v>
      </c>
      <c r="M47" s="8" t="str">
        <f aca="false">ROMAN(RANK(L47,$L$4:$L$54,0))</f>
        <v>XIII</v>
      </c>
    </row>
    <row r="48" customFormat="false" ht="15.75" hidden="false" customHeight="false" outlineLevel="0" collapsed="false">
      <c r="A48" s="6" t="n">
        <v>83897</v>
      </c>
      <c r="B48" s="6" t="s">
        <v>2364</v>
      </c>
      <c r="C48" s="6" t="s">
        <v>2207</v>
      </c>
      <c r="D48" s="6" t="s">
        <v>255</v>
      </c>
      <c r="E48" s="6" t="s">
        <v>2393</v>
      </c>
      <c r="F48" s="6" t="s">
        <v>2365</v>
      </c>
      <c r="G48" s="6" t="s">
        <v>2225</v>
      </c>
      <c r="H48" s="6" t="n">
        <f aca="false">VLOOKUP($A48,Day2!$A$1:$H$400,4,FALSE())</f>
        <v>0</v>
      </c>
      <c r="I48" s="6" t="n">
        <f aca="false">VLOOKUP($A48,Day2!$A$1:$H$400,5,FALSE())</f>
        <v>0</v>
      </c>
      <c r="J48" s="6" t="n">
        <f aca="false">VLOOKUP($A48,Day2!$A$1:$H$400,6,FALSE())</f>
        <v>0</v>
      </c>
      <c r="K48" s="6" t="n">
        <f aca="false">VLOOKUP($A48,Day2!$A$1:$H$400,7,FALSE())</f>
        <v>0</v>
      </c>
      <c r="L48" s="8" t="n">
        <f aca="false">SUM(G48:K48)</f>
        <v>0</v>
      </c>
      <c r="M48" s="8" t="str">
        <f aca="false">ROMAN(RANK(L48,$L$4:$L$54,0))</f>
        <v>XIII</v>
      </c>
    </row>
    <row r="49" customFormat="false" ht="15.75" hidden="false" customHeight="false" outlineLevel="0" collapsed="false">
      <c r="A49" s="6" t="n">
        <v>83901</v>
      </c>
      <c r="B49" s="6" t="s">
        <v>2364</v>
      </c>
      <c r="C49" s="6" t="s">
        <v>2207</v>
      </c>
      <c r="D49" s="6" t="s">
        <v>392</v>
      </c>
      <c r="E49" s="6" t="s">
        <v>2394</v>
      </c>
      <c r="F49" s="6" t="s">
        <v>2365</v>
      </c>
      <c r="G49" s="6" t="s">
        <v>2225</v>
      </c>
      <c r="H49" s="6" t="n">
        <f aca="false">VLOOKUP($A49,Day2!$A$1:$H$400,4,FALSE())</f>
        <v>0</v>
      </c>
      <c r="I49" s="6" t="n">
        <f aca="false">VLOOKUP($A49,Day2!$A$1:$H$400,5,FALSE())</f>
        <v>0</v>
      </c>
      <c r="J49" s="6" t="n">
        <f aca="false">VLOOKUP($A49,Day2!$A$1:$H$400,6,FALSE())</f>
        <v>0</v>
      </c>
      <c r="K49" s="6" t="n">
        <f aca="false">VLOOKUP($A49,Day2!$A$1:$H$400,7,FALSE())</f>
        <v>0</v>
      </c>
      <c r="L49" s="8" t="n">
        <f aca="false">SUM(G49:K49)</f>
        <v>0</v>
      </c>
      <c r="M49" s="8" t="str">
        <f aca="false">ROMAN(RANK(L49,$L$4:$L$54,0))</f>
        <v>XIII</v>
      </c>
    </row>
    <row r="50" customFormat="false" ht="15.75" hidden="false" customHeight="false" outlineLevel="0" collapsed="false">
      <c r="A50" s="6" t="n">
        <v>187822</v>
      </c>
      <c r="B50" s="6" t="s">
        <v>2364</v>
      </c>
      <c r="C50" s="6" t="s">
        <v>2222</v>
      </c>
      <c r="D50" s="6" t="s">
        <v>349</v>
      </c>
      <c r="E50" s="6" t="s">
        <v>658</v>
      </c>
      <c r="F50" s="6" t="s">
        <v>2365</v>
      </c>
      <c r="G50" s="6" t="s">
        <v>2212</v>
      </c>
      <c r="H50" s="6" t="n">
        <f aca="false">VLOOKUP($A50,Day2!$A$1:$H$400,4,FALSE())</f>
        <v>0</v>
      </c>
      <c r="I50" s="6" t="n">
        <f aca="false">VLOOKUP($A50,Day2!$A$1:$H$400,5,FALSE())</f>
        <v>0</v>
      </c>
      <c r="J50" s="6" t="n">
        <f aca="false">VLOOKUP($A50,Day2!$A$1:$H$400,6,FALSE())</f>
        <v>0</v>
      </c>
      <c r="K50" s="6" t="n">
        <f aca="false">VLOOKUP($A50,Day2!$A$1:$H$400,7,FALSE())</f>
        <v>0</v>
      </c>
      <c r="L50" s="8" t="n">
        <f aca="false">SUM(G50:K50)</f>
        <v>0</v>
      </c>
      <c r="M50" s="8" t="str">
        <f aca="false">ROMAN(RANK(L50,$L$4:$L$54,0))</f>
        <v>XIII</v>
      </c>
    </row>
    <row r="51" customFormat="false" ht="15.75" hidden="false" customHeight="false" outlineLevel="0" collapsed="false">
      <c r="A51" s="6" t="n">
        <v>109008</v>
      </c>
      <c r="B51" s="6" t="s">
        <v>2364</v>
      </c>
      <c r="C51" s="6" t="s">
        <v>2290</v>
      </c>
      <c r="D51" s="6" t="s">
        <v>379</v>
      </c>
      <c r="E51" s="6" t="s">
        <v>1011</v>
      </c>
      <c r="F51" s="6" t="s">
        <v>2365</v>
      </c>
      <c r="G51" s="6" t="s">
        <v>2212</v>
      </c>
      <c r="H51" s="6" t="n">
        <f aca="false">VLOOKUP($A51,Day2!$A$1:$H$400,4,FALSE())</f>
        <v>0</v>
      </c>
      <c r="I51" s="6" t="n">
        <f aca="false">VLOOKUP($A51,Day2!$A$1:$H$400,5,FALSE())</f>
        <v>0</v>
      </c>
      <c r="J51" s="6" t="n">
        <f aca="false">VLOOKUP($A51,Day2!$A$1:$H$400,6,FALSE())</f>
        <v>0</v>
      </c>
      <c r="K51" s="6" t="n">
        <f aca="false">VLOOKUP($A51,Day2!$A$1:$H$400,7,FALSE())</f>
        <v>0</v>
      </c>
      <c r="L51" s="8" t="n">
        <f aca="false">SUM(G51:K51)</f>
        <v>0</v>
      </c>
      <c r="M51" s="8" t="str">
        <f aca="false">ROMAN(RANK(L51,$L$4:$L$54,0))</f>
        <v>XIII</v>
      </c>
    </row>
    <row r="52" customFormat="false" ht="15.75" hidden="false" customHeight="false" outlineLevel="0" collapsed="false">
      <c r="A52" s="6" t="n">
        <v>126050</v>
      </c>
      <c r="B52" s="6" t="s">
        <v>2364</v>
      </c>
      <c r="C52" s="6" t="s">
        <v>2253</v>
      </c>
      <c r="D52" s="6" t="s">
        <v>220</v>
      </c>
      <c r="E52" s="6" t="s">
        <v>2361</v>
      </c>
      <c r="F52" s="6" t="s">
        <v>2365</v>
      </c>
      <c r="G52" s="6" t="s">
        <v>2209</v>
      </c>
      <c r="H52" s="6" t="n">
        <f aca="false">VLOOKUP($A52,Day2!$A$1:$H$400,4,FALSE())</f>
        <v>0</v>
      </c>
      <c r="I52" s="6" t="n">
        <f aca="false">VLOOKUP($A52,Day2!$A$1:$H$400,5,FALSE())</f>
        <v>0</v>
      </c>
      <c r="J52" s="6" t="n">
        <f aca="false">VLOOKUP($A52,Day2!$A$1:$H$400,6,FALSE())</f>
        <v>0</v>
      </c>
      <c r="K52" s="6" t="n">
        <f aca="false">VLOOKUP($A52,Day2!$A$1:$H$400,7,FALSE())</f>
        <v>0</v>
      </c>
      <c r="L52" s="8" t="n">
        <f aca="false">SUM(G52:K52)</f>
        <v>0</v>
      </c>
      <c r="M52" s="8" t="str">
        <f aca="false">ROMAN(RANK(L52,$L$4:$L$54,0))</f>
        <v>XIII</v>
      </c>
    </row>
    <row r="53" customFormat="false" ht="15.75" hidden="false" customHeight="false" outlineLevel="0" collapsed="false">
      <c r="A53" s="6" t="n">
        <v>126053</v>
      </c>
      <c r="B53" s="6" t="s">
        <v>2364</v>
      </c>
      <c r="C53" s="6" t="s">
        <v>2253</v>
      </c>
      <c r="D53" s="6" t="s">
        <v>241</v>
      </c>
      <c r="E53" s="6" t="s">
        <v>2395</v>
      </c>
      <c r="F53" s="6" t="s">
        <v>2365</v>
      </c>
      <c r="G53" s="6" t="s">
        <v>2209</v>
      </c>
      <c r="H53" s="6" t="n">
        <f aca="false">VLOOKUP($A53,Day2!$A$1:$H$400,4,FALSE())</f>
        <v>0</v>
      </c>
      <c r="I53" s="6" t="n">
        <f aca="false">VLOOKUP($A53,Day2!$A$1:$H$400,5,FALSE())</f>
        <v>0</v>
      </c>
      <c r="J53" s="6" t="n">
        <f aca="false">VLOOKUP($A53,Day2!$A$1:$H$400,6,FALSE())</f>
        <v>0</v>
      </c>
      <c r="K53" s="6" t="n">
        <f aca="false">VLOOKUP($A53,Day2!$A$1:$H$400,7,FALSE())</f>
        <v>0</v>
      </c>
      <c r="L53" s="8" t="n">
        <f aca="false">SUM(G53:K53)</f>
        <v>0</v>
      </c>
      <c r="M53" s="8" t="str">
        <f aca="false">ROMAN(RANK(L53,$L$4:$L$54,0))</f>
        <v>XIII</v>
      </c>
    </row>
    <row r="54" customFormat="false" ht="15.75" hidden="false" customHeight="false" outlineLevel="0" collapsed="false">
      <c r="A54" s="6" t="n">
        <v>126092</v>
      </c>
      <c r="B54" s="6" t="s">
        <v>2364</v>
      </c>
      <c r="C54" s="6" t="s">
        <v>2253</v>
      </c>
      <c r="D54" s="6" t="s">
        <v>263</v>
      </c>
      <c r="E54" s="6" t="s">
        <v>2331</v>
      </c>
      <c r="F54" s="6" t="s">
        <v>2365</v>
      </c>
      <c r="G54" s="6" t="s">
        <v>2209</v>
      </c>
      <c r="H54" s="6" t="n">
        <f aca="false">VLOOKUP($A54,Day2!$A$1:$H$400,4,FALSE())</f>
        <v>0</v>
      </c>
      <c r="I54" s="6" t="n">
        <f aca="false">VLOOKUP($A54,Day2!$A$1:$H$400,5,FALSE())</f>
        <v>0</v>
      </c>
      <c r="J54" s="6" t="n">
        <f aca="false">VLOOKUP($A54,Day2!$A$1:$H$400,6,FALSE())</f>
        <v>0</v>
      </c>
      <c r="K54" s="6" t="n">
        <f aca="false">VLOOKUP($A54,Day2!$A$1:$H$400,7,FALSE())</f>
        <v>0</v>
      </c>
      <c r="L54" s="8" t="n">
        <f aca="false">SUM(G54:K54)</f>
        <v>0</v>
      </c>
      <c r="M54" s="8" t="str">
        <f aca="false">ROMAN(RANK(L54,$L$4:$L$54,0))</f>
        <v>XIII</v>
      </c>
    </row>
    <row r="55" customFormat="false" ht="15.75" hidden="false" customHeight="false" outlineLevel="0" collapsed="false">
      <c r="A55" s="6" t="n">
        <v>132785</v>
      </c>
      <c r="B55" s="6" t="s">
        <v>2364</v>
      </c>
      <c r="C55" s="6" t="s">
        <v>2253</v>
      </c>
      <c r="D55" s="6" t="s">
        <v>212</v>
      </c>
      <c r="E55" s="6" t="s">
        <v>2396</v>
      </c>
      <c r="F55" s="6" t="s">
        <v>2365</v>
      </c>
      <c r="G55" s="6" t="s">
        <v>2209</v>
      </c>
      <c r="H55" s="6" t="n">
        <f aca="false">VLOOKUP($A55,Day2!$A$1:$H$400,4,FALSE())</f>
        <v>0</v>
      </c>
      <c r="I55" s="6" t="n">
        <f aca="false">VLOOKUP($A55,Day2!$A$1:$H$400,5,FALSE())</f>
        <v>0</v>
      </c>
      <c r="J55" s="6" t="n">
        <f aca="false">VLOOKUP($A55,Day2!$A$1:$H$400,6,FALSE())</f>
        <v>0</v>
      </c>
      <c r="K55" s="6" t="n">
        <f aca="false">VLOOKUP($A55,Day2!$A$1:$H$400,7,FALSE())</f>
        <v>0</v>
      </c>
      <c r="L55" s="8" t="n">
        <f aca="false">SUM(G55:K55)</f>
        <v>0</v>
      </c>
      <c r="M55" s="8" t="str">
        <f aca="false">ROMAN(RANK(L55,$L$4:$L$54,0))</f>
        <v>XIII</v>
      </c>
    </row>
    <row r="56" customFormat="false" ht="15.75" hidden="false" customHeight="false" outlineLevel="0" collapsed="false">
      <c r="A56" s="6" t="n">
        <v>185218</v>
      </c>
      <c r="B56" s="6" t="s">
        <v>2364</v>
      </c>
      <c r="C56" s="6" t="s">
        <v>2253</v>
      </c>
      <c r="D56" s="6" t="s">
        <v>328</v>
      </c>
      <c r="E56" s="6" t="s">
        <v>2397</v>
      </c>
      <c r="F56" s="6" t="s">
        <v>2365</v>
      </c>
      <c r="G56" s="6" t="s">
        <v>2209</v>
      </c>
      <c r="H56" s="6" t="n">
        <f aca="false">VLOOKUP($A56,Day2!$A$1:$H$400,4,FALSE())</f>
        <v>0</v>
      </c>
      <c r="I56" s="6" t="n">
        <f aca="false">VLOOKUP($A56,Day2!$A$1:$H$400,5,FALSE())</f>
        <v>0</v>
      </c>
      <c r="J56" s="6" t="n">
        <f aca="false">VLOOKUP($A56,Day2!$A$1:$H$400,6,FALSE())</f>
        <v>0</v>
      </c>
      <c r="K56" s="6" t="n">
        <f aca="false">VLOOKUP($A56,Day2!$A$1:$H$400,7,FALSE())</f>
        <v>0</v>
      </c>
      <c r="L56" s="8" t="n">
        <f aca="false">SUM(G56:K56)</f>
        <v>0</v>
      </c>
      <c r="M56" s="8" t="str">
        <f aca="false">ROMAN(RANK(L56,$L$4:$L$54,0))</f>
        <v>XIII</v>
      </c>
    </row>
    <row r="57" customFormat="false" ht="15.75" hidden="false" customHeight="false" outlineLevel="0" collapsed="false">
      <c r="A57" s="6" t="n">
        <v>185225</v>
      </c>
      <c r="B57" s="6" t="s">
        <v>2364</v>
      </c>
      <c r="C57" s="6" t="s">
        <v>2253</v>
      </c>
      <c r="D57" s="6" t="s">
        <v>375</v>
      </c>
      <c r="E57" s="6" t="s">
        <v>2398</v>
      </c>
      <c r="F57" s="6" t="s">
        <v>2365</v>
      </c>
      <c r="G57" s="6" t="s">
        <v>2209</v>
      </c>
      <c r="H57" s="6" t="n">
        <f aca="false">VLOOKUP($A57,Day2!$A$1:$H$400,4,FALSE())</f>
        <v>0</v>
      </c>
      <c r="I57" s="6" t="n">
        <f aca="false">VLOOKUP($A57,Day2!$A$1:$H$400,5,FALSE())</f>
        <v>0</v>
      </c>
      <c r="J57" s="6" t="n">
        <f aca="false">VLOOKUP($A57,Day2!$A$1:$H$400,6,FALSE())</f>
        <v>0</v>
      </c>
      <c r="K57" s="6" t="n">
        <f aca="false">VLOOKUP($A57,Day2!$A$1:$H$400,7,FALSE())</f>
        <v>0</v>
      </c>
      <c r="L57" s="8" t="n">
        <f aca="false">SUM(G57:K57)</f>
        <v>0</v>
      </c>
      <c r="M57" s="8" t="str">
        <f aca="false">ROMAN(RANK(L57,$L$4:$L$54,0))</f>
        <v>XIII</v>
      </c>
    </row>
    <row r="58" customFormat="false" ht="15.75" hidden="false" customHeight="false" outlineLevel="0" collapsed="false">
      <c r="A58" s="6" t="n">
        <v>185228</v>
      </c>
      <c r="B58" s="6" t="s">
        <v>2364</v>
      </c>
      <c r="C58" s="6" t="s">
        <v>2253</v>
      </c>
      <c r="D58" s="6" t="s">
        <v>287</v>
      </c>
      <c r="E58" s="6" t="s">
        <v>2224</v>
      </c>
      <c r="F58" s="6" t="s">
        <v>2365</v>
      </c>
      <c r="G58" s="6" t="s">
        <v>2209</v>
      </c>
      <c r="H58" s="6" t="n">
        <f aca="false">VLOOKUP($A58,Day2!$A$1:$H$400,4,FALSE())</f>
        <v>0</v>
      </c>
      <c r="I58" s="6" t="n">
        <f aca="false">VLOOKUP($A58,Day2!$A$1:$H$400,5,FALSE())</f>
        <v>0</v>
      </c>
      <c r="J58" s="6" t="n">
        <f aca="false">VLOOKUP($A58,Day2!$A$1:$H$400,6,FALSE())</f>
        <v>0</v>
      </c>
      <c r="K58" s="6" t="n">
        <f aca="false">VLOOKUP($A58,Day2!$A$1:$H$400,7,FALSE())</f>
        <v>0</v>
      </c>
      <c r="L58" s="8" t="n">
        <f aca="false">SUM(G58:K58)</f>
        <v>0</v>
      </c>
      <c r="M58" s="8" t="str">
        <f aca="false">ROMAN(RANK(L58,$L$4:$L$54,0))</f>
        <v>XIII</v>
      </c>
    </row>
    <row r="59" customFormat="false" ht="15.75" hidden="false" customHeight="false" outlineLevel="0" collapsed="false">
      <c r="A59" s="6" t="n">
        <v>115715</v>
      </c>
      <c r="B59" s="6" t="s">
        <v>2364</v>
      </c>
      <c r="C59" s="6" t="s">
        <v>2255</v>
      </c>
      <c r="D59" s="6" t="s">
        <v>333</v>
      </c>
      <c r="E59" s="6" t="s">
        <v>2399</v>
      </c>
      <c r="F59" s="6" t="s">
        <v>2365</v>
      </c>
      <c r="G59" s="6" t="s">
        <v>2209</v>
      </c>
      <c r="H59" s="6" t="n">
        <f aca="false">VLOOKUP($A59,Day2!$A$1:$H$400,4,FALSE())</f>
        <v>0</v>
      </c>
      <c r="I59" s="6" t="n">
        <f aca="false">VLOOKUP($A59,Day2!$A$1:$H$400,5,FALSE())</f>
        <v>0</v>
      </c>
      <c r="J59" s="6" t="n">
        <f aca="false">VLOOKUP($A59,Day2!$A$1:$H$400,6,FALSE())</f>
        <v>0</v>
      </c>
      <c r="K59" s="6" t="n">
        <f aca="false">VLOOKUP($A59,Day2!$A$1:$H$400,7,FALSE())</f>
        <v>0</v>
      </c>
      <c r="L59" s="8" t="n">
        <f aca="false">SUM(G59:K59)</f>
        <v>0</v>
      </c>
      <c r="M59" s="8" t="str">
        <f aca="false">ROMAN(RANK(L59,$L$4:$L$54,0))</f>
        <v>XIII</v>
      </c>
    </row>
    <row r="60" customFormat="false" ht="15.75" hidden="false" customHeight="false" outlineLevel="0" collapsed="false">
      <c r="A60" s="6" t="n">
        <v>117384</v>
      </c>
      <c r="B60" s="6" t="s">
        <v>2364</v>
      </c>
      <c r="C60" s="6" t="s">
        <v>2218</v>
      </c>
      <c r="D60" s="6" t="s">
        <v>396</v>
      </c>
      <c r="E60" s="6" t="s">
        <v>635</v>
      </c>
      <c r="F60" s="6" t="s">
        <v>2365</v>
      </c>
      <c r="G60" s="6" t="s">
        <v>2212</v>
      </c>
      <c r="H60" s="6" t="n">
        <f aca="false">VLOOKUP($A60,Day2!$A$1:$H$400,4,FALSE())</f>
        <v>0</v>
      </c>
      <c r="I60" s="6" t="n">
        <f aca="false">VLOOKUP($A60,Day2!$A$1:$H$400,5,FALSE())</f>
        <v>0</v>
      </c>
      <c r="J60" s="6" t="n">
        <f aca="false">VLOOKUP($A60,Day2!$A$1:$H$400,6,FALSE())</f>
        <v>0</v>
      </c>
      <c r="K60" s="6" t="n">
        <f aca="false">VLOOKUP($A60,Day2!$A$1:$H$400,7,FALSE())</f>
        <v>0</v>
      </c>
      <c r="L60" s="8" t="n">
        <f aca="false">SUM(G60:K60)</f>
        <v>0</v>
      </c>
      <c r="M60" s="8" t="str">
        <f aca="false">ROMAN(RANK(L60,$L$4:$L$54,0))</f>
        <v>XIII</v>
      </c>
    </row>
    <row r="61" customFormat="false" ht="15.75" hidden="false" customHeight="false" outlineLevel="0" collapsed="false">
      <c r="A61" s="6" t="n">
        <v>187899</v>
      </c>
      <c r="B61" s="6" t="s">
        <v>2364</v>
      </c>
      <c r="C61" s="6" t="s">
        <v>2222</v>
      </c>
      <c r="D61" s="6" t="s">
        <v>350</v>
      </c>
      <c r="E61" s="6" t="s">
        <v>2400</v>
      </c>
      <c r="F61" s="6" t="s">
        <v>2365</v>
      </c>
      <c r="G61" s="6" t="s">
        <v>2225</v>
      </c>
      <c r="H61" s="6" t="n">
        <f aca="false">VLOOKUP($A61,Day2!$A$1:$H$400,4,FALSE())</f>
        <v>0</v>
      </c>
      <c r="I61" s="6" t="n">
        <f aca="false">VLOOKUP($A61,Day2!$A$1:$H$400,5,FALSE())</f>
        <v>0</v>
      </c>
      <c r="J61" s="6" t="n">
        <f aca="false">VLOOKUP($A61,Day2!$A$1:$H$400,6,FALSE())</f>
        <v>0</v>
      </c>
      <c r="K61" s="6" t="n">
        <f aca="false">VLOOKUP($A61,Day2!$A$1:$H$400,7,FALSE())</f>
        <v>0</v>
      </c>
      <c r="L61" s="8" t="n">
        <f aca="false">SUM(G61:K61)</f>
        <v>0</v>
      </c>
      <c r="M61" s="8" t="str">
        <f aca="false">ROMAN(RANK(L61,$L$4:$L$54,0))</f>
        <v>XIII</v>
      </c>
    </row>
    <row r="63" customFormat="false" ht="15.75" hidden="false" customHeight="false" outlineLevel="0" collapsed="false">
      <c r="A63" s="5" t="s">
        <v>2362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15.7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customFormat="false" ht="15.75" hidden="false" customHeight="false" outlineLevel="0" collapsed="false">
      <c r="A65" s="5" t="s">
        <v>2324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</sheetData>
  <mergeCells count="6">
    <mergeCell ref="A1:M1"/>
    <mergeCell ref="A2:B2"/>
    <mergeCell ref="J2:M2"/>
    <mergeCell ref="A63:L63"/>
    <mergeCell ref="A64:L64"/>
    <mergeCell ref="A65:L6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tru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12"/>
    <col collapsed="false" customWidth="true" hidden="false" outlineLevel="0" max="3" min="3" style="0" width="33.63"/>
    <col collapsed="false" customWidth="true" hidden="false" outlineLevel="0" max="7" min="7" style="0" width="5.75"/>
    <col collapsed="false" customWidth="true" hidden="false" outlineLevel="0" max="13" min="8" style="0" width="6.25"/>
    <col collapsed="false" customWidth="true" hidden="false" outlineLevel="0" max="14" min="14" style="0" width="6.63"/>
    <col collapsed="false" customWidth="true" hidden="false" outlineLevel="0" max="15" min="15" style="0" width="7.38"/>
  </cols>
  <sheetData>
    <row r="1" customFormat="false" ht="15.75" hidden="false" customHeight="false" outlineLevel="0" collapsed="false">
      <c r="A1" s="3" t="s">
        <v>2187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.75" hidden="false" customHeight="false" outlineLevel="0" collapsed="false">
      <c r="A2" s="10" t="n">
        <v>46005</v>
      </c>
      <c r="B2" s="10"/>
      <c r="K2" s="11" t="s">
        <v>2363</v>
      </c>
      <c r="L2" s="11"/>
      <c r="M2" s="11"/>
      <c r="N2" s="11"/>
      <c r="O2" s="11"/>
    </row>
    <row r="3" customFormat="false" ht="26.85" hidden="false" customHeight="false" outlineLevel="0" collapsed="false">
      <c r="A3" s="6" t="s">
        <v>2189</v>
      </c>
      <c r="B3" s="6" t="s">
        <v>2190</v>
      </c>
      <c r="C3" s="6" t="s">
        <v>2191</v>
      </c>
      <c r="D3" s="6" t="s">
        <v>2192</v>
      </c>
      <c r="E3" s="6" t="s">
        <v>2193</v>
      </c>
      <c r="F3" s="6" t="s">
        <v>2194</v>
      </c>
      <c r="G3" s="6" t="s">
        <v>2195</v>
      </c>
      <c r="H3" s="6" t="s">
        <v>2196</v>
      </c>
      <c r="I3" s="6" t="s">
        <v>2197</v>
      </c>
      <c r="J3" s="6" t="s">
        <v>2198</v>
      </c>
      <c r="K3" s="6" t="s">
        <v>2199</v>
      </c>
      <c r="L3" s="6" t="s">
        <v>2401</v>
      </c>
      <c r="M3" s="6" t="s">
        <v>2402</v>
      </c>
      <c r="N3" s="7" t="s">
        <v>2200</v>
      </c>
      <c r="O3" s="7" t="s">
        <v>2201</v>
      </c>
    </row>
    <row r="4" customFormat="false" ht="15.75" hidden="false" customHeight="false" outlineLevel="0" collapsed="false">
      <c r="A4" s="6" t="n">
        <v>64385</v>
      </c>
      <c r="B4" s="6" t="s">
        <v>2403</v>
      </c>
      <c r="C4" s="6" t="s">
        <v>2295</v>
      </c>
      <c r="D4" s="6" t="s">
        <v>635</v>
      </c>
      <c r="E4" s="6" t="s">
        <v>2316</v>
      </c>
      <c r="F4" s="6" t="s">
        <v>2404</v>
      </c>
      <c r="G4" s="6" t="s">
        <v>2212</v>
      </c>
      <c r="H4" s="6" t="n">
        <f aca="false">VLOOKUP($A4,Day1!$A$1:$H$394,4,FALSE())</f>
        <v>7</v>
      </c>
      <c r="I4" s="6" t="n">
        <f aca="false">VLOOKUP($A4,Day1!$A$1:$H$394,5,FALSE())</f>
        <v>2</v>
      </c>
      <c r="J4" s="6" t="n">
        <f aca="false">VLOOKUP($A4,Day1!$A$1:$H$394,6,FALSE())</f>
        <v>0</v>
      </c>
      <c r="K4" s="6" t="n">
        <f aca="false">VLOOKUP($A4,Day2!$A$1:$H$400,4,FALSE())</f>
        <v>7</v>
      </c>
      <c r="L4" s="6" t="n">
        <f aca="false">VLOOKUP($A4,Day2!$A$1:$H$400,5,FALSE())</f>
        <v>0</v>
      </c>
      <c r="M4" s="6" t="n">
        <f aca="false">VLOOKUP($A4,Day2!$A$1:$H$400,6,FALSE())</f>
        <v>0</v>
      </c>
      <c r="N4" s="8" t="n">
        <f aca="false">SUM(H4:K4)</f>
        <v>16</v>
      </c>
      <c r="O4" s="8" t="str">
        <f aca="false">ROMAN(RANK(N4,$N$4:$N$28,0))</f>
        <v>I</v>
      </c>
    </row>
    <row r="5" customFormat="false" ht="15.75" hidden="false" customHeight="false" outlineLevel="0" collapsed="false">
      <c r="A5" s="6" t="n">
        <v>118504</v>
      </c>
      <c r="B5" s="6" t="s">
        <v>2403</v>
      </c>
      <c r="C5" s="6" t="s">
        <v>2253</v>
      </c>
      <c r="D5" s="6" t="s">
        <v>263</v>
      </c>
      <c r="E5" s="6" t="s">
        <v>1134</v>
      </c>
      <c r="F5" s="6" t="s">
        <v>2404</v>
      </c>
      <c r="G5" s="6" t="s">
        <v>2209</v>
      </c>
      <c r="H5" s="6" t="n">
        <f aca="false">VLOOKUP($A5,Day1!$A$1:$H$394,4,FALSE())</f>
        <v>7</v>
      </c>
      <c r="I5" s="6" t="n">
        <f aca="false">VLOOKUP($A5,Day1!$A$1:$H$394,5,FALSE())</f>
        <v>4</v>
      </c>
      <c r="J5" s="6" t="n">
        <f aca="false">VLOOKUP($A5,Day1!$A$1:$H$394,6,FALSE())</f>
        <v>0</v>
      </c>
      <c r="K5" s="6" t="n">
        <f aca="false">VLOOKUP($A5,Day2!$A$1:$H$400,4,FALSE())</f>
        <v>1</v>
      </c>
      <c r="L5" s="6" t="n">
        <f aca="false">VLOOKUP($A5,Day2!$A$1:$H$400,5,FALSE())</f>
        <v>0</v>
      </c>
      <c r="M5" s="6" t="n">
        <f aca="false">VLOOKUP($A5,Day2!$A$1:$H$400,6,FALSE())</f>
        <v>0</v>
      </c>
      <c r="N5" s="8" t="n">
        <f aca="false">SUM(H5:K5)</f>
        <v>12</v>
      </c>
      <c r="O5" s="8" t="str">
        <f aca="false">ROMAN(RANK(N5,$N$4:$N$28,0))</f>
        <v>II</v>
      </c>
    </row>
    <row r="6" customFormat="false" ht="15.75" hidden="false" customHeight="false" outlineLevel="0" collapsed="false">
      <c r="A6" s="6" t="n">
        <v>83942</v>
      </c>
      <c r="B6" s="6" t="s">
        <v>2403</v>
      </c>
      <c r="C6" s="6" t="s">
        <v>2207</v>
      </c>
      <c r="D6" s="6" t="s">
        <v>628</v>
      </c>
      <c r="E6" s="6" t="s">
        <v>2234</v>
      </c>
      <c r="F6" s="6" t="s">
        <v>2404</v>
      </c>
      <c r="G6" s="6" t="s">
        <v>2225</v>
      </c>
      <c r="H6" s="6" t="n">
        <f aca="false">VLOOKUP($A6,Day1!$A$1:$H$394,4,FALSE())</f>
        <v>7</v>
      </c>
      <c r="I6" s="6" t="n">
        <f aca="false">VLOOKUP($A6,Day1!$A$1:$H$394,5,FALSE())</f>
        <v>3</v>
      </c>
      <c r="J6" s="6" t="n">
        <f aca="false">VLOOKUP($A6,Day1!$A$1:$H$394,6,FALSE())</f>
        <v>0</v>
      </c>
      <c r="K6" s="6" t="n">
        <f aca="false">VLOOKUP($A6,Day2!$A$1:$H$400,4,FALSE())</f>
        <v>1.5</v>
      </c>
      <c r="L6" s="6" t="n">
        <f aca="false">VLOOKUP($A6,Day2!$A$1:$H$400,5,FALSE())</f>
        <v>0</v>
      </c>
      <c r="M6" s="6" t="n">
        <f aca="false">VLOOKUP($A6,Day2!$A$1:$H$400,6,FALSE())</f>
        <v>0</v>
      </c>
      <c r="N6" s="8" t="n">
        <f aca="false">SUM(H6:K6)</f>
        <v>11.5</v>
      </c>
      <c r="O6" s="8" t="str">
        <f aca="false">ROMAN(RANK(N6,$N$4:$N$28,0))</f>
        <v>III</v>
      </c>
    </row>
    <row r="7" customFormat="false" ht="15.75" hidden="false" customHeight="false" outlineLevel="0" collapsed="false">
      <c r="A7" s="6" t="n">
        <v>124360</v>
      </c>
      <c r="B7" s="6" t="s">
        <v>2403</v>
      </c>
      <c r="C7" s="6" t="s">
        <v>2207</v>
      </c>
      <c r="D7" s="6" t="s">
        <v>639</v>
      </c>
      <c r="E7" s="6" t="s">
        <v>2282</v>
      </c>
      <c r="F7" s="6" t="s">
        <v>2404</v>
      </c>
      <c r="G7" s="6" t="s">
        <v>2225</v>
      </c>
      <c r="H7" s="6" t="n">
        <f aca="false">VLOOKUP($A7,Day1!$A$1:$H$394,4,FALSE())</f>
        <v>7</v>
      </c>
      <c r="I7" s="6" t="n">
        <f aca="false">VLOOKUP($A7,Day1!$A$1:$H$394,5,FALSE())</f>
        <v>3</v>
      </c>
      <c r="J7" s="6" t="n">
        <f aca="false">VLOOKUP($A7,Day1!$A$1:$H$394,6,FALSE())</f>
        <v>0</v>
      </c>
      <c r="K7" s="6" t="n">
        <f aca="false">VLOOKUP($A7,Day2!$A$1:$H$400,4,FALSE())</f>
        <v>1</v>
      </c>
      <c r="L7" s="6" t="n">
        <f aca="false">VLOOKUP($A7,Day2!$A$1:$H$400,5,FALSE())</f>
        <v>0</v>
      </c>
      <c r="M7" s="6" t="n">
        <f aca="false">VLOOKUP($A7,Day2!$A$1:$H$400,6,FALSE())</f>
        <v>0</v>
      </c>
      <c r="N7" s="8" t="n">
        <f aca="false">SUM(H7:K7)</f>
        <v>11</v>
      </c>
      <c r="O7" s="8" t="str">
        <f aca="false">ROMAN(RANK(N7,$N$4:$N$28,0))</f>
        <v>IV</v>
      </c>
    </row>
    <row r="8" customFormat="false" ht="15.75" hidden="false" customHeight="false" outlineLevel="0" collapsed="false">
      <c r="A8" s="6" t="n">
        <v>111565</v>
      </c>
      <c r="B8" s="6" t="s">
        <v>2403</v>
      </c>
      <c r="C8" s="6" t="s">
        <v>2215</v>
      </c>
      <c r="D8" s="6" t="s">
        <v>682</v>
      </c>
      <c r="E8" s="6" t="s">
        <v>2405</v>
      </c>
      <c r="F8" s="6" t="s">
        <v>2404</v>
      </c>
      <c r="G8" s="6" t="s">
        <v>2209</v>
      </c>
      <c r="H8" s="6" t="n">
        <f aca="false">VLOOKUP($A8,Day1!$A$1:$H$394,4,FALSE())</f>
        <v>3</v>
      </c>
      <c r="I8" s="6" t="n">
        <f aca="false">VLOOKUP($A8,Day1!$A$1:$H$394,5,FALSE())</f>
        <v>2</v>
      </c>
      <c r="J8" s="6" t="n">
        <f aca="false">VLOOKUP($A8,Day1!$A$1:$H$394,6,FALSE())</f>
        <v>0</v>
      </c>
      <c r="K8" s="6" t="n">
        <f aca="false">VLOOKUP($A8,Day2!$A$1:$H$400,4,FALSE())</f>
        <v>6</v>
      </c>
      <c r="L8" s="6" t="n">
        <f aca="false">VLOOKUP($A8,Day2!$A$1:$H$400,5,FALSE())</f>
        <v>0</v>
      </c>
      <c r="M8" s="6" t="n">
        <f aca="false">VLOOKUP($A8,Day2!$A$1:$H$400,6,FALSE())</f>
        <v>0</v>
      </c>
      <c r="N8" s="8" t="n">
        <f aca="false">SUM(H8:K8)</f>
        <v>11</v>
      </c>
      <c r="O8" s="8" t="str">
        <f aca="false">ROMAN(RANK(N8,$N$4:$N$28,0))</f>
        <v>IV</v>
      </c>
    </row>
    <row r="9" customFormat="false" ht="15.75" hidden="false" customHeight="false" outlineLevel="0" collapsed="false">
      <c r="A9" s="6" t="n">
        <v>72425</v>
      </c>
      <c r="B9" s="6" t="s">
        <v>2403</v>
      </c>
      <c r="C9" s="6" t="s">
        <v>2222</v>
      </c>
      <c r="D9" s="6" t="s">
        <v>685</v>
      </c>
      <c r="E9" s="6" t="s">
        <v>2406</v>
      </c>
      <c r="F9" s="6" t="s">
        <v>2404</v>
      </c>
      <c r="G9" s="6" t="s">
        <v>2225</v>
      </c>
      <c r="H9" s="6" t="n">
        <f aca="false">VLOOKUP($A9,Day1!$A$1:$H$394,4,FALSE())</f>
        <v>7</v>
      </c>
      <c r="I9" s="6" t="n">
        <f aca="false">VLOOKUP($A9,Day1!$A$1:$H$394,5,FALSE())</f>
        <v>2</v>
      </c>
      <c r="J9" s="6" t="n">
        <f aca="false">VLOOKUP($A9,Day1!$A$1:$H$394,6,FALSE())</f>
        <v>0</v>
      </c>
      <c r="K9" s="6" t="n">
        <f aca="false">VLOOKUP($A9,Day2!$A$1:$H$400,4,FALSE())</f>
        <v>1</v>
      </c>
      <c r="L9" s="6" t="n">
        <f aca="false">VLOOKUP($A9,Day2!$A$1:$H$400,5,FALSE())</f>
        <v>0</v>
      </c>
      <c r="M9" s="6" t="n">
        <f aca="false">VLOOKUP($A9,Day2!$A$1:$H$400,6,FALSE())</f>
        <v>0</v>
      </c>
      <c r="N9" s="8" t="n">
        <f aca="false">SUM(H9:K9)</f>
        <v>10</v>
      </c>
      <c r="O9" s="8" t="str">
        <f aca="false">ROMAN(RANK(N9,$N$4:$N$28,0))</f>
        <v>VI</v>
      </c>
    </row>
    <row r="10" customFormat="false" ht="15.75" hidden="false" customHeight="false" outlineLevel="0" collapsed="false">
      <c r="A10" s="6" t="n">
        <v>118142</v>
      </c>
      <c r="B10" s="6" t="s">
        <v>2403</v>
      </c>
      <c r="C10" s="6" t="s">
        <v>2221</v>
      </c>
      <c r="D10" s="6" t="s">
        <v>676</v>
      </c>
      <c r="E10" s="6" t="s">
        <v>2407</v>
      </c>
      <c r="F10" s="6" t="s">
        <v>2404</v>
      </c>
      <c r="G10" s="6" t="s">
        <v>2229</v>
      </c>
      <c r="H10" s="6" t="n">
        <f aca="false">VLOOKUP($A10,Day1!$A$1:$H$394,4,FALSE())</f>
        <v>7</v>
      </c>
      <c r="I10" s="6" t="n">
        <f aca="false">VLOOKUP($A10,Day1!$A$1:$H$394,5,FALSE())</f>
        <v>3</v>
      </c>
      <c r="J10" s="6" t="n">
        <f aca="false">VLOOKUP($A10,Day1!$A$1:$H$394,6,FALSE())</f>
        <v>0</v>
      </c>
      <c r="K10" s="6" t="n">
        <f aca="false">VLOOKUP($A10,Day2!$A$1:$H$400,4,FALSE())</f>
        <v>0</v>
      </c>
      <c r="L10" s="6" t="n">
        <f aca="false">VLOOKUP($A10,Day2!$A$1:$H$400,5,FALSE())</f>
        <v>0</v>
      </c>
      <c r="M10" s="6" t="n">
        <f aca="false">VLOOKUP($A10,Day2!$A$1:$H$400,6,FALSE())</f>
        <v>0</v>
      </c>
      <c r="N10" s="8" t="n">
        <f aca="false">SUM(H10:K10)</f>
        <v>10</v>
      </c>
      <c r="O10" s="8" t="str">
        <f aca="false">ROMAN(RANK(N10,$N$4:$N$28,0))</f>
        <v>VI</v>
      </c>
    </row>
    <row r="11" customFormat="false" ht="15.75" hidden="false" customHeight="false" outlineLevel="0" collapsed="false">
      <c r="A11" s="6" t="n">
        <v>185840</v>
      </c>
      <c r="B11" s="6" t="s">
        <v>2403</v>
      </c>
      <c r="C11" s="6" t="s">
        <v>2221</v>
      </c>
      <c r="D11" s="6" t="s">
        <v>613</v>
      </c>
      <c r="E11" s="6" t="s">
        <v>2343</v>
      </c>
      <c r="F11" s="6" t="s">
        <v>2404</v>
      </c>
      <c r="G11" s="6" t="s">
        <v>2212</v>
      </c>
      <c r="H11" s="6" t="n">
        <f aca="false">VLOOKUP($A11,Day1!$A$1:$H$394,4,FALSE())</f>
        <v>7</v>
      </c>
      <c r="I11" s="6" t="n">
        <f aca="false">VLOOKUP($A11,Day1!$A$1:$H$394,5,FALSE())</f>
        <v>2</v>
      </c>
      <c r="J11" s="6" t="n">
        <f aca="false">VLOOKUP($A11,Day1!$A$1:$H$394,6,FALSE())</f>
        <v>0</v>
      </c>
      <c r="K11" s="6" t="n">
        <f aca="false">VLOOKUP($A11,Day2!$A$1:$H$400,4,FALSE())</f>
        <v>1</v>
      </c>
      <c r="L11" s="6" t="n">
        <f aca="false">VLOOKUP($A11,Day2!$A$1:$H$400,5,FALSE())</f>
        <v>0</v>
      </c>
      <c r="M11" s="6" t="n">
        <f aca="false">VLOOKUP($A11,Day2!$A$1:$H$400,6,FALSE())</f>
        <v>0</v>
      </c>
      <c r="N11" s="8" t="n">
        <f aca="false">SUM(H11:K11)</f>
        <v>10</v>
      </c>
      <c r="O11" s="8" t="str">
        <f aca="false">ROMAN(RANK(N11,$N$4:$N$28,0))</f>
        <v>VI</v>
      </c>
    </row>
    <row r="12" customFormat="false" ht="15.75" hidden="false" customHeight="false" outlineLevel="0" collapsed="false">
      <c r="A12" s="6" t="n">
        <v>60958</v>
      </c>
      <c r="B12" s="6" t="s">
        <v>2403</v>
      </c>
      <c r="C12" s="6" t="s">
        <v>2290</v>
      </c>
      <c r="D12" s="6" t="s">
        <v>643</v>
      </c>
      <c r="E12" s="6" t="s">
        <v>2249</v>
      </c>
      <c r="F12" s="6" t="s">
        <v>2404</v>
      </c>
      <c r="G12" s="6" t="s">
        <v>2209</v>
      </c>
      <c r="H12" s="6" t="n">
        <f aca="false">VLOOKUP($A12,Day1!$A$1:$H$394,4,FALSE())</f>
        <v>7</v>
      </c>
      <c r="I12" s="6" t="n">
        <f aca="false">VLOOKUP($A12,Day1!$A$1:$H$394,5,FALSE())</f>
        <v>2</v>
      </c>
      <c r="J12" s="6" t="n">
        <f aca="false">VLOOKUP($A12,Day1!$A$1:$H$394,6,FALSE())</f>
        <v>0</v>
      </c>
      <c r="K12" s="6" t="n">
        <f aca="false">VLOOKUP($A12,Day2!$A$1:$H$400,4,FALSE())</f>
        <v>0</v>
      </c>
      <c r="L12" s="6" t="n">
        <f aca="false">VLOOKUP($A12,Day2!$A$1:$H$400,5,FALSE())</f>
        <v>0</v>
      </c>
      <c r="M12" s="6" t="n">
        <f aca="false">VLOOKUP($A12,Day2!$A$1:$H$400,6,FALSE())</f>
        <v>0</v>
      </c>
      <c r="N12" s="8" t="n">
        <f aca="false">SUM(H12:K12)</f>
        <v>9</v>
      </c>
      <c r="O12" s="8" t="str">
        <f aca="false">ROMAN(RANK(N12,$N$4:$N$28,0))</f>
        <v>IX</v>
      </c>
    </row>
    <row r="13" customFormat="false" ht="15.75" hidden="false" customHeight="false" outlineLevel="0" collapsed="false">
      <c r="A13" s="6" t="n">
        <v>58142</v>
      </c>
      <c r="B13" s="6" t="s">
        <v>2403</v>
      </c>
      <c r="C13" s="6" t="s">
        <v>2261</v>
      </c>
      <c r="D13" s="6" t="s">
        <v>652</v>
      </c>
      <c r="E13" s="6" t="s">
        <v>2408</v>
      </c>
      <c r="F13" s="6" t="s">
        <v>2404</v>
      </c>
      <c r="G13" s="6" t="s">
        <v>2209</v>
      </c>
      <c r="H13" s="6" t="n">
        <f aca="false">VLOOKUP($A13,Day1!$A$1:$H$394,4,FALSE())</f>
        <v>7</v>
      </c>
      <c r="I13" s="6" t="n">
        <f aca="false">VLOOKUP($A13,Day1!$A$1:$H$394,5,FALSE())</f>
        <v>2</v>
      </c>
      <c r="J13" s="6" t="n">
        <f aca="false">VLOOKUP($A13,Day1!$A$1:$H$394,6,FALSE())</f>
        <v>0</v>
      </c>
      <c r="K13" s="6" t="n">
        <f aca="false">VLOOKUP($A13,Day2!$A$1:$H$400,4,FALSE())</f>
        <v>0</v>
      </c>
      <c r="L13" s="6" t="n">
        <f aca="false">VLOOKUP($A13,Day2!$A$1:$H$400,5,FALSE())</f>
        <v>0</v>
      </c>
      <c r="M13" s="6" t="n">
        <f aca="false">VLOOKUP($A13,Day2!$A$1:$H$400,6,FALSE())</f>
        <v>0</v>
      </c>
      <c r="N13" s="8" t="n">
        <f aca="false">SUM(H13:K13)</f>
        <v>9</v>
      </c>
      <c r="O13" s="8" t="str">
        <f aca="false">ROMAN(RANK(N13,$N$4:$N$28,0))</f>
        <v>IX</v>
      </c>
    </row>
    <row r="14" customFormat="false" ht="15.75" hidden="false" customHeight="false" outlineLevel="0" collapsed="false">
      <c r="A14" s="6" t="n">
        <v>97542</v>
      </c>
      <c r="B14" s="6" t="s">
        <v>2403</v>
      </c>
      <c r="C14" s="6" t="s">
        <v>2222</v>
      </c>
      <c r="D14" s="6" t="s">
        <v>355</v>
      </c>
      <c r="E14" s="6" t="s">
        <v>2409</v>
      </c>
      <c r="F14" s="6" t="s">
        <v>2404</v>
      </c>
      <c r="G14" s="6" t="s">
        <v>2206</v>
      </c>
      <c r="H14" s="6" t="n">
        <f aca="false">VLOOKUP($A14,Day1!$A$1:$H$394,4,FALSE())</f>
        <v>7</v>
      </c>
      <c r="I14" s="6" t="n">
        <f aca="false">VLOOKUP($A14,Day1!$A$1:$H$394,5,FALSE())</f>
        <v>2</v>
      </c>
      <c r="J14" s="6" t="n">
        <f aca="false">VLOOKUP($A14,Day1!$A$1:$H$394,6,FALSE())</f>
        <v>0</v>
      </c>
      <c r="K14" s="6" t="n">
        <f aca="false">VLOOKUP($A14,Day2!$A$1:$H$400,4,FALSE())</f>
        <v>0</v>
      </c>
      <c r="L14" s="6" t="n">
        <f aca="false">VLOOKUP($A14,Day2!$A$1:$H$400,5,FALSE())</f>
        <v>0</v>
      </c>
      <c r="M14" s="6" t="n">
        <f aca="false">VLOOKUP($A14,Day2!$A$1:$H$400,6,FALSE())</f>
        <v>0</v>
      </c>
      <c r="N14" s="8" t="n">
        <f aca="false">SUM(H14:K14)</f>
        <v>9</v>
      </c>
      <c r="O14" s="8" t="str">
        <f aca="false">ROMAN(RANK(N14,$N$4:$N$28,0))</f>
        <v>IX</v>
      </c>
    </row>
    <row r="15" customFormat="false" ht="15.75" hidden="false" customHeight="false" outlineLevel="0" collapsed="false">
      <c r="A15" s="6" t="n">
        <v>114590</v>
      </c>
      <c r="B15" s="6" t="s">
        <v>2403</v>
      </c>
      <c r="C15" s="6" t="s">
        <v>2257</v>
      </c>
      <c r="D15" s="6" t="s">
        <v>667</v>
      </c>
      <c r="E15" s="6" t="s">
        <v>652</v>
      </c>
      <c r="F15" s="6" t="s">
        <v>2404</v>
      </c>
      <c r="G15" s="6" t="s">
        <v>2206</v>
      </c>
      <c r="H15" s="6" t="n">
        <f aca="false">VLOOKUP($A15,Day1!$A$1:$H$394,4,FALSE())</f>
        <v>7</v>
      </c>
      <c r="I15" s="6" t="n">
        <f aca="false">VLOOKUP($A15,Day1!$A$1:$H$394,5,FALSE())</f>
        <v>0</v>
      </c>
      <c r="J15" s="6" t="n">
        <f aca="false">VLOOKUP($A15,Day1!$A$1:$H$394,6,FALSE())</f>
        <v>0</v>
      </c>
      <c r="K15" s="6" t="n">
        <f aca="false">VLOOKUP($A15,Day2!$A$1:$H$400,4,FALSE())</f>
        <v>0</v>
      </c>
      <c r="L15" s="6" t="n">
        <f aca="false">VLOOKUP($A15,Day2!$A$1:$H$400,5,FALSE())</f>
        <v>0</v>
      </c>
      <c r="M15" s="6" t="n">
        <f aca="false">VLOOKUP($A15,Day2!$A$1:$H$400,6,FALSE())</f>
        <v>0</v>
      </c>
      <c r="N15" s="8" t="n">
        <f aca="false">SUM(H15:K15)</f>
        <v>7</v>
      </c>
      <c r="O15" s="8" t="str">
        <f aca="false">ROMAN(RANK(N15,$N$4:$N$28,0))</f>
        <v>XII</v>
      </c>
    </row>
    <row r="16" customFormat="false" ht="15.75" hidden="false" customHeight="false" outlineLevel="0" collapsed="false">
      <c r="A16" s="6" t="n">
        <v>187582</v>
      </c>
      <c r="B16" s="6" t="s">
        <v>2403</v>
      </c>
      <c r="C16" s="6" t="s">
        <v>2222</v>
      </c>
      <c r="D16" s="6" t="s">
        <v>594</v>
      </c>
      <c r="E16" s="6" t="s">
        <v>150</v>
      </c>
      <c r="F16" s="6" t="s">
        <v>2404</v>
      </c>
      <c r="G16" s="6" t="s">
        <v>2206</v>
      </c>
      <c r="H16" s="6" t="n">
        <f aca="false">VLOOKUP($A16,Day1!$A$1:$H$394,4,FALSE())</f>
        <v>5</v>
      </c>
      <c r="I16" s="6" t="n">
        <f aca="false">VLOOKUP($A16,Day1!$A$1:$H$394,5,FALSE())</f>
        <v>2</v>
      </c>
      <c r="J16" s="6" t="n">
        <f aca="false">VLOOKUP($A16,Day1!$A$1:$H$394,6,FALSE())</f>
        <v>0</v>
      </c>
      <c r="K16" s="6" t="n">
        <f aca="false">VLOOKUP($A16,Day2!$A$1:$H$400,4,FALSE())</f>
        <v>0</v>
      </c>
      <c r="L16" s="6" t="n">
        <f aca="false">VLOOKUP($A16,Day2!$A$1:$H$400,5,FALSE())</f>
        <v>0</v>
      </c>
      <c r="M16" s="6" t="n">
        <f aca="false">VLOOKUP($A16,Day2!$A$1:$H$400,6,FALSE())</f>
        <v>0</v>
      </c>
      <c r="N16" s="8" t="n">
        <f aca="false">SUM(H16:K16)</f>
        <v>7</v>
      </c>
      <c r="O16" s="8" t="str">
        <f aca="false">ROMAN(RANK(N16,$N$4:$N$28,0))</f>
        <v>XII</v>
      </c>
    </row>
    <row r="17" customFormat="false" ht="15.75" hidden="false" customHeight="false" outlineLevel="0" collapsed="false">
      <c r="A17" s="6" t="n">
        <v>109357</v>
      </c>
      <c r="B17" s="6" t="s">
        <v>2403</v>
      </c>
      <c r="C17" s="6" t="s">
        <v>2218</v>
      </c>
      <c r="D17" s="6" t="s">
        <v>188</v>
      </c>
      <c r="E17" s="6" t="s">
        <v>267</v>
      </c>
      <c r="F17" s="6" t="s">
        <v>2404</v>
      </c>
      <c r="G17" s="6" t="s">
        <v>2212</v>
      </c>
      <c r="H17" s="6" t="n">
        <f aca="false">VLOOKUP($A17,Day1!$A$1:$H$394,4,FALSE())</f>
        <v>4</v>
      </c>
      <c r="I17" s="6" t="n">
        <f aca="false">VLOOKUP($A17,Day1!$A$1:$H$394,5,FALSE())</f>
        <v>0</v>
      </c>
      <c r="J17" s="6" t="n">
        <f aca="false">VLOOKUP($A17,Day1!$A$1:$H$394,6,FALSE())</f>
        <v>0</v>
      </c>
      <c r="K17" s="6" t="n">
        <f aca="false">VLOOKUP($A17,Day2!$A$1:$H$400,4,FALSE())</f>
        <v>0</v>
      </c>
      <c r="L17" s="6" t="n">
        <f aca="false">VLOOKUP($A17,Day2!$A$1:$H$400,5,FALSE())</f>
        <v>0</v>
      </c>
      <c r="M17" s="6" t="n">
        <f aca="false">VLOOKUP($A17,Day2!$A$1:$H$400,6,FALSE())</f>
        <v>0</v>
      </c>
      <c r="N17" s="8" t="n">
        <f aca="false">SUM(H17:K17)</f>
        <v>4</v>
      </c>
      <c r="O17" s="8" t="str">
        <f aca="false">ROMAN(RANK(N17,$N$4:$N$28,0))</f>
        <v>XIV</v>
      </c>
    </row>
    <row r="18" customFormat="false" ht="15.75" hidden="false" customHeight="false" outlineLevel="0" collapsed="false">
      <c r="A18" s="6" t="n">
        <v>117121</v>
      </c>
      <c r="B18" s="6" t="s">
        <v>2403</v>
      </c>
      <c r="C18" s="6" t="s">
        <v>2259</v>
      </c>
      <c r="D18" s="6" t="s">
        <v>609</v>
      </c>
      <c r="E18" s="6" t="s">
        <v>2313</v>
      </c>
      <c r="F18" s="6" t="s">
        <v>2404</v>
      </c>
      <c r="G18" s="6" t="s">
        <v>2212</v>
      </c>
      <c r="H18" s="6" t="n">
        <f aca="false">VLOOKUP($A18,Day1!$A$1:$H$394,4,FALSE())</f>
        <v>0</v>
      </c>
      <c r="I18" s="6" t="n">
        <f aca="false">VLOOKUP($A18,Day1!$A$1:$H$394,5,FALSE())</f>
        <v>3</v>
      </c>
      <c r="J18" s="6" t="n">
        <f aca="false">VLOOKUP($A18,Day1!$A$1:$H$394,6,FALSE())</f>
        <v>0</v>
      </c>
      <c r="K18" s="6" t="n">
        <f aca="false">VLOOKUP($A18,Day2!$A$1:$H$400,4,FALSE())</f>
        <v>0</v>
      </c>
      <c r="L18" s="6" t="n">
        <f aca="false">VLOOKUP($A18,Day2!$A$1:$H$400,5,FALSE())</f>
        <v>0</v>
      </c>
      <c r="M18" s="6" t="n">
        <f aca="false">VLOOKUP($A18,Day2!$A$1:$H$400,6,FALSE())</f>
        <v>0</v>
      </c>
      <c r="N18" s="8" t="n">
        <f aca="false">SUM(H18:K18)</f>
        <v>3</v>
      </c>
      <c r="O18" s="8" t="str">
        <f aca="false">ROMAN(RANK(N18,$N$4:$N$28,0))</f>
        <v>XV</v>
      </c>
    </row>
    <row r="19" customFormat="false" ht="15.75" hidden="false" customHeight="false" outlineLevel="0" collapsed="false">
      <c r="A19" s="6" t="n">
        <v>122126</v>
      </c>
      <c r="B19" s="6" t="s">
        <v>2403</v>
      </c>
      <c r="C19" s="6" t="s">
        <v>2203</v>
      </c>
      <c r="D19" s="6" t="s">
        <v>658</v>
      </c>
      <c r="E19" s="6" t="s">
        <v>723</v>
      </c>
      <c r="F19" s="6" t="s">
        <v>2404</v>
      </c>
      <c r="G19" s="6" t="s">
        <v>2212</v>
      </c>
      <c r="H19" s="6" t="n">
        <f aca="false">VLOOKUP($A19,Day1!$A$1:$H$394,4,FALSE())</f>
        <v>0</v>
      </c>
      <c r="I19" s="6" t="n">
        <f aca="false">VLOOKUP($A19,Day1!$A$1:$H$394,5,FALSE())</f>
        <v>3</v>
      </c>
      <c r="J19" s="6" t="n">
        <f aca="false">VLOOKUP($A19,Day1!$A$1:$H$394,6,FALSE())</f>
        <v>0</v>
      </c>
      <c r="K19" s="6" t="n">
        <f aca="false">VLOOKUP($A19,Day2!$A$1:$H$400,4,FALSE())</f>
        <v>0</v>
      </c>
      <c r="L19" s="6" t="n">
        <f aca="false">VLOOKUP($A19,Day2!$A$1:$H$400,5,FALSE())</f>
        <v>0</v>
      </c>
      <c r="M19" s="6" t="n">
        <f aca="false">VLOOKUP($A19,Day2!$A$1:$H$400,6,FALSE())</f>
        <v>0</v>
      </c>
      <c r="N19" s="8" t="n">
        <f aca="false">SUM(H19:K19)</f>
        <v>3</v>
      </c>
      <c r="O19" s="8" t="str">
        <f aca="false">ROMAN(RANK(N19,$N$4:$N$28,0))</f>
        <v>XV</v>
      </c>
    </row>
    <row r="20" customFormat="false" ht="15.75" hidden="false" customHeight="false" outlineLevel="0" collapsed="false">
      <c r="A20" s="6" t="n">
        <v>110029</v>
      </c>
      <c r="B20" s="6" t="s">
        <v>2403</v>
      </c>
      <c r="C20" s="6" t="s">
        <v>2227</v>
      </c>
      <c r="D20" s="6" t="s">
        <v>624</v>
      </c>
      <c r="E20" s="6" t="s">
        <v>1949</v>
      </c>
      <c r="F20" s="6" t="s">
        <v>2404</v>
      </c>
      <c r="G20" s="6" t="s">
        <v>2206</v>
      </c>
      <c r="H20" s="6" t="n">
        <f aca="false">VLOOKUP($A20,Day1!$A$1:$H$394,4,FALSE())</f>
        <v>0</v>
      </c>
      <c r="I20" s="6" t="n">
        <f aca="false">VLOOKUP($A20,Day1!$A$1:$H$394,5,FALSE())</f>
        <v>2</v>
      </c>
      <c r="J20" s="6" t="n">
        <f aca="false">VLOOKUP($A20,Day1!$A$1:$H$394,6,FALSE())</f>
        <v>0</v>
      </c>
      <c r="K20" s="6" t="n">
        <f aca="false">VLOOKUP($A20,Day2!$A$1:$H$400,4,FALSE())</f>
        <v>0</v>
      </c>
      <c r="L20" s="6" t="n">
        <f aca="false">VLOOKUP($A20,Day2!$A$1:$H$400,5,FALSE())</f>
        <v>0</v>
      </c>
      <c r="M20" s="6" t="n">
        <f aca="false">VLOOKUP($A20,Day2!$A$1:$H$400,6,FALSE())</f>
        <v>0</v>
      </c>
      <c r="N20" s="8" t="n">
        <f aca="false">SUM(H20:K20)</f>
        <v>2</v>
      </c>
      <c r="O20" s="8" t="str">
        <f aca="false">ROMAN(RANK(N20,$N$4:$N$28,0))</f>
        <v>XVII</v>
      </c>
    </row>
    <row r="21" customFormat="false" ht="15.75" hidden="false" customHeight="false" outlineLevel="0" collapsed="false">
      <c r="A21" s="6" t="n">
        <v>184434</v>
      </c>
      <c r="B21" s="6" t="s">
        <v>2403</v>
      </c>
      <c r="C21" s="6" t="s">
        <v>2265</v>
      </c>
      <c r="D21" s="6" t="s">
        <v>662</v>
      </c>
      <c r="E21" s="6" t="s">
        <v>2410</v>
      </c>
      <c r="F21" s="6" t="s">
        <v>2404</v>
      </c>
      <c r="G21" s="6" t="s">
        <v>2212</v>
      </c>
      <c r="H21" s="6" t="n">
        <f aca="false">VLOOKUP($A21,Day1!$A$1:$H$394,4,FALSE())</f>
        <v>0</v>
      </c>
      <c r="I21" s="6" t="n">
        <f aca="false">VLOOKUP($A21,Day1!$A$1:$H$394,5,FALSE())</f>
        <v>1</v>
      </c>
      <c r="J21" s="6" t="n">
        <f aca="false">VLOOKUP($A21,Day1!$A$1:$H$394,6,FALSE())</f>
        <v>0</v>
      </c>
      <c r="K21" s="6" t="n">
        <f aca="false">VLOOKUP($A21,Day2!$A$1:$H$400,4,FALSE())</f>
        <v>0</v>
      </c>
      <c r="L21" s="6" t="n">
        <f aca="false">VLOOKUP($A21,Day2!$A$1:$H$400,5,FALSE())</f>
        <v>0</v>
      </c>
      <c r="M21" s="6" t="n">
        <f aca="false">VLOOKUP($A21,Day2!$A$1:$H$400,6,FALSE())</f>
        <v>0</v>
      </c>
      <c r="N21" s="8" t="n">
        <f aca="false">SUM(H21:K21)</f>
        <v>1</v>
      </c>
      <c r="O21" s="8" t="str">
        <f aca="false">ROMAN(RANK(N21,$N$4:$N$28,0))</f>
        <v>XVIII</v>
      </c>
    </row>
    <row r="22" customFormat="false" ht="15.75" hidden="false" customHeight="false" outlineLevel="0" collapsed="false">
      <c r="A22" s="6" t="n">
        <v>111245</v>
      </c>
      <c r="B22" s="6" t="s">
        <v>2403</v>
      </c>
      <c r="C22" s="6" t="s">
        <v>2219</v>
      </c>
      <c r="D22" s="6" t="s">
        <v>617</v>
      </c>
      <c r="E22" s="6" t="s">
        <v>2411</v>
      </c>
      <c r="F22" s="6" t="s">
        <v>2404</v>
      </c>
      <c r="G22" s="6" t="s">
        <v>2212</v>
      </c>
      <c r="H22" s="6" t="n">
        <f aca="false">VLOOKUP($A22,Day1!$A$1:$H$394,4,FALSE())</f>
        <v>0</v>
      </c>
      <c r="I22" s="6" t="n">
        <f aca="false">VLOOKUP($A22,Day1!$A$1:$H$394,5,FALSE())</f>
        <v>0</v>
      </c>
      <c r="J22" s="6" t="n">
        <f aca="false">VLOOKUP($A22,Day1!$A$1:$H$394,6,FALSE())</f>
        <v>0</v>
      </c>
      <c r="K22" s="6" t="n">
        <f aca="false">VLOOKUP($A22,Day2!$A$1:$H$400,4,FALSE())</f>
        <v>0</v>
      </c>
      <c r="L22" s="6" t="n">
        <f aca="false">VLOOKUP($A22,Day2!$A$1:$H$400,5,FALSE())</f>
        <v>0</v>
      </c>
      <c r="M22" s="6" t="n">
        <f aca="false">VLOOKUP($A22,Day2!$A$1:$H$400,6,FALSE())</f>
        <v>0</v>
      </c>
      <c r="N22" s="8" t="n">
        <f aca="false">SUM(H22:K22)</f>
        <v>0</v>
      </c>
      <c r="O22" s="8" t="str">
        <f aca="false">ROMAN(RANK(N22,$N$4:$N$28,0))</f>
        <v>XIX</v>
      </c>
    </row>
    <row r="23" customFormat="false" ht="15.75" hidden="false" customHeight="false" outlineLevel="0" collapsed="false">
      <c r="A23" s="6" t="n">
        <v>115662</v>
      </c>
      <c r="B23" s="6" t="s">
        <v>2403</v>
      </c>
      <c r="C23" s="6" t="s">
        <v>2255</v>
      </c>
      <c r="D23" s="6" t="s">
        <v>648</v>
      </c>
      <c r="E23" s="6" t="s">
        <v>2412</v>
      </c>
      <c r="F23" s="6" t="s">
        <v>2404</v>
      </c>
      <c r="G23" s="6" t="s">
        <v>2212</v>
      </c>
      <c r="H23" s="6" t="n">
        <f aca="false">VLOOKUP($A23,Day1!$A$1:$H$394,4,FALSE())</f>
        <v>0</v>
      </c>
      <c r="I23" s="6" t="n">
        <f aca="false">VLOOKUP($A23,Day1!$A$1:$H$394,5,FALSE())</f>
        <v>0</v>
      </c>
      <c r="J23" s="6" t="n">
        <f aca="false">VLOOKUP($A23,Day1!$A$1:$H$394,6,FALSE())</f>
        <v>0</v>
      </c>
      <c r="K23" s="6" t="n">
        <f aca="false">VLOOKUP($A23,Day2!$A$1:$H$400,4,FALSE())</f>
        <v>0</v>
      </c>
      <c r="L23" s="6" t="n">
        <f aca="false">VLOOKUP($A23,Day2!$A$1:$H$400,5,FALSE())</f>
        <v>0</v>
      </c>
      <c r="M23" s="6" t="n">
        <f aca="false">VLOOKUP($A23,Day2!$A$1:$H$400,6,FALSE())</f>
        <v>0</v>
      </c>
      <c r="N23" s="8" t="n">
        <f aca="false">SUM(H23:K23)</f>
        <v>0</v>
      </c>
      <c r="O23" s="8" t="str">
        <f aca="false">ROMAN(RANK(N23,$N$4:$N$28,0))</f>
        <v>XIX</v>
      </c>
    </row>
    <row r="24" customFormat="false" ht="15.75" hidden="false" customHeight="false" outlineLevel="0" collapsed="false">
      <c r="A24" s="6" t="n">
        <v>119123</v>
      </c>
      <c r="B24" s="6" t="s">
        <v>2403</v>
      </c>
      <c r="C24" s="6" t="s">
        <v>2310</v>
      </c>
      <c r="D24" s="6" t="s">
        <v>619</v>
      </c>
      <c r="E24" s="6" t="s">
        <v>1112</v>
      </c>
      <c r="F24" s="6" t="s">
        <v>2404</v>
      </c>
      <c r="G24" s="6" t="s">
        <v>2209</v>
      </c>
      <c r="H24" s="6" t="n">
        <f aca="false">VLOOKUP($A24,Day1!$A$1:$H$394,4,FALSE())</f>
        <v>0</v>
      </c>
      <c r="I24" s="6" t="n">
        <f aca="false">VLOOKUP($A24,Day1!$A$1:$H$394,5,FALSE())</f>
        <v>0</v>
      </c>
      <c r="J24" s="6" t="n">
        <f aca="false">VLOOKUP($A24,Day1!$A$1:$H$394,6,FALSE())</f>
        <v>0</v>
      </c>
      <c r="K24" s="6" t="n">
        <f aca="false">VLOOKUP($A24,Day2!$A$1:$H$400,4,FALSE())</f>
        <v>0</v>
      </c>
      <c r="L24" s="6" t="n">
        <f aca="false">VLOOKUP($A24,Day2!$A$1:$H$400,5,FALSE())</f>
        <v>0</v>
      </c>
      <c r="M24" s="6" t="n">
        <f aca="false">VLOOKUP($A24,Day2!$A$1:$H$400,6,FALSE())</f>
        <v>0</v>
      </c>
      <c r="N24" s="8" t="n">
        <f aca="false">SUM(H24:K24)</f>
        <v>0</v>
      </c>
      <c r="O24" s="8" t="str">
        <f aca="false">ROMAN(RANK(N24,$N$4:$N$28,0))</f>
        <v>XIX</v>
      </c>
    </row>
    <row r="25" customFormat="false" ht="15.75" hidden="false" customHeight="false" outlineLevel="0" collapsed="false">
      <c r="A25" s="6" t="n">
        <v>187396</v>
      </c>
      <c r="B25" s="6" t="s">
        <v>2403</v>
      </c>
      <c r="C25" s="6" t="s">
        <v>2263</v>
      </c>
      <c r="D25" s="6" t="s">
        <v>673</v>
      </c>
      <c r="E25" s="6" t="s">
        <v>2413</v>
      </c>
      <c r="F25" s="6" t="s">
        <v>2404</v>
      </c>
      <c r="G25" s="6" t="s">
        <v>2209</v>
      </c>
      <c r="H25" s="6" t="n">
        <f aca="false">VLOOKUP($A25,Day1!$A$1:$H$394,4,FALSE())</f>
        <v>0</v>
      </c>
      <c r="I25" s="6" t="n">
        <f aca="false">VLOOKUP($A25,Day1!$A$1:$H$394,5,FALSE())</f>
        <v>0</v>
      </c>
      <c r="J25" s="6" t="n">
        <f aca="false">VLOOKUP($A25,Day1!$A$1:$H$394,6,FALSE())</f>
        <v>0</v>
      </c>
      <c r="K25" s="6" t="n">
        <f aca="false">VLOOKUP($A25,Day2!$A$1:$H$400,4,FALSE())</f>
        <v>0</v>
      </c>
      <c r="L25" s="6" t="n">
        <f aca="false">VLOOKUP($A25,Day2!$A$1:$H$400,5,FALSE())</f>
        <v>0</v>
      </c>
      <c r="M25" s="6" t="n">
        <f aca="false">VLOOKUP($A25,Day2!$A$1:$H$400,6,FALSE())</f>
        <v>0</v>
      </c>
      <c r="N25" s="8" t="n">
        <f aca="false">SUM(H25:K25)</f>
        <v>0</v>
      </c>
      <c r="O25" s="8" t="str">
        <f aca="false">ROMAN(RANK(N25,$N$4:$N$28,0))</f>
        <v>XIX</v>
      </c>
    </row>
    <row r="26" customFormat="false" ht="15.75" hidden="false" customHeight="false" outlineLevel="0" collapsed="false">
      <c r="A26" s="6" t="n">
        <v>118508</v>
      </c>
      <c r="B26" s="6" t="s">
        <v>2403</v>
      </c>
      <c r="C26" s="6" t="s">
        <v>2277</v>
      </c>
      <c r="D26" s="6" t="s">
        <v>324</v>
      </c>
      <c r="E26" s="6" t="s">
        <v>2414</v>
      </c>
      <c r="F26" s="6" t="s">
        <v>2404</v>
      </c>
      <c r="G26" s="6" t="s">
        <v>2212</v>
      </c>
      <c r="H26" s="6" t="n">
        <f aca="false">VLOOKUP($A26,Day1!$A$1:$H$394,4,FALSE())</f>
        <v>0</v>
      </c>
      <c r="I26" s="6" t="n">
        <f aca="false">VLOOKUP($A26,Day1!$A$1:$H$394,5,FALSE())</f>
        <v>0</v>
      </c>
      <c r="J26" s="6" t="n">
        <f aca="false">VLOOKUP($A26,Day1!$A$1:$H$394,6,FALSE())</f>
        <v>0</v>
      </c>
      <c r="K26" s="6" t="n">
        <f aca="false">VLOOKUP($A26,Day2!$A$1:$H$400,4,FALSE())</f>
        <v>0</v>
      </c>
      <c r="L26" s="6" t="n">
        <f aca="false">VLOOKUP($A26,Day2!$A$1:$H$400,5,FALSE())</f>
        <v>0</v>
      </c>
      <c r="M26" s="6" t="n">
        <f aca="false">VLOOKUP($A26,Day2!$A$1:$H$400,6,FALSE())</f>
        <v>0</v>
      </c>
      <c r="N26" s="8" t="n">
        <f aca="false">SUM(H26:K26)</f>
        <v>0</v>
      </c>
      <c r="O26" s="8" t="str">
        <f aca="false">ROMAN(RANK(N26,$N$4:$N$28,0))</f>
        <v>XIX</v>
      </c>
    </row>
    <row r="27" customFormat="false" ht="15.75" hidden="false" customHeight="false" outlineLevel="0" collapsed="false">
      <c r="A27" s="6" t="n">
        <v>118586</v>
      </c>
      <c r="B27" s="6" t="s">
        <v>2403</v>
      </c>
      <c r="C27" s="6" t="s">
        <v>2253</v>
      </c>
      <c r="D27" s="6" t="s">
        <v>665</v>
      </c>
      <c r="E27" s="6" t="s">
        <v>2415</v>
      </c>
      <c r="F27" s="6" t="s">
        <v>2404</v>
      </c>
      <c r="G27" s="6" t="s">
        <v>2209</v>
      </c>
      <c r="H27" s="6" t="n">
        <f aca="false">VLOOKUP($A27,Day1!$A$1:$H$394,4,FALSE())</f>
        <v>0</v>
      </c>
      <c r="I27" s="6" t="n">
        <f aca="false">VLOOKUP($A27,Day1!$A$1:$H$394,5,FALSE())</f>
        <v>0</v>
      </c>
      <c r="J27" s="6" t="n">
        <f aca="false">VLOOKUP($A27,Day1!$A$1:$H$394,6,FALSE())</f>
        <v>0</v>
      </c>
      <c r="K27" s="6" t="n">
        <f aca="false">VLOOKUP($A27,Day2!$A$1:$H$400,4,FALSE())</f>
        <v>0</v>
      </c>
      <c r="L27" s="6" t="n">
        <f aca="false">VLOOKUP($A27,Day2!$A$1:$H$400,5,FALSE())</f>
        <v>0</v>
      </c>
      <c r="M27" s="6" t="n">
        <f aca="false">VLOOKUP($A27,Day2!$A$1:$H$400,6,FALSE())</f>
        <v>0</v>
      </c>
      <c r="N27" s="8" t="n">
        <f aca="false">SUM(H27:K27)</f>
        <v>0</v>
      </c>
      <c r="O27" s="8" t="str">
        <f aca="false">ROMAN(RANK(N27,$N$4:$N$28,0))</f>
        <v>XIX</v>
      </c>
    </row>
    <row r="28" customFormat="false" ht="15.75" hidden="false" customHeight="false" outlineLevel="0" collapsed="false">
      <c r="A28" s="6" t="n">
        <v>109385</v>
      </c>
      <c r="B28" s="6" t="s">
        <v>2403</v>
      </c>
      <c r="C28" s="6" t="s">
        <v>2218</v>
      </c>
      <c r="D28" s="6" t="s">
        <v>615</v>
      </c>
      <c r="E28" s="6" t="s">
        <v>2416</v>
      </c>
      <c r="F28" s="6" t="s">
        <v>2404</v>
      </c>
      <c r="G28" s="6" t="s">
        <v>2212</v>
      </c>
      <c r="H28" s="6" t="n">
        <f aca="false">VLOOKUP($A28,Day1!$A$1:$H$394,4,FALSE())</f>
        <v>0</v>
      </c>
      <c r="I28" s="6" t="n">
        <f aca="false">VLOOKUP($A28,Day1!$A$1:$H$394,5,FALSE())</f>
        <v>0</v>
      </c>
      <c r="J28" s="6" t="n">
        <f aca="false">VLOOKUP($A28,Day1!$A$1:$H$394,6,FALSE())</f>
        <v>0</v>
      </c>
      <c r="K28" s="6" t="n">
        <f aca="false">VLOOKUP($A28,Day2!$A$1:$H$400,4,FALSE())</f>
        <v>0</v>
      </c>
      <c r="L28" s="6" t="n">
        <f aca="false">VLOOKUP($A28,Day2!$A$1:$H$400,5,FALSE())</f>
        <v>0</v>
      </c>
      <c r="M28" s="6" t="n">
        <f aca="false">VLOOKUP($A28,Day2!$A$1:$H$400,6,FALSE())</f>
        <v>0</v>
      </c>
      <c r="N28" s="8" t="n">
        <f aca="false">SUM(H28:K28)</f>
        <v>0</v>
      </c>
      <c r="O28" s="8" t="str">
        <f aca="false">ROMAN(RANK(N28,$N$4:$N$28,0))</f>
        <v>XIX</v>
      </c>
    </row>
    <row r="31" customFormat="false" ht="15.75" hidden="false" customHeight="false" outlineLevel="0" collapsed="false">
      <c r="A31" s="5" t="s">
        <v>2417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customFormat="false" ht="15.75" hidden="false" customHeight="false" outlineLevel="0" collapsed="false">
      <c r="A33" s="5" t="s">
        <v>2418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</sheetData>
  <mergeCells count="6">
    <mergeCell ref="A1:O1"/>
    <mergeCell ref="A2:B2"/>
    <mergeCell ref="K2:O2"/>
    <mergeCell ref="A31:L31"/>
    <mergeCell ref="A32:L32"/>
    <mergeCell ref="A33:L33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true"/>
  </sheetPr>
  <dimension ref="A1:O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5.25"/>
    <col collapsed="false" customWidth="true" hidden="false" outlineLevel="0" max="3" min="3" style="0" width="38.75"/>
    <col collapsed="false" customWidth="true" hidden="false" outlineLevel="0" max="7" min="7" style="0" width="4.25"/>
    <col collapsed="false" customWidth="true" hidden="false" outlineLevel="0" max="14" min="8" style="0" width="7.12"/>
    <col collapsed="false" customWidth="true" hidden="false" outlineLevel="0" max="15" min="15" style="0" width="7.88"/>
  </cols>
  <sheetData>
    <row r="1" customFormat="false" ht="15.75" hidden="false" customHeight="false" outlineLevel="0" collapsed="false">
      <c r="A1" s="3" t="s">
        <v>2187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.75" hidden="false" customHeight="false" outlineLevel="0" collapsed="false">
      <c r="A2" s="10" t="n">
        <v>46005</v>
      </c>
      <c r="B2" s="10"/>
      <c r="K2" s="11" t="s">
        <v>2419</v>
      </c>
      <c r="L2" s="11"/>
      <c r="M2" s="11"/>
      <c r="N2" s="11"/>
      <c r="O2" s="11"/>
    </row>
    <row r="3" customFormat="false" ht="26.85" hidden="false" customHeight="false" outlineLevel="0" collapsed="false">
      <c r="A3" s="6" t="s">
        <v>2189</v>
      </c>
      <c r="B3" s="6" t="s">
        <v>2190</v>
      </c>
      <c r="C3" s="6" t="s">
        <v>2191</v>
      </c>
      <c r="D3" s="6" t="s">
        <v>2192</v>
      </c>
      <c r="E3" s="6" t="s">
        <v>2193</v>
      </c>
      <c r="F3" s="6" t="s">
        <v>2194</v>
      </c>
      <c r="G3" s="6" t="s">
        <v>2195</v>
      </c>
      <c r="H3" s="6" t="s">
        <v>2196</v>
      </c>
      <c r="I3" s="6" t="s">
        <v>2197</v>
      </c>
      <c r="J3" s="6" t="s">
        <v>2198</v>
      </c>
      <c r="K3" s="6" t="s">
        <v>2199</v>
      </c>
      <c r="L3" s="6" t="s">
        <v>2401</v>
      </c>
      <c r="M3" s="6" t="s">
        <v>2402</v>
      </c>
      <c r="N3" s="7" t="s">
        <v>2200</v>
      </c>
      <c r="O3" s="7" t="s">
        <v>2201</v>
      </c>
    </row>
    <row r="4" customFormat="false" ht="15.75" hidden="false" customHeight="false" outlineLevel="0" collapsed="false">
      <c r="A4" s="6" t="n">
        <v>81407</v>
      </c>
      <c r="B4" s="6" t="s">
        <v>2420</v>
      </c>
      <c r="C4" s="6" t="s">
        <v>2207</v>
      </c>
      <c r="D4" s="6" t="s">
        <v>396</v>
      </c>
      <c r="E4" s="6" t="s">
        <v>2414</v>
      </c>
      <c r="F4" s="6" t="s">
        <v>2421</v>
      </c>
      <c r="G4" s="6" t="s">
        <v>2225</v>
      </c>
      <c r="H4" s="6" t="n">
        <f aca="false">VLOOKUP($A4,Day1!$A$1:$H$394,4,FALSE())</f>
        <v>7</v>
      </c>
      <c r="I4" s="6" t="n">
        <f aca="false">VLOOKUP($A4,Day1!$A$1:$H$394,5,FALSE())</f>
        <v>7</v>
      </c>
      <c r="J4" s="6" t="n">
        <f aca="false">VLOOKUP($A4,Day1!$A$1:$H$394,6,FALSE())</f>
        <v>0</v>
      </c>
      <c r="K4" s="6" t="n">
        <f aca="false">VLOOKUP($A4,'10-р анги өдөр-2'!$F$3:$K$43,4,FALSE())</f>
        <v>6</v>
      </c>
      <c r="L4" s="6" t="n">
        <f aca="false">VLOOKUP($A4,'10-р анги өдөр-2'!$F$3:$K$43,5,FALSE())</f>
        <v>0</v>
      </c>
      <c r="M4" s="6" t="n">
        <f aca="false">VLOOKUP($A4,'10-р анги өдөр-2'!$F$3:$K$43,6,FALSE())</f>
        <v>7</v>
      </c>
      <c r="N4" s="8" t="n">
        <f aca="false">SUM(H4:M4)</f>
        <v>27</v>
      </c>
      <c r="O4" s="8" t="str">
        <f aca="false">ROMAN(RANK(N4,$N$4:$N$44,0))</f>
        <v>I</v>
      </c>
    </row>
    <row r="5" customFormat="false" ht="15.75" hidden="false" customHeight="false" outlineLevel="0" collapsed="false">
      <c r="A5" s="6" t="n">
        <v>81436</v>
      </c>
      <c r="B5" s="6" t="s">
        <v>2420</v>
      </c>
      <c r="C5" s="6" t="s">
        <v>2207</v>
      </c>
      <c r="D5" s="6" t="s">
        <v>451</v>
      </c>
      <c r="E5" s="6" t="s">
        <v>2313</v>
      </c>
      <c r="F5" s="6" t="s">
        <v>2421</v>
      </c>
      <c r="G5" s="6" t="s">
        <v>2225</v>
      </c>
      <c r="H5" s="6" t="n">
        <f aca="false">VLOOKUP($A5,Day1!$A$1:$H$394,4,FALSE())</f>
        <v>7</v>
      </c>
      <c r="I5" s="6" t="n">
        <f aca="false">VLOOKUP($A5,Day1!$A$1:$H$394,5,FALSE())</f>
        <v>3</v>
      </c>
      <c r="J5" s="6" t="n">
        <f aca="false">VLOOKUP($A5,Day1!$A$1:$H$394,6,FALSE())</f>
        <v>0</v>
      </c>
      <c r="K5" s="6" t="n">
        <f aca="false">VLOOKUP($A5,'10-р анги өдөр-2'!$F$3:$K$43,4,FALSE())</f>
        <v>0</v>
      </c>
      <c r="L5" s="6" t="n">
        <f aca="false">VLOOKUP($A5,'10-р анги өдөр-2'!$F$3:$K$43,5,FALSE())</f>
        <v>0</v>
      </c>
      <c r="M5" s="6" t="n">
        <f aca="false">VLOOKUP($A5,'10-р анги өдөр-2'!$F$3:$K$43,6,FALSE())</f>
        <v>7</v>
      </c>
      <c r="N5" s="8" t="n">
        <f aca="false">SUM(H5:M5)</f>
        <v>17</v>
      </c>
      <c r="O5" s="8" t="str">
        <f aca="false">ROMAN(RANK(N5,$N$4:$N$44,0))</f>
        <v>II</v>
      </c>
    </row>
    <row r="6" customFormat="false" ht="15.75" hidden="false" customHeight="false" outlineLevel="0" collapsed="false">
      <c r="A6" s="6" t="n">
        <v>111815</v>
      </c>
      <c r="B6" s="6" t="s">
        <v>2420</v>
      </c>
      <c r="C6" s="6" t="s">
        <v>2221</v>
      </c>
      <c r="D6" s="6" t="s">
        <v>517</v>
      </c>
      <c r="E6" s="6" t="s">
        <v>2422</v>
      </c>
      <c r="F6" s="6" t="s">
        <v>2421</v>
      </c>
      <c r="G6" s="6" t="s">
        <v>2209</v>
      </c>
      <c r="H6" s="6" t="n">
        <f aca="false">VLOOKUP($A6,Day1!$A$1:$H$394,4,FALSE())</f>
        <v>7</v>
      </c>
      <c r="I6" s="6" t="n">
        <f aca="false">VLOOKUP($A6,Day1!$A$1:$H$394,5,FALSE())</f>
        <v>2</v>
      </c>
      <c r="J6" s="6" t="n">
        <f aca="false">VLOOKUP($A6,Day1!$A$1:$H$394,6,FALSE())</f>
        <v>0</v>
      </c>
      <c r="K6" s="6" t="n">
        <f aca="false">VLOOKUP($A6,'10-р анги өдөр-2'!$F$3:$K$43,4,FALSE())</f>
        <v>6</v>
      </c>
      <c r="L6" s="6" t="n">
        <f aca="false">VLOOKUP($A6,'10-р анги өдөр-2'!$F$3:$K$43,5,FALSE())</f>
        <v>0</v>
      </c>
      <c r="M6" s="6" t="n">
        <f aca="false">VLOOKUP($A6,'10-р анги өдөр-2'!$F$3:$K$43,6,FALSE())</f>
        <v>0</v>
      </c>
      <c r="N6" s="8" t="n">
        <f aca="false">SUM(H6:M6)</f>
        <v>15</v>
      </c>
      <c r="O6" s="8" t="str">
        <f aca="false">ROMAN(RANK(N6,$N$4:$N$44,0))</f>
        <v>III</v>
      </c>
    </row>
    <row r="7" customFormat="false" ht="15.75" hidden="false" customHeight="false" outlineLevel="0" collapsed="false">
      <c r="A7" s="6" t="n">
        <v>72371</v>
      </c>
      <c r="B7" s="6" t="s">
        <v>2420</v>
      </c>
      <c r="C7" s="6" t="s">
        <v>2222</v>
      </c>
      <c r="D7" s="6" t="s">
        <v>554</v>
      </c>
      <c r="E7" s="6" t="s">
        <v>1178</v>
      </c>
      <c r="F7" s="6" t="s">
        <v>2421</v>
      </c>
      <c r="G7" s="6" t="s">
        <v>2209</v>
      </c>
      <c r="H7" s="6" t="n">
        <f aca="false">VLOOKUP($A7,Day1!$A$1:$H$394,4,FALSE())</f>
        <v>7</v>
      </c>
      <c r="I7" s="6" t="n">
        <f aca="false">VLOOKUP($A7,Day1!$A$1:$H$394,5,FALSE())</f>
        <v>4</v>
      </c>
      <c r="J7" s="6" t="n">
        <f aca="false">VLOOKUP($A7,Day1!$A$1:$H$394,6,FALSE())</f>
        <v>0</v>
      </c>
      <c r="K7" s="6" t="n">
        <f aca="false">VLOOKUP($A7,'10-р анги өдөр-2'!$F$3:$K$43,4,FALSE())</f>
        <v>1</v>
      </c>
      <c r="L7" s="6" t="n">
        <f aca="false">VLOOKUP($A7,'10-р анги өдөр-2'!$F$3:$K$43,5,FALSE())</f>
        <v>0.5</v>
      </c>
      <c r="M7" s="6" t="n">
        <f aca="false">VLOOKUP($A7,'10-р анги өдөр-2'!$F$3:$K$43,6,FALSE())</f>
        <v>0</v>
      </c>
      <c r="N7" s="8" t="n">
        <f aca="false">SUM(H7:M7)</f>
        <v>12.5</v>
      </c>
      <c r="O7" s="8" t="str">
        <f aca="false">ROMAN(RANK(N7,$N$4:$N$44,0))</f>
        <v>IV</v>
      </c>
    </row>
    <row r="8" customFormat="false" ht="15.75" hidden="false" customHeight="false" outlineLevel="0" collapsed="false">
      <c r="A8" s="6" t="n">
        <v>81422</v>
      </c>
      <c r="B8" s="6" t="s">
        <v>2420</v>
      </c>
      <c r="C8" s="6" t="s">
        <v>2207</v>
      </c>
      <c r="D8" s="6" t="s">
        <v>477</v>
      </c>
      <c r="E8" s="6" t="s">
        <v>2423</v>
      </c>
      <c r="F8" s="6" t="s">
        <v>2421</v>
      </c>
      <c r="G8" s="6" t="s">
        <v>2225</v>
      </c>
      <c r="H8" s="6" t="n">
        <f aca="false">VLOOKUP($A8,Day1!$A$1:$H$394,4,FALSE())</f>
        <v>7</v>
      </c>
      <c r="I8" s="6" t="n">
        <f aca="false">VLOOKUP($A8,Day1!$A$1:$H$394,5,FALSE())</f>
        <v>4</v>
      </c>
      <c r="J8" s="6" t="n">
        <f aca="false">VLOOKUP($A8,Day1!$A$1:$H$394,6,FALSE())</f>
        <v>0</v>
      </c>
      <c r="K8" s="6" t="n">
        <f aca="false">VLOOKUP($A8,'10-р анги өдөр-2'!$F$3:$K$43,4,FALSE())</f>
        <v>1</v>
      </c>
      <c r="L8" s="6" t="n">
        <f aca="false">VLOOKUP($A8,'10-р анги өдөр-2'!$F$3:$K$43,5,FALSE())</f>
        <v>0</v>
      </c>
      <c r="M8" s="6" t="n">
        <f aca="false">VLOOKUP($A8,'10-р анги өдөр-2'!$F$3:$K$43,6,FALSE())</f>
        <v>0</v>
      </c>
      <c r="N8" s="8" t="n">
        <f aca="false">SUM(H8:M8)</f>
        <v>12</v>
      </c>
      <c r="O8" s="8" t="str">
        <f aca="false">ROMAN(RANK(N8,$N$4:$N$44,0))</f>
        <v>V</v>
      </c>
    </row>
    <row r="9" customFormat="false" ht="15.75" hidden="false" customHeight="false" outlineLevel="0" collapsed="false">
      <c r="A9" s="6" t="n">
        <v>73757</v>
      </c>
      <c r="B9" s="6" t="s">
        <v>2420</v>
      </c>
      <c r="C9" s="6" t="s">
        <v>2295</v>
      </c>
      <c r="D9" s="6" t="s">
        <v>530</v>
      </c>
      <c r="E9" s="6" t="s">
        <v>1655</v>
      </c>
      <c r="F9" s="6" t="s">
        <v>2421</v>
      </c>
      <c r="G9" s="6" t="s">
        <v>2212</v>
      </c>
      <c r="H9" s="6" t="n">
        <f aca="false">VLOOKUP($A9,Day1!$A$1:$H$394,4,FALSE())</f>
        <v>7</v>
      </c>
      <c r="I9" s="6" t="n">
        <f aca="false">VLOOKUP($A9,Day1!$A$1:$H$394,5,FALSE())</f>
        <v>3</v>
      </c>
      <c r="J9" s="6" t="n">
        <f aca="false">VLOOKUP($A9,Day1!$A$1:$H$394,6,FALSE())</f>
        <v>0</v>
      </c>
      <c r="K9" s="6" t="n">
        <f aca="false">VLOOKUP($A9,'10-р анги өдөр-2'!$F$3:$K$43,4,FALSE())</f>
        <v>1</v>
      </c>
      <c r="L9" s="6" t="n">
        <f aca="false">VLOOKUP($A9,'10-р анги өдөр-2'!$F$3:$K$43,5,FALSE())</f>
        <v>0</v>
      </c>
      <c r="M9" s="6" t="n">
        <f aca="false">VLOOKUP($A9,'10-р анги өдөр-2'!$F$3:$K$43,6,FALSE())</f>
        <v>0</v>
      </c>
      <c r="N9" s="8" t="n">
        <f aca="false">SUM(H9:M9)</f>
        <v>11</v>
      </c>
      <c r="O9" s="8" t="str">
        <f aca="false">ROMAN(RANK(N9,$N$4:$N$44,0))</f>
        <v>VI</v>
      </c>
    </row>
    <row r="10" customFormat="false" ht="15.75" hidden="false" customHeight="false" outlineLevel="0" collapsed="false">
      <c r="A10" s="6" t="n">
        <v>118299</v>
      </c>
      <c r="B10" s="6" t="s">
        <v>2420</v>
      </c>
      <c r="C10" s="6" t="s">
        <v>2253</v>
      </c>
      <c r="D10" s="6" t="s">
        <v>495</v>
      </c>
      <c r="E10" s="6" t="s">
        <v>2371</v>
      </c>
      <c r="F10" s="6" t="s">
        <v>2421</v>
      </c>
      <c r="G10" s="6" t="s">
        <v>2209</v>
      </c>
      <c r="H10" s="6" t="n">
        <f aca="false">VLOOKUP($A10,Day1!$A$1:$H$394,4,FALSE())</f>
        <v>7</v>
      </c>
      <c r="I10" s="6" t="n">
        <f aca="false">VLOOKUP($A10,Day1!$A$1:$H$394,5,FALSE())</f>
        <v>4</v>
      </c>
      <c r="J10" s="6" t="n">
        <f aca="false">VLOOKUP($A10,Day1!$A$1:$H$394,6,FALSE())</f>
        <v>0</v>
      </c>
      <c r="K10" s="6" t="n">
        <f aca="false">VLOOKUP($A10,'10-р анги өдөр-2'!$F$3:$K$43,4,FALSE())</f>
        <v>0</v>
      </c>
      <c r="L10" s="6" t="n">
        <f aca="false">VLOOKUP($A10,'10-р анги өдөр-2'!$F$3:$K$43,5,FALSE())</f>
        <v>0</v>
      </c>
      <c r="M10" s="6" t="n">
        <f aca="false">VLOOKUP($A10,'10-р анги өдөр-2'!$F$3:$K$43,6,FALSE())</f>
        <v>0</v>
      </c>
      <c r="N10" s="8" t="n">
        <f aca="false">SUM(H10:M10)</f>
        <v>11</v>
      </c>
      <c r="O10" s="8" t="str">
        <f aca="false">ROMAN(RANK(N10,$N$4:$N$44,0))</f>
        <v>VI</v>
      </c>
    </row>
    <row r="11" customFormat="false" ht="15.75" hidden="false" customHeight="false" outlineLevel="0" collapsed="false">
      <c r="A11" s="6" t="n">
        <v>118641</v>
      </c>
      <c r="B11" s="6" t="s">
        <v>2420</v>
      </c>
      <c r="C11" s="6" t="s">
        <v>2253</v>
      </c>
      <c r="D11" s="6" t="s">
        <v>472</v>
      </c>
      <c r="E11" s="6" t="s">
        <v>1088</v>
      </c>
      <c r="F11" s="6" t="s">
        <v>2421</v>
      </c>
      <c r="G11" s="6" t="s">
        <v>2209</v>
      </c>
      <c r="H11" s="6" t="n">
        <f aca="false">VLOOKUP($A11,Day1!$A$1:$H$394,4,FALSE())</f>
        <v>7</v>
      </c>
      <c r="I11" s="6" t="n">
        <f aca="false">VLOOKUP($A11,Day1!$A$1:$H$394,5,FALSE())</f>
        <v>4</v>
      </c>
      <c r="J11" s="6" t="n">
        <f aca="false">VLOOKUP($A11,Day1!$A$1:$H$394,6,FALSE())</f>
        <v>0</v>
      </c>
      <c r="K11" s="6" t="n">
        <f aca="false">VLOOKUP($A11,'10-р анги өдөр-2'!$F$3:$K$43,4,FALSE())</f>
        <v>0</v>
      </c>
      <c r="L11" s="6" t="n">
        <f aca="false">VLOOKUP($A11,'10-р анги өдөр-2'!$F$3:$K$43,5,FALSE())</f>
        <v>0</v>
      </c>
      <c r="M11" s="6" t="n">
        <f aca="false">VLOOKUP($A11,'10-р анги өдөр-2'!$F$3:$K$43,6,FALSE())</f>
        <v>0</v>
      </c>
      <c r="N11" s="8" t="n">
        <f aca="false">SUM(H11:M11)</f>
        <v>11</v>
      </c>
      <c r="O11" s="8" t="str">
        <f aca="false">ROMAN(RANK(N11,$N$4:$N$44,0))</f>
        <v>VI</v>
      </c>
    </row>
    <row r="12" customFormat="false" ht="15.75" hidden="false" customHeight="false" outlineLevel="0" collapsed="false">
      <c r="A12" s="6" t="n">
        <v>110925</v>
      </c>
      <c r="B12" s="6" t="s">
        <v>2420</v>
      </c>
      <c r="C12" s="6" t="s">
        <v>2219</v>
      </c>
      <c r="D12" s="6" t="s">
        <v>572</v>
      </c>
      <c r="E12" s="6" t="s">
        <v>2306</v>
      </c>
      <c r="F12" s="6" t="s">
        <v>2421</v>
      </c>
      <c r="G12" s="6" t="s">
        <v>2209</v>
      </c>
      <c r="H12" s="6" t="n">
        <f aca="false">VLOOKUP($A12,Day1!$A$1:$H$394,4,FALSE())</f>
        <v>7</v>
      </c>
      <c r="I12" s="6" t="n">
        <f aca="false">VLOOKUP($A12,Day1!$A$1:$H$394,5,FALSE())</f>
        <v>4</v>
      </c>
      <c r="J12" s="6" t="n">
        <f aca="false">VLOOKUP($A12,Day1!$A$1:$H$394,6,FALSE())</f>
        <v>0</v>
      </c>
      <c r="K12" s="6" t="n">
        <f aca="false">VLOOKUP($A12,'10-р анги өдөр-2'!$F$3:$K$43,4,FALSE())</f>
        <v>0</v>
      </c>
      <c r="L12" s="6" t="n">
        <f aca="false">VLOOKUP($A12,'10-р анги өдөр-2'!$F$3:$K$43,5,FALSE())</f>
        <v>0</v>
      </c>
      <c r="M12" s="6" t="n">
        <f aca="false">VLOOKUP($A12,'10-р анги өдөр-2'!$F$3:$K$43,6,FALSE())</f>
        <v>0</v>
      </c>
      <c r="N12" s="8" t="n">
        <f aca="false">SUM(H12:M12)</f>
        <v>11</v>
      </c>
      <c r="O12" s="8" t="str">
        <f aca="false">ROMAN(RANK(N12,$N$4:$N$44,0))</f>
        <v>VI</v>
      </c>
    </row>
    <row r="13" customFormat="false" ht="15.75" hidden="false" customHeight="false" outlineLevel="0" collapsed="false">
      <c r="A13" s="6" t="n">
        <v>119874</v>
      </c>
      <c r="B13" s="6" t="s">
        <v>2420</v>
      </c>
      <c r="C13" s="6" t="s">
        <v>2253</v>
      </c>
      <c r="D13" s="6" t="s">
        <v>130</v>
      </c>
      <c r="E13" s="6" t="s">
        <v>2424</v>
      </c>
      <c r="F13" s="6" t="s">
        <v>2421</v>
      </c>
      <c r="G13" s="6" t="s">
        <v>2212</v>
      </c>
      <c r="H13" s="6" t="n">
        <f aca="false">VLOOKUP($A13,Day1!$A$1:$H$394,4,FALSE())</f>
        <v>7</v>
      </c>
      <c r="I13" s="6" t="n">
        <f aca="false">VLOOKUP($A13,Day1!$A$1:$H$394,5,FALSE())</f>
        <v>3</v>
      </c>
      <c r="J13" s="6" t="n">
        <f aca="false">VLOOKUP($A13,Day1!$A$1:$H$394,6,FALSE())</f>
        <v>0</v>
      </c>
      <c r="K13" s="6" t="n">
        <f aca="false">VLOOKUP($A13,'10-р анги өдөр-2'!$F$3:$K$43,4,FALSE())</f>
        <v>0</v>
      </c>
      <c r="L13" s="6" t="n">
        <f aca="false">VLOOKUP($A13,'10-р анги өдөр-2'!$F$3:$K$43,5,FALSE())</f>
        <v>0</v>
      </c>
      <c r="M13" s="6" t="n">
        <f aca="false">VLOOKUP($A13,'10-р анги өдөр-2'!$F$3:$K$43,6,FALSE())</f>
        <v>0</v>
      </c>
      <c r="N13" s="8" t="n">
        <f aca="false">SUM(H13:M13)</f>
        <v>10</v>
      </c>
      <c r="O13" s="8" t="str">
        <f aca="false">ROMAN(RANK(N13,$N$4:$N$44,0))</f>
        <v>X</v>
      </c>
    </row>
    <row r="14" customFormat="false" ht="15.75" hidden="false" customHeight="false" outlineLevel="0" collapsed="false">
      <c r="A14" s="6" t="n">
        <v>183220</v>
      </c>
      <c r="B14" s="6" t="s">
        <v>2420</v>
      </c>
      <c r="C14" s="6" t="s">
        <v>2295</v>
      </c>
      <c r="D14" s="6" t="s">
        <v>467</v>
      </c>
      <c r="E14" s="6" t="s">
        <v>1766</v>
      </c>
      <c r="F14" s="6" t="s">
        <v>2421</v>
      </c>
      <c r="G14" s="6" t="s">
        <v>2225</v>
      </c>
      <c r="H14" s="6" t="n">
        <f aca="false">VLOOKUP($A14,Day1!$A$1:$H$394,4,FALSE())</f>
        <v>7</v>
      </c>
      <c r="I14" s="6" t="n">
        <f aca="false">VLOOKUP($A14,Day1!$A$1:$H$394,5,FALSE())</f>
        <v>2</v>
      </c>
      <c r="J14" s="6" t="n">
        <f aca="false">VLOOKUP($A14,Day1!$A$1:$H$394,6,FALSE())</f>
        <v>0</v>
      </c>
      <c r="K14" s="6" t="n">
        <f aca="false">VLOOKUP($A14,'10-р анги өдөр-2'!$F$3:$K$43,4,FALSE())</f>
        <v>1</v>
      </c>
      <c r="L14" s="6" t="n">
        <f aca="false">VLOOKUP($A14,'10-р анги өдөр-2'!$F$3:$K$43,5,FALSE())</f>
        <v>0</v>
      </c>
      <c r="M14" s="6" t="n">
        <f aca="false">VLOOKUP($A14,'10-р анги өдөр-2'!$F$3:$K$43,6,FALSE())</f>
        <v>0</v>
      </c>
      <c r="N14" s="8" t="n">
        <f aca="false">SUM(H14:M14)</f>
        <v>10</v>
      </c>
      <c r="O14" s="8" t="str">
        <f aca="false">ROMAN(RANK(N14,$N$4:$N$44,0))</f>
        <v>X</v>
      </c>
    </row>
    <row r="15" customFormat="false" ht="15.75" hidden="false" customHeight="false" outlineLevel="0" collapsed="false">
      <c r="A15" s="6" t="n">
        <v>118196</v>
      </c>
      <c r="B15" s="6" t="s">
        <v>2420</v>
      </c>
      <c r="C15" s="6" t="s">
        <v>2253</v>
      </c>
      <c r="D15" s="6" t="s">
        <v>513</v>
      </c>
      <c r="E15" s="6" t="s">
        <v>2296</v>
      </c>
      <c r="F15" s="6" t="s">
        <v>2421</v>
      </c>
      <c r="G15" s="6" t="s">
        <v>2209</v>
      </c>
      <c r="H15" s="6" t="n">
        <f aca="false">VLOOKUP($A15,Day1!$A$1:$H$394,4,FALSE())</f>
        <v>7</v>
      </c>
      <c r="I15" s="6" t="n">
        <f aca="false">VLOOKUP($A15,Day1!$A$1:$H$394,5,FALSE())</f>
        <v>2</v>
      </c>
      <c r="J15" s="6" t="n">
        <f aca="false">VLOOKUP($A15,Day1!$A$1:$H$394,6,FALSE())</f>
        <v>0</v>
      </c>
      <c r="K15" s="6" t="n">
        <f aca="false">VLOOKUP($A15,'10-р анги өдөр-2'!$F$3:$K$43,4,FALSE())</f>
        <v>0</v>
      </c>
      <c r="L15" s="6" t="n">
        <f aca="false">VLOOKUP($A15,'10-р анги өдөр-2'!$F$3:$K$43,5,FALSE())</f>
        <v>0</v>
      </c>
      <c r="M15" s="6" t="n">
        <f aca="false">VLOOKUP($A15,'10-р анги өдөр-2'!$F$3:$K$43,6,FALSE())</f>
        <v>0</v>
      </c>
      <c r="N15" s="8" t="n">
        <f aca="false">SUM(H15:M15)</f>
        <v>9</v>
      </c>
      <c r="O15" s="8" t="str">
        <f aca="false">ROMAN(RANK(N15,$N$4:$N$44,0))</f>
        <v>XII</v>
      </c>
    </row>
    <row r="16" customFormat="false" ht="15.75" hidden="false" customHeight="false" outlineLevel="0" collapsed="false">
      <c r="A16" s="6" t="n">
        <v>52574</v>
      </c>
      <c r="B16" s="6" t="s">
        <v>2420</v>
      </c>
      <c r="C16" s="6" t="s">
        <v>2222</v>
      </c>
      <c r="D16" s="6" t="s">
        <v>589</v>
      </c>
      <c r="E16" s="6" t="s">
        <v>2348</v>
      </c>
      <c r="F16" s="6" t="s">
        <v>2421</v>
      </c>
      <c r="G16" s="6" t="s">
        <v>2212</v>
      </c>
      <c r="H16" s="6" t="n">
        <f aca="false">VLOOKUP($A16,Day1!$A$1:$H$394,4,FALSE())</f>
        <v>7</v>
      </c>
      <c r="I16" s="6" t="n">
        <f aca="false">VLOOKUP($A16,Day1!$A$1:$H$394,5,FALSE())</f>
        <v>2</v>
      </c>
      <c r="J16" s="6" t="n">
        <f aca="false">VLOOKUP($A16,Day1!$A$1:$H$394,6,FALSE())</f>
        <v>0</v>
      </c>
      <c r="K16" s="6" t="n">
        <f aca="false">VLOOKUP($A16,'10-р анги өдөр-2'!$F$3:$K$43,4,FALSE())</f>
        <v>0</v>
      </c>
      <c r="L16" s="6" t="n">
        <f aca="false">VLOOKUP($A16,'10-р анги өдөр-2'!$F$3:$K$43,5,FALSE())</f>
        <v>0</v>
      </c>
      <c r="M16" s="6" t="n">
        <f aca="false">VLOOKUP($A16,'10-р анги өдөр-2'!$F$3:$K$43,6,FALSE())</f>
        <v>0</v>
      </c>
      <c r="N16" s="8" t="n">
        <f aca="false">SUM(H16:M16)</f>
        <v>9</v>
      </c>
      <c r="O16" s="8" t="str">
        <f aca="false">ROMAN(RANK(N16,$N$4:$N$44,0))</f>
        <v>XII</v>
      </c>
    </row>
    <row r="17" customFormat="false" ht="15.75" hidden="false" customHeight="false" outlineLevel="0" collapsed="false">
      <c r="A17" s="6" t="n">
        <v>119572</v>
      </c>
      <c r="B17" s="6" t="s">
        <v>2420</v>
      </c>
      <c r="C17" s="6" t="s">
        <v>2257</v>
      </c>
      <c r="D17" s="6" t="s">
        <v>454</v>
      </c>
      <c r="E17" s="6" t="s">
        <v>2425</v>
      </c>
      <c r="F17" s="6" t="s">
        <v>2421</v>
      </c>
      <c r="G17" s="6" t="s">
        <v>2212</v>
      </c>
      <c r="H17" s="6" t="n">
        <f aca="false">VLOOKUP($A17,Day1!$A$1:$H$394,4,FALSE())</f>
        <v>7</v>
      </c>
      <c r="I17" s="6" t="n">
        <f aca="false">VLOOKUP($A17,Day1!$A$1:$H$394,5,FALSE())</f>
        <v>2</v>
      </c>
      <c r="J17" s="6" t="n">
        <f aca="false">VLOOKUP($A17,Day1!$A$1:$H$394,6,FALSE())</f>
        <v>0</v>
      </c>
      <c r="K17" s="6" t="n">
        <f aca="false">VLOOKUP($A17,'10-р анги өдөр-2'!$F$3:$K$43,4,FALSE())</f>
        <v>0</v>
      </c>
      <c r="L17" s="6" t="n">
        <f aca="false">VLOOKUP($A17,'10-р анги өдөр-2'!$F$3:$K$43,5,FALSE())</f>
        <v>0</v>
      </c>
      <c r="M17" s="6" t="n">
        <f aca="false">VLOOKUP($A17,'10-р анги өдөр-2'!$F$3:$K$43,6,FALSE())</f>
        <v>0</v>
      </c>
      <c r="N17" s="8" t="n">
        <f aca="false">SUM(H17:M17)</f>
        <v>9</v>
      </c>
      <c r="O17" s="8" t="str">
        <f aca="false">ROMAN(RANK(N17,$N$4:$N$44,0))</f>
        <v>XII</v>
      </c>
    </row>
    <row r="18" customFormat="false" ht="15.75" hidden="false" customHeight="false" outlineLevel="0" collapsed="false">
      <c r="A18" s="6" t="n">
        <v>206976</v>
      </c>
      <c r="B18" s="6" t="s">
        <v>2420</v>
      </c>
      <c r="C18" s="6" t="s">
        <v>2215</v>
      </c>
      <c r="D18" s="6" t="s">
        <v>449</v>
      </c>
      <c r="E18" s="6" t="s">
        <v>2426</v>
      </c>
      <c r="F18" s="6" t="s">
        <v>2421</v>
      </c>
      <c r="G18" s="6" t="s">
        <v>2212</v>
      </c>
      <c r="H18" s="6" t="n">
        <f aca="false">VLOOKUP($A18,Day1!$A$1:$H$394,4,FALSE())</f>
        <v>7</v>
      </c>
      <c r="I18" s="6" t="n">
        <f aca="false">VLOOKUP($A18,Day1!$A$1:$H$394,5,FALSE())</f>
        <v>2</v>
      </c>
      <c r="J18" s="6" t="n">
        <f aca="false">VLOOKUP($A18,Day1!$A$1:$H$394,6,FALSE())</f>
        <v>0</v>
      </c>
      <c r="K18" s="6" t="n">
        <f aca="false">VLOOKUP($A18,'10-р анги өдөр-2'!$F$3:$K$43,4,FALSE())</f>
        <v>0</v>
      </c>
      <c r="L18" s="6" t="n">
        <f aca="false">VLOOKUP($A18,'10-р анги өдөр-2'!$F$3:$K$43,5,FALSE())</f>
        <v>0</v>
      </c>
      <c r="M18" s="6" t="n">
        <f aca="false">VLOOKUP($A18,'10-р анги өдөр-2'!$F$3:$K$43,6,FALSE())</f>
        <v>0</v>
      </c>
      <c r="N18" s="8" t="n">
        <f aca="false">SUM(H18:M18)</f>
        <v>9</v>
      </c>
      <c r="O18" s="8" t="str">
        <f aca="false">ROMAN(RANK(N18,$N$4:$N$44,0))</f>
        <v>XII</v>
      </c>
    </row>
    <row r="19" customFormat="false" ht="15.75" hidden="false" customHeight="false" outlineLevel="0" collapsed="false">
      <c r="A19" s="6" t="n">
        <v>109300</v>
      </c>
      <c r="B19" s="6" t="s">
        <v>2420</v>
      </c>
      <c r="C19" s="6" t="s">
        <v>2221</v>
      </c>
      <c r="D19" s="6" t="s">
        <v>25</v>
      </c>
      <c r="E19" s="6" t="s">
        <v>2427</v>
      </c>
      <c r="F19" s="6" t="s">
        <v>2421</v>
      </c>
      <c r="G19" s="6" t="s">
        <v>2206</v>
      </c>
      <c r="H19" s="6" t="n">
        <f aca="false">VLOOKUP($A19,Day1!$A$1:$H$394,4,FALSE())</f>
        <v>7</v>
      </c>
      <c r="I19" s="6" t="n">
        <f aca="false">VLOOKUP($A19,Day1!$A$1:$H$394,5,FALSE())</f>
        <v>2</v>
      </c>
      <c r="J19" s="6" t="n">
        <f aca="false">VLOOKUP($A19,Day1!$A$1:$H$394,6,FALSE())</f>
        <v>0</v>
      </c>
      <c r="K19" s="6" t="n">
        <f aca="false">VLOOKUP($A19,'10-р анги өдөр-2'!$F$3:$K$43,4,FALSE())</f>
        <v>0</v>
      </c>
      <c r="L19" s="6" t="n">
        <f aca="false">VLOOKUP($A19,'10-р анги өдөр-2'!$F$3:$K$43,5,FALSE())</f>
        <v>0</v>
      </c>
      <c r="M19" s="6" t="n">
        <f aca="false">VLOOKUP($A19,'10-р анги өдөр-2'!$F$3:$K$43,6,FALSE())</f>
        <v>0</v>
      </c>
      <c r="N19" s="8" t="n">
        <f aca="false">SUM(H19:M19)</f>
        <v>9</v>
      </c>
      <c r="O19" s="8" t="str">
        <f aca="false">ROMAN(RANK(N19,$N$4:$N$44,0))</f>
        <v>XII</v>
      </c>
    </row>
    <row r="20" customFormat="false" ht="15.75" hidden="false" customHeight="false" outlineLevel="0" collapsed="false">
      <c r="A20" s="6" t="n">
        <v>81414</v>
      </c>
      <c r="B20" s="6" t="s">
        <v>2420</v>
      </c>
      <c r="C20" s="6" t="s">
        <v>2207</v>
      </c>
      <c r="D20" s="6" t="s">
        <v>598</v>
      </c>
      <c r="E20" s="6" t="s">
        <v>2428</v>
      </c>
      <c r="F20" s="6" t="s">
        <v>2421</v>
      </c>
      <c r="G20" s="6" t="s">
        <v>2225</v>
      </c>
      <c r="H20" s="6" t="n">
        <f aca="false">VLOOKUP($A20,Day1!$A$1:$H$394,4,FALSE())</f>
        <v>7</v>
      </c>
      <c r="I20" s="6" t="n">
        <f aca="false">VLOOKUP($A20,Day1!$A$1:$H$394,5,FALSE())</f>
        <v>2</v>
      </c>
      <c r="J20" s="6" t="n">
        <f aca="false">VLOOKUP($A20,Day1!$A$1:$H$394,6,FALSE())</f>
        <v>0</v>
      </c>
      <c r="K20" s="6" t="n">
        <f aca="false">VLOOKUP($A20,'10-р анги өдөр-2'!$F$3:$K$43,4,FALSE())</f>
        <v>0</v>
      </c>
      <c r="L20" s="6" t="n">
        <f aca="false">VLOOKUP($A20,'10-р анги өдөр-2'!$F$3:$K$43,5,FALSE())</f>
        <v>0</v>
      </c>
      <c r="M20" s="6" t="n">
        <f aca="false">VLOOKUP($A20,'10-р анги өдөр-2'!$F$3:$K$43,6,FALSE())</f>
        <v>0</v>
      </c>
      <c r="N20" s="8" t="n">
        <f aca="false">SUM(H20:M20)</f>
        <v>9</v>
      </c>
      <c r="O20" s="8" t="str">
        <f aca="false">ROMAN(RANK(N20,$N$4:$N$44,0))</f>
        <v>XII</v>
      </c>
    </row>
    <row r="21" customFormat="false" ht="15.75" hidden="false" customHeight="false" outlineLevel="0" collapsed="false">
      <c r="A21" s="6" t="n">
        <v>127024</v>
      </c>
      <c r="B21" s="6" t="s">
        <v>2420</v>
      </c>
      <c r="C21" s="6" t="s">
        <v>2253</v>
      </c>
      <c r="D21" s="6" t="s">
        <v>491</v>
      </c>
      <c r="E21" s="6" t="s">
        <v>868</v>
      </c>
      <c r="F21" s="6" t="s">
        <v>2421</v>
      </c>
      <c r="G21" s="6" t="s">
        <v>2212</v>
      </c>
      <c r="H21" s="6" t="n">
        <f aca="false">VLOOKUP($A21,Day1!$A$1:$H$394,4,FALSE())</f>
        <v>7</v>
      </c>
      <c r="I21" s="6" t="n">
        <f aca="false">VLOOKUP($A21,Day1!$A$1:$H$394,5,FALSE())</f>
        <v>0</v>
      </c>
      <c r="J21" s="6" t="n">
        <f aca="false">VLOOKUP($A21,Day1!$A$1:$H$394,6,FALSE())</f>
        <v>0</v>
      </c>
      <c r="K21" s="6" t="n">
        <f aca="false">VLOOKUP($A21,'10-р анги өдөр-2'!$F$3:$K$43,4,FALSE())</f>
        <v>0</v>
      </c>
      <c r="L21" s="6" t="n">
        <f aca="false">VLOOKUP($A21,'10-р анги өдөр-2'!$F$3:$K$43,5,FALSE())</f>
        <v>0</v>
      </c>
      <c r="M21" s="6" t="n">
        <f aca="false">VLOOKUP($A21,'10-р анги өдөр-2'!$F$3:$K$43,6,FALSE())</f>
        <v>0</v>
      </c>
      <c r="N21" s="8" t="n">
        <f aca="false">SUM(H21:M21)</f>
        <v>7</v>
      </c>
      <c r="O21" s="8" t="str">
        <f aca="false">ROMAN(RANK(N21,$N$4:$N$44,0))</f>
        <v>XVIII</v>
      </c>
    </row>
    <row r="22" customFormat="false" ht="15.75" hidden="false" customHeight="false" outlineLevel="0" collapsed="false">
      <c r="A22" s="6" t="n">
        <v>212268</v>
      </c>
      <c r="B22" s="6" t="s">
        <v>2420</v>
      </c>
      <c r="C22" s="6" t="s">
        <v>2222</v>
      </c>
      <c r="D22" s="6" t="s">
        <v>550</v>
      </c>
      <c r="E22" s="6" t="s">
        <v>2376</v>
      </c>
      <c r="F22" s="6" t="s">
        <v>2421</v>
      </c>
      <c r="G22" s="6" t="s">
        <v>2212</v>
      </c>
      <c r="H22" s="6" t="n">
        <f aca="false">VLOOKUP($A22,Day1!$A$1:$H$394,4,FALSE())</f>
        <v>7</v>
      </c>
      <c r="I22" s="6" t="n">
        <f aca="false">VLOOKUP($A22,Day1!$A$1:$H$394,5,FALSE())</f>
        <v>0</v>
      </c>
      <c r="J22" s="6" t="n">
        <f aca="false">VLOOKUP($A22,Day1!$A$1:$H$394,6,FALSE())</f>
        <v>0</v>
      </c>
      <c r="K22" s="6" t="n">
        <f aca="false">VLOOKUP($A22,'10-р анги өдөр-2'!$F$3:$K$43,4,FALSE())</f>
        <v>0</v>
      </c>
      <c r="L22" s="6" t="n">
        <f aca="false">VLOOKUP($A22,'10-р анги өдөр-2'!$F$3:$K$43,5,FALSE())</f>
        <v>0</v>
      </c>
      <c r="M22" s="6" t="n">
        <f aca="false">VLOOKUP($A22,'10-р анги өдөр-2'!$F$3:$K$43,6,FALSE())</f>
        <v>0</v>
      </c>
      <c r="N22" s="8" t="n">
        <f aca="false">SUM(H22:M22)</f>
        <v>7</v>
      </c>
      <c r="O22" s="8" t="str">
        <f aca="false">ROMAN(RANK(N22,$N$4:$N$44,0))</f>
        <v>XVIII</v>
      </c>
    </row>
    <row r="23" customFormat="false" ht="15.75" hidden="false" customHeight="false" outlineLevel="0" collapsed="false">
      <c r="A23" s="6" t="n">
        <v>136996</v>
      </c>
      <c r="B23" s="6" t="s">
        <v>2420</v>
      </c>
      <c r="C23" s="6" t="s">
        <v>2310</v>
      </c>
      <c r="D23" s="6" t="s">
        <v>563</v>
      </c>
      <c r="E23" s="6" t="s">
        <v>2372</v>
      </c>
      <c r="F23" s="6" t="s">
        <v>2421</v>
      </c>
      <c r="G23" s="6" t="s">
        <v>2212</v>
      </c>
      <c r="H23" s="6" t="n">
        <f aca="false">VLOOKUP($A23,Day1!$A$1:$H$394,4,FALSE())</f>
        <v>7</v>
      </c>
      <c r="I23" s="6" t="n">
        <f aca="false">VLOOKUP($A23,Day1!$A$1:$H$394,5,FALSE())</f>
        <v>0</v>
      </c>
      <c r="J23" s="6" t="n">
        <f aca="false">VLOOKUP($A23,Day1!$A$1:$H$394,6,FALSE())</f>
        <v>0</v>
      </c>
      <c r="K23" s="6" t="n">
        <f aca="false">VLOOKUP($A23,'10-р анги өдөр-2'!$F$3:$K$43,4,FALSE())</f>
        <v>0</v>
      </c>
      <c r="L23" s="6" t="n">
        <f aca="false">VLOOKUP($A23,'10-р анги өдөр-2'!$F$3:$K$43,5,FALSE())</f>
        <v>0</v>
      </c>
      <c r="M23" s="6" t="n">
        <f aca="false">VLOOKUP($A23,'10-р анги өдөр-2'!$F$3:$K$43,6,FALSE())</f>
        <v>0</v>
      </c>
      <c r="N23" s="8" t="n">
        <f aca="false">SUM(H23:M23)</f>
        <v>7</v>
      </c>
      <c r="O23" s="8" t="str">
        <f aca="false">ROMAN(RANK(N23,$N$4:$N$44,0))</f>
        <v>XVIII</v>
      </c>
    </row>
    <row r="24" customFormat="false" ht="15.75" hidden="false" customHeight="false" outlineLevel="0" collapsed="false">
      <c r="A24" s="6" t="n">
        <v>50160</v>
      </c>
      <c r="B24" s="6" t="s">
        <v>2420</v>
      </c>
      <c r="C24" s="6" t="s">
        <v>2265</v>
      </c>
      <c r="D24" s="6" t="s">
        <v>594</v>
      </c>
      <c r="E24" s="6" t="s">
        <v>2395</v>
      </c>
      <c r="F24" s="6" t="s">
        <v>2421</v>
      </c>
      <c r="G24" s="6" t="s">
        <v>2209</v>
      </c>
      <c r="H24" s="6" t="n">
        <f aca="false">VLOOKUP($A24,Day1!$A$1:$H$394,4,FALSE())</f>
        <v>7</v>
      </c>
      <c r="I24" s="6" t="n">
        <f aca="false">VLOOKUP($A24,Day1!$A$1:$H$394,5,FALSE())</f>
        <v>0</v>
      </c>
      <c r="J24" s="6" t="n">
        <f aca="false">VLOOKUP($A24,Day1!$A$1:$H$394,6,FALSE())</f>
        <v>0</v>
      </c>
      <c r="K24" s="6" t="n">
        <f aca="false">VLOOKUP($A24,'10-р анги өдөр-2'!$F$3:$K$43,4,FALSE())</f>
        <v>0</v>
      </c>
      <c r="L24" s="6" t="n">
        <f aca="false">VLOOKUP($A24,'10-р анги өдөр-2'!$F$3:$K$43,5,FALSE())</f>
        <v>0</v>
      </c>
      <c r="M24" s="6" t="n">
        <f aca="false">VLOOKUP($A24,'10-р анги өдөр-2'!$F$3:$K$43,6,FALSE())</f>
        <v>0</v>
      </c>
      <c r="N24" s="8" t="n">
        <f aca="false">SUM(H24:M24)</f>
        <v>7</v>
      </c>
      <c r="O24" s="8" t="str">
        <f aca="false">ROMAN(RANK(N24,$N$4:$N$44,0))</f>
        <v>XVIII</v>
      </c>
    </row>
    <row r="25" customFormat="false" ht="15.75" hidden="false" customHeight="false" outlineLevel="0" collapsed="false">
      <c r="A25" s="6" t="n">
        <v>187841</v>
      </c>
      <c r="B25" s="6" t="s">
        <v>2420</v>
      </c>
      <c r="C25" s="6" t="s">
        <v>2221</v>
      </c>
      <c r="D25" s="6" t="s">
        <v>460</v>
      </c>
      <c r="E25" s="6" t="s">
        <v>2429</v>
      </c>
      <c r="F25" s="6" t="s">
        <v>2421</v>
      </c>
      <c r="G25" s="6" t="s">
        <v>2209</v>
      </c>
      <c r="H25" s="6" t="n">
        <f aca="false">VLOOKUP($A25,Day1!$A$1:$H$394,4,FALSE())</f>
        <v>1</v>
      </c>
      <c r="I25" s="6" t="n">
        <f aca="false">VLOOKUP($A25,Day1!$A$1:$H$394,5,FALSE())</f>
        <v>4</v>
      </c>
      <c r="J25" s="6" t="n">
        <f aca="false">VLOOKUP($A25,Day1!$A$1:$H$394,6,FALSE())</f>
        <v>0</v>
      </c>
      <c r="K25" s="6" t="n">
        <f aca="false">VLOOKUP($A25,'10-р анги өдөр-2'!$F$3:$K$43,4,FALSE())</f>
        <v>0</v>
      </c>
      <c r="L25" s="6" t="n">
        <f aca="false">VLOOKUP($A25,'10-р анги өдөр-2'!$F$3:$K$43,5,FALSE())</f>
        <v>0</v>
      </c>
      <c r="M25" s="6" t="n">
        <f aca="false">VLOOKUP($A25,'10-р анги өдөр-2'!$F$3:$K$43,6,FALSE())</f>
        <v>0</v>
      </c>
      <c r="N25" s="8" t="n">
        <f aca="false">SUM(H25:M25)</f>
        <v>5</v>
      </c>
      <c r="O25" s="8" t="str">
        <f aca="false">ROMAN(RANK(N25,$N$4:$N$44,0))</f>
        <v>XXII</v>
      </c>
    </row>
    <row r="26" customFormat="false" ht="15.75" hidden="false" customHeight="false" outlineLevel="0" collapsed="false">
      <c r="A26" s="6" t="n">
        <v>187836</v>
      </c>
      <c r="B26" s="6" t="s">
        <v>2420</v>
      </c>
      <c r="C26" s="6" t="s">
        <v>2221</v>
      </c>
      <c r="D26" s="6" t="s">
        <v>592</v>
      </c>
      <c r="E26" s="6" t="s">
        <v>2430</v>
      </c>
      <c r="F26" s="6" t="s">
        <v>2421</v>
      </c>
      <c r="G26" s="6" t="s">
        <v>2209</v>
      </c>
      <c r="H26" s="6" t="n">
        <f aca="false">VLOOKUP($A26,Day1!$A$1:$H$394,4,FALSE())</f>
        <v>1</v>
      </c>
      <c r="I26" s="6" t="n">
        <f aca="false">VLOOKUP($A26,Day1!$A$1:$H$394,5,FALSE())</f>
        <v>3</v>
      </c>
      <c r="J26" s="6" t="n">
        <f aca="false">VLOOKUP($A26,Day1!$A$1:$H$394,6,FALSE())</f>
        <v>0</v>
      </c>
      <c r="K26" s="6" t="n">
        <f aca="false">VLOOKUP($A26,'10-р анги өдөр-2'!$F$3:$K$43,4,FALSE())</f>
        <v>0</v>
      </c>
      <c r="L26" s="6" t="n">
        <f aca="false">VLOOKUP($A26,'10-р анги өдөр-2'!$F$3:$K$43,5,FALSE())</f>
        <v>0</v>
      </c>
      <c r="M26" s="6" t="n">
        <f aca="false">VLOOKUP($A26,'10-р анги өдөр-2'!$F$3:$K$43,6,FALSE())</f>
        <v>0</v>
      </c>
      <c r="N26" s="8" t="n">
        <f aca="false">SUM(H26:M26)</f>
        <v>4</v>
      </c>
      <c r="O26" s="8" t="str">
        <f aca="false">ROMAN(RANK(N26,$N$4:$N$44,0))</f>
        <v>XXIII</v>
      </c>
    </row>
    <row r="27" customFormat="false" ht="15.75" hidden="false" customHeight="false" outlineLevel="0" collapsed="false">
      <c r="A27" s="6" t="n">
        <v>51485</v>
      </c>
      <c r="B27" s="6" t="s">
        <v>2420</v>
      </c>
      <c r="C27" s="6" t="s">
        <v>2222</v>
      </c>
      <c r="D27" s="6" t="s">
        <v>596</v>
      </c>
      <c r="E27" s="6" t="s">
        <v>2431</v>
      </c>
      <c r="F27" s="6" t="s">
        <v>2421</v>
      </c>
      <c r="G27" s="6" t="s">
        <v>2212</v>
      </c>
      <c r="H27" s="6" t="n">
        <f aca="false">VLOOKUP($A27,Day1!$A$1:$H$394,4,FALSE())</f>
        <v>4</v>
      </c>
      <c r="I27" s="6" t="n">
        <f aca="false">VLOOKUP($A27,Day1!$A$1:$H$394,5,FALSE())</f>
        <v>0</v>
      </c>
      <c r="J27" s="6" t="n">
        <f aca="false">VLOOKUP($A27,Day1!$A$1:$H$394,6,FALSE())</f>
        <v>0</v>
      </c>
      <c r="K27" s="6" t="n">
        <f aca="false">VLOOKUP($A27,'10-р анги өдөр-2'!$F$3:$K$43,4,FALSE())</f>
        <v>0</v>
      </c>
      <c r="L27" s="6" t="n">
        <f aca="false">VLOOKUP($A27,'10-р анги өдөр-2'!$F$3:$K$43,5,FALSE())</f>
        <v>0</v>
      </c>
      <c r="M27" s="6" t="n">
        <f aca="false">VLOOKUP($A27,'10-р анги өдөр-2'!$F$3:$K$43,6,FALSE())</f>
        <v>0</v>
      </c>
      <c r="N27" s="8" t="n">
        <f aca="false">SUM(H27:M27)</f>
        <v>4</v>
      </c>
      <c r="O27" s="8" t="str">
        <f aca="false">ROMAN(RANK(N27,$N$4:$N$44,0))</f>
        <v>XXIII</v>
      </c>
    </row>
    <row r="28" customFormat="false" ht="15.75" hidden="false" customHeight="false" outlineLevel="0" collapsed="false">
      <c r="A28" s="6" t="n">
        <v>115673</v>
      </c>
      <c r="B28" s="6" t="s">
        <v>2420</v>
      </c>
      <c r="C28" s="6" t="s">
        <v>2255</v>
      </c>
      <c r="D28" s="6" t="s">
        <v>458</v>
      </c>
      <c r="E28" s="6" t="s">
        <v>2429</v>
      </c>
      <c r="F28" s="6" t="s">
        <v>2421</v>
      </c>
      <c r="G28" s="6" t="s">
        <v>2212</v>
      </c>
      <c r="H28" s="6" t="n">
        <f aca="false">VLOOKUP($A28,Day1!$A$1:$H$394,4,FALSE())</f>
        <v>4</v>
      </c>
      <c r="I28" s="6" t="n">
        <f aca="false">VLOOKUP($A28,Day1!$A$1:$H$394,5,FALSE())</f>
        <v>0</v>
      </c>
      <c r="J28" s="6" t="n">
        <f aca="false">VLOOKUP($A28,Day1!$A$1:$H$394,6,FALSE())</f>
        <v>0</v>
      </c>
      <c r="K28" s="6" t="n">
        <f aca="false">VLOOKUP($A28,'10-р анги өдөр-2'!$F$3:$K$43,4,FALSE())</f>
        <v>0</v>
      </c>
      <c r="L28" s="6" t="n">
        <f aca="false">VLOOKUP($A28,'10-р анги өдөр-2'!$F$3:$K$43,5,FALSE())</f>
        <v>0</v>
      </c>
      <c r="M28" s="6" t="n">
        <f aca="false">VLOOKUP($A28,'10-р анги өдөр-2'!$F$3:$K$43,6,FALSE())</f>
        <v>0</v>
      </c>
      <c r="N28" s="8" t="n">
        <f aca="false">SUM(H28:M28)</f>
        <v>4</v>
      </c>
      <c r="O28" s="8" t="str">
        <f aca="false">ROMAN(RANK(N28,$N$4:$N$44,0))</f>
        <v>XXIII</v>
      </c>
    </row>
    <row r="29" customFormat="false" ht="15.75" hidden="false" customHeight="false" outlineLevel="0" collapsed="false">
      <c r="A29" s="6" t="n">
        <v>109467</v>
      </c>
      <c r="B29" s="6" t="s">
        <v>2420</v>
      </c>
      <c r="C29" s="6" t="s">
        <v>2218</v>
      </c>
      <c r="D29" s="6" t="s">
        <v>561</v>
      </c>
      <c r="E29" s="6" t="s">
        <v>188</v>
      </c>
      <c r="F29" s="6" t="s">
        <v>2421</v>
      </c>
      <c r="G29" s="6" t="s">
        <v>2212</v>
      </c>
      <c r="H29" s="6" t="n">
        <f aca="false">VLOOKUP($A29,Day1!$A$1:$H$394,4,FALSE())</f>
        <v>4</v>
      </c>
      <c r="I29" s="6" t="n">
        <f aca="false">VLOOKUP($A29,Day1!$A$1:$H$394,5,FALSE())</f>
        <v>0</v>
      </c>
      <c r="J29" s="6" t="n">
        <f aca="false">VLOOKUP($A29,Day1!$A$1:$H$394,6,FALSE())</f>
        <v>0</v>
      </c>
      <c r="K29" s="6" t="n">
        <f aca="false">VLOOKUP($A29,'10-р анги өдөр-2'!$F$3:$K$43,4,FALSE())</f>
        <v>0</v>
      </c>
      <c r="L29" s="6" t="n">
        <f aca="false">VLOOKUP($A29,'10-р анги өдөр-2'!$F$3:$K$43,5,FALSE())</f>
        <v>0</v>
      </c>
      <c r="M29" s="6" t="n">
        <f aca="false">VLOOKUP($A29,'10-р анги өдөр-2'!$F$3:$K$43,6,FALSE())</f>
        <v>0</v>
      </c>
      <c r="N29" s="8" t="n">
        <f aca="false">SUM(H29:M29)</f>
        <v>4</v>
      </c>
      <c r="O29" s="8" t="str">
        <f aca="false">ROMAN(RANK(N29,$N$4:$N$44,0))</f>
        <v>XXIII</v>
      </c>
    </row>
    <row r="30" customFormat="false" ht="15.75" hidden="false" customHeight="false" outlineLevel="0" collapsed="false">
      <c r="A30" s="6" t="n">
        <v>181570</v>
      </c>
      <c r="B30" s="6" t="s">
        <v>2420</v>
      </c>
      <c r="C30" s="6" t="s">
        <v>2432</v>
      </c>
      <c r="D30" s="6" t="s">
        <v>546</v>
      </c>
      <c r="E30" s="6" t="s">
        <v>25</v>
      </c>
      <c r="F30" s="6" t="s">
        <v>2421</v>
      </c>
      <c r="G30" s="6" t="s">
        <v>2209</v>
      </c>
      <c r="H30" s="6" t="n">
        <f aca="false">VLOOKUP($A30,Day1!$A$1:$H$394,4,FALSE())</f>
        <v>1</v>
      </c>
      <c r="I30" s="6" t="n">
        <f aca="false">VLOOKUP($A30,Day1!$A$1:$H$394,5,FALSE())</f>
        <v>2</v>
      </c>
      <c r="J30" s="6" t="n">
        <f aca="false">VLOOKUP($A30,Day1!$A$1:$H$394,6,FALSE())</f>
        <v>0</v>
      </c>
      <c r="K30" s="6" t="n">
        <f aca="false">VLOOKUP($A30,'10-р анги өдөр-2'!$F$3:$K$43,4,FALSE())</f>
        <v>1</v>
      </c>
      <c r="L30" s="6" t="n">
        <f aca="false">VLOOKUP($A30,'10-р анги өдөр-2'!$F$3:$K$43,5,FALSE())</f>
        <v>0</v>
      </c>
      <c r="M30" s="6" t="n">
        <f aca="false">VLOOKUP($A30,'10-р анги өдөр-2'!$F$3:$K$43,6,FALSE())</f>
        <v>0</v>
      </c>
      <c r="N30" s="8" t="n">
        <f aca="false">SUM(H30:M30)</f>
        <v>4</v>
      </c>
      <c r="O30" s="8" t="str">
        <f aca="false">ROMAN(RANK(N30,$N$4:$N$44,0))</f>
        <v>XXIII</v>
      </c>
    </row>
    <row r="31" customFormat="false" ht="15.75" hidden="false" customHeight="false" outlineLevel="0" collapsed="false">
      <c r="A31" s="6" t="n">
        <v>96536</v>
      </c>
      <c r="B31" s="6" t="s">
        <v>2420</v>
      </c>
      <c r="C31" s="6" t="s">
        <v>2295</v>
      </c>
      <c r="D31" s="6" t="s">
        <v>520</v>
      </c>
      <c r="E31" s="6" t="s">
        <v>2433</v>
      </c>
      <c r="F31" s="6" t="s">
        <v>2421</v>
      </c>
      <c r="G31" s="6" t="s">
        <v>2212</v>
      </c>
      <c r="H31" s="6" t="n">
        <f aca="false">VLOOKUP($A31,Day1!$A$1:$H$394,4,FALSE())</f>
        <v>0</v>
      </c>
      <c r="I31" s="6" t="n">
        <f aca="false">VLOOKUP($A31,Day1!$A$1:$H$394,5,FALSE())</f>
        <v>2</v>
      </c>
      <c r="J31" s="6" t="n">
        <f aca="false">VLOOKUP($A31,Day1!$A$1:$H$394,6,FALSE())</f>
        <v>0</v>
      </c>
      <c r="K31" s="6" t="n">
        <f aca="false">VLOOKUP($A31,'10-р анги өдөр-2'!$F$3:$K$43,4,FALSE())</f>
        <v>1</v>
      </c>
      <c r="L31" s="6" t="n">
        <f aca="false">VLOOKUP($A31,'10-р анги өдөр-2'!$F$3:$K$43,5,FALSE())</f>
        <v>0</v>
      </c>
      <c r="M31" s="6" t="n">
        <f aca="false">VLOOKUP($A31,'10-р анги өдөр-2'!$F$3:$K$43,6,FALSE())</f>
        <v>0</v>
      </c>
      <c r="N31" s="8" t="n">
        <f aca="false">SUM(H31:M31)</f>
        <v>3</v>
      </c>
      <c r="O31" s="8" t="str">
        <f aca="false">ROMAN(RANK(N31,$N$4:$N$44,0))</f>
        <v>XXVIII</v>
      </c>
    </row>
    <row r="32" customFormat="false" ht="15.75" hidden="false" customHeight="false" outlineLevel="0" collapsed="false">
      <c r="A32" s="6" t="n">
        <v>186864</v>
      </c>
      <c r="B32" s="6" t="s">
        <v>2420</v>
      </c>
      <c r="C32" s="6" t="s">
        <v>2277</v>
      </c>
      <c r="D32" s="6" t="s">
        <v>580</v>
      </c>
      <c r="E32" s="6" t="s">
        <v>1088</v>
      </c>
      <c r="F32" s="6" t="s">
        <v>2421</v>
      </c>
      <c r="G32" s="6" t="s">
        <v>2212</v>
      </c>
      <c r="H32" s="6" t="n">
        <f aca="false">VLOOKUP($A32,Day1!$A$1:$H$394,4,FALSE())</f>
        <v>0</v>
      </c>
      <c r="I32" s="6" t="n">
        <f aca="false">VLOOKUP($A32,Day1!$A$1:$H$394,5,FALSE())</f>
        <v>2</v>
      </c>
      <c r="J32" s="6" t="n">
        <f aca="false">VLOOKUP($A32,Day1!$A$1:$H$394,6,FALSE())</f>
        <v>0</v>
      </c>
      <c r="K32" s="6" t="n">
        <f aca="false">VLOOKUP($A32,'10-р анги өдөр-2'!$F$3:$K$43,4,FALSE())</f>
        <v>0</v>
      </c>
      <c r="L32" s="6" t="n">
        <f aca="false">VLOOKUP($A32,'10-р анги өдөр-2'!$F$3:$K$43,5,FALSE())</f>
        <v>0</v>
      </c>
      <c r="M32" s="6" t="n">
        <f aca="false">VLOOKUP($A32,'10-р анги өдөр-2'!$F$3:$K$43,6,FALSE())</f>
        <v>0</v>
      </c>
      <c r="N32" s="8" t="n">
        <f aca="false">SUM(H32:M32)</f>
        <v>2</v>
      </c>
      <c r="O32" s="8" t="str">
        <f aca="false">ROMAN(RANK(N32,$N$4:$N$44,0))</f>
        <v>XXIX</v>
      </c>
    </row>
    <row r="33" customFormat="false" ht="15.75" hidden="false" customHeight="false" outlineLevel="0" collapsed="false">
      <c r="A33" s="6" t="n">
        <v>118935</v>
      </c>
      <c r="B33" s="6" t="s">
        <v>2420</v>
      </c>
      <c r="C33" s="6" t="s">
        <v>2227</v>
      </c>
      <c r="D33" s="6" t="s">
        <v>500</v>
      </c>
      <c r="E33" s="6" t="s">
        <v>2434</v>
      </c>
      <c r="F33" s="6" t="s">
        <v>2421</v>
      </c>
      <c r="G33" s="6" t="s">
        <v>2212</v>
      </c>
      <c r="H33" s="6" t="n">
        <f aca="false">VLOOKUP($A33,Day1!$A$1:$H$394,4,FALSE())</f>
        <v>0</v>
      </c>
      <c r="I33" s="6" t="n">
        <f aca="false">VLOOKUP($A33,Day1!$A$1:$H$394,5,FALSE())</f>
        <v>2</v>
      </c>
      <c r="J33" s="6" t="n">
        <f aca="false">VLOOKUP($A33,Day1!$A$1:$H$394,6,FALSE())</f>
        <v>0</v>
      </c>
      <c r="K33" s="6" t="n">
        <f aca="false">VLOOKUP($A33,'10-р анги өдөр-2'!$F$3:$K$43,4,FALSE())</f>
        <v>0</v>
      </c>
      <c r="L33" s="6" t="n">
        <f aca="false">VLOOKUP($A33,'10-р анги өдөр-2'!$F$3:$K$43,5,FALSE())</f>
        <v>0</v>
      </c>
      <c r="M33" s="6" t="n">
        <f aca="false">VLOOKUP($A33,'10-р анги өдөр-2'!$F$3:$K$43,6,FALSE())</f>
        <v>0</v>
      </c>
      <c r="N33" s="8" t="n">
        <f aca="false">SUM(H33:M33)</f>
        <v>2</v>
      </c>
      <c r="O33" s="8" t="str">
        <f aca="false">ROMAN(RANK(N33,$N$4:$N$44,0))</f>
        <v>XXIX</v>
      </c>
    </row>
    <row r="34" customFormat="false" ht="15.75" hidden="false" customHeight="false" outlineLevel="0" collapsed="false">
      <c r="A34" s="6" t="n">
        <v>186921</v>
      </c>
      <c r="B34" s="6" t="s">
        <v>2420</v>
      </c>
      <c r="C34" s="6" t="s">
        <v>2277</v>
      </c>
      <c r="D34" s="6" t="s">
        <v>527</v>
      </c>
      <c r="E34" s="6" t="s">
        <v>2435</v>
      </c>
      <c r="F34" s="6" t="s">
        <v>2421</v>
      </c>
      <c r="G34" s="6" t="s">
        <v>2212</v>
      </c>
      <c r="H34" s="6" t="n">
        <f aca="false">VLOOKUP($A34,Day1!$A$1:$H$394,4,FALSE())</f>
        <v>0</v>
      </c>
      <c r="I34" s="6" t="n">
        <f aca="false">VLOOKUP($A34,Day1!$A$1:$H$394,5,FALSE())</f>
        <v>2</v>
      </c>
      <c r="J34" s="6" t="n">
        <f aca="false">VLOOKUP($A34,Day1!$A$1:$H$394,6,FALSE())</f>
        <v>0</v>
      </c>
      <c r="K34" s="6" t="n">
        <f aca="false">VLOOKUP($A34,'10-р анги өдөр-2'!$F$3:$K$43,4,FALSE())</f>
        <v>0</v>
      </c>
      <c r="L34" s="6" t="n">
        <f aca="false">VLOOKUP($A34,'10-р анги өдөр-2'!$F$3:$K$43,5,FALSE())</f>
        <v>0</v>
      </c>
      <c r="M34" s="6" t="n">
        <f aca="false">VLOOKUP($A34,'10-р анги өдөр-2'!$F$3:$K$43,6,FALSE())</f>
        <v>0</v>
      </c>
      <c r="N34" s="8" t="n">
        <f aca="false">SUM(H34:M34)</f>
        <v>2</v>
      </c>
      <c r="O34" s="8" t="str">
        <f aca="false">ROMAN(RANK(N34,$N$4:$N$44,0))</f>
        <v>XXIX</v>
      </c>
    </row>
    <row r="35" customFormat="false" ht="15.75" hidden="false" customHeight="false" outlineLevel="0" collapsed="false">
      <c r="A35" s="6" t="n">
        <v>108195</v>
      </c>
      <c r="B35" s="6" t="s">
        <v>2420</v>
      </c>
      <c r="C35" s="6" t="s">
        <v>2302</v>
      </c>
      <c r="D35" s="6" t="s">
        <v>84</v>
      </c>
      <c r="E35" s="6" t="s">
        <v>2331</v>
      </c>
      <c r="F35" s="6" t="s">
        <v>2421</v>
      </c>
      <c r="G35" s="6" t="s">
        <v>2212</v>
      </c>
      <c r="H35" s="6" t="n">
        <f aca="false">VLOOKUP($A35,Day1!$A$1:$H$394,4,FALSE())</f>
        <v>1</v>
      </c>
      <c r="I35" s="6" t="n">
        <f aca="false">VLOOKUP($A35,Day1!$A$1:$H$394,5,FALSE())</f>
        <v>0</v>
      </c>
      <c r="J35" s="6" t="n">
        <f aca="false">VLOOKUP($A35,Day1!$A$1:$H$394,6,FALSE())</f>
        <v>0</v>
      </c>
      <c r="K35" s="6" t="n">
        <f aca="false">VLOOKUP($A35,'10-р анги өдөр-2'!$F$3:$K$43,4,FALSE())</f>
        <v>0</v>
      </c>
      <c r="L35" s="6" t="n">
        <f aca="false">VLOOKUP($A35,'10-р анги өдөр-2'!$F$3:$K$43,5,FALSE())</f>
        <v>0</v>
      </c>
      <c r="M35" s="6" t="n">
        <f aca="false">VLOOKUP($A35,'10-р анги өдөр-2'!$F$3:$K$43,6,FALSE())</f>
        <v>0</v>
      </c>
      <c r="N35" s="8" t="n">
        <f aca="false">SUM(H35:M35)</f>
        <v>1</v>
      </c>
      <c r="O35" s="8" t="str">
        <f aca="false">ROMAN(RANK(N35,$N$4:$N$44,0))</f>
        <v>XXXII</v>
      </c>
    </row>
    <row r="36" customFormat="false" ht="15.75" hidden="false" customHeight="false" outlineLevel="0" collapsed="false">
      <c r="A36" s="6" t="n">
        <v>155702</v>
      </c>
      <c r="B36" s="6" t="s">
        <v>2420</v>
      </c>
      <c r="C36" s="6" t="s">
        <v>2436</v>
      </c>
      <c r="D36" s="6" t="s">
        <v>2437</v>
      </c>
      <c r="E36" s="6" t="s">
        <v>462</v>
      </c>
      <c r="F36" s="6" t="s">
        <v>2421</v>
      </c>
      <c r="G36" s="6" t="s">
        <v>2212</v>
      </c>
      <c r="H36" s="6" t="n">
        <f aca="false">VLOOKUP($A36,Day1!$A$1:$H$394,4,FALSE())</f>
        <v>1</v>
      </c>
      <c r="I36" s="6" t="n">
        <f aca="false">VLOOKUP($A36,Day1!$A$1:$H$394,5,FALSE())</f>
        <v>0</v>
      </c>
      <c r="J36" s="6" t="n">
        <f aca="false">VLOOKUP($A36,Day1!$A$1:$H$394,6,FALSE())</f>
        <v>0</v>
      </c>
      <c r="K36" s="6" t="n">
        <f aca="false">VLOOKUP($A36,'10-р анги өдөр-2'!$F$3:$K$43,4,FALSE())</f>
        <v>0</v>
      </c>
      <c r="L36" s="6" t="n">
        <f aca="false">VLOOKUP($A36,'10-р анги өдөр-2'!$F$3:$K$43,5,FALSE())</f>
        <v>0</v>
      </c>
      <c r="M36" s="6" t="n">
        <f aca="false">VLOOKUP($A36,'10-р анги өдөр-2'!$F$3:$K$43,6,FALSE())</f>
        <v>0</v>
      </c>
      <c r="N36" s="8" t="n">
        <f aca="false">SUM(H36:M36)</f>
        <v>1</v>
      </c>
      <c r="O36" s="8" t="str">
        <f aca="false">ROMAN(RANK(N36,$N$4:$N$44,0))</f>
        <v>XXXII</v>
      </c>
    </row>
    <row r="37" customFormat="false" ht="15.75" hidden="false" customHeight="false" outlineLevel="0" collapsed="false">
      <c r="A37" s="6" t="n">
        <v>119856</v>
      </c>
      <c r="B37" s="6" t="s">
        <v>2420</v>
      </c>
      <c r="C37" s="6" t="s">
        <v>2253</v>
      </c>
      <c r="D37" s="6" t="s">
        <v>485</v>
      </c>
      <c r="E37" s="6" t="s">
        <v>2438</v>
      </c>
      <c r="F37" s="6" t="s">
        <v>2421</v>
      </c>
      <c r="G37" s="6" t="s">
        <v>2212</v>
      </c>
      <c r="H37" s="6" t="n">
        <f aca="false">VLOOKUP($A37,Day1!$A$1:$H$394,4,FALSE())</f>
        <v>0</v>
      </c>
      <c r="I37" s="6" t="n">
        <f aca="false">VLOOKUP($A37,Day1!$A$1:$H$394,5,FALSE())</f>
        <v>0</v>
      </c>
      <c r="J37" s="6" t="n">
        <f aca="false">VLOOKUP($A37,Day1!$A$1:$H$394,6,FALSE())</f>
        <v>0</v>
      </c>
      <c r="K37" s="6" t="n">
        <f aca="false">VLOOKUP($A37,'10-р анги өдөр-2'!$F$3:$K$43,4,FALSE())</f>
        <v>0</v>
      </c>
      <c r="L37" s="6" t="n">
        <f aca="false">VLOOKUP($A37,'10-р анги өдөр-2'!$F$3:$K$43,5,FALSE())</f>
        <v>0</v>
      </c>
      <c r="M37" s="6" t="n">
        <f aca="false">VLOOKUP($A37,'10-р анги өдөр-2'!$F$3:$K$43,6,FALSE())</f>
        <v>0</v>
      </c>
      <c r="N37" s="8" t="n">
        <f aca="false">SUM(H37:M37)</f>
        <v>0</v>
      </c>
      <c r="O37" s="8" t="str">
        <f aca="false">ROMAN(RANK(N37,$N$4:$N$44,0))</f>
        <v>XXXIV</v>
      </c>
    </row>
    <row r="38" customFormat="false" ht="15.75" hidden="false" customHeight="false" outlineLevel="0" collapsed="false">
      <c r="A38" s="6" t="n">
        <v>127016</v>
      </c>
      <c r="B38" s="6" t="s">
        <v>2420</v>
      </c>
      <c r="C38" s="6" t="s">
        <v>2253</v>
      </c>
      <c r="D38" s="6" t="s">
        <v>506</v>
      </c>
      <c r="E38" s="6" t="s">
        <v>2439</v>
      </c>
      <c r="F38" s="6" t="s">
        <v>2421</v>
      </c>
      <c r="G38" s="6" t="s">
        <v>2212</v>
      </c>
      <c r="H38" s="6" t="n">
        <f aca="false">VLOOKUP($A38,Day1!$A$1:$H$394,4,FALSE())</f>
        <v>0</v>
      </c>
      <c r="I38" s="6" t="n">
        <f aca="false">VLOOKUP($A38,Day1!$A$1:$H$394,5,FALSE())</f>
        <v>0</v>
      </c>
      <c r="J38" s="6" t="n">
        <f aca="false">VLOOKUP($A38,Day1!$A$1:$H$394,6,FALSE())</f>
        <v>0</v>
      </c>
      <c r="K38" s="6" t="n">
        <f aca="false">VLOOKUP($A38,'10-р анги өдөр-2'!$F$3:$K$43,4,FALSE())</f>
        <v>0</v>
      </c>
      <c r="L38" s="6" t="n">
        <f aca="false">VLOOKUP($A38,'10-р анги өдөр-2'!$F$3:$K$43,5,FALSE())</f>
        <v>0</v>
      </c>
      <c r="M38" s="6" t="n">
        <f aca="false">VLOOKUP($A38,'10-р анги өдөр-2'!$F$3:$K$43,6,FALSE())</f>
        <v>0</v>
      </c>
      <c r="N38" s="8" t="n">
        <f aca="false">SUM(H38:M38)</f>
        <v>0</v>
      </c>
      <c r="O38" s="8" t="str">
        <f aca="false">ROMAN(RANK(N38,$N$4:$N$44,0))</f>
        <v>XXXIV</v>
      </c>
    </row>
    <row r="39" customFormat="false" ht="15.75" hidden="false" customHeight="false" outlineLevel="0" collapsed="false">
      <c r="A39" s="6" t="n">
        <v>181339</v>
      </c>
      <c r="B39" s="6" t="s">
        <v>2420</v>
      </c>
      <c r="C39" s="6" t="s">
        <v>2290</v>
      </c>
      <c r="D39" s="6" t="s">
        <v>583</v>
      </c>
      <c r="E39" s="6" t="s">
        <v>2440</v>
      </c>
      <c r="F39" s="6" t="s">
        <v>2421</v>
      </c>
      <c r="G39" s="6" t="s">
        <v>2212</v>
      </c>
      <c r="H39" s="6" t="n">
        <f aca="false">VLOOKUP($A39,Day1!$A$1:$H$394,4,FALSE())</f>
        <v>0</v>
      </c>
      <c r="I39" s="6" t="n">
        <f aca="false">VLOOKUP($A39,Day1!$A$1:$H$394,5,FALSE())</f>
        <v>0</v>
      </c>
      <c r="J39" s="6" t="n">
        <f aca="false">VLOOKUP($A39,Day1!$A$1:$H$394,6,FALSE())</f>
        <v>0</v>
      </c>
      <c r="K39" s="6" t="n">
        <f aca="false">VLOOKUP($A39,'10-р анги өдөр-2'!$F$3:$K$43,4,FALSE())</f>
        <v>0</v>
      </c>
      <c r="L39" s="6" t="n">
        <f aca="false">VLOOKUP($A39,'10-р анги өдөр-2'!$F$3:$K$43,5,FALSE())</f>
        <v>0</v>
      </c>
      <c r="M39" s="6" t="n">
        <f aca="false">VLOOKUP($A39,'10-р анги өдөр-2'!$F$3:$K$43,6,FALSE())</f>
        <v>0</v>
      </c>
      <c r="N39" s="8" t="n">
        <f aca="false">SUM(H39:M39)</f>
        <v>0</v>
      </c>
      <c r="O39" s="8" t="str">
        <f aca="false">ROMAN(RANK(N39,$N$4:$N$44,0))</f>
        <v>XXXIV</v>
      </c>
    </row>
    <row r="40" customFormat="false" ht="15.75" hidden="false" customHeight="false" outlineLevel="0" collapsed="false">
      <c r="A40" s="6" t="n">
        <v>155666</v>
      </c>
      <c r="B40" s="6" t="s">
        <v>2420</v>
      </c>
      <c r="C40" s="6" t="s">
        <v>2436</v>
      </c>
      <c r="D40" s="6" t="s">
        <v>541</v>
      </c>
      <c r="E40" s="6" t="s">
        <v>2441</v>
      </c>
      <c r="F40" s="6" t="s">
        <v>2421</v>
      </c>
      <c r="G40" s="6" t="s">
        <v>2212</v>
      </c>
      <c r="H40" s="6" t="n">
        <f aca="false">VLOOKUP($A40,Day1!$A$1:$H$394,4,FALSE())</f>
        <v>0</v>
      </c>
      <c r="I40" s="6" t="n">
        <f aca="false">VLOOKUP($A40,Day1!$A$1:$H$394,5,FALSE())</f>
        <v>0</v>
      </c>
      <c r="J40" s="6" t="n">
        <f aca="false">VLOOKUP($A40,Day1!$A$1:$H$394,6,FALSE())</f>
        <v>0</v>
      </c>
      <c r="K40" s="6" t="n">
        <f aca="false">VLOOKUP($A40,'10-р анги өдөр-2'!$F$3:$K$43,4,FALSE())</f>
        <v>0</v>
      </c>
      <c r="L40" s="6" t="n">
        <f aca="false">VLOOKUP($A40,'10-р анги өдөр-2'!$F$3:$K$43,5,FALSE())</f>
        <v>0</v>
      </c>
      <c r="M40" s="6" t="n">
        <f aca="false">VLOOKUP($A40,'10-р анги өдөр-2'!$F$3:$K$43,6,FALSE())</f>
        <v>0</v>
      </c>
      <c r="N40" s="8" t="n">
        <f aca="false">SUM(H40:M40)</f>
        <v>0</v>
      </c>
      <c r="O40" s="8" t="str">
        <f aca="false">ROMAN(RANK(N40,$N$4:$N$44,0))</f>
        <v>XXXIV</v>
      </c>
    </row>
    <row r="41" customFormat="false" ht="15.75" hidden="false" customHeight="false" outlineLevel="0" collapsed="false">
      <c r="A41" s="6" t="n">
        <v>174358</v>
      </c>
      <c r="B41" s="6" t="s">
        <v>2420</v>
      </c>
      <c r="C41" s="6" t="s">
        <v>2261</v>
      </c>
      <c r="D41" s="6" t="s">
        <v>465</v>
      </c>
      <c r="E41" s="6" t="s">
        <v>2442</v>
      </c>
      <c r="F41" s="6" t="s">
        <v>2421</v>
      </c>
      <c r="G41" s="6" t="s">
        <v>2209</v>
      </c>
      <c r="H41" s="6" t="n">
        <f aca="false">VLOOKUP($A41,Day1!$A$1:$H$394,4,FALSE())</f>
        <v>0</v>
      </c>
      <c r="I41" s="6" t="n">
        <f aca="false">VLOOKUP($A41,Day1!$A$1:$H$394,5,FALSE())</f>
        <v>0</v>
      </c>
      <c r="J41" s="6" t="n">
        <f aca="false">VLOOKUP($A41,Day1!$A$1:$H$394,6,FALSE())</f>
        <v>0</v>
      </c>
      <c r="K41" s="6" t="n">
        <f aca="false">VLOOKUP($A41,'10-р анги өдөр-2'!$F$3:$K$43,4,FALSE())</f>
        <v>0</v>
      </c>
      <c r="L41" s="6" t="n">
        <f aca="false">VLOOKUP($A41,'10-р анги өдөр-2'!$F$3:$K$43,5,FALSE())</f>
        <v>0</v>
      </c>
      <c r="M41" s="6" t="n">
        <f aca="false">VLOOKUP($A41,'10-р анги өдөр-2'!$F$3:$K$43,6,FALSE())</f>
        <v>0</v>
      </c>
      <c r="N41" s="8" t="n">
        <f aca="false">SUM(H41:M41)</f>
        <v>0</v>
      </c>
      <c r="O41" s="8" t="str">
        <f aca="false">ROMAN(RANK(N41,$N$4:$N$44,0))</f>
        <v>XXXIV</v>
      </c>
    </row>
    <row r="42" customFormat="false" ht="15.75" hidden="false" customHeight="false" outlineLevel="0" collapsed="false">
      <c r="A42" s="6" t="n">
        <v>196624</v>
      </c>
      <c r="B42" s="6" t="s">
        <v>2420</v>
      </c>
      <c r="C42" s="6" t="s">
        <v>2210</v>
      </c>
      <c r="D42" s="6" t="s">
        <v>524</v>
      </c>
      <c r="E42" s="6" t="s">
        <v>2443</v>
      </c>
      <c r="F42" s="6" t="s">
        <v>2421</v>
      </c>
      <c r="G42" s="6" t="s">
        <v>2212</v>
      </c>
      <c r="H42" s="6" t="n">
        <f aca="false">VLOOKUP($A42,Day1!$A$1:$H$394,4,FALSE())</f>
        <v>0</v>
      </c>
      <c r="I42" s="6" t="n">
        <f aca="false">VLOOKUP($A42,Day1!$A$1:$H$394,5,FALSE())</f>
        <v>0</v>
      </c>
      <c r="J42" s="6" t="n">
        <f aca="false">VLOOKUP($A42,Day1!$A$1:$H$394,6,FALSE())</f>
        <v>0</v>
      </c>
      <c r="K42" s="6" t="n">
        <f aca="false">VLOOKUP($A42,'10-р анги өдөр-2'!$F$3:$K$43,4,FALSE())</f>
        <v>0</v>
      </c>
      <c r="L42" s="6" t="n">
        <f aca="false">VLOOKUP($A42,'10-р анги өдөр-2'!$F$3:$K$43,5,FALSE())</f>
        <v>0</v>
      </c>
      <c r="M42" s="6" t="n">
        <f aca="false">VLOOKUP($A42,'10-р анги өдөр-2'!$F$3:$K$43,6,FALSE())</f>
        <v>0</v>
      </c>
      <c r="N42" s="8" t="n">
        <f aca="false">SUM(H42:M42)</f>
        <v>0</v>
      </c>
      <c r="O42" s="8" t="str">
        <f aca="false">ROMAN(RANK(N42,$N$4:$N$44,0))</f>
        <v>XXXIV</v>
      </c>
    </row>
    <row r="43" customFormat="false" ht="15.75" hidden="false" customHeight="false" outlineLevel="0" collapsed="false">
      <c r="A43" s="6" t="n">
        <v>204719</v>
      </c>
      <c r="B43" s="6" t="s">
        <v>2420</v>
      </c>
      <c r="C43" s="6" t="s">
        <v>2222</v>
      </c>
      <c r="D43" s="6" t="s">
        <v>360</v>
      </c>
      <c r="E43" s="6" t="s">
        <v>2444</v>
      </c>
      <c r="F43" s="6" t="s">
        <v>2421</v>
      </c>
      <c r="G43" s="6" t="s">
        <v>2212</v>
      </c>
      <c r="H43" s="6" t="n">
        <f aca="false">VLOOKUP($A43,Day1!$A$1:$H$394,4,FALSE())</f>
        <v>0</v>
      </c>
      <c r="I43" s="6" t="n">
        <f aca="false">VLOOKUP($A43,Day1!$A$1:$H$394,5,FALSE())</f>
        <v>0</v>
      </c>
      <c r="J43" s="6" t="n">
        <f aca="false">VLOOKUP($A43,Day1!$A$1:$H$394,6,FALSE())</f>
        <v>0</v>
      </c>
      <c r="K43" s="6" t="n">
        <f aca="false">VLOOKUP($A43,'10-р анги өдөр-2'!$F$3:$K$43,4,FALSE())</f>
        <v>0</v>
      </c>
      <c r="L43" s="6" t="n">
        <f aca="false">VLOOKUP($A43,'10-р анги өдөр-2'!$F$3:$K$43,5,FALSE())</f>
        <v>0</v>
      </c>
      <c r="M43" s="6" t="n">
        <f aca="false">VLOOKUP($A43,'10-р анги өдөр-2'!$F$3:$K$43,6,FALSE())</f>
        <v>0</v>
      </c>
      <c r="N43" s="8" t="n">
        <f aca="false">SUM(H43:M43)</f>
        <v>0</v>
      </c>
      <c r="O43" s="8" t="str">
        <f aca="false">ROMAN(RANK(N43,$N$4:$N$44,0))</f>
        <v>XXXIV</v>
      </c>
    </row>
    <row r="44" customFormat="false" ht="15.75" hidden="false" customHeight="false" outlineLevel="0" collapsed="false">
      <c r="A44" s="6" t="n">
        <v>175146</v>
      </c>
      <c r="B44" s="6" t="s">
        <v>2420</v>
      </c>
      <c r="C44" s="6" t="s">
        <v>2203</v>
      </c>
      <c r="D44" s="6" t="s">
        <v>600</v>
      </c>
      <c r="E44" s="6" t="s">
        <v>652</v>
      </c>
      <c r="F44" s="6" t="s">
        <v>2421</v>
      </c>
      <c r="G44" s="6" t="s">
        <v>2212</v>
      </c>
      <c r="H44" s="6" t="n">
        <f aca="false">VLOOKUP($A44,Day1!$A$1:$H$394,4,FALSE())</f>
        <v>0</v>
      </c>
      <c r="I44" s="6" t="n">
        <f aca="false">VLOOKUP($A44,Day1!$A$1:$H$394,5,FALSE())</f>
        <v>0</v>
      </c>
      <c r="J44" s="6" t="n">
        <f aca="false">VLOOKUP($A44,Day1!$A$1:$H$394,6,FALSE())</f>
        <v>0</v>
      </c>
      <c r="K44" s="8"/>
      <c r="L44" s="8"/>
      <c r="M44" s="8"/>
      <c r="N44" s="8" t="n">
        <f aca="false">SUM(H44:M44)</f>
        <v>0</v>
      </c>
      <c r="O44" s="8" t="str">
        <f aca="false">ROMAN(RANK(N44,$N$4:$N$44,0))</f>
        <v>XXXIV</v>
      </c>
    </row>
    <row r="45" customFormat="false" ht="15.75" hidden="false" customHeight="false" outlineLevel="0" collapsed="false">
      <c r="N45" s="15" t="n">
        <f aca="false">SUM(H45:M45)</f>
        <v>0</v>
      </c>
    </row>
    <row r="46" customFormat="false" ht="15.75" hidden="false" customHeight="false" outlineLevel="0" collapsed="false">
      <c r="A46" s="5" t="s">
        <v>2417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15.7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customFormat="false" ht="15.75" hidden="false" customHeight="false" outlineLevel="0" collapsed="false">
      <c r="A48" s="5" t="s">
        <v>2418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</sheetData>
  <mergeCells count="6">
    <mergeCell ref="A1:O1"/>
    <mergeCell ref="A2:B2"/>
    <mergeCell ref="K2:O2"/>
    <mergeCell ref="A46:L46"/>
    <mergeCell ref="A47:L47"/>
    <mergeCell ref="A48:L4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true"/>
  </sheetPr>
  <dimension ref="A1:O9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9.63"/>
    <col collapsed="false" customWidth="true" hidden="false" outlineLevel="0" max="6" min="6" style="0" width="9.88"/>
    <col collapsed="false" customWidth="true" hidden="false" outlineLevel="0" max="7" min="7" style="0" width="4.88"/>
    <col collapsed="false" customWidth="true" hidden="false" outlineLevel="0" max="13" min="8" style="0" width="7.75"/>
    <col collapsed="false" customWidth="true" hidden="false" outlineLevel="0" max="14" min="14" style="0" width="8.38"/>
    <col collapsed="false" customWidth="true" hidden="false" outlineLevel="0" max="15" min="15" style="0" width="11.25"/>
  </cols>
  <sheetData>
    <row r="1" customFormat="false" ht="15.75" hidden="false" customHeight="false" outlineLevel="0" collapsed="false">
      <c r="A1" s="3" t="s">
        <v>2187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.75" hidden="false" customHeight="false" outlineLevel="0" collapsed="false">
      <c r="A2" s="10" t="n">
        <v>46005</v>
      </c>
      <c r="B2" s="10"/>
      <c r="K2" s="11" t="s">
        <v>2445</v>
      </c>
      <c r="L2" s="11"/>
      <c r="M2" s="11"/>
      <c r="N2" s="11"/>
      <c r="O2" s="11"/>
    </row>
    <row r="3" customFormat="false" ht="39.55" hidden="false" customHeight="false" outlineLevel="0" collapsed="false">
      <c r="A3" s="6" t="s">
        <v>2189</v>
      </c>
      <c r="B3" s="6" t="s">
        <v>2190</v>
      </c>
      <c r="C3" s="6" t="s">
        <v>2191</v>
      </c>
      <c r="D3" s="6" t="s">
        <v>2192</v>
      </c>
      <c r="E3" s="6" t="s">
        <v>2193</v>
      </c>
      <c r="F3" s="6" t="s">
        <v>2194</v>
      </c>
      <c r="G3" s="6" t="s">
        <v>2195</v>
      </c>
      <c r="H3" s="6" t="s">
        <v>2196</v>
      </c>
      <c r="I3" s="6" t="s">
        <v>2197</v>
      </c>
      <c r="J3" s="6" t="s">
        <v>2198</v>
      </c>
      <c r="K3" s="6" t="s">
        <v>2199</v>
      </c>
      <c r="L3" s="6" t="s">
        <v>2401</v>
      </c>
      <c r="M3" s="6" t="s">
        <v>2402</v>
      </c>
      <c r="N3" s="7" t="s">
        <v>2200</v>
      </c>
      <c r="O3" s="7" t="s">
        <v>2201</v>
      </c>
    </row>
    <row r="4" customFormat="false" ht="15.75" hidden="false" customHeight="false" outlineLevel="0" collapsed="false">
      <c r="A4" s="6" t="n">
        <v>7896</v>
      </c>
      <c r="B4" s="6" t="s">
        <v>2446</v>
      </c>
      <c r="C4" s="6" t="s">
        <v>2207</v>
      </c>
      <c r="D4" s="6" t="s">
        <v>731</v>
      </c>
      <c r="E4" s="6" t="s">
        <v>2447</v>
      </c>
      <c r="F4" s="6" t="s">
        <v>2448</v>
      </c>
      <c r="G4" s="6" t="s">
        <v>2209</v>
      </c>
      <c r="H4" s="6" t="n">
        <f aca="false">VLOOKUP($A4,Day1!$A$1:$H$394,4,FALSE())</f>
        <v>7</v>
      </c>
      <c r="I4" s="6" t="n">
        <f aca="false">VLOOKUP($A4,Day1!$A$1:$H$394,5,FALSE())</f>
        <v>2</v>
      </c>
      <c r="J4" s="6" t="n">
        <f aca="false">VLOOKUP($A4,Day1!$A$1:$H$394,6,FALSE())</f>
        <v>2</v>
      </c>
      <c r="K4" s="6" t="n">
        <f aca="false">VLOOKUP($A4,Day2!$A$1:$H$400,4,FALSE())</f>
        <v>0</v>
      </c>
      <c r="L4" s="6" t="n">
        <f aca="false">VLOOKUP($A4,Day2!$A$1:$H$400,5,FALSE())</f>
        <v>0</v>
      </c>
      <c r="M4" s="6" t="n">
        <f aca="false">VLOOKUP($A4,Day2!$A$1:$H$400,6,FALSE())</f>
        <v>0</v>
      </c>
      <c r="N4" s="7" t="n">
        <f aca="false">SUM(H4:M4)</f>
        <v>11</v>
      </c>
      <c r="O4" s="7" t="str">
        <f aca="false">ROMAN(RANK(N4,$N$4:$N$29,0))</f>
        <v>I</v>
      </c>
    </row>
    <row r="5" customFormat="false" ht="15.75" hidden="false" customHeight="false" outlineLevel="0" collapsed="false">
      <c r="A5" s="6" t="n">
        <v>56735</v>
      </c>
      <c r="B5" s="6" t="s">
        <v>2446</v>
      </c>
      <c r="C5" s="6" t="s">
        <v>2222</v>
      </c>
      <c r="D5" s="6" t="s">
        <v>707</v>
      </c>
      <c r="E5" s="6" t="s">
        <v>2449</v>
      </c>
      <c r="F5" s="6" t="s">
        <v>2448</v>
      </c>
      <c r="G5" s="6" t="s">
        <v>2209</v>
      </c>
      <c r="H5" s="6" t="n">
        <f aca="false">VLOOKUP($A5,Day1!$A$1:$H$394,4,FALSE())</f>
        <v>7</v>
      </c>
      <c r="I5" s="6" t="n">
        <f aca="false">VLOOKUP($A5,Day1!$A$1:$H$394,5,FALSE())</f>
        <v>3</v>
      </c>
      <c r="J5" s="6" t="n">
        <f aca="false">VLOOKUP($A5,Day1!$A$1:$H$394,6,FALSE())</f>
        <v>0</v>
      </c>
      <c r="K5" s="6" t="n">
        <f aca="false">VLOOKUP($A5,Day2!$A$1:$H$400,4,FALSE())</f>
        <v>0</v>
      </c>
      <c r="L5" s="6" t="n">
        <f aca="false">VLOOKUP($A5,Day2!$A$1:$H$400,5,FALSE())</f>
        <v>0</v>
      </c>
      <c r="M5" s="6" t="n">
        <f aca="false">VLOOKUP($A5,Day2!$A$1:$H$400,6,FALSE())</f>
        <v>0</v>
      </c>
      <c r="N5" s="7" t="n">
        <f aca="false">SUM(H5:M5)</f>
        <v>10</v>
      </c>
      <c r="O5" s="7" t="str">
        <f aca="false">ROMAN(RANK(N5,$N$4:$N$29,0))</f>
        <v>II</v>
      </c>
    </row>
    <row r="6" customFormat="false" ht="15.75" hidden="false" customHeight="false" outlineLevel="0" collapsed="false">
      <c r="A6" s="6" t="n">
        <v>118283</v>
      </c>
      <c r="B6" s="6" t="s">
        <v>2446</v>
      </c>
      <c r="C6" s="6" t="s">
        <v>2253</v>
      </c>
      <c r="D6" s="6" t="s">
        <v>765</v>
      </c>
      <c r="E6" s="6" t="s">
        <v>2450</v>
      </c>
      <c r="F6" s="6" t="s">
        <v>2448</v>
      </c>
      <c r="G6" s="6" t="s">
        <v>2212</v>
      </c>
      <c r="H6" s="6" t="n">
        <f aca="false">VLOOKUP($A6,Day1!$A$1:$H$394,4,FALSE())</f>
        <v>7</v>
      </c>
      <c r="I6" s="6" t="n">
        <f aca="false">VLOOKUP($A6,Day1!$A$1:$H$394,5,FALSE())</f>
        <v>2</v>
      </c>
      <c r="J6" s="6" t="n">
        <f aca="false">VLOOKUP($A6,Day1!$A$1:$H$394,6,FALSE())</f>
        <v>0</v>
      </c>
      <c r="K6" s="6" t="n">
        <f aca="false">VLOOKUP($A6,Day2!$A$1:$H$400,4,FALSE())</f>
        <v>0</v>
      </c>
      <c r="L6" s="6" t="n">
        <f aca="false">VLOOKUP($A6,Day2!$A$1:$H$400,5,FALSE())</f>
        <v>0</v>
      </c>
      <c r="M6" s="6" t="n">
        <f aca="false">VLOOKUP($A6,Day2!$A$1:$H$400,6,FALSE())</f>
        <v>0.5</v>
      </c>
      <c r="N6" s="7" t="n">
        <f aca="false">SUM(H6:M6)</f>
        <v>9.5</v>
      </c>
      <c r="O6" s="7" t="str">
        <f aca="false">ROMAN(RANK(N6,$N$4:$N$29,0))</f>
        <v>III</v>
      </c>
    </row>
    <row r="7" customFormat="false" ht="15.75" hidden="false" customHeight="false" outlineLevel="0" collapsed="false">
      <c r="A7" s="6" t="n">
        <v>115856</v>
      </c>
      <c r="B7" s="6" t="s">
        <v>2446</v>
      </c>
      <c r="C7" s="6" t="s">
        <v>2255</v>
      </c>
      <c r="D7" s="6" t="s">
        <v>40</v>
      </c>
      <c r="E7" s="6" t="s">
        <v>2451</v>
      </c>
      <c r="F7" s="6" t="s">
        <v>2448</v>
      </c>
      <c r="G7" s="6" t="s">
        <v>2212</v>
      </c>
      <c r="H7" s="6" t="n">
        <f aca="false">VLOOKUP($A7,Day1!$A$1:$H$394,4,FALSE())</f>
        <v>7</v>
      </c>
      <c r="I7" s="6" t="n">
        <f aca="false">VLOOKUP($A7,Day1!$A$1:$H$394,5,FALSE())</f>
        <v>2</v>
      </c>
      <c r="J7" s="6" t="n">
        <f aca="false">VLOOKUP($A7,Day1!$A$1:$H$394,6,FALSE())</f>
        <v>0</v>
      </c>
      <c r="K7" s="6" t="n">
        <f aca="false">VLOOKUP($A7,Day2!$A$1:$H$400,4,FALSE())</f>
        <v>0</v>
      </c>
      <c r="L7" s="6" t="n">
        <f aca="false">VLOOKUP($A7,Day2!$A$1:$H$400,5,FALSE())</f>
        <v>0</v>
      </c>
      <c r="M7" s="6" t="n">
        <f aca="false">VLOOKUP($A7,Day2!$A$1:$H$400,6,FALSE())</f>
        <v>0</v>
      </c>
      <c r="N7" s="7" t="n">
        <f aca="false">SUM(H7:M7)</f>
        <v>9</v>
      </c>
      <c r="O7" s="7" t="str">
        <f aca="false">ROMAN(RANK(N7,$N$4:$N$29,0))</f>
        <v>IV</v>
      </c>
    </row>
    <row r="8" customFormat="false" ht="15.75" hidden="false" customHeight="false" outlineLevel="0" collapsed="false">
      <c r="A8" s="6" t="n">
        <v>124032</v>
      </c>
      <c r="B8" s="6" t="s">
        <v>2446</v>
      </c>
      <c r="C8" s="6" t="s">
        <v>2310</v>
      </c>
      <c r="D8" s="6" t="s">
        <v>757</v>
      </c>
      <c r="E8" s="6" t="s">
        <v>2452</v>
      </c>
      <c r="F8" s="6" t="s">
        <v>2448</v>
      </c>
      <c r="G8" s="6" t="s">
        <v>2212</v>
      </c>
      <c r="H8" s="6" t="n">
        <f aca="false">VLOOKUP($A8,Day1!$A$1:$H$394,4,FALSE())</f>
        <v>7</v>
      </c>
      <c r="I8" s="6" t="n">
        <f aca="false">VLOOKUP($A8,Day1!$A$1:$H$394,5,FALSE())</f>
        <v>2</v>
      </c>
      <c r="J8" s="6" t="n">
        <f aca="false">VLOOKUP($A8,Day1!$A$1:$H$394,6,FALSE())</f>
        <v>0</v>
      </c>
      <c r="K8" s="6" t="n">
        <f aca="false">VLOOKUP($A8,Day2!$A$1:$H$400,4,FALSE())</f>
        <v>0</v>
      </c>
      <c r="L8" s="6" t="n">
        <f aca="false">VLOOKUP($A8,Day2!$A$1:$H$400,5,FALSE())</f>
        <v>0</v>
      </c>
      <c r="M8" s="6" t="n">
        <f aca="false">VLOOKUP($A8,Day2!$A$1:$H$400,6,FALSE())</f>
        <v>0</v>
      </c>
      <c r="N8" s="7" t="n">
        <f aca="false">SUM(H8:M8)</f>
        <v>9</v>
      </c>
      <c r="O8" s="7" t="str">
        <f aca="false">ROMAN(RANK(N8,$N$4:$N$29,0))</f>
        <v>IV</v>
      </c>
    </row>
    <row r="9" customFormat="false" ht="15.75" hidden="false" customHeight="false" outlineLevel="0" collapsed="false">
      <c r="A9" s="6" t="n">
        <v>99196</v>
      </c>
      <c r="B9" s="6" t="s">
        <v>2446</v>
      </c>
      <c r="C9" s="6" t="s">
        <v>2210</v>
      </c>
      <c r="D9" s="6" t="s">
        <v>109</v>
      </c>
      <c r="E9" s="6" t="s">
        <v>2453</v>
      </c>
      <c r="F9" s="6" t="s">
        <v>2448</v>
      </c>
      <c r="G9" s="6" t="s">
        <v>2212</v>
      </c>
      <c r="H9" s="6" t="n">
        <f aca="false">VLOOKUP($A9,Day1!$A$1:$H$394,4,FALSE())</f>
        <v>7</v>
      </c>
      <c r="I9" s="6" t="n">
        <f aca="false">VLOOKUP($A9,Day1!$A$1:$H$394,5,FALSE())</f>
        <v>2</v>
      </c>
      <c r="J9" s="6" t="n">
        <f aca="false">VLOOKUP($A9,Day1!$A$1:$H$394,6,FALSE())</f>
        <v>0</v>
      </c>
      <c r="K9" s="6" t="n">
        <f aca="false">VLOOKUP($A9,Day2!$A$1:$H$400,4,FALSE())</f>
        <v>0</v>
      </c>
      <c r="L9" s="6" t="n">
        <f aca="false">VLOOKUP($A9,Day2!$A$1:$H$400,5,FALSE())</f>
        <v>0</v>
      </c>
      <c r="M9" s="6" t="n">
        <f aca="false">VLOOKUP($A9,Day2!$A$1:$H$400,6,FALSE())</f>
        <v>0</v>
      </c>
      <c r="N9" s="7" t="n">
        <f aca="false">SUM(H9:M9)</f>
        <v>9</v>
      </c>
      <c r="O9" s="7" t="str">
        <f aca="false">ROMAN(RANK(N9,$N$4:$N$29,0))</f>
        <v>IV</v>
      </c>
    </row>
    <row r="10" customFormat="false" ht="15.75" hidden="false" customHeight="false" outlineLevel="0" collapsed="false">
      <c r="A10" s="6" t="n">
        <v>109151</v>
      </c>
      <c r="B10" s="6" t="s">
        <v>2446</v>
      </c>
      <c r="C10" s="6" t="s">
        <v>2221</v>
      </c>
      <c r="D10" s="6" t="s">
        <v>698</v>
      </c>
      <c r="E10" s="6" t="s">
        <v>25</v>
      </c>
      <c r="F10" s="6" t="s">
        <v>2448</v>
      </c>
      <c r="G10" s="6" t="s">
        <v>2212</v>
      </c>
      <c r="H10" s="6" t="n">
        <f aca="false">VLOOKUP($A10,Day1!$A$1:$H$394,4,FALSE())</f>
        <v>7</v>
      </c>
      <c r="I10" s="6" t="n">
        <f aca="false">VLOOKUP($A10,Day1!$A$1:$H$394,5,FALSE())</f>
        <v>0</v>
      </c>
      <c r="J10" s="6" t="n">
        <f aca="false">VLOOKUP($A10,Day1!$A$1:$H$394,6,FALSE())</f>
        <v>0</v>
      </c>
      <c r="K10" s="6" t="n">
        <f aca="false">VLOOKUP($A10,Day2!$A$1:$H$400,4,FALSE())</f>
        <v>2</v>
      </c>
      <c r="L10" s="6" t="n">
        <f aca="false">VLOOKUP($A10,Day2!$A$1:$H$400,5,FALSE())</f>
        <v>0</v>
      </c>
      <c r="M10" s="6" t="n">
        <f aca="false">VLOOKUP($A10,Day2!$A$1:$H$400,6,FALSE())</f>
        <v>0</v>
      </c>
      <c r="N10" s="7" t="n">
        <f aca="false">SUM(H10:M10)</f>
        <v>9</v>
      </c>
      <c r="O10" s="7" t="str">
        <f aca="false">ROMAN(RANK(N10,$N$4:$N$29,0))</f>
        <v>IV</v>
      </c>
    </row>
    <row r="11" customFormat="false" ht="15.75" hidden="false" customHeight="false" outlineLevel="0" collapsed="false">
      <c r="A11" s="6" t="n">
        <v>18550</v>
      </c>
      <c r="B11" s="6" t="s">
        <v>2446</v>
      </c>
      <c r="C11" s="6" t="s">
        <v>2207</v>
      </c>
      <c r="D11" s="6" t="s">
        <v>703</v>
      </c>
      <c r="E11" s="6" t="s">
        <v>2454</v>
      </c>
      <c r="F11" s="6" t="s">
        <v>2448</v>
      </c>
      <c r="G11" s="6" t="s">
        <v>2206</v>
      </c>
      <c r="H11" s="6" t="n">
        <f aca="false">VLOOKUP($A11,Day1!$A$1:$H$394,4,FALSE())</f>
        <v>7</v>
      </c>
      <c r="I11" s="6" t="n">
        <f aca="false">VLOOKUP($A11,Day1!$A$1:$H$394,5,FALSE())</f>
        <v>2</v>
      </c>
      <c r="J11" s="6" t="n">
        <f aca="false">VLOOKUP($A11,Day1!$A$1:$H$394,6,FALSE())</f>
        <v>0</v>
      </c>
      <c r="K11" s="6" t="n">
        <f aca="false">VLOOKUP($A11,Day2!$A$1:$H$400,4,FALSE())</f>
        <v>0</v>
      </c>
      <c r="L11" s="6" t="n">
        <f aca="false">VLOOKUP($A11,Day2!$A$1:$H$400,5,FALSE())</f>
        <v>0</v>
      </c>
      <c r="M11" s="6" t="n">
        <f aca="false">VLOOKUP($A11,Day2!$A$1:$H$400,6,FALSE())</f>
        <v>0</v>
      </c>
      <c r="N11" s="7" t="n">
        <f aca="false">SUM(H11:M11)</f>
        <v>9</v>
      </c>
      <c r="O11" s="7" t="str">
        <f aca="false">ROMAN(RANK(N11,$N$4:$N$29,0))</f>
        <v>IV</v>
      </c>
    </row>
    <row r="12" customFormat="false" ht="15.75" hidden="false" customHeight="false" outlineLevel="0" collapsed="false">
      <c r="A12" s="6" t="n">
        <v>110930</v>
      </c>
      <c r="B12" s="6" t="s">
        <v>2446</v>
      </c>
      <c r="C12" s="6" t="s">
        <v>2219</v>
      </c>
      <c r="D12" s="6" t="s">
        <v>692</v>
      </c>
      <c r="E12" s="6" t="s">
        <v>1610</v>
      </c>
      <c r="F12" s="6" t="s">
        <v>2448</v>
      </c>
      <c r="G12" s="6" t="s">
        <v>2209</v>
      </c>
      <c r="H12" s="6" t="n">
        <f aca="false">VLOOKUP($A12,Day1!$A$1:$H$394,4,FALSE())</f>
        <v>7</v>
      </c>
      <c r="I12" s="6" t="n">
        <f aca="false">VLOOKUP($A12,Day1!$A$1:$H$394,5,FALSE())</f>
        <v>2</v>
      </c>
      <c r="J12" s="6" t="n">
        <f aca="false">VLOOKUP($A12,Day1!$A$1:$H$394,6,FALSE())</f>
        <v>0</v>
      </c>
      <c r="K12" s="6" t="n">
        <f aca="false">VLOOKUP($A12,Day2!$A$1:$H$400,4,FALSE())</f>
        <v>0</v>
      </c>
      <c r="L12" s="6" t="n">
        <f aca="false">VLOOKUP($A12,Day2!$A$1:$H$400,5,FALSE())</f>
        <v>0</v>
      </c>
      <c r="M12" s="6" t="n">
        <f aca="false">VLOOKUP($A12,Day2!$A$1:$H$400,6,FALSE())</f>
        <v>0</v>
      </c>
      <c r="N12" s="7" t="n">
        <f aca="false">SUM(H12:M12)</f>
        <v>9</v>
      </c>
      <c r="O12" s="7" t="str">
        <f aca="false">ROMAN(RANK(N12,$N$4:$N$29,0))</f>
        <v>IV</v>
      </c>
    </row>
    <row r="13" customFormat="false" ht="15.75" hidden="false" customHeight="false" outlineLevel="0" collapsed="false">
      <c r="A13" s="6" t="n">
        <v>117431</v>
      </c>
      <c r="B13" s="6" t="s">
        <v>2446</v>
      </c>
      <c r="C13" s="6" t="s">
        <v>2302</v>
      </c>
      <c r="D13" s="6" t="s">
        <v>705</v>
      </c>
      <c r="E13" s="6" t="s">
        <v>1160</v>
      </c>
      <c r="F13" s="6" t="s">
        <v>2448</v>
      </c>
      <c r="G13" s="6" t="s">
        <v>2212</v>
      </c>
      <c r="H13" s="6" t="n">
        <f aca="false">VLOOKUP($A13,Day1!$A$1:$H$394,4,FALSE())</f>
        <v>0</v>
      </c>
      <c r="I13" s="6" t="n">
        <f aca="false">VLOOKUP($A13,Day1!$A$1:$H$394,5,FALSE())</f>
        <v>2</v>
      </c>
      <c r="J13" s="6" t="n">
        <f aca="false">VLOOKUP($A13,Day1!$A$1:$H$394,6,FALSE())</f>
        <v>0</v>
      </c>
      <c r="K13" s="6" t="n">
        <f aca="false">VLOOKUP($A13,Day2!$A$1:$H$400,4,FALSE())</f>
        <v>2</v>
      </c>
      <c r="L13" s="6" t="n">
        <f aca="false">VLOOKUP($A13,Day2!$A$1:$H$400,5,FALSE())</f>
        <v>0</v>
      </c>
      <c r="M13" s="6" t="n">
        <f aca="false">VLOOKUP($A13,Day2!$A$1:$H$400,6,FALSE())</f>
        <v>0</v>
      </c>
      <c r="N13" s="7" t="n">
        <f aca="false">SUM(H13:M13)</f>
        <v>4</v>
      </c>
      <c r="O13" s="7" t="str">
        <f aca="false">ROMAN(RANK(N13,$N$4:$N$29,0))</f>
        <v>X</v>
      </c>
    </row>
    <row r="14" customFormat="false" ht="15.75" hidden="false" customHeight="false" outlineLevel="0" collapsed="false">
      <c r="A14" s="6" t="n">
        <v>117902</v>
      </c>
      <c r="B14" s="6" t="s">
        <v>2446</v>
      </c>
      <c r="C14" s="6" t="s">
        <v>2259</v>
      </c>
      <c r="D14" s="6" t="s">
        <v>719</v>
      </c>
      <c r="E14" s="6" t="s">
        <v>2455</v>
      </c>
      <c r="F14" s="6" t="s">
        <v>2448</v>
      </c>
      <c r="G14" s="6" t="s">
        <v>2212</v>
      </c>
      <c r="H14" s="6" t="n">
        <f aca="false">VLOOKUP($A14,Day1!$A$1:$H$394,4,FALSE())</f>
        <v>3</v>
      </c>
      <c r="I14" s="6" t="n">
        <f aca="false">VLOOKUP($A14,Day1!$A$1:$H$394,5,FALSE())</f>
        <v>0</v>
      </c>
      <c r="J14" s="6" t="n">
        <f aca="false">VLOOKUP($A14,Day1!$A$1:$H$394,6,FALSE())</f>
        <v>0</v>
      </c>
      <c r="K14" s="6" t="n">
        <f aca="false">VLOOKUP($A14,Day2!$A$1:$H$400,4,FALSE())</f>
        <v>0</v>
      </c>
      <c r="L14" s="6" t="n">
        <f aca="false">VLOOKUP($A14,Day2!$A$1:$H$400,5,FALSE())</f>
        <v>0</v>
      </c>
      <c r="M14" s="6" t="n">
        <f aca="false">VLOOKUP($A14,Day2!$A$1:$H$400,6,FALSE())</f>
        <v>0</v>
      </c>
      <c r="N14" s="7" t="n">
        <f aca="false">SUM(H14:M14)</f>
        <v>3</v>
      </c>
      <c r="O14" s="7" t="str">
        <f aca="false">ROMAN(RANK(N14,$N$4:$N$29,0))</f>
        <v>XI</v>
      </c>
    </row>
    <row r="15" customFormat="false" ht="15.75" hidden="false" customHeight="false" outlineLevel="0" collapsed="false">
      <c r="A15" s="6" t="n">
        <v>133671</v>
      </c>
      <c r="B15" s="6" t="s">
        <v>2446</v>
      </c>
      <c r="C15" s="6" t="s">
        <v>2227</v>
      </c>
      <c r="D15" s="6" t="s">
        <v>427</v>
      </c>
      <c r="E15" s="6" t="s">
        <v>2456</v>
      </c>
      <c r="F15" s="6" t="s">
        <v>2448</v>
      </c>
      <c r="G15" s="6" t="s">
        <v>2212</v>
      </c>
      <c r="H15" s="6" t="n">
        <f aca="false">VLOOKUP($A15,Day1!$A$1:$H$394,4,FALSE())</f>
        <v>0</v>
      </c>
      <c r="I15" s="6" t="n">
        <f aca="false">VLOOKUP($A15,Day1!$A$1:$H$394,5,FALSE())</f>
        <v>2</v>
      </c>
      <c r="J15" s="6" t="n">
        <f aca="false">VLOOKUP($A15,Day1!$A$1:$H$394,6,FALSE())</f>
        <v>0</v>
      </c>
      <c r="K15" s="6" t="n">
        <f aca="false">VLOOKUP($A15,Day2!$A$1:$H$400,4,FALSE())</f>
        <v>0</v>
      </c>
      <c r="L15" s="6" t="n">
        <f aca="false">VLOOKUP($A15,Day2!$A$1:$H$400,5,FALSE())</f>
        <v>0</v>
      </c>
      <c r="M15" s="6" t="n">
        <f aca="false">VLOOKUP($A15,Day2!$A$1:$H$400,6,FALSE())</f>
        <v>0</v>
      </c>
      <c r="N15" s="7" t="n">
        <f aca="false">SUM(H15:M15)</f>
        <v>2</v>
      </c>
      <c r="O15" s="7" t="str">
        <f aca="false">ROMAN(RANK(N15,$N$4:$N$29,0))</f>
        <v>XII</v>
      </c>
    </row>
    <row r="16" customFormat="false" ht="15.75" hidden="false" customHeight="false" outlineLevel="0" collapsed="false">
      <c r="A16" s="6" t="n">
        <v>186195</v>
      </c>
      <c r="B16" s="6" t="s">
        <v>2446</v>
      </c>
      <c r="C16" s="6" t="s">
        <v>2290</v>
      </c>
      <c r="D16" s="6" t="s">
        <v>696</v>
      </c>
      <c r="E16" s="6" t="s">
        <v>2457</v>
      </c>
      <c r="F16" s="6" t="s">
        <v>2448</v>
      </c>
      <c r="G16" s="6" t="s">
        <v>2212</v>
      </c>
      <c r="H16" s="6" t="n">
        <f aca="false">VLOOKUP($A16,Day1!$A$1:$H$394,4,FALSE())</f>
        <v>0</v>
      </c>
      <c r="I16" s="6" t="n">
        <f aca="false">VLOOKUP($A16,Day1!$A$1:$H$394,5,FALSE())</f>
        <v>0</v>
      </c>
      <c r="J16" s="6" t="n">
        <f aca="false">VLOOKUP($A16,Day1!$A$1:$H$394,6,FALSE())</f>
        <v>0</v>
      </c>
      <c r="K16" s="6" t="n">
        <f aca="false">VLOOKUP($A16,Day2!$A$1:$H$400,4,FALSE())</f>
        <v>2</v>
      </c>
      <c r="L16" s="6" t="n">
        <f aca="false">VLOOKUP($A16,Day2!$A$1:$H$400,5,FALSE())</f>
        <v>0</v>
      </c>
      <c r="M16" s="6" t="n">
        <f aca="false">VLOOKUP($A16,Day2!$A$1:$H$400,6,FALSE())</f>
        <v>0</v>
      </c>
      <c r="N16" s="7" t="n">
        <f aca="false">SUM(H16:M16)</f>
        <v>2</v>
      </c>
      <c r="O16" s="7" t="str">
        <f aca="false">ROMAN(RANK(N16,$N$4:$N$29,0))</f>
        <v>XII</v>
      </c>
    </row>
    <row r="17" customFormat="false" ht="15.75" hidden="false" customHeight="false" outlineLevel="0" collapsed="false">
      <c r="A17" s="6" t="n">
        <v>110020</v>
      </c>
      <c r="B17" s="6" t="s">
        <v>2446</v>
      </c>
      <c r="C17" s="6" t="s">
        <v>2432</v>
      </c>
      <c r="D17" s="6" t="s">
        <v>711</v>
      </c>
      <c r="E17" s="6" t="s">
        <v>2458</v>
      </c>
      <c r="F17" s="6" t="s">
        <v>2448</v>
      </c>
      <c r="G17" s="6" t="s">
        <v>2212</v>
      </c>
      <c r="H17" s="6" t="n">
        <f aca="false">VLOOKUP($A17,Day1!$A$1:$H$394,4,FALSE())</f>
        <v>0</v>
      </c>
      <c r="I17" s="6" t="n">
        <f aca="false">VLOOKUP($A17,Day1!$A$1:$H$394,5,FALSE())</f>
        <v>2</v>
      </c>
      <c r="J17" s="6" t="n">
        <f aca="false">VLOOKUP($A17,Day1!$A$1:$H$394,6,FALSE())</f>
        <v>0</v>
      </c>
      <c r="K17" s="6" t="n">
        <f aca="false">VLOOKUP($A17,Day2!$A$1:$H$400,4,FALSE())</f>
        <v>0</v>
      </c>
      <c r="L17" s="6" t="n">
        <f aca="false">VLOOKUP($A17,Day2!$A$1:$H$400,5,FALSE())</f>
        <v>0</v>
      </c>
      <c r="M17" s="6" t="n">
        <f aca="false">VLOOKUP($A17,Day2!$A$1:$H$400,6,FALSE())</f>
        <v>0</v>
      </c>
      <c r="N17" s="7" t="n">
        <f aca="false">SUM(H17:M17)</f>
        <v>2</v>
      </c>
      <c r="O17" s="7" t="str">
        <f aca="false">ROMAN(RANK(N17,$N$4:$N$29,0))</f>
        <v>XII</v>
      </c>
    </row>
    <row r="18" customFormat="false" ht="15.75" hidden="false" customHeight="false" outlineLevel="0" collapsed="false">
      <c r="A18" s="6" t="n">
        <v>119763</v>
      </c>
      <c r="B18" s="6" t="s">
        <v>2446</v>
      </c>
      <c r="C18" s="6" t="s">
        <v>2257</v>
      </c>
      <c r="D18" s="6" t="s">
        <v>716</v>
      </c>
      <c r="E18" s="6" t="s">
        <v>2233</v>
      </c>
      <c r="F18" s="6" t="s">
        <v>2448</v>
      </c>
      <c r="G18" s="6" t="s">
        <v>2212</v>
      </c>
      <c r="H18" s="6" t="n">
        <f aca="false">VLOOKUP($A18,Day1!$A$1:$H$394,4,FALSE())</f>
        <v>0</v>
      </c>
      <c r="I18" s="6" t="n">
        <f aca="false">VLOOKUP($A18,Day1!$A$1:$H$394,5,FALSE())</f>
        <v>2</v>
      </c>
      <c r="J18" s="6" t="n">
        <f aca="false">VLOOKUP($A18,Day1!$A$1:$H$394,6,FALSE())</f>
        <v>0</v>
      </c>
      <c r="K18" s="6" t="n">
        <f aca="false">VLOOKUP($A18,Day2!$A$1:$H$400,4,FALSE())</f>
        <v>0</v>
      </c>
      <c r="L18" s="6" t="n">
        <f aca="false">VLOOKUP($A18,Day2!$A$1:$H$400,5,FALSE())</f>
        <v>0</v>
      </c>
      <c r="M18" s="6" t="n">
        <f aca="false">VLOOKUP($A18,Day2!$A$1:$H$400,6,FALSE())</f>
        <v>0</v>
      </c>
      <c r="N18" s="7" t="n">
        <f aca="false">SUM(H18:M18)</f>
        <v>2</v>
      </c>
      <c r="O18" s="7" t="str">
        <f aca="false">ROMAN(RANK(N18,$N$4:$N$29,0))</f>
        <v>XII</v>
      </c>
    </row>
    <row r="19" customFormat="false" ht="15.75" hidden="false" customHeight="false" outlineLevel="0" collapsed="false">
      <c r="A19" s="6" t="n">
        <v>3885</v>
      </c>
      <c r="B19" s="6" t="s">
        <v>2446</v>
      </c>
      <c r="C19" s="6" t="s">
        <v>2295</v>
      </c>
      <c r="D19" s="6" t="s">
        <v>753</v>
      </c>
      <c r="E19" s="6" t="s">
        <v>989</v>
      </c>
      <c r="F19" s="6" t="s">
        <v>2448</v>
      </c>
      <c r="G19" s="6" t="s">
        <v>2206</v>
      </c>
      <c r="H19" s="6" t="n">
        <f aca="false">VLOOKUP($A19,Day1!$A$1:$H$394,4,FALSE())</f>
        <v>0</v>
      </c>
      <c r="I19" s="6" t="n">
        <f aca="false">VLOOKUP($A19,Day1!$A$1:$H$394,5,FALSE())</f>
        <v>0</v>
      </c>
      <c r="J19" s="6" t="n">
        <f aca="false">VLOOKUP($A19,Day1!$A$1:$H$394,6,FALSE())</f>
        <v>0</v>
      </c>
      <c r="K19" s="6" t="n">
        <f aca="false">VLOOKUP($A19,Day2!$A$1:$H$400,4,FALSE())</f>
        <v>2</v>
      </c>
      <c r="L19" s="6" t="n">
        <f aca="false">VLOOKUP($A19,Day2!$A$1:$H$400,5,FALSE())</f>
        <v>0</v>
      </c>
      <c r="M19" s="6" t="n">
        <f aca="false">VLOOKUP($A19,Day2!$A$1:$H$400,6,FALSE())</f>
        <v>0</v>
      </c>
      <c r="N19" s="7" t="n">
        <f aca="false">SUM(H19:M19)</f>
        <v>2</v>
      </c>
      <c r="O19" s="7" t="str">
        <f aca="false">ROMAN(RANK(N19,$N$4:$N$29,0))</f>
        <v>XII</v>
      </c>
    </row>
    <row r="20" customFormat="false" ht="15.75" hidden="false" customHeight="false" outlineLevel="0" collapsed="false">
      <c r="A20" s="6" t="n">
        <v>185275</v>
      </c>
      <c r="B20" s="6" t="s">
        <v>2446</v>
      </c>
      <c r="C20" s="6" t="s">
        <v>2253</v>
      </c>
      <c r="D20" s="6" t="s">
        <v>749</v>
      </c>
      <c r="E20" s="6" t="s">
        <v>2384</v>
      </c>
      <c r="F20" s="6" t="s">
        <v>2448</v>
      </c>
      <c r="G20" s="6" t="s">
        <v>2209</v>
      </c>
      <c r="H20" s="6" t="n">
        <f aca="false">VLOOKUP($A20,Day1!$A$1:$H$394,4,FALSE())</f>
        <v>0</v>
      </c>
      <c r="I20" s="6" t="n">
        <f aca="false">VLOOKUP($A20,Day1!$A$1:$H$394,5,FALSE())</f>
        <v>2</v>
      </c>
      <c r="J20" s="6" t="n">
        <f aca="false">VLOOKUP($A20,Day1!$A$1:$H$394,6,FALSE())</f>
        <v>0</v>
      </c>
      <c r="K20" s="6" t="n">
        <f aca="false">VLOOKUP($A20,Day2!$A$1:$H$400,4,FALSE())</f>
        <v>0</v>
      </c>
      <c r="L20" s="6" t="n">
        <f aca="false">VLOOKUP($A20,Day2!$A$1:$H$400,5,FALSE())</f>
        <v>0</v>
      </c>
      <c r="M20" s="6" t="n">
        <f aca="false">VLOOKUP($A20,Day2!$A$1:$H$400,6,FALSE())</f>
        <v>0</v>
      </c>
      <c r="N20" s="7" t="n">
        <f aca="false">SUM(H20:M20)</f>
        <v>2</v>
      </c>
      <c r="O20" s="7" t="str">
        <f aca="false">ROMAN(RANK(N20,$N$4:$N$29,0))</f>
        <v>XII</v>
      </c>
    </row>
    <row r="21" customFormat="false" ht="15.75" hidden="false" customHeight="false" outlineLevel="0" collapsed="false">
      <c r="A21" s="6" t="n">
        <v>139314</v>
      </c>
      <c r="B21" s="6" t="s">
        <v>2446</v>
      </c>
      <c r="C21" s="6" t="s">
        <v>2263</v>
      </c>
      <c r="D21" s="6" t="s">
        <v>764</v>
      </c>
      <c r="E21" s="6" t="s">
        <v>2459</v>
      </c>
      <c r="F21" s="6" t="s">
        <v>2448</v>
      </c>
      <c r="G21" s="6" t="s">
        <v>2212</v>
      </c>
      <c r="H21" s="6" t="n">
        <f aca="false">VLOOKUP($A21,Day1!$A$1:$H$394,4,FALSE())</f>
        <v>0</v>
      </c>
      <c r="I21" s="6" t="n">
        <f aca="false">VLOOKUP($A21,Day1!$A$1:$H$394,5,FALSE())</f>
        <v>0</v>
      </c>
      <c r="J21" s="6" t="n">
        <f aca="false">VLOOKUP($A21,Day1!$A$1:$H$394,6,FALSE())</f>
        <v>0</v>
      </c>
      <c r="K21" s="6" t="n">
        <f aca="false">VLOOKUP($A21,Day2!$A$1:$H$400,4,FALSE())</f>
        <v>0</v>
      </c>
      <c r="L21" s="6" t="n">
        <f aca="false">VLOOKUP($A21,Day2!$A$1:$H$400,5,FALSE())</f>
        <v>0</v>
      </c>
      <c r="M21" s="6" t="n">
        <f aca="false">VLOOKUP($A21,Day2!$A$1:$H$400,6,FALSE())</f>
        <v>0</v>
      </c>
      <c r="N21" s="7" t="n">
        <f aca="false">SUM(H21:M21)</f>
        <v>0</v>
      </c>
      <c r="O21" s="7" t="str">
        <f aca="false">ROMAN(RANK(N21,$N$4:$N$29,0))</f>
        <v>XVIII</v>
      </c>
    </row>
    <row r="22" customFormat="false" ht="15.75" hidden="false" customHeight="false" outlineLevel="0" collapsed="false">
      <c r="A22" s="6" t="n">
        <v>74613</v>
      </c>
      <c r="B22" s="6" t="s">
        <v>2446</v>
      </c>
      <c r="C22" s="6" t="s">
        <v>2265</v>
      </c>
      <c r="D22" s="6" t="s">
        <v>738</v>
      </c>
      <c r="E22" s="6" t="s">
        <v>2410</v>
      </c>
      <c r="F22" s="6" t="s">
        <v>2448</v>
      </c>
      <c r="G22" s="6" t="s">
        <v>2212</v>
      </c>
      <c r="H22" s="6" t="n">
        <f aca="false">VLOOKUP($A22,Day1!$A$1:$H$394,4,FALSE())</f>
        <v>0</v>
      </c>
      <c r="I22" s="6" t="n">
        <f aca="false">VLOOKUP($A22,Day1!$A$1:$H$394,5,FALSE())</f>
        <v>0</v>
      </c>
      <c r="J22" s="6" t="n">
        <f aca="false">VLOOKUP($A22,Day1!$A$1:$H$394,6,FALSE())</f>
        <v>0</v>
      </c>
      <c r="K22" s="6" t="n">
        <f aca="false">VLOOKUP($A22,Day2!$A$1:$H$400,4,FALSE())</f>
        <v>0</v>
      </c>
      <c r="L22" s="6" t="n">
        <f aca="false">VLOOKUP($A22,Day2!$A$1:$H$400,5,FALSE())</f>
        <v>0</v>
      </c>
      <c r="M22" s="6" t="n">
        <f aca="false">VLOOKUP($A22,Day2!$A$1:$H$400,6,FALSE())</f>
        <v>0</v>
      </c>
      <c r="N22" s="7" t="n">
        <f aca="false">SUM(H22:M22)</f>
        <v>0</v>
      </c>
      <c r="O22" s="7" t="str">
        <f aca="false">ROMAN(RANK(N22,$N$4:$N$29,0))</f>
        <v>XVIII</v>
      </c>
    </row>
    <row r="23" customFormat="false" ht="15.75" hidden="false" customHeight="false" outlineLevel="0" collapsed="false">
      <c r="A23" s="6" t="n">
        <v>118012</v>
      </c>
      <c r="B23" s="6" t="s">
        <v>2446</v>
      </c>
      <c r="C23" s="6" t="s">
        <v>2277</v>
      </c>
      <c r="D23" s="6" t="s">
        <v>725</v>
      </c>
      <c r="E23" s="6" t="s">
        <v>2460</v>
      </c>
      <c r="F23" s="6" t="s">
        <v>2448</v>
      </c>
      <c r="G23" s="6" t="s">
        <v>2212</v>
      </c>
      <c r="H23" s="6" t="n">
        <f aca="false">VLOOKUP($A23,Day1!$A$1:$H$394,4,FALSE())</f>
        <v>0</v>
      </c>
      <c r="I23" s="6" t="n">
        <f aca="false">VLOOKUP($A23,Day1!$A$1:$H$394,5,FALSE())</f>
        <v>0</v>
      </c>
      <c r="J23" s="6" t="n">
        <f aca="false">VLOOKUP($A23,Day1!$A$1:$H$394,6,FALSE())</f>
        <v>0</v>
      </c>
      <c r="K23" s="6" t="n">
        <f aca="false">VLOOKUP($A23,Day2!$A$1:$H$400,4,FALSE())</f>
        <v>0</v>
      </c>
      <c r="L23" s="6" t="n">
        <f aca="false">VLOOKUP($A23,Day2!$A$1:$H$400,5,FALSE())</f>
        <v>0</v>
      </c>
      <c r="M23" s="6" t="n">
        <f aca="false">VLOOKUP($A23,Day2!$A$1:$H$400,6,FALSE())</f>
        <v>0</v>
      </c>
      <c r="N23" s="7" t="n">
        <f aca="false">SUM(H23:M23)</f>
        <v>0</v>
      </c>
      <c r="O23" s="7" t="str">
        <f aca="false">ROMAN(RANK(N23,$N$4:$N$29,0))</f>
        <v>XVIII</v>
      </c>
    </row>
    <row r="24" customFormat="false" ht="15.75" hidden="false" customHeight="false" outlineLevel="0" collapsed="false">
      <c r="A24" s="6" t="n">
        <v>196087</v>
      </c>
      <c r="B24" s="6" t="s">
        <v>2446</v>
      </c>
      <c r="C24" s="6" t="s">
        <v>2203</v>
      </c>
      <c r="D24" s="6" t="s">
        <v>745</v>
      </c>
      <c r="E24" s="6" t="s">
        <v>2373</v>
      </c>
      <c r="F24" s="6" t="s">
        <v>2448</v>
      </c>
      <c r="G24" s="6" t="s">
        <v>2212</v>
      </c>
      <c r="H24" s="6" t="n">
        <f aca="false">VLOOKUP($A24,Day1!$A$1:$H$394,4,FALSE())</f>
        <v>0</v>
      </c>
      <c r="I24" s="6" t="n">
        <f aca="false">VLOOKUP($A24,Day1!$A$1:$H$394,5,FALSE())</f>
        <v>0</v>
      </c>
      <c r="J24" s="6" t="n">
        <f aca="false">VLOOKUP($A24,Day1!$A$1:$H$394,6,FALSE())</f>
        <v>0</v>
      </c>
      <c r="K24" s="6" t="n">
        <f aca="false">VLOOKUP($A24,Day2!$A$1:$H$400,4,FALSE())</f>
        <v>0</v>
      </c>
      <c r="L24" s="6" t="n">
        <f aca="false">VLOOKUP($A24,Day2!$A$1:$H$400,5,FALSE())</f>
        <v>0</v>
      </c>
      <c r="M24" s="6" t="n">
        <f aca="false">VLOOKUP($A24,Day2!$A$1:$H$400,6,FALSE())</f>
        <v>0</v>
      </c>
      <c r="N24" s="7" t="n">
        <f aca="false">SUM(H24:M24)</f>
        <v>0</v>
      </c>
      <c r="O24" s="7" t="str">
        <f aca="false">ROMAN(RANK(N24,$N$4:$N$29,0))</f>
        <v>XVIII</v>
      </c>
    </row>
    <row r="25" customFormat="false" ht="15.75" hidden="false" customHeight="false" outlineLevel="0" collapsed="false">
      <c r="A25" s="6" t="n">
        <v>3881</v>
      </c>
      <c r="B25" s="6" t="s">
        <v>2446</v>
      </c>
      <c r="C25" s="6" t="s">
        <v>2295</v>
      </c>
      <c r="D25" s="6" t="s">
        <v>761</v>
      </c>
      <c r="E25" s="6" t="s">
        <v>2357</v>
      </c>
      <c r="F25" s="6" t="s">
        <v>2448</v>
      </c>
      <c r="G25" s="6" t="s">
        <v>2206</v>
      </c>
      <c r="H25" s="6" t="n">
        <f aca="false">VLOOKUP($A25,Day1!$A$1:$H$394,4,FALSE())</f>
        <v>0</v>
      </c>
      <c r="I25" s="6" t="n">
        <f aca="false">VLOOKUP($A25,Day1!$A$1:$H$394,5,FALSE())</f>
        <v>0</v>
      </c>
      <c r="J25" s="6" t="n">
        <f aca="false">VLOOKUP($A25,Day1!$A$1:$H$394,6,FALSE())</f>
        <v>0</v>
      </c>
      <c r="K25" s="6" t="n">
        <f aca="false">VLOOKUP($A25,Day2!$A$1:$H$400,4,FALSE())</f>
        <v>0</v>
      </c>
      <c r="L25" s="6" t="n">
        <f aca="false">VLOOKUP($A25,Day2!$A$1:$H$400,5,FALSE())</f>
        <v>0</v>
      </c>
      <c r="M25" s="6" t="n">
        <f aca="false">VLOOKUP($A25,Day2!$A$1:$H$400,6,FALSE())</f>
        <v>0</v>
      </c>
      <c r="N25" s="7" t="n">
        <f aca="false">SUM(H25:M25)</f>
        <v>0</v>
      </c>
      <c r="O25" s="7" t="str">
        <f aca="false">ROMAN(RANK(N25,$N$4:$N$29,0))</f>
        <v>XVIII</v>
      </c>
    </row>
    <row r="26" customFormat="false" ht="15.75" hidden="false" customHeight="false" outlineLevel="0" collapsed="false">
      <c r="A26" s="6" t="n">
        <v>110841</v>
      </c>
      <c r="B26" s="6" t="s">
        <v>2446</v>
      </c>
      <c r="C26" s="6" t="s">
        <v>2215</v>
      </c>
      <c r="D26" s="6" t="s">
        <v>727</v>
      </c>
      <c r="E26" s="6" t="s">
        <v>2461</v>
      </c>
      <c r="F26" s="6" t="s">
        <v>2448</v>
      </c>
      <c r="G26" s="6" t="s">
        <v>2212</v>
      </c>
      <c r="H26" s="6" t="n">
        <f aca="false">VLOOKUP($A26,Day1!$A$1:$H$394,4,FALSE())</f>
        <v>0</v>
      </c>
      <c r="I26" s="6" t="n">
        <f aca="false">VLOOKUP($A26,Day1!$A$1:$H$394,5,FALSE())</f>
        <v>0</v>
      </c>
      <c r="J26" s="6" t="n">
        <f aca="false">VLOOKUP($A26,Day1!$A$1:$H$394,6,FALSE())</f>
        <v>0</v>
      </c>
      <c r="K26" s="6" t="n">
        <f aca="false">VLOOKUP($A26,Day2!$A$1:$H$400,4,FALSE())</f>
        <v>0</v>
      </c>
      <c r="L26" s="6" t="n">
        <f aca="false">VLOOKUP($A26,Day2!$A$1:$H$400,5,FALSE())</f>
        <v>0</v>
      </c>
      <c r="M26" s="6" t="n">
        <f aca="false">VLOOKUP($A26,Day2!$A$1:$H$400,6,FALSE())</f>
        <v>0</v>
      </c>
      <c r="N26" s="7" t="n">
        <f aca="false">SUM(H26:M26)</f>
        <v>0</v>
      </c>
      <c r="O26" s="7" t="str">
        <f aca="false">ROMAN(RANK(N26,$N$4:$N$29,0))</f>
        <v>XVIII</v>
      </c>
    </row>
    <row r="27" customFormat="false" ht="15.75" hidden="false" customHeight="false" outlineLevel="0" collapsed="false">
      <c r="A27" s="6" t="n">
        <v>185795</v>
      </c>
      <c r="B27" s="6" t="s">
        <v>2446</v>
      </c>
      <c r="C27" s="6" t="s">
        <v>2221</v>
      </c>
      <c r="D27" s="6" t="s">
        <v>723</v>
      </c>
      <c r="E27" s="6" t="s">
        <v>2462</v>
      </c>
      <c r="F27" s="6" t="s">
        <v>2448</v>
      </c>
      <c r="G27" s="6" t="s">
        <v>2229</v>
      </c>
      <c r="H27" s="6" t="n">
        <f aca="false">VLOOKUP($A27,Day1!$A$1:$H$394,4,FALSE())</f>
        <v>0</v>
      </c>
      <c r="I27" s="6" t="n">
        <f aca="false">VLOOKUP($A27,Day1!$A$1:$H$394,5,FALSE())</f>
        <v>0</v>
      </c>
      <c r="J27" s="6" t="n">
        <f aca="false">VLOOKUP($A27,Day1!$A$1:$H$394,6,FALSE())</f>
        <v>0</v>
      </c>
      <c r="K27" s="6" t="n">
        <f aca="false">VLOOKUP($A27,Day2!$A$1:$H$400,4,FALSE())</f>
        <v>0</v>
      </c>
      <c r="L27" s="6" t="n">
        <f aca="false">VLOOKUP($A27,Day2!$A$1:$H$400,5,FALSE())</f>
        <v>0</v>
      </c>
      <c r="M27" s="6" t="n">
        <f aca="false">VLOOKUP($A27,Day2!$A$1:$H$400,6,FALSE())</f>
        <v>0</v>
      </c>
      <c r="N27" s="7" t="n">
        <f aca="false">SUM(H27:M27)</f>
        <v>0</v>
      </c>
      <c r="O27" s="7" t="str">
        <f aca="false">ROMAN(RANK(N27,$N$4:$N$29,0))</f>
        <v>XVIII</v>
      </c>
    </row>
    <row r="28" customFormat="false" ht="15.75" hidden="false" customHeight="false" outlineLevel="0" collapsed="false">
      <c r="A28" s="6" t="n">
        <v>185512</v>
      </c>
      <c r="B28" s="6" t="s">
        <v>2446</v>
      </c>
      <c r="C28" s="6" t="s">
        <v>2218</v>
      </c>
      <c r="D28" s="6" t="s">
        <v>1437</v>
      </c>
      <c r="E28" s="6" t="s">
        <v>2463</v>
      </c>
      <c r="F28" s="6" t="s">
        <v>2448</v>
      </c>
      <c r="G28" s="6" t="s">
        <v>2212</v>
      </c>
      <c r="H28" s="6" t="n">
        <f aca="false">VLOOKUP($A28,Day1!$A$1:$H$394,4,FALSE())</f>
        <v>0</v>
      </c>
      <c r="I28" s="6" t="n">
        <f aca="false">VLOOKUP($A28,Day1!$A$1:$H$394,5,FALSE())</f>
        <v>0</v>
      </c>
      <c r="J28" s="6" t="n">
        <f aca="false">VLOOKUP($A28,Day1!$A$1:$H$394,6,FALSE())</f>
        <v>0</v>
      </c>
      <c r="K28" s="8"/>
      <c r="L28" s="8"/>
      <c r="M28" s="8"/>
      <c r="N28" s="7" t="n">
        <f aca="false">SUM(H28:M28)</f>
        <v>0</v>
      </c>
      <c r="O28" s="7" t="str">
        <f aca="false">ROMAN(RANK(N28,$N$4:$N$29,0))</f>
        <v>XVIII</v>
      </c>
    </row>
    <row r="29" customFormat="false" ht="15.75" hidden="false" customHeight="false" outlineLevel="0" collapsed="false">
      <c r="A29" s="6" t="n">
        <v>83273</v>
      </c>
      <c r="B29" s="6" t="s">
        <v>2446</v>
      </c>
      <c r="C29" s="6" t="s">
        <v>2261</v>
      </c>
      <c r="D29" s="6" t="s">
        <v>1430</v>
      </c>
      <c r="E29" s="6" t="s">
        <v>2464</v>
      </c>
      <c r="F29" s="6" t="s">
        <v>2448</v>
      </c>
      <c r="G29" s="6" t="s">
        <v>2225</v>
      </c>
      <c r="H29" s="6" t="n">
        <f aca="false">VLOOKUP($A29,Day1!$A$1:$H$394,4,FALSE())</f>
        <v>0</v>
      </c>
      <c r="I29" s="6" t="n">
        <f aca="false">VLOOKUP($A29,Day1!$A$1:$H$394,5,FALSE())</f>
        <v>0</v>
      </c>
      <c r="J29" s="6" t="n">
        <f aca="false">VLOOKUP($A29,Day1!$A$1:$H$394,6,FALSE())</f>
        <v>0</v>
      </c>
      <c r="K29" s="8"/>
      <c r="L29" s="8"/>
      <c r="M29" s="8"/>
      <c r="N29" s="7" t="n">
        <f aca="false">SUM(H29:M29)</f>
        <v>0</v>
      </c>
      <c r="O29" s="7" t="str">
        <f aca="false">ROMAN(RANK(N29,$N$4:$N$29,0))</f>
        <v>XVIII</v>
      </c>
    </row>
    <row r="30" customFormat="false" ht="15.75" hidden="false" customHeight="false" outlineLevel="0" collapsed="false">
      <c r="N30" s="16"/>
      <c r="O30" s="16"/>
    </row>
    <row r="31" customFormat="false" ht="15.75" hidden="false" customHeight="false" outlineLevel="0" collapsed="false">
      <c r="A31" s="5" t="s">
        <v>2465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N31" s="16"/>
      <c r="O31" s="16"/>
    </row>
    <row r="32" customFormat="false" ht="15.7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N32" s="16"/>
      <c r="O32" s="16"/>
    </row>
    <row r="33" customFormat="false" ht="15.75" hidden="false" customHeight="false" outlineLevel="0" collapsed="false">
      <c r="A33" s="5" t="s">
        <v>2466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N33" s="16"/>
      <c r="O33" s="16"/>
    </row>
    <row r="34" customFormat="false" ht="15.75" hidden="false" customHeight="false" outlineLevel="0" collapsed="false">
      <c r="N34" s="16"/>
      <c r="O34" s="16"/>
    </row>
    <row r="35" customFormat="false" ht="15.75" hidden="false" customHeight="false" outlineLevel="0" collapsed="false">
      <c r="N35" s="16"/>
      <c r="O35" s="16"/>
    </row>
    <row r="36" customFormat="false" ht="15.75" hidden="false" customHeight="false" outlineLevel="0" collapsed="false">
      <c r="N36" s="16"/>
      <c r="O36" s="16"/>
    </row>
    <row r="37" customFormat="false" ht="15.75" hidden="false" customHeight="false" outlineLevel="0" collapsed="false">
      <c r="N37" s="16"/>
      <c r="O37" s="16"/>
    </row>
    <row r="38" customFormat="false" ht="15.75" hidden="false" customHeight="false" outlineLevel="0" collapsed="false">
      <c r="N38" s="16"/>
      <c r="O38" s="16"/>
    </row>
    <row r="39" customFormat="false" ht="15.75" hidden="false" customHeight="false" outlineLevel="0" collapsed="false">
      <c r="N39" s="16"/>
      <c r="O39" s="16"/>
    </row>
    <row r="40" customFormat="false" ht="15.75" hidden="false" customHeight="false" outlineLevel="0" collapsed="false">
      <c r="N40" s="16"/>
      <c r="O40" s="16"/>
    </row>
    <row r="41" customFormat="false" ht="15.75" hidden="false" customHeight="false" outlineLevel="0" collapsed="false">
      <c r="N41" s="16"/>
      <c r="O41" s="16"/>
    </row>
    <row r="42" customFormat="false" ht="15.75" hidden="false" customHeight="false" outlineLevel="0" collapsed="false">
      <c r="N42" s="16"/>
      <c r="O42" s="16"/>
    </row>
    <row r="43" customFormat="false" ht="15.75" hidden="false" customHeight="false" outlineLevel="0" collapsed="false">
      <c r="N43" s="16"/>
      <c r="O43" s="16"/>
    </row>
    <row r="44" customFormat="false" ht="15.75" hidden="false" customHeight="false" outlineLevel="0" collapsed="false">
      <c r="N44" s="16"/>
      <c r="O44" s="16"/>
    </row>
    <row r="45" customFormat="false" ht="15.75" hidden="false" customHeight="false" outlineLevel="0" collapsed="false">
      <c r="N45" s="16"/>
      <c r="O45" s="16"/>
    </row>
    <row r="46" customFormat="false" ht="15.75" hidden="false" customHeight="false" outlineLevel="0" collapsed="false">
      <c r="N46" s="16"/>
      <c r="O46" s="16"/>
    </row>
    <row r="47" customFormat="false" ht="15.75" hidden="false" customHeight="false" outlineLevel="0" collapsed="false">
      <c r="N47" s="16"/>
      <c r="O47" s="16"/>
    </row>
    <row r="48" customFormat="false" ht="15.75" hidden="false" customHeight="false" outlineLevel="0" collapsed="false">
      <c r="N48" s="16"/>
      <c r="O48" s="16"/>
    </row>
    <row r="49" customFormat="false" ht="15.75" hidden="false" customHeight="false" outlineLevel="0" collapsed="false">
      <c r="N49" s="16"/>
      <c r="O49" s="16"/>
    </row>
    <row r="50" customFormat="false" ht="15.75" hidden="false" customHeight="false" outlineLevel="0" collapsed="false">
      <c r="N50" s="16"/>
      <c r="O50" s="16"/>
    </row>
    <row r="51" customFormat="false" ht="15.75" hidden="false" customHeight="false" outlineLevel="0" collapsed="false">
      <c r="N51" s="16"/>
      <c r="O51" s="16"/>
    </row>
    <row r="52" customFormat="false" ht="15.75" hidden="false" customHeight="false" outlineLevel="0" collapsed="false">
      <c r="N52" s="16"/>
      <c r="O52" s="16"/>
    </row>
    <row r="53" customFormat="false" ht="15.75" hidden="false" customHeight="false" outlineLevel="0" collapsed="false">
      <c r="N53" s="16"/>
      <c r="O53" s="16"/>
    </row>
    <row r="54" customFormat="false" ht="15.75" hidden="false" customHeight="false" outlineLevel="0" collapsed="false">
      <c r="N54" s="16"/>
      <c r="O54" s="16"/>
    </row>
    <row r="55" customFormat="false" ht="15.75" hidden="false" customHeight="false" outlineLevel="0" collapsed="false">
      <c r="N55" s="16"/>
      <c r="O55" s="16"/>
    </row>
    <row r="56" customFormat="false" ht="15.75" hidden="false" customHeight="false" outlineLevel="0" collapsed="false">
      <c r="N56" s="16"/>
      <c r="O56" s="16"/>
    </row>
    <row r="57" customFormat="false" ht="15.75" hidden="false" customHeight="false" outlineLevel="0" collapsed="false">
      <c r="N57" s="16"/>
      <c r="O57" s="16"/>
    </row>
    <row r="58" customFormat="false" ht="15.75" hidden="false" customHeight="false" outlineLevel="0" collapsed="false">
      <c r="N58" s="16"/>
      <c r="O58" s="16"/>
    </row>
    <row r="59" customFormat="false" ht="15.75" hidden="false" customHeight="false" outlineLevel="0" collapsed="false">
      <c r="N59" s="16"/>
      <c r="O59" s="16"/>
    </row>
    <row r="60" customFormat="false" ht="15.75" hidden="false" customHeight="false" outlineLevel="0" collapsed="false">
      <c r="N60" s="16"/>
      <c r="O60" s="16"/>
    </row>
    <row r="61" customFormat="false" ht="15.75" hidden="false" customHeight="false" outlineLevel="0" collapsed="false">
      <c r="N61" s="16"/>
      <c r="O61" s="16"/>
    </row>
    <row r="62" customFormat="false" ht="15.75" hidden="false" customHeight="false" outlineLevel="0" collapsed="false">
      <c r="N62" s="16"/>
      <c r="O62" s="16"/>
    </row>
    <row r="63" customFormat="false" ht="15.75" hidden="false" customHeight="false" outlineLevel="0" collapsed="false">
      <c r="N63" s="16"/>
      <c r="O63" s="16"/>
    </row>
    <row r="64" customFormat="false" ht="15.75" hidden="false" customHeight="false" outlineLevel="0" collapsed="false">
      <c r="N64" s="16"/>
      <c r="O64" s="16"/>
    </row>
    <row r="65" customFormat="false" ht="15.75" hidden="false" customHeight="false" outlineLevel="0" collapsed="false">
      <c r="N65" s="16"/>
      <c r="O65" s="16"/>
    </row>
    <row r="66" customFormat="false" ht="15.75" hidden="false" customHeight="false" outlineLevel="0" collapsed="false">
      <c r="N66" s="16"/>
      <c r="O66" s="16"/>
    </row>
    <row r="67" customFormat="false" ht="15.75" hidden="false" customHeight="false" outlineLevel="0" collapsed="false">
      <c r="N67" s="16"/>
      <c r="O67" s="16"/>
    </row>
    <row r="68" customFormat="false" ht="15.75" hidden="false" customHeight="false" outlineLevel="0" collapsed="false">
      <c r="N68" s="16"/>
      <c r="O68" s="16"/>
    </row>
    <row r="69" customFormat="false" ht="15.75" hidden="false" customHeight="false" outlineLevel="0" collapsed="false">
      <c r="N69" s="16"/>
      <c r="O69" s="16"/>
    </row>
    <row r="70" customFormat="false" ht="15.75" hidden="false" customHeight="false" outlineLevel="0" collapsed="false">
      <c r="N70" s="16"/>
      <c r="O70" s="16"/>
    </row>
    <row r="71" customFormat="false" ht="15.75" hidden="false" customHeight="false" outlineLevel="0" collapsed="false">
      <c r="N71" s="16"/>
      <c r="O71" s="16"/>
    </row>
    <row r="72" customFormat="false" ht="15.75" hidden="false" customHeight="false" outlineLevel="0" collapsed="false">
      <c r="N72" s="16"/>
      <c r="O72" s="16"/>
    </row>
    <row r="73" customFormat="false" ht="15.75" hidden="false" customHeight="false" outlineLevel="0" collapsed="false">
      <c r="N73" s="16"/>
      <c r="O73" s="16"/>
    </row>
    <row r="74" customFormat="false" ht="15.75" hidden="false" customHeight="false" outlineLevel="0" collapsed="false">
      <c r="N74" s="16"/>
      <c r="O74" s="16"/>
    </row>
    <row r="75" customFormat="false" ht="15.75" hidden="false" customHeight="false" outlineLevel="0" collapsed="false">
      <c r="N75" s="16"/>
      <c r="O75" s="16"/>
    </row>
    <row r="76" customFormat="false" ht="15.75" hidden="false" customHeight="false" outlineLevel="0" collapsed="false">
      <c r="N76" s="16"/>
      <c r="O76" s="16"/>
    </row>
    <row r="77" customFormat="false" ht="15.75" hidden="false" customHeight="false" outlineLevel="0" collapsed="false">
      <c r="N77" s="16"/>
      <c r="O77" s="16"/>
    </row>
    <row r="78" customFormat="false" ht="15.75" hidden="false" customHeight="false" outlineLevel="0" collapsed="false">
      <c r="N78" s="16"/>
      <c r="O78" s="16"/>
    </row>
    <row r="79" customFormat="false" ht="15.75" hidden="false" customHeight="false" outlineLevel="0" collapsed="false">
      <c r="N79" s="16"/>
      <c r="O79" s="16"/>
    </row>
    <row r="80" customFormat="false" ht="15.75" hidden="false" customHeight="false" outlineLevel="0" collapsed="false">
      <c r="N80" s="16"/>
      <c r="O80" s="16"/>
    </row>
    <row r="81" customFormat="false" ht="15.75" hidden="false" customHeight="false" outlineLevel="0" collapsed="false">
      <c r="N81" s="16"/>
      <c r="O81" s="16"/>
    </row>
    <row r="82" customFormat="false" ht="15.75" hidden="false" customHeight="false" outlineLevel="0" collapsed="false">
      <c r="N82" s="16"/>
      <c r="O82" s="16"/>
    </row>
    <row r="83" customFormat="false" ht="15.75" hidden="false" customHeight="false" outlineLevel="0" collapsed="false">
      <c r="N83" s="16"/>
      <c r="O83" s="16"/>
    </row>
    <row r="84" customFormat="false" ht="15.75" hidden="false" customHeight="false" outlineLevel="0" collapsed="false">
      <c r="N84" s="16"/>
      <c r="O84" s="16"/>
    </row>
    <row r="85" customFormat="false" ht="15.75" hidden="false" customHeight="false" outlineLevel="0" collapsed="false">
      <c r="N85" s="16"/>
      <c r="O85" s="16"/>
    </row>
    <row r="86" customFormat="false" ht="15.75" hidden="false" customHeight="false" outlineLevel="0" collapsed="false">
      <c r="N86" s="16"/>
      <c r="O86" s="16"/>
    </row>
    <row r="87" customFormat="false" ht="15.75" hidden="false" customHeight="false" outlineLevel="0" collapsed="false">
      <c r="N87" s="16"/>
      <c r="O87" s="16"/>
    </row>
    <row r="88" customFormat="false" ht="15.75" hidden="false" customHeight="false" outlineLevel="0" collapsed="false">
      <c r="N88" s="16"/>
      <c r="O88" s="16"/>
    </row>
    <row r="89" customFormat="false" ht="15.75" hidden="false" customHeight="false" outlineLevel="0" collapsed="false">
      <c r="N89" s="16"/>
      <c r="O89" s="16"/>
    </row>
    <row r="90" customFormat="false" ht="15.75" hidden="false" customHeight="false" outlineLevel="0" collapsed="false">
      <c r="N90" s="16"/>
      <c r="O90" s="16"/>
    </row>
    <row r="91" customFormat="false" ht="15.75" hidden="false" customHeight="false" outlineLevel="0" collapsed="false">
      <c r="N91" s="16"/>
      <c r="O91" s="16"/>
    </row>
    <row r="92" customFormat="false" ht="15.75" hidden="false" customHeight="false" outlineLevel="0" collapsed="false">
      <c r="N92" s="16"/>
      <c r="O92" s="16"/>
    </row>
    <row r="93" customFormat="false" ht="15.75" hidden="false" customHeight="false" outlineLevel="0" collapsed="false">
      <c r="N93" s="16"/>
      <c r="O93" s="16"/>
    </row>
    <row r="94" customFormat="false" ht="15.75" hidden="false" customHeight="false" outlineLevel="0" collapsed="false">
      <c r="N94" s="16"/>
      <c r="O94" s="16"/>
    </row>
    <row r="95" customFormat="false" ht="15.75" hidden="false" customHeight="false" outlineLevel="0" collapsed="false">
      <c r="N95" s="16"/>
      <c r="O95" s="16"/>
    </row>
    <row r="96" customFormat="false" ht="15.75" hidden="false" customHeight="false" outlineLevel="0" collapsed="false">
      <c r="N96" s="16"/>
      <c r="O96" s="16"/>
    </row>
    <row r="97" customFormat="false" ht="15.75" hidden="false" customHeight="false" outlineLevel="0" collapsed="false">
      <c r="N97" s="16"/>
      <c r="O97" s="16"/>
    </row>
    <row r="98" customFormat="false" ht="15.75" hidden="false" customHeight="false" outlineLevel="0" collapsed="false">
      <c r="N98" s="16"/>
      <c r="O98" s="16"/>
    </row>
    <row r="99" customFormat="false" ht="15.75" hidden="false" customHeight="false" outlineLevel="0" collapsed="false">
      <c r="N99" s="16"/>
      <c r="O99" s="16"/>
    </row>
    <row r="100" customFormat="false" ht="15.75" hidden="false" customHeight="false" outlineLevel="0" collapsed="false">
      <c r="N100" s="16"/>
      <c r="O100" s="16"/>
    </row>
    <row r="101" customFormat="false" ht="15.75" hidden="false" customHeight="false" outlineLevel="0" collapsed="false">
      <c r="N101" s="16"/>
      <c r="O101" s="16"/>
    </row>
    <row r="102" customFormat="false" ht="15.75" hidden="false" customHeight="false" outlineLevel="0" collapsed="false">
      <c r="N102" s="16"/>
      <c r="O102" s="16"/>
    </row>
    <row r="103" customFormat="false" ht="15.75" hidden="false" customHeight="false" outlineLevel="0" collapsed="false">
      <c r="N103" s="16"/>
      <c r="O103" s="16"/>
    </row>
    <row r="104" customFormat="false" ht="15.75" hidden="false" customHeight="false" outlineLevel="0" collapsed="false">
      <c r="N104" s="16"/>
      <c r="O104" s="16"/>
    </row>
    <row r="105" customFormat="false" ht="15.75" hidden="false" customHeight="false" outlineLevel="0" collapsed="false">
      <c r="N105" s="16"/>
      <c r="O105" s="16"/>
    </row>
    <row r="106" customFormat="false" ht="15.75" hidden="false" customHeight="false" outlineLevel="0" collapsed="false">
      <c r="N106" s="16"/>
      <c r="O106" s="16"/>
    </row>
    <row r="107" customFormat="false" ht="15.75" hidden="false" customHeight="false" outlineLevel="0" collapsed="false">
      <c r="N107" s="16"/>
      <c r="O107" s="16"/>
    </row>
    <row r="108" customFormat="false" ht="15.75" hidden="false" customHeight="false" outlineLevel="0" collapsed="false">
      <c r="N108" s="16"/>
      <c r="O108" s="16"/>
    </row>
    <row r="109" customFormat="false" ht="15.75" hidden="false" customHeight="false" outlineLevel="0" collapsed="false">
      <c r="N109" s="16"/>
      <c r="O109" s="16"/>
    </row>
    <row r="110" customFormat="false" ht="15.75" hidden="false" customHeight="false" outlineLevel="0" collapsed="false">
      <c r="N110" s="16"/>
      <c r="O110" s="16"/>
    </row>
    <row r="111" customFormat="false" ht="15.75" hidden="false" customHeight="false" outlineLevel="0" collapsed="false">
      <c r="N111" s="16"/>
      <c r="O111" s="16"/>
    </row>
    <row r="112" customFormat="false" ht="15.75" hidden="false" customHeight="false" outlineLevel="0" collapsed="false">
      <c r="N112" s="16"/>
      <c r="O112" s="16"/>
    </row>
    <row r="113" customFormat="false" ht="15.75" hidden="false" customHeight="false" outlineLevel="0" collapsed="false">
      <c r="N113" s="16"/>
      <c r="O113" s="16"/>
    </row>
    <row r="114" customFormat="false" ht="15.75" hidden="false" customHeight="false" outlineLevel="0" collapsed="false">
      <c r="N114" s="16"/>
      <c r="O114" s="16"/>
    </row>
    <row r="115" customFormat="false" ht="15.75" hidden="false" customHeight="false" outlineLevel="0" collapsed="false">
      <c r="N115" s="16"/>
      <c r="O115" s="16"/>
    </row>
    <row r="116" customFormat="false" ht="15.75" hidden="false" customHeight="false" outlineLevel="0" collapsed="false">
      <c r="N116" s="16"/>
      <c r="O116" s="16"/>
    </row>
    <row r="117" customFormat="false" ht="15.75" hidden="false" customHeight="false" outlineLevel="0" collapsed="false">
      <c r="N117" s="16"/>
      <c r="O117" s="16"/>
    </row>
    <row r="118" customFormat="false" ht="15.75" hidden="false" customHeight="false" outlineLevel="0" collapsed="false">
      <c r="N118" s="16"/>
      <c r="O118" s="16"/>
    </row>
    <row r="119" customFormat="false" ht="15.75" hidden="false" customHeight="false" outlineLevel="0" collapsed="false">
      <c r="N119" s="16"/>
      <c r="O119" s="16"/>
    </row>
    <row r="120" customFormat="false" ht="15.75" hidden="false" customHeight="false" outlineLevel="0" collapsed="false">
      <c r="N120" s="16"/>
      <c r="O120" s="16"/>
    </row>
    <row r="121" customFormat="false" ht="15.75" hidden="false" customHeight="false" outlineLevel="0" collapsed="false">
      <c r="N121" s="16"/>
      <c r="O121" s="16"/>
    </row>
    <row r="122" customFormat="false" ht="15.75" hidden="false" customHeight="false" outlineLevel="0" collapsed="false">
      <c r="N122" s="16"/>
      <c r="O122" s="16"/>
    </row>
    <row r="123" customFormat="false" ht="15.75" hidden="false" customHeight="false" outlineLevel="0" collapsed="false">
      <c r="N123" s="16"/>
      <c r="O123" s="16"/>
    </row>
    <row r="124" customFormat="false" ht="15.75" hidden="false" customHeight="false" outlineLevel="0" collapsed="false">
      <c r="N124" s="16"/>
      <c r="O124" s="16"/>
    </row>
    <row r="125" customFormat="false" ht="15.75" hidden="false" customHeight="false" outlineLevel="0" collapsed="false">
      <c r="N125" s="16"/>
      <c r="O125" s="16"/>
    </row>
    <row r="126" customFormat="false" ht="15.75" hidden="false" customHeight="false" outlineLevel="0" collapsed="false">
      <c r="N126" s="16"/>
      <c r="O126" s="16"/>
    </row>
    <row r="127" customFormat="false" ht="15.75" hidden="false" customHeight="false" outlineLevel="0" collapsed="false">
      <c r="N127" s="16"/>
      <c r="O127" s="16"/>
    </row>
    <row r="128" customFormat="false" ht="15.75" hidden="false" customHeight="false" outlineLevel="0" collapsed="false">
      <c r="N128" s="16"/>
      <c r="O128" s="16"/>
    </row>
    <row r="129" customFormat="false" ht="15.75" hidden="false" customHeight="false" outlineLevel="0" collapsed="false">
      <c r="N129" s="16"/>
      <c r="O129" s="16"/>
    </row>
    <row r="130" customFormat="false" ht="15.75" hidden="false" customHeight="false" outlineLevel="0" collapsed="false">
      <c r="N130" s="16"/>
      <c r="O130" s="16"/>
    </row>
    <row r="131" customFormat="false" ht="15.75" hidden="false" customHeight="false" outlineLevel="0" collapsed="false">
      <c r="N131" s="16"/>
      <c r="O131" s="16"/>
    </row>
    <row r="132" customFormat="false" ht="15.75" hidden="false" customHeight="false" outlineLevel="0" collapsed="false">
      <c r="N132" s="16"/>
      <c r="O132" s="16"/>
    </row>
    <row r="133" customFormat="false" ht="15.75" hidden="false" customHeight="false" outlineLevel="0" collapsed="false">
      <c r="N133" s="16"/>
      <c r="O133" s="16"/>
    </row>
    <row r="134" customFormat="false" ht="15.75" hidden="false" customHeight="false" outlineLevel="0" collapsed="false">
      <c r="N134" s="16"/>
      <c r="O134" s="16"/>
    </row>
    <row r="135" customFormat="false" ht="15.75" hidden="false" customHeight="false" outlineLevel="0" collapsed="false">
      <c r="N135" s="16"/>
      <c r="O135" s="16"/>
    </row>
    <row r="136" customFormat="false" ht="15.75" hidden="false" customHeight="false" outlineLevel="0" collapsed="false">
      <c r="N136" s="16"/>
      <c r="O136" s="16"/>
    </row>
    <row r="137" customFormat="false" ht="15.75" hidden="false" customHeight="false" outlineLevel="0" collapsed="false">
      <c r="N137" s="16"/>
      <c r="O137" s="16"/>
    </row>
    <row r="138" customFormat="false" ht="15.75" hidden="false" customHeight="false" outlineLevel="0" collapsed="false">
      <c r="N138" s="16"/>
      <c r="O138" s="16"/>
    </row>
    <row r="139" customFormat="false" ht="15.75" hidden="false" customHeight="false" outlineLevel="0" collapsed="false">
      <c r="N139" s="16"/>
      <c r="O139" s="16"/>
    </row>
    <row r="140" customFormat="false" ht="15.75" hidden="false" customHeight="false" outlineLevel="0" collapsed="false">
      <c r="N140" s="16"/>
      <c r="O140" s="16"/>
    </row>
    <row r="141" customFormat="false" ht="15.75" hidden="false" customHeight="false" outlineLevel="0" collapsed="false">
      <c r="N141" s="16"/>
      <c r="O141" s="16"/>
    </row>
    <row r="142" customFormat="false" ht="15.75" hidden="false" customHeight="false" outlineLevel="0" collapsed="false">
      <c r="N142" s="16"/>
      <c r="O142" s="16"/>
    </row>
    <row r="143" customFormat="false" ht="15.75" hidden="false" customHeight="false" outlineLevel="0" collapsed="false">
      <c r="N143" s="16"/>
      <c r="O143" s="16"/>
    </row>
    <row r="144" customFormat="false" ht="15.75" hidden="false" customHeight="false" outlineLevel="0" collapsed="false">
      <c r="N144" s="16"/>
      <c r="O144" s="16"/>
    </row>
    <row r="145" customFormat="false" ht="15.75" hidden="false" customHeight="false" outlineLevel="0" collapsed="false">
      <c r="N145" s="16"/>
      <c r="O145" s="16"/>
    </row>
    <row r="146" customFormat="false" ht="15.75" hidden="false" customHeight="false" outlineLevel="0" collapsed="false">
      <c r="N146" s="16"/>
      <c r="O146" s="16"/>
    </row>
    <row r="147" customFormat="false" ht="15.75" hidden="false" customHeight="false" outlineLevel="0" collapsed="false">
      <c r="N147" s="16"/>
      <c r="O147" s="16"/>
    </row>
    <row r="148" customFormat="false" ht="15.75" hidden="false" customHeight="false" outlineLevel="0" collapsed="false">
      <c r="N148" s="16"/>
      <c r="O148" s="16"/>
    </row>
    <row r="149" customFormat="false" ht="15.75" hidden="false" customHeight="false" outlineLevel="0" collapsed="false">
      <c r="N149" s="16"/>
      <c r="O149" s="16"/>
    </row>
    <row r="150" customFormat="false" ht="15.75" hidden="false" customHeight="false" outlineLevel="0" collapsed="false">
      <c r="N150" s="16"/>
      <c r="O150" s="16"/>
    </row>
    <row r="151" customFormat="false" ht="15.75" hidden="false" customHeight="false" outlineLevel="0" collapsed="false">
      <c r="N151" s="16"/>
      <c r="O151" s="16"/>
    </row>
    <row r="152" customFormat="false" ht="15.75" hidden="false" customHeight="false" outlineLevel="0" collapsed="false">
      <c r="N152" s="16"/>
      <c r="O152" s="16"/>
    </row>
    <row r="153" customFormat="false" ht="15.75" hidden="false" customHeight="false" outlineLevel="0" collapsed="false">
      <c r="N153" s="16"/>
      <c r="O153" s="16"/>
    </row>
    <row r="154" customFormat="false" ht="15.75" hidden="false" customHeight="false" outlineLevel="0" collapsed="false">
      <c r="N154" s="16"/>
      <c r="O154" s="16"/>
    </row>
    <row r="155" customFormat="false" ht="15.75" hidden="false" customHeight="false" outlineLevel="0" collapsed="false">
      <c r="N155" s="16"/>
      <c r="O155" s="16"/>
    </row>
    <row r="156" customFormat="false" ht="15.75" hidden="false" customHeight="false" outlineLevel="0" collapsed="false">
      <c r="N156" s="16"/>
      <c r="O156" s="16"/>
    </row>
    <row r="157" customFormat="false" ht="15.75" hidden="false" customHeight="false" outlineLevel="0" collapsed="false">
      <c r="N157" s="16"/>
      <c r="O157" s="16"/>
    </row>
    <row r="158" customFormat="false" ht="15.75" hidden="false" customHeight="false" outlineLevel="0" collapsed="false">
      <c r="N158" s="16"/>
      <c r="O158" s="16"/>
    </row>
    <row r="159" customFormat="false" ht="15.75" hidden="false" customHeight="false" outlineLevel="0" collapsed="false">
      <c r="N159" s="16"/>
      <c r="O159" s="16"/>
    </row>
    <row r="160" customFormat="false" ht="15.75" hidden="false" customHeight="false" outlineLevel="0" collapsed="false">
      <c r="N160" s="16"/>
      <c r="O160" s="16"/>
    </row>
    <row r="161" customFormat="false" ht="15.75" hidden="false" customHeight="false" outlineLevel="0" collapsed="false">
      <c r="N161" s="16"/>
      <c r="O161" s="16"/>
    </row>
    <row r="162" customFormat="false" ht="15.75" hidden="false" customHeight="false" outlineLevel="0" collapsed="false">
      <c r="N162" s="16"/>
      <c r="O162" s="16"/>
    </row>
    <row r="163" customFormat="false" ht="15.75" hidden="false" customHeight="false" outlineLevel="0" collapsed="false">
      <c r="N163" s="16"/>
      <c r="O163" s="16"/>
    </row>
    <row r="164" customFormat="false" ht="15.75" hidden="false" customHeight="false" outlineLevel="0" collapsed="false">
      <c r="N164" s="16"/>
      <c r="O164" s="16"/>
    </row>
    <row r="165" customFormat="false" ht="15.75" hidden="false" customHeight="false" outlineLevel="0" collapsed="false">
      <c r="N165" s="16"/>
      <c r="O165" s="16"/>
    </row>
    <row r="166" customFormat="false" ht="15.75" hidden="false" customHeight="false" outlineLevel="0" collapsed="false">
      <c r="N166" s="16"/>
      <c r="O166" s="16"/>
    </row>
    <row r="167" customFormat="false" ht="15.75" hidden="false" customHeight="false" outlineLevel="0" collapsed="false">
      <c r="N167" s="16"/>
      <c r="O167" s="16"/>
    </row>
    <row r="168" customFormat="false" ht="15.75" hidden="false" customHeight="false" outlineLevel="0" collapsed="false">
      <c r="N168" s="16"/>
      <c r="O168" s="16"/>
    </row>
    <row r="169" customFormat="false" ht="15.75" hidden="false" customHeight="false" outlineLevel="0" collapsed="false">
      <c r="N169" s="16"/>
      <c r="O169" s="16"/>
    </row>
    <row r="170" customFormat="false" ht="15.75" hidden="false" customHeight="false" outlineLevel="0" collapsed="false">
      <c r="N170" s="16"/>
      <c r="O170" s="16"/>
    </row>
    <row r="171" customFormat="false" ht="15.75" hidden="false" customHeight="false" outlineLevel="0" collapsed="false">
      <c r="N171" s="16"/>
      <c r="O171" s="16"/>
    </row>
    <row r="172" customFormat="false" ht="15.75" hidden="false" customHeight="false" outlineLevel="0" collapsed="false">
      <c r="N172" s="16"/>
      <c r="O172" s="16"/>
    </row>
    <row r="173" customFormat="false" ht="15.75" hidden="false" customHeight="false" outlineLevel="0" collapsed="false">
      <c r="N173" s="16"/>
      <c r="O173" s="16"/>
    </row>
    <row r="174" customFormat="false" ht="15.75" hidden="false" customHeight="false" outlineLevel="0" collapsed="false">
      <c r="N174" s="16"/>
      <c r="O174" s="16"/>
    </row>
    <row r="175" customFormat="false" ht="15.75" hidden="false" customHeight="false" outlineLevel="0" collapsed="false">
      <c r="N175" s="16"/>
      <c r="O175" s="16"/>
    </row>
    <row r="176" customFormat="false" ht="15.75" hidden="false" customHeight="false" outlineLevel="0" collapsed="false">
      <c r="N176" s="16"/>
      <c r="O176" s="16"/>
    </row>
    <row r="177" customFormat="false" ht="15.75" hidden="false" customHeight="false" outlineLevel="0" collapsed="false">
      <c r="N177" s="16"/>
      <c r="O177" s="16"/>
    </row>
    <row r="178" customFormat="false" ht="15.75" hidden="false" customHeight="false" outlineLevel="0" collapsed="false">
      <c r="N178" s="16"/>
      <c r="O178" s="16"/>
    </row>
    <row r="179" customFormat="false" ht="15.75" hidden="false" customHeight="false" outlineLevel="0" collapsed="false">
      <c r="N179" s="16"/>
      <c r="O179" s="16"/>
    </row>
    <row r="180" customFormat="false" ht="15.75" hidden="false" customHeight="false" outlineLevel="0" collapsed="false">
      <c r="N180" s="16"/>
      <c r="O180" s="16"/>
    </row>
    <row r="181" customFormat="false" ht="15.75" hidden="false" customHeight="false" outlineLevel="0" collapsed="false">
      <c r="N181" s="16"/>
      <c r="O181" s="16"/>
    </row>
    <row r="182" customFormat="false" ht="15.75" hidden="false" customHeight="false" outlineLevel="0" collapsed="false">
      <c r="N182" s="16"/>
      <c r="O182" s="16"/>
    </row>
    <row r="183" customFormat="false" ht="15.75" hidden="false" customHeight="false" outlineLevel="0" collapsed="false">
      <c r="N183" s="16"/>
      <c r="O183" s="16"/>
    </row>
    <row r="184" customFormat="false" ht="15.75" hidden="false" customHeight="false" outlineLevel="0" collapsed="false">
      <c r="N184" s="16"/>
      <c r="O184" s="16"/>
    </row>
    <row r="185" customFormat="false" ht="15.75" hidden="false" customHeight="false" outlineLevel="0" collapsed="false">
      <c r="N185" s="16"/>
      <c r="O185" s="16"/>
    </row>
    <row r="186" customFormat="false" ht="15.75" hidden="false" customHeight="false" outlineLevel="0" collapsed="false">
      <c r="N186" s="16"/>
      <c r="O186" s="16"/>
    </row>
    <row r="187" customFormat="false" ht="15.75" hidden="false" customHeight="false" outlineLevel="0" collapsed="false">
      <c r="N187" s="16"/>
      <c r="O187" s="16"/>
    </row>
    <row r="188" customFormat="false" ht="15.75" hidden="false" customHeight="false" outlineLevel="0" collapsed="false">
      <c r="N188" s="16"/>
      <c r="O188" s="16"/>
    </row>
    <row r="189" customFormat="false" ht="15.75" hidden="false" customHeight="false" outlineLevel="0" collapsed="false">
      <c r="N189" s="16"/>
      <c r="O189" s="16"/>
    </row>
    <row r="190" customFormat="false" ht="15.75" hidden="false" customHeight="false" outlineLevel="0" collapsed="false">
      <c r="N190" s="16"/>
      <c r="O190" s="16"/>
    </row>
    <row r="191" customFormat="false" ht="15.75" hidden="false" customHeight="false" outlineLevel="0" collapsed="false">
      <c r="N191" s="16"/>
      <c r="O191" s="16"/>
    </row>
    <row r="192" customFormat="false" ht="15.75" hidden="false" customHeight="false" outlineLevel="0" collapsed="false">
      <c r="N192" s="16"/>
      <c r="O192" s="16"/>
    </row>
    <row r="193" customFormat="false" ht="15.75" hidden="false" customHeight="false" outlineLevel="0" collapsed="false">
      <c r="N193" s="16"/>
      <c r="O193" s="16"/>
    </row>
    <row r="194" customFormat="false" ht="15.75" hidden="false" customHeight="false" outlineLevel="0" collapsed="false">
      <c r="N194" s="16"/>
      <c r="O194" s="16"/>
    </row>
    <row r="195" customFormat="false" ht="15.75" hidden="false" customHeight="false" outlineLevel="0" collapsed="false">
      <c r="N195" s="16"/>
      <c r="O195" s="16"/>
    </row>
    <row r="196" customFormat="false" ht="15.75" hidden="false" customHeight="false" outlineLevel="0" collapsed="false">
      <c r="N196" s="16"/>
      <c r="O196" s="16"/>
    </row>
    <row r="197" customFormat="false" ht="15.75" hidden="false" customHeight="false" outlineLevel="0" collapsed="false">
      <c r="N197" s="16"/>
      <c r="O197" s="16"/>
    </row>
    <row r="198" customFormat="false" ht="15.75" hidden="false" customHeight="false" outlineLevel="0" collapsed="false">
      <c r="N198" s="16"/>
      <c r="O198" s="16"/>
    </row>
    <row r="199" customFormat="false" ht="15.75" hidden="false" customHeight="false" outlineLevel="0" collapsed="false">
      <c r="N199" s="16"/>
      <c r="O199" s="16"/>
    </row>
    <row r="200" customFormat="false" ht="15.75" hidden="false" customHeight="false" outlineLevel="0" collapsed="false">
      <c r="N200" s="16"/>
      <c r="O200" s="16"/>
    </row>
    <row r="201" customFormat="false" ht="15.75" hidden="false" customHeight="false" outlineLevel="0" collapsed="false">
      <c r="N201" s="16"/>
      <c r="O201" s="16"/>
    </row>
    <row r="202" customFormat="false" ht="15.75" hidden="false" customHeight="false" outlineLevel="0" collapsed="false">
      <c r="N202" s="16"/>
      <c r="O202" s="16"/>
    </row>
    <row r="203" customFormat="false" ht="15.75" hidden="false" customHeight="false" outlineLevel="0" collapsed="false">
      <c r="N203" s="16"/>
      <c r="O203" s="16"/>
    </row>
    <row r="204" customFormat="false" ht="15.75" hidden="false" customHeight="false" outlineLevel="0" collapsed="false">
      <c r="N204" s="16"/>
      <c r="O204" s="16"/>
    </row>
    <row r="205" customFormat="false" ht="15.75" hidden="false" customHeight="false" outlineLevel="0" collapsed="false">
      <c r="N205" s="16"/>
      <c r="O205" s="16"/>
    </row>
    <row r="206" customFormat="false" ht="15.75" hidden="false" customHeight="false" outlineLevel="0" collapsed="false">
      <c r="N206" s="16"/>
      <c r="O206" s="16"/>
    </row>
    <row r="207" customFormat="false" ht="15.75" hidden="false" customHeight="false" outlineLevel="0" collapsed="false">
      <c r="N207" s="16"/>
      <c r="O207" s="16"/>
    </row>
    <row r="208" customFormat="false" ht="15.75" hidden="false" customHeight="false" outlineLevel="0" collapsed="false">
      <c r="N208" s="16"/>
      <c r="O208" s="16"/>
    </row>
    <row r="209" customFormat="false" ht="15.75" hidden="false" customHeight="false" outlineLevel="0" collapsed="false">
      <c r="N209" s="16"/>
      <c r="O209" s="16"/>
    </row>
    <row r="210" customFormat="false" ht="15.75" hidden="false" customHeight="false" outlineLevel="0" collapsed="false">
      <c r="N210" s="16"/>
      <c r="O210" s="16"/>
    </row>
    <row r="211" customFormat="false" ht="15.75" hidden="false" customHeight="false" outlineLevel="0" collapsed="false">
      <c r="N211" s="16"/>
      <c r="O211" s="16"/>
    </row>
    <row r="212" customFormat="false" ht="15.75" hidden="false" customHeight="false" outlineLevel="0" collapsed="false">
      <c r="N212" s="16"/>
      <c r="O212" s="16"/>
    </row>
    <row r="213" customFormat="false" ht="15.75" hidden="false" customHeight="false" outlineLevel="0" collapsed="false">
      <c r="N213" s="16"/>
      <c r="O213" s="16"/>
    </row>
    <row r="214" customFormat="false" ht="15.75" hidden="false" customHeight="false" outlineLevel="0" collapsed="false">
      <c r="N214" s="16"/>
      <c r="O214" s="16"/>
    </row>
    <row r="215" customFormat="false" ht="15.75" hidden="false" customHeight="false" outlineLevel="0" collapsed="false">
      <c r="N215" s="16"/>
      <c r="O215" s="16"/>
    </row>
    <row r="216" customFormat="false" ht="15.75" hidden="false" customHeight="false" outlineLevel="0" collapsed="false">
      <c r="N216" s="16"/>
      <c r="O216" s="16"/>
    </row>
    <row r="217" customFormat="false" ht="15.75" hidden="false" customHeight="false" outlineLevel="0" collapsed="false">
      <c r="N217" s="16"/>
      <c r="O217" s="16"/>
    </row>
    <row r="218" customFormat="false" ht="15.75" hidden="false" customHeight="false" outlineLevel="0" collapsed="false">
      <c r="N218" s="16"/>
      <c r="O218" s="16"/>
    </row>
    <row r="219" customFormat="false" ht="15.75" hidden="false" customHeight="false" outlineLevel="0" collapsed="false">
      <c r="N219" s="16"/>
      <c r="O219" s="16"/>
    </row>
    <row r="220" customFormat="false" ht="15.75" hidden="false" customHeight="false" outlineLevel="0" collapsed="false">
      <c r="N220" s="16"/>
      <c r="O220" s="16"/>
    </row>
    <row r="221" customFormat="false" ht="15.75" hidden="false" customHeight="false" outlineLevel="0" collapsed="false">
      <c r="N221" s="16"/>
      <c r="O221" s="16"/>
    </row>
    <row r="222" customFormat="false" ht="15.75" hidden="false" customHeight="false" outlineLevel="0" collapsed="false">
      <c r="N222" s="16"/>
      <c r="O222" s="16"/>
    </row>
    <row r="223" customFormat="false" ht="15.75" hidden="false" customHeight="false" outlineLevel="0" collapsed="false">
      <c r="N223" s="16"/>
      <c r="O223" s="16"/>
    </row>
    <row r="224" customFormat="false" ht="15.75" hidden="false" customHeight="false" outlineLevel="0" collapsed="false">
      <c r="N224" s="16"/>
      <c r="O224" s="16"/>
    </row>
    <row r="225" customFormat="false" ht="15.75" hidden="false" customHeight="false" outlineLevel="0" collapsed="false">
      <c r="N225" s="16"/>
      <c r="O225" s="16"/>
    </row>
    <row r="226" customFormat="false" ht="15.75" hidden="false" customHeight="false" outlineLevel="0" collapsed="false">
      <c r="N226" s="16"/>
      <c r="O226" s="16"/>
    </row>
    <row r="227" customFormat="false" ht="15.75" hidden="false" customHeight="false" outlineLevel="0" collapsed="false">
      <c r="N227" s="16"/>
      <c r="O227" s="16"/>
    </row>
    <row r="228" customFormat="false" ht="15.75" hidden="false" customHeight="false" outlineLevel="0" collapsed="false">
      <c r="N228" s="16"/>
      <c r="O228" s="16"/>
    </row>
    <row r="229" customFormat="false" ht="15.75" hidden="false" customHeight="false" outlineLevel="0" collapsed="false">
      <c r="N229" s="16"/>
      <c r="O229" s="16"/>
    </row>
    <row r="230" customFormat="false" ht="15.75" hidden="false" customHeight="false" outlineLevel="0" collapsed="false">
      <c r="N230" s="16"/>
      <c r="O230" s="16"/>
    </row>
    <row r="231" customFormat="false" ht="15.75" hidden="false" customHeight="false" outlineLevel="0" collapsed="false">
      <c r="N231" s="16"/>
      <c r="O231" s="16"/>
    </row>
    <row r="232" customFormat="false" ht="15.75" hidden="false" customHeight="false" outlineLevel="0" collapsed="false">
      <c r="N232" s="16"/>
      <c r="O232" s="16"/>
    </row>
    <row r="233" customFormat="false" ht="15.75" hidden="false" customHeight="false" outlineLevel="0" collapsed="false">
      <c r="N233" s="16"/>
      <c r="O233" s="16"/>
    </row>
    <row r="234" customFormat="false" ht="15.75" hidden="false" customHeight="false" outlineLevel="0" collapsed="false">
      <c r="N234" s="16"/>
      <c r="O234" s="16"/>
    </row>
    <row r="235" customFormat="false" ht="15.75" hidden="false" customHeight="false" outlineLevel="0" collapsed="false">
      <c r="N235" s="16"/>
      <c r="O235" s="16"/>
    </row>
    <row r="236" customFormat="false" ht="15.75" hidden="false" customHeight="false" outlineLevel="0" collapsed="false">
      <c r="N236" s="16"/>
      <c r="O236" s="16"/>
    </row>
    <row r="237" customFormat="false" ht="15.75" hidden="false" customHeight="false" outlineLevel="0" collapsed="false">
      <c r="N237" s="16"/>
      <c r="O237" s="16"/>
    </row>
    <row r="238" customFormat="false" ht="15.75" hidden="false" customHeight="false" outlineLevel="0" collapsed="false">
      <c r="N238" s="16"/>
      <c r="O238" s="16"/>
    </row>
    <row r="239" customFormat="false" ht="15.75" hidden="false" customHeight="false" outlineLevel="0" collapsed="false">
      <c r="N239" s="16"/>
      <c r="O239" s="16"/>
    </row>
    <row r="240" customFormat="false" ht="15.75" hidden="false" customHeight="false" outlineLevel="0" collapsed="false">
      <c r="N240" s="16"/>
      <c r="O240" s="16"/>
    </row>
    <row r="241" customFormat="false" ht="15.75" hidden="false" customHeight="false" outlineLevel="0" collapsed="false">
      <c r="N241" s="16"/>
      <c r="O241" s="16"/>
    </row>
    <row r="242" customFormat="false" ht="15.75" hidden="false" customHeight="false" outlineLevel="0" collapsed="false">
      <c r="N242" s="16"/>
      <c r="O242" s="16"/>
    </row>
    <row r="243" customFormat="false" ht="15.75" hidden="false" customHeight="false" outlineLevel="0" collapsed="false">
      <c r="N243" s="16"/>
      <c r="O243" s="16"/>
    </row>
    <row r="244" customFormat="false" ht="15.75" hidden="false" customHeight="false" outlineLevel="0" collapsed="false">
      <c r="N244" s="16"/>
      <c r="O244" s="16"/>
    </row>
    <row r="245" customFormat="false" ht="15.75" hidden="false" customHeight="false" outlineLevel="0" collapsed="false">
      <c r="N245" s="16"/>
      <c r="O245" s="16"/>
    </row>
    <row r="246" customFormat="false" ht="15.75" hidden="false" customHeight="false" outlineLevel="0" collapsed="false">
      <c r="N246" s="16"/>
      <c r="O246" s="16"/>
    </row>
    <row r="247" customFormat="false" ht="15.75" hidden="false" customHeight="false" outlineLevel="0" collapsed="false">
      <c r="N247" s="16"/>
      <c r="O247" s="16"/>
    </row>
    <row r="248" customFormat="false" ht="15.75" hidden="false" customHeight="false" outlineLevel="0" collapsed="false">
      <c r="N248" s="16"/>
      <c r="O248" s="16"/>
    </row>
    <row r="249" customFormat="false" ht="15.75" hidden="false" customHeight="false" outlineLevel="0" collapsed="false">
      <c r="N249" s="16"/>
      <c r="O249" s="16"/>
    </row>
    <row r="250" customFormat="false" ht="15.75" hidden="false" customHeight="false" outlineLevel="0" collapsed="false">
      <c r="N250" s="16"/>
      <c r="O250" s="16"/>
    </row>
    <row r="251" customFormat="false" ht="15.75" hidden="false" customHeight="false" outlineLevel="0" collapsed="false">
      <c r="N251" s="16"/>
      <c r="O251" s="16"/>
    </row>
    <row r="252" customFormat="false" ht="15.75" hidden="false" customHeight="false" outlineLevel="0" collapsed="false">
      <c r="N252" s="16"/>
      <c r="O252" s="16"/>
    </row>
    <row r="253" customFormat="false" ht="15.75" hidden="false" customHeight="false" outlineLevel="0" collapsed="false">
      <c r="N253" s="16"/>
      <c r="O253" s="16"/>
    </row>
    <row r="254" customFormat="false" ht="15.75" hidden="false" customHeight="false" outlineLevel="0" collapsed="false">
      <c r="N254" s="16"/>
      <c r="O254" s="16"/>
    </row>
    <row r="255" customFormat="false" ht="15.75" hidden="false" customHeight="false" outlineLevel="0" collapsed="false">
      <c r="N255" s="16"/>
      <c r="O255" s="16"/>
    </row>
    <row r="256" customFormat="false" ht="15.75" hidden="false" customHeight="false" outlineLevel="0" collapsed="false">
      <c r="N256" s="16"/>
      <c r="O256" s="16"/>
    </row>
    <row r="257" customFormat="false" ht="15.75" hidden="false" customHeight="false" outlineLevel="0" collapsed="false">
      <c r="N257" s="16"/>
      <c r="O257" s="16"/>
    </row>
    <row r="258" customFormat="false" ht="15.75" hidden="false" customHeight="false" outlineLevel="0" collapsed="false">
      <c r="N258" s="16"/>
      <c r="O258" s="16"/>
    </row>
    <row r="259" customFormat="false" ht="15.75" hidden="false" customHeight="false" outlineLevel="0" collapsed="false">
      <c r="N259" s="16"/>
      <c r="O259" s="16"/>
    </row>
    <row r="260" customFormat="false" ht="15.75" hidden="false" customHeight="false" outlineLevel="0" collapsed="false">
      <c r="N260" s="16"/>
      <c r="O260" s="16"/>
    </row>
    <row r="261" customFormat="false" ht="15.75" hidden="false" customHeight="false" outlineLevel="0" collapsed="false">
      <c r="N261" s="16"/>
      <c r="O261" s="16"/>
    </row>
    <row r="262" customFormat="false" ht="15.75" hidden="false" customHeight="false" outlineLevel="0" collapsed="false">
      <c r="N262" s="16"/>
      <c r="O262" s="16"/>
    </row>
    <row r="263" customFormat="false" ht="15.75" hidden="false" customHeight="false" outlineLevel="0" collapsed="false">
      <c r="N263" s="16"/>
      <c r="O263" s="16"/>
    </row>
    <row r="264" customFormat="false" ht="15.75" hidden="false" customHeight="false" outlineLevel="0" collapsed="false">
      <c r="N264" s="16"/>
      <c r="O264" s="16"/>
    </row>
    <row r="265" customFormat="false" ht="15.75" hidden="false" customHeight="false" outlineLevel="0" collapsed="false">
      <c r="N265" s="16"/>
      <c r="O265" s="16"/>
    </row>
    <row r="266" customFormat="false" ht="15.75" hidden="false" customHeight="false" outlineLevel="0" collapsed="false">
      <c r="N266" s="16"/>
      <c r="O266" s="16"/>
    </row>
    <row r="267" customFormat="false" ht="15.75" hidden="false" customHeight="false" outlineLevel="0" collapsed="false">
      <c r="N267" s="16"/>
      <c r="O267" s="16"/>
    </row>
    <row r="268" customFormat="false" ht="15.75" hidden="false" customHeight="false" outlineLevel="0" collapsed="false">
      <c r="N268" s="16"/>
      <c r="O268" s="16"/>
    </row>
    <row r="269" customFormat="false" ht="15.75" hidden="false" customHeight="false" outlineLevel="0" collapsed="false">
      <c r="N269" s="16"/>
      <c r="O269" s="16"/>
    </row>
    <row r="270" customFormat="false" ht="15.75" hidden="false" customHeight="false" outlineLevel="0" collapsed="false">
      <c r="N270" s="16"/>
      <c r="O270" s="16"/>
    </row>
    <row r="271" customFormat="false" ht="15.75" hidden="false" customHeight="false" outlineLevel="0" collapsed="false">
      <c r="N271" s="16"/>
      <c r="O271" s="16"/>
    </row>
    <row r="272" customFormat="false" ht="15.75" hidden="false" customHeight="false" outlineLevel="0" collapsed="false">
      <c r="N272" s="16"/>
      <c r="O272" s="16"/>
    </row>
    <row r="273" customFormat="false" ht="15.75" hidden="false" customHeight="false" outlineLevel="0" collapsed="false">
      <c r="N273" s="16"/>
      <c r="O273" s="16"/>
    </row>
    <row r="274" customFormat="false" ht="15.75" hidden="false" customHeight="false" outlineLevel="0" collapsed="false">
      <c r="N274" s="16"/>
      <c r="O274" s="16"/>
    </row>
    <row r="275" customFormat="false" ht="15.75" hidden="false" customHeight="false" outlineLevel="0" collapsed="false">
      <c r="N275" s="16"/>
      <c r="O275" s="16"/>
    </row>
    <row r="276" customFormat="false" ht="15.75" hidden="false" customHeight="false" outlineLevel="0" collapsed="false">
      <c r="N276" s="16"/>
      <c r="O276" s="16"/>
    </row>
    <row r="277" customFormat="false" ht="15.75" hidden="false" customHeight="false" outlineLevel="0" collapsed="false">
      <c r="N277" s="16"/>
      <c r="O277" s="16"/>
    </row>
    <row r="278" customFormat="false" ht="15.75" hidden="false" customHeight="false" outlineLevel="0" collapsed="false">
      <c r="N278" s="16"/>
      <c r="O278" s="16"/>
    </row>
    <row r="279" customFormat="false" ht="15.75" hidden="false" customHeight="false" outlineLevel="0" collapsed="false">
      <c r="N279" s="16"/>
      <c r="O279" s="16"/>
    </row>
    <row r="280" customFormat="false" ht="15.75" hidden="false" customHeight="false" outlineLevel="0" collapsed="false">
      <c r="N280" s="16"/>
      <c r="O280" s="16"/>
    </row>
    <row r="281" customFormat="false" ht="15.75" hidden="false" customHeight="false" outlineLevel="0" collapsed="false">
      <c r="N281" s="16"/>
      <c r="O281" s="16"/>
    </row>
    <row r="282" customFormat="false" ht="15.75" hidden="false" customHeight="false" outlineLevel="0" collapsed="false">
      <c r="N282" s="16"/>
      <c r="O282" s="16"/>
    </row>
    <row r="283" customFormat="false" ht="15.75" hidden="false" customHeight="false" outlineLevel="0" collapsed="false">
      <c r="N283" s="16"/>
      <c r="O283" s="16"/>
    </row>
    <row r="284" customFormat="false" ht="15.75" hidden="false" customHeight="false" outlineLevel="0" collapsed="false">
      <c r="N284" s="16"/>
      <c r="O284" s="16"/>
    </row>
    <row r="285" customFormat="false" ht="15.75" hidden="false" customHeight="false" outlineLevel="0" collapsed="false">
      <c r="N285" s="16"/>
      <c r="O285" s="16"/>
    </row>
    <row r="286" customFormat="false" ht="15.75" hidden="false" customHeight="false" outlineLevel="0" collapsed="false">
      <c r="N286" s="16"/>
      <c r="O286" s="16"/>
    </row>
    <row r="287" customFormat="false" ht="15.75" hidden="false" customHeight="false" outlineLevel="0" collapsed="false">
      <c r="N287" s="16"/>
      <c r="O287" s="16"/>
    </row>
    <row r="288" customFormat="false" ht="15.75" hidden="false" customHeight="false" outlineLevel="0" collapsed="false">
      <c r="N288" s="16"/>
      <c r="O288" s="16"/>
    </row>
    <row r="289" customFormat="false" ht="15.75" hidden="false" customHeight="false" outlineLevel="0" collapsed="false">
      <c r="N289" s="16"/>
      <c r="O289" s="16"/>
    </row>
    <row r="290" customFormat="false" ht="15.75" hidden="false" customHeight="false" outlineLevel="0" collapsed="false">
      <c r="N290" s="16"/>
      <c r="O290" s="16"/>
    </row>
    <row r="291" customFormat="false" ht="15.75" hidden="false" customHeight="false" outlineLevel="0" collapsed="false">
      <c r="N291" s="16"/>
      <c r="O291" s="16"/>
    </row>
    <row r="292" customFormat="false" ht="15.75" hidden="false" customHeight="false" outlineLevel="0" collapsed="false">
      <c r="N292" s="16"/>
      <c r="O292" s="16"/>
    </row>
    <row r="293" customFormat="false" ht="15.75" hidden="false" customHeight="false" outlineLevel="0" collapsed="false">
      <c r="N293" s="16"/>
      <c r="O293" s="16"/>
    </row>
    <row r="294" customFormat="false" ht="15.75" hidden="false" customHeight="false" outlineLevel="0" collapsed="false">
      <c r="N294" s="16"/>
      <c r="O294" s="16"/>
    </row>
    <row r="295" customFormat="false" ht="15.75" hidden="false" customHeight="false" outlineLevel="0" collapsed="false">
      <c r="N295" s="16"/>
      <c r="O295" s="16"/>
    </row>
    <row r="296" customFormat="false" ht="15.75" hidden="false" customHeight="false" outlineLevel="0" collapsed="false">
      <c r="N296" s="16"/>
      <c r="O296" s="16"/>
    </row>
    <row r="297" customFormat="false" ht="15.75" hidden="false" customHeight="false" outlineLevel="0" collapsed="false">
      <c r="N297" s="16"/>
      <c r="O297" s="16"/>
    </row>
    <row r="298" customFormat="false" ht="15.75" hidden="false" customHeight="false" outlineLevel="0" collapsed="false">
      <c r="N298" s="16"/>
      <c r="O298" s="16"/>
    </row>
    <row r="299" customFormat="false" ht="15.75" hidden="false" customHeight="false" outlineLevel="0" collapsed="false">
      <c r="N299" s="16"/>
      <c r="O299" s="16"/>
    </row>
    <row r="300" customFormat="false" ht="15.75" hidden="false" customHeight="false" outlineLevel="0" collapsed="false">
      <c r="N300" s="16"/>
      <c r="O300" s="16"/>
    </row>
    <row r="301" customFormat="false" ht="15.75" hidden="false" customHeight="false" outlineLevel="0" collapsed="false">
      <c r="N301" s="16"/>
      <c r="O301" s="16"/>
    </row>
    <row r="302" customFormat="false" ht="15.75" hidden="false" customHeight="false" outlineLevel="0" collapsed="false">
      <c r="N302" s="16"/>
      <c r="O302" s="16"/>
    </row>
    <row r="303" customFormat="false" ht="15.75" hidden="false" customHeight="false" outlineLevel="0" collapsed="false">
      <c r="N303" s="16"/>
      <c r="O303" s="16"/>
    </row>
    <row r="304" customFormat="false" ht="15.75" hidden="false" customHeight="false" outlineLevel="0" collapsed="false">
      <c r="N304" s="16"/>
      <c r="O304" s="16"/>
    </row>
    <row r="305" customFormat="false" ht="15.75" hidden="false" customHeight="false" outlineLevel="0" collapsed="false">
      <c r="N305" s="16"/>
      <c r="O305" s="16"/>
    </row>
    <row r="306" customFormat="false" ht="15.75" hidden="false" customHeight="false" outlineLevel="0" collapsed="false">
      <c r="N306" s="16"/>
      <c r="O306" s="16"/>
    </row>
    <row r="307" customFormat="false" ht="15.75" hidden="false" customHeight="false" outlineLevel="0" collapsed="false">
      <c r="N307" s="16"/>
      <c r="O307" s="16"/>
    </row>
    <row r="308" customFormat="false" ht="15.75" hidden="false" customHeight="false" outlineLevel="0" collapsed="false">
      <c r="N308" s="16"/>
      <c r="O308" s="16"/>
    </row>
    <row r="309" customFormat="false" ht="15.75" hidden="false" customHeight="false" outlineLevel="0" collapsed="false">
      <c r="N309" s="16"/>
      <c r="O309" s="16"/>
    </row>
    <row r="310" customFormat="false" ht="15.75" hidden="false" customHeight="false" outlineLevel="0" collapsed="false">
      <c r="N310" s="16"/>
      <c r="O310" s="16"/>
    </row>
    <row r="311" customFormat="false" ht="15.75" hidden="false" customHeight="false" outlineLevel="0" collapsed="false">
      <c r="N311" s="16"/>
      <c r="O311" s="16"/>
    </row>
    <row r="312" customFormat="false" ht="15.75" hidden="false" customHeight="false" outlineLevel="0" collapsed="false">
      <c r="N312" s="16"/>
      <c r="O312" s="16"/>
    </row>
    <row r="313" customFormat="false" ht="15.75" hidden="false" customHeight="false" outlineLevel="0" collapsed="false">
      <c r="N313" s="16"/>
      <c r="O313" s="16"/>
    </row>
    <row r="314" customFormat="false" ht="15.75" hidden="false" customHeight="false" outlineLevel="0" collapsed="false">
      <c r="N314" s="16"/>
      <c r="O314" s="16"/>
    </row>
    <row r="315" customFormat="false" ht="15.75" hidden="false" customHeight="false" outlineLevel="0" collapsed="false">
      <c r="N315" s="16"/>
      <c r="O315" s="16"/>
    </row>
    <row r="316" customFormat="false" ht="15.75" hidden="false" customHeight="false" outlineLevel="0" collapsed="false">
      <c r="N316" s="16"/>
      <c r="O316" s="16"/>
    </row>
    <row r="317" customFormat="false" ht="15.75" hidden="false" customHeight="false" outlineLevel="0" collapsed="false">
      <c r="N317" s="16"/>
      <c r="O317" s="16"/>
    </row>
    <row r="318" customFormat="false" ht="15.75" hidden="false" customHeight="false" outlineLevel="0" collapsed="false">
      <c r="N318" s="16"/>
      <c r="O318" s="16"/>
    </row>
    <row r="319" customFormat="false" ht="15.75" hidden="false" customHeight="false" outlineLevel="0" collapsed="false">
      <c r="N319" s="16"/>
      <c r="O319" s="16"/>
    </row>
    <row r="320" customFormat="false" ht="15.75" hidden="false" customHeight="false" outlineLevel="0" collapsed="false">
      <c r="N320" s="16"/>
      <c r="O320" s="16"/>
    </row>
    <row r="321" customFormat="false" ht="15.75" hidden="false" customHeight="false" outlineLevel="0" collapsed="false">
      <c r="N321" s="16"/>
      <c r="O321" s="16"/>
    </row>
    <row r="322" customFormat="false" ht="15.75" hidden="false" customHeight="false" outlineLevel="0" collapsed="false">
      <c r="N322" s="16"/>
      <c r="O322" s="16"/>
    </row>
    <row r="323" customFormat="false" ht="15.75" hidden="false" customHeight="false" outlineLevel="0" collapsed="false">
      <c r="N323" s="16"/>
      <c r="O323" s="16"/>
    </row>
    <row r="324" customFormat="false" ht="15.75" hidden="false" customHeight="false" outlineLevel="0" collapsed="false">
      <c r="N324" s="16"/>
      <c r="O324" s="16"/>
    </row>
    <row r="325" customFormat="false" ht="15.75" hidden="false" customHeight="false" outlineLevel="0" collapsed="false">
      <c r="N325" s="16"/>
      <c r="O325" s="16"/>
    </row>
    <row r="326" customFormat="false" ht="15.75" hidden="false" customHeight="false" outlineLevel="0" collapsed="false">
      <c r="N326" s="16"/>
      <c r="O326" s="16"/>
    </row>
    <row r="327" customFormat="false" ht="15.75" hidden="false" customHeight="false" outlineLevel="0" collapsed="false">
      <c r="N327" s="16"/>
      <c r="O327" s="16"/>
    </row>
    <row r="328" customFormat="false" ht="15.75" hidden="false" customHeight="false" outlineLevel="0" collapsed="false">
      <c r="N328" s="16"/>
      <c r="O328" s="16"/>
    </row>
    <row r="329" customFormat="false" ht="15.75" hidden="false" customHeight="false" outlineLevel="0" collapsed="false">
      <c r="N329" s="16"/>
      <c r="O329" s="16"/>
    </row>
    <row r="330" customFormat="false" ht="15.75" hidden="false" customHeight="false" outlineLevel="0" collapsed="false">
      <c r="N330" s="16"/>
      <c r="O330" s="16"/>
    </row>
    <row r="331" customFormat="false" ht="15.75" hidden="false" customHeight="false" outlineLevel="0" collapsed="false">
      <c r="N331" s="16"/>
      <c r="O331" s="16"/>
    </row>
    <row r="332" customFormat="false" ht="15.75" hidden="false" customHeight="false" outlineLevel="0" collapsed="false">
      <c r="N332" s="16"/>
      <c r="O332" s="16"/>
    </row>
    <row r="333" customFormat="false" ht="15.75" hidden="false" customHeight="false" outlineLevel="0" collapsed="false">
      <c r="N333" s="16"/>
      <c r="O333" s="16"/>
    </row>
    <row r="334" customFormat="false" ht="15.75" hidden="false" customHeight="false" outlineLevel="0" collapsed="false">
      <c r="N334" s="16"/>
      <c r="O334" s="16"/>
    </row>
    <row r="335" customFormat="false" ht="15.75" hidden="false" customHeight="false" outlineLevel="0" collapsed="false">
      <c r="N335" s="16"/>
      <c r="O335" s="16"/>
    </row>
    <row r="336" customFormat="false" ht="15.75" hidden="false" customHeight="false" outlineLevel="0" collapsed="false">
      <c r="N336" s="16"/>
      <c r="O336" s="16"/>
    </row>
    <row r="337" customFormat="false" ht="15.75" hidden="false" customHeight="false" outlineLevel="0" collapsed="false">
      <c r="N337" s="16"/>
      <c r="O337" s="16"/>
    </row>
    <row r="338" customFormat="false" ht="15.75" hidden="false" customHeight="false" outlineLevel="0" collapsed="false">
      <c r="N338" s="16"/>
      <c r="O338" s="16"/>
    </row>
    <row r="339" customFormat="false" ht="15.75" hidden="false" customHeight="false" outlineLevel="0" collapsed="false">
      <c r="N339" s="16"/>
      <c r="O339" s="16"/>
    </row>
    <row r="340" customFormat="false" ht="15.75" hidden="false" customHeight="false" outlineLevel="0" collapsed="false">
      <c r="N340" s="16"/>
      <c r="O340" s="16"/>
    </row>
    <row r="341" customFormat="false" ht="15.75" hidden="false" customHeight="false" outlineLevel="0" collapsed="false">
      <c r="N341" s="16"/>
      <c r="O341" s="16"/>
    </row>
    <row r="342" customFormat="false" ht="15.75" hidden="false" customHeight="false" outlineLevel="0" collapsed="false">
      <c r="N342" s="16"/>
      <c r="O342" s="16"/>
    </row>
    <row r="343" customFormat="false" ht="15.75" hidden="false" customHeight="false" outlineLevel="0" collapsed="false">
      <c r="N343" s="16"/>
      <c r="O343" s="16"/>
    </row>
    <row r="344" customFormat="false" ht="15.75" hidden="false" customHeight="false" outlineLevel="0" collapsed="false">
      <c r="N344" s="16"/>
      <c r="O344" s="16"/>
    </row>
    <row r="345" customFormat="false" ht="15.75" hidden="false" customHeight="false" outlineLevel="0" collapsed="false">
      <c r="N345" s="16"/>
      <c r="O345" s="16"/>
    </row>
    <row r="346" customFormat="false" ht="15.75" hidden="false" customHeight="false" outlineLevel="0" collapsed="false">
      <c r="N346" s="16"/>
      <c r="O346" s="16"/>
    </row>
    <row r="347" customFormat="false" ht="15.75" hidden="false" customHeight="false" outlineLevel="0" collapsed="false">
      <c r="N347" s="16"/>
      <c r="O347" s="16"/>
    </row>
    <row r="348" customFormat="false" ht="15.75" hidden="false" customHeight="false" outlineLevel="0" collapsed="false">
      <c r="N348" s="16"/>
      <c r="O348" s="16"/>
    </row>
    <row r="349" customFormat="false" ht="15.75" hidden="false" customHeight="false" outlineLevel="0" collapsed="false">
      <c r="N349" s="16"/>
      <c r="O349" s="16"/>
    </row>
    <row r="350" customFormat="false" ht="15.75" hidden="false" customHeight="false" outlineLevel="0" collapsed="false">
      <c r="N350" s="16"/>
      <c r="O350" s="16"/>
    </row>
    <row r="351" customFormat="false" ht="15.75" hidden="false" customHeight="false" outlineLevel="0" collapsed="false">
      <c r="N351" s="16"/>
      <c r="O351" s="16"/>
    </row>
    <row r="352" customFormat="false" ht="15.75" hidden="false" customHeight="false" outlineLevel="0" collapsed="false">
      <c r="N352" s="16"/>
      <c r="O352" s="16"/>
    </row>
    <row r="353" customFormat="false" ht="15.75" hidden="false" customHeight="false" outlineLevel="0" collapsed="false">
      <c r="N353" s="16"/>
      <c r="O353" s="16"/>
    </row>
    <row r="354" customFormat="false" ht="15.75" hidden="false" customHeight="false" outlineLevel="0" collapsed="false">
      <c r="N354" s="16"/>
      <c r="O354" s="16"/>
    </row>
    <row r="355" customFormat="false" ht="15.75" hidden="false" customHeight="false" outlineLevel="0" collapsed="false">
      <c r="N355" s="16"/>
      <c r="O355" s="16"/>
    </row>
    <row r="356" customFormat="false" ht="15.75" hidden="false" customHeight="false" outlineLevel="0" collapsed="false">
      <c r="N356" s="16"/>
      <c r="O356" s="16"/>
    </row>
    <row r="357" customFormat="false" ht="15.75" hidden="false" customHeight="false" outlineLevel="0" collapsed="false">
      <c r="N357" s="16"/>
      <c r="O357" s="16"/>
    </row>
    <row r="358" customFormat="false" ht="15.75" hidden="false" customHeight="false" outlineLevel="0" collapsed="false">
      <c r="N358" s="16"/>
      <c r="O358" s="16"/>
    </row>
    <row r="359" customFormat="false" ht="15.75" hidden="false" customHeight="false" outlineLevel="0" collapsed="false">
      <c r="N359" s="16"/>
      <c r="O359" s="16"/>
    </row>
    <row r="360" customFormat="false" ht="15.75" hidden="false" customHeight="false" outlineLevel="0" collapsed="false">
      <c r="N360" s="16"/>
      <c r="O360" s="16"/>
    </row>
    <row r="361" customFormat="false" ht="15.75" hidden="false" customHeight="false" outlineLevel="0" collapsed="false">
      <c r="N361" s="16"/>
      <c r="O361" s="16"/>
    </row>
    <row r="362" customFormat="false" ht="15.75" hidden="false" customHeight="false" outlineLevel="0" collapsed="false">
      <c r="N362" s="16"/>
      <c r="O362" s="16"/>
    </row>
    <row r="363" customFormat="false" ht="15.75" hidden="false" customHeight="false" outlineLevel="0" collapsed="false">
      <c r="N363" s="16"/>
      <c r="O363" s="16"/>
    </row>
    <row r="364" customFormat="false" ht="15.75" hidden="false" customHeight="false" outlineLevel="0" collapsed="false">
      <c r="N364" s="16"/>
      <c r="O364" s="16"/>
    </row>
    <row r="365" customFormat="false" ht="15.75" hidden="false" customHeight="false" outlineLevel="0" collapsed="false">
      <c r="N365" s="16"/>
      <c r="O365" s="16"/>
    </row>
    <row r="366" customFormat="false" ht="15.75" hidden="false" customHeight="false" outlineLevel="0" collapsed="false">
      <c r="N366" s="16"/>
      <c r="O366" s="16"/>
    </row>
    <row r="367" customFormat="false" ht="15.75" hidden="false" customHeight="false" outlineLevel="0" collapsed="false">
      <c r="N367" s="16"/>
      <c r="O367" s="16"/>
    </row>
    <row r="368" customFormat="false" ht="15.75" hidden="false" customHeight="false" outlineLevel="0" collapsed="false">
      <c r="N368" s="16"/>
      <c r="O368" s="16"/>
    </row>
    <row r="369" customFormat="false" ht="15.75" hidden="false" customHeight="false" outlineLevel="0" collapsed="false">
      <c r="N369" s="16"/>
      <c r="O369" s="16"/>
    </row>
    <row r="370" customFormat="false" ht="15.75" hidden="false" customHeight="false" outlineLevel="0" collapsed="false">
      <c r="N370" s="16"/>
      <c r="O370" s="16"/>
    </row>
    <row r="371" customFormat="false" ht="15.75" hidden="false" customHeight="false" outlineLevel="0" collapsed="false">
      <c r="N371" s="16"/>
      <c r="O371" s="16"/>
    </row>
    <row r="372" customFormat="false" ht="15.75" hidden="false" customHeight="false" outlineLevel="0" collapsed="false">
      <c r="N372" s="16"/>
      <c r="O372" s="16"/>
    </row>
    <row r="373" customFormat="false" ht="15.75" hidden="false" customHeight="false" outlineLevel="0" collapsed="false">
      <c r="N373" s="16"/>
      <c r="O373" s="16"/>
    </row>
    <row r="374" customFormat="false" ht="15.75" hidden="false" customHeight="false" outlineLevel="0" collapsed="false">
      <c r="N374" s="16"/>
      <c r="O374" s="16"/>
    </row>
    <row r="375" customFormat="false" ht="15.75" hidden="false" customHeight="false" outlineLevel="0" collapsed="false">
      <c r="N375" s="16"/>
      <c r="O375" s="16"/>
    </row>
    <row r="376" customFormat="false" ht="15.75" hidden="false" customHeight="false" outlineLevel="0" collapsed="false">
      <c r="N376" s="16"/>
      <c r="O376" s="16"/>
    </row>
    <row r="377" customFormat="false" ht="15.75" hidden="false" customHeight="false" outlineLevel="0" collapsed="false">
      <c r="N377" s="16"/>
      <c r="O377" s="16"/>
    </row>
    <row r="378" customFormat="false" ht="15.75" hidden="false" customHeight="false" outlineLevel="0" collapsed="false">
      <c r="N378" s="16"/>
      <c r="O378" s="16"/>
    </row>
    <row r="379" customFormat="false" ht="15.75" hidden="false" customHeight="false" outlineLevel="0" collapsed="false">
      <c r="N379" s="16"/>
      <c r="O379" s="16"/>
    </row>
    <row r="380" customFormat="false" ht="15.75" hidden="false" customHeight="false" outlineLevel="0" collapsed="false">
      <c r="N380" s="16"/>
      <c r="O380" s="16"/>
    </row>
    <row r="381" customFormat="false" ht="15.75" hidden="false" customHeight="false" outlineLevel="0" collapsed="false">
      <c r="N381" s="16"/>
      <c r="O381" s="16"/>
    </row>
    <row r="382" customFormat="false" ht="15.75" hidden="false" customHeight="false" outlineLevel="0" collapsed="false">
      <c r="N382" s="16"/>
      <c r="O382" s="16"/>
    </row>
    <row r="383" customFormat="false" ht="15.75" hidden="false" customHeight="false" outlineLevel="0" collapsed="false">
      <c r="N383" s="16"/>
      <c r="O383" s="16"/>
    </row>
    <row r="384" customFormat="false" ht="15.75" hidden="false" customHeight="false" outlineLevel="0" collapsed="false">
      <c r="N384" s="16"/>
      <c r="O384" s="16"/>
    </row>
    <row r="385" customFormat="false" ht="15.75" hidden="false" customHeight="false" outlineLevel="0" collapsed="false">
      <c r="N385" s="16"/>
      <c r="O385" s="16"/>
    </row>
    <row r="386" customFormat="false" ht="15.75" hidden="false" customHeight="false" outlineLevel="0" collapsed="false">
      <c r="N386" s="16"/>
      <c r="O386" s="16"/>
    </row>
    <row r="387" customFormat="false" ht="15.75" hidden="false" customHeight="false" outlineLevel="0" collapsed="false">
      <c r="N387" s="16"/>
      <c r="O387" s="16"/>
    </row>
    <row r="388" customFormat="false" ht="15.75" hidden="false" customHeight="false" outlineLevel="0" collapsed="false">
      <c r="N388" s="16"/>
      <c r="O388" s="16"/>
    </row>
    <row r="389" customFormat="false" ht="15.75" hidden="false" customHeight="false" outlineLevel="0" collapsed="false">
      <c r="N389" s="16"/>
      <c r="O389" s="16"/>
    </row>
    <row r="390" customFormat="false" ht="15.75" hidden="false" customHeight="false" outlineLevel="0" collapsed="false">
      <c r="N390" s="16"/>
      <c r="O390" s="16"/>
    </row>
    <row r="391" customFormat="false" ht="15.75" hidden="false" customHeight="false" outlineLevel="0" collapsed="false">
      <c r="N391" s="16"/>
      <c r="O391" s="16"/>
    </row>
    <row r="392" customFormat="false" ht="15.75" hidden="false" customHeight="false" outlineLevel="0" collapsed="false">
      <c r="N392" s="16"/>
      <c r="O392" s="16"/>
    </row>
    <row r="393" customFormat="false" ht="15.75" hidden="false" customHeight="false" outlineLevel="0" collapsed="false">
      <c r="N393" s="16"/>
      <c r="O393" s="16"/>
    </row>
    <row r="394" customFormat="false" ht="15.75" hidden="false" customHeight="false" outlineLevel="0" collapsed="false">
      <c r="N394" s="16"/>
      <c r="O394" s="16"/>
    </row>
    <row r="395" customFormat="false" ht="15.75" hidden="false" customHeight="false" outlineLevel="0" collapsed="false">
      <c r="N395" s="16"/>
      <c r="O395" s="16"/>
    </row>
    <row r="396" customFormat="false" ht="15.75" hidden="false" customHeight="false" outlineLevel="0" collapsed="false">
      <c r="N396" s="16"/>
      <c r="O396" s="16"/>
    </row>
    <row r="397" customFormat="false" ht="15.75" hidden="false" customHeight="false" outlineLevel="0" collapsed="false">
      <c r="N397" s="16"/>
      <c r="O397" s="16"/>
    </row>
    <row r="398" customFormat="false" ht="15.75" hidden="false" customHeight="false" outlineLevel="0" collapsed="false">
      <c r="N398" s="16"/>
      <c r="O398" s="16"/>
    </row>
    <row r="399" customFormat="false" ht="15.75" hidden="false" customHeight="false" outlineLevel="0" collapsed="false">
      <c r="N399" s="16"/>
      <c r="O399" s="16"/>
    </row>
    <row r="400" customFormat="false" ht="15.75" hidden="false" customHeight="false" outlineLevel="0" collapsed="false">
      <c r="N400" s="16"/>
      <c r="O400" s="16"/>
    </row>
    <row r="401" customFormat="false" ht="15.75" hidden="false" customHeight="false" outlineLevel="0" collapsed="false">
      <c r="N401" s="16"/>
      <c r="O401" s="16"/>
    </row>
    <row r="402" customFormat="false" ht="15.75" hidden="false" customHeight="false" outlineLevel="0" collapsed="false">
      <c r="N402" s="16"/>
      <c r="O402" s="16"/>
    </row>
    <row r="403" customFormat="false" ht="15.75" hidden="false" customHeight="false" outlineLevel="0" collapsed="false">
      <c r="N403" s="16"/>
      <c r="O403" s="16"/>
    </row>
    <row r="404" customFormat="false" ht="15.75" hidden="false" customHeight="false" outlineLevel="0" collapsed="false">
      <c r="N404" s="16"/>
      <c r="O404" s="16"/>
    </row>
    <row r="405" customFormat="false" ht="15.75" hidden="false" customHeight="false" outlineLevel="0" collapsed="false">
      <c r="N405" s="16"/>
      <c r="O405" s="16"/>
    </row>
    <row r="406" customFormat="false" ht="15.75" hidden="false" customHeight="false" outlineLevel="0" collapsed="false">
      <c r="N406" s="16"/>
      <c r="O406" s="16"/>
    </row>
    <row r="407" customFormat="false" ht="15.75" hidden="false" customHeight="false" outlineLevel="0" collapsed="false">
      <c r="N407" s="16"/>
      <c r="O407" s="16"/>
    </row>
    <row r="408" customFormat="false" ht="15.75" hidden="false" customHeight="false" outlineLevel="0" collapsed="false">
      <c r="N408" s="16"/>
      <c r="O408" s="16"/>
    </row>
    <row r="409" customFormat="false" ht="15.75" hidden="false" customHeight="false" outlineLevel="0" collapsed="false">
      <c r="N409" s="16"/>
      <c r="O409" s="16"/>
    </row>
    <row r="410" customFormat="false" ht="15.75" hidden="false" customHeight="false" outlineLevel="0" collapsed="false">
      <c r="N410" s="16"/>
      <c r="O410" s="16"/>
    </row>
    <row r="411" customFormat="false" ht="15.75" hidden="false" customHeight="false" outlineLevel="0" collapsed="false">
      <c r="N411" s="16"/>
      <c r="O411" s="16"/>
    </row>
    <row r="412" customFormat="false" ht="15.75" hidden="false" customHeight="false" outlineLevel="0" collapsed="false">
      <c r="N412" s="16"/>
      <c r="O412" s="16"/>
    </row>
    <row r="413" customFormat="false" ht="15.75" hidden="false" customHeight="false" outlineLevel="0" collapsed="false">
      <c r="N413" s="16"/>
      <c r="O413" s="16"/>
    </row>
    <row r="414" customFormat="false" ht="15.75" hidden="false" customHeight="false" outlineLevel="0" collapsed="false">
      <c r="N414" s="16"/>
      <c r="O414" s="16"/>
    </row>
    <row r="415" customFormat="false" ht="15.75" hidden="false" customHeight="false" outlineLevel="0" collapsed="false">
      <c r="N415" s="16"/>
      <c r="O415" s="16"/>
    </row>
    <row r="416" customFormat="false" ht="15.75" hidden="false" customHeight="false" outlineLevel="0" collapsed="false">
      <c r="N416" s="16"/>
      <c r="O416" s="16"/>
    </row>
    <row r="417" customFormat="false" ht="15.75" hidden="false" customHeight="false" outlineLevel="0" collapsed="false">
      <c r="N417" s="16"/>
      <c r="O417" s="16"/>
    </row>
    <row r="418" customFormat="false" ht="15.75" hidden="false" customHeight="false" outlineLevel="0" collapsed="false">
      <c r="N418" s="16"/>
      <c r="O418" s="16"/>
    </row>
    <row r="419" customFormat="false" ht="15.75" hidden="false" customHeight="false" outlineLevel="0" collapsed="false">
      <c r="N419" s="16"/>
      <c r="O419" s="16"/>
    </row>
    <row r="420" customFormat="false" ht="15.75" hidden="false" customHeight="false" outlineLevel="0" collapsed="false">
      <c r="N420" s="16"/>
      <c r="O420" s="16"/>
    </row>
    <row r="421" customFormat="false" ht="15.75" hidden="false" customHeight="false" outlineLevel="0" collapsed="false">
      <c r="N421" s="16"/>
      <c r="O421" s="16"/>
    </row>
    <row r="422" customFormat="false" ht="15.75" hidden="false" customHeight="false" outlineLevel="0" collapsed="false">
      <c r="N422" s="16"/>
      <c r="O422" s="16"/>
    </row>
    <row r="423" customFormat="false" ht="15.75" hidden="false" customHeight="false" outlineLevel="0" collapsed="false">
      <c r="N423" s="16"/>
      <c r="O423" s="16"/>
    </row>
    <row r="424" customFormat="false" ht="15.75" hidden="false" customHeight="false" outlineLevel="0" collapsed="false">
      <c r="N424" s="16"/>
      <c r="O424" s="16"/>
    </row>
    <row r="425" customFormat="false" ht="15.75" hidden="false" customHeight="false" outlineLevel="0" collapsed="false">
      <c r="N425" s="16"/>
      <c r="O425" s="16"/>
    </row>
    <row r="426" customFormat="false" ht="15.75" hidden="false" customHeight="false" outlineLevel="0" collapsed="false">
      <c r="N426" s="16"/>
      <c r="O426" s="16"/>
    </row>
    <row r="427" customFormat="false" ht="15.75" hidden="false" customHeight="false" outlineLevel="0" collapsed="false">
      <c r="N427" s="16"/>
      <c r="O427" s="16"/>
    </row>
    <row r="428" customFormat="false" ht="15.75" hidden="false" customHeight="false" outlineLevel="0" collapsed="false">
      <c r="N428" s="16"/>
      <c r="O428" s="16"/>
    </row>
    <row r="429" customFormat="false" ht="15.75" hidden="false" customHeight="false" outlineLevel="0" collapsed="false">
      <c r="N429" s="16"/>
      <c r="O429" s="16"/>
    </row>
    <row r="430" customFormat="false" ht="15.75" hidden="false" customHeight="false" outlineLevel="0" collapsed="false">
      <c r="N430" s="16"/>
      <c r="O430" s="16"/>
    </row>
    <row r="431" customFormat="false" ht="15.75" hidden="false" customHeight="false" outlineLevel="0" collapsed="false">
      <c r="N431" s="16"/>
      <c r="O431" s="16"/>
    </row>
    <row r="432" customFormat="false" ht="15.75" hidden="false" customHeight="false" outlineLevel="0" collapsed="false">
      <c r="N432" s="16"/>
      <c r="O432" s="16"/>
    </row>
    <row r="433" customFormat="false" ht="15.75" hidden="false" customHeight="false" outlineLevel="0" collapsed="false">
      <c r="N433" s="16"/>
      <c r="O433" s="16"/>
    </row>
    <row r="434" customFormat="false" ht="15.75" hidden="false" customHeight="false" outlineLevel="0" collapsed="false">
      <c r="N434" s="16"/>
      <c r="O434" s="16"/>
    </row>
    <row r="435" customFormat="false" ht="15.75" hidden="false" customHeight="false" outlineLevel="0" collapsed="false">
      <c r="N435" s="16"/>
      <c r="O435" s="16"/>
    </row>
    <row r="436" customFormat="false" ht="15.75" hidden="false" customHeight="false" outlineLevel="0" collapsed="false">
      <c r="N436" s="16"/>
      <c r="O436" s="16"/>
    </row>
    <row r="437" customFormat="false" ht="15.75" hidden="false" customHeight="false" outlineLevel="0" collapsed="false">
      <c r="N437" s="16"/>
      <c r="O437" s="16"/>
    </row>
    <row r="438" customFormat="false" ht="15.75" hidden="false" customHeight="false" outlineLevel="0" collapsed="false">
      <c r="N438" s="16"/>
      <c r="O438" s="16"/>
    </row>
    <row r="439" customFormat="false" ht="15.75" hidden="false" customHeight="false" outlineLevel="0" collapsed="false">
      <c r="N439" s="16"/>
      <c r="O439" s="16"/>
    </row>
    <row r="440" customFormat="false" ht="15.75" hidden="false" customHeight="false" outlineLevel="0" collapsed="false">
      <c r="N440" s="16"/>
      <c r="O440" s="16"/>
    </row>
    <row r="441" customFormat="false" ht="15.75" hidden="false" customHeight="false" outlineLevel="0" collapsed="false">
      <c r="N441" s="16"/>
      <c r="O441" s="16"/>
    </row>
    <row r="442" customFormat="false" ht="15.75" hidden="false" customHeight="false" outlineLevel="0" collapsed="false">
      <c r="N442" s="16"/>
      <c r="O442" s="16"/>
    </row>
    <row r="443" customFormat="false" ht="15.75" hidden="false" customHeight="false" outlineLevel="0" collapsed="false">
      <c r="N443" s="16"/>
      <c r="O443" s="16"/>
    </row>
    <row r="444" customFormat="false" ht="15.75" hidden="false" customHeight="false" outlineLevel="0" collapsed="false">
      <c r="N444" s="16"/>
      <c r="O444" s="16"/>
    </row>
    <row r="445" customFormat="false" ht="15.75" hidden="false" customHeight="false" outlineLevel="0" collapsed="false">
      <c r="N445" s="16"/>
      <c r="O445" s="16"/>
    </row>
    <row r="446" customFormat="false" ht="15.75" hidden="false" customHeight="false" outlineLevel="0" collapsed="false">
      <c r="N446" s="16"/>
      <c r="O446" s="16"/>
    </row>
    <row r="447" customFormat="false" ht="15.75" hidden="false" customHeight="false" outlineLevel="0" collapsed="false">
      <c r="N447" s="16"/>
      <c r="O447" s="16"/>
    </row>
    <row r="448" customFormat="false" ht="15.75" hidden="false" customHeight="false" outlineLevel="0" collapsed="false">
      <c r="N448" s="16"/>
      <c r="O448" s="16"/>
    </row>
    <row r="449" customFormat="false" ht="15.75" hidden="false" customHeight="false" outlineLevel="0" collapsed="false">
      <c r="N449" s="16"/>
      <c r="O449" s="16"/>
    </row>
    <row r="450" customFormat="false" ht="15.75" hidden="false" customHeight="false" outlineLevel="0" collapsed="false">
      <c r="N450" s="16"/>
      <c r="O450" s="16"/>
    </row>
    <row r="451" customFormat="false" ht="15.75" hidden="false" customHeight="false" outlineLevel="0" collapsed="false">
      <c r="N451" s="16"/>
      <c r="O451" s="16"/>
    </row>
    <row r="452" customFormat="false" ht="15.75" hidden="false" customHeight="false" outlineLevel="0" collapsed="false">
      <c r="N452" s="16"/>
      <c r="O452" s="16"/>
    </row>
    <row r="453" customFormat="false" ht="15.75" hidden="false" customHeight="false" outlineLevel="0" collapsed="false">
      <c r="N453" s="16"/>
      <c r="O453" s="16"/>
    </row>
    <row r="454" customFormat="false" ht="15.75" hidden="false" customHeight="false" outlineLevel="0" collapsed="false">
      <c r="N454" s="16"/>
      <c r="O454" s="16"/>
    </row>
    <row r="455" customFormat="false" ht="15.75" hidden="false" customHeight="false" outlineLevel="0" collapsed="false">
      <c r="N455" s="16"/>
      <c r="O455" s="16"/>
    </row>
    <row r="456" customFormat="false" ht="15.75" hidden="false" customHeight="false" outlineLevel="0" collapsed="false">
      <c r="N456" s="16"/>
      <c r="O456" s="16"/>
    </row>
    <row r="457" customFormat="false" ht="15.75" hidden="false" customHeight="false" outlineLevel="0" collapsed="false">
      <c r="N457" s="16"/>
      <c r="O457" s="16"/>
    </row>
    <row r="458" customFormat="false" ht="15.75" hidden="false" customHeight="false" outlineLevel="0" collapsed="false">
      <c r="N458" s="16"/>
      <c r="O458" s="16"/>
    </row>
    <row r="459" customFormat="false" ht="15.75" hidden="false" customHeight="false" outlineLevel="0" collapsed="false">
      <c r="N459" s="16"/>
      <c r="O459" s="16"/>
    </row>
    <row r="460" customFormat="false" ht="15.75" hidden="false" customHeight="false" outlineLevel="0" collapsed="false">
      <c r="N460" s="16"/>
      <c r="O460" s="16"/>
    </row>
    <row r="461" customFormat="false" ht="15.75" hidden="false" customHeight="false" outlineLevel="0" collapsed="false">
      <c r="N461" s="16"/>
      <c r="O461" s="16"/>
    </row>
    <row r="462" customFormat="false" ht="15.75" hidden="false" customHeight="false" outlineLevel="0" collapsed="false">
      <c r="N462" s="16"/>
      <c r="O462" s="16"/>
    </row>
    <row r="463" customFormat="false" ht="15.75" hidden="false" customHeight="false" outlineLevel="0" collapsed="false">
      <c r="N463" s="16"/>
      <c r="O463" s="16"/>
    </row>
    <row r="464" customFormat="false" ht="15.75" hidden="false" customHeight="false" outlineLevel="0" collapsed="false">
      <c r="N464" s="16"/>
      <c r="O464" s="16"/>
    </row>
    <row r="465" customFormat="false" ht="15.75" hidden="false" customHeight="false" outlineLevel="0" collapsed="false">
      <c r="N465" s="16"/>
      <c r="O465" s="16"/>
    </row>
    <row r="466" customFormat="false" ht="15.75" hidden="false" customHeight="false" outlineLevel="0" collapsed="false">
      <c r="N466" s="16"/>
      <c r="O466" s="16"/>
    </row>
    <row r="467" customFormat="false" ht="15.75" hidden="false" customHeight="false" outlineLevel="0" collapsed="false">
      <c r="N467" s="16"/>
      <c r="O467" s="16"/>
    </row>
    <row r="468" customFormat="false" ht="15.75" hidden="false" customHeight="false" outlineLevel="0" collapsed="false">
      <c r="N468" s="16"/>
      <c r="O468" s="16"/>
    </row>
    <row r="469" customFormat="false" ht="15.75" hidden="false" customHeight="false" outlineLevel="0" collapsed="false">
      <c r="N469" s="16"/>
      <c r="O469" s="16"/>
    </row>
    <row r="470" customFormat="false" ht="15.75" hidden="false" customHeight="false" outlineLevel="0" collapsed="false">
      <c r="N470" s="16"/>
      <c r="O470" s="16"/>
    </row>
    <row r="471" customFormat="false" ht="15.75" hidden="false" customHeight="false" outlineLevel="0" collapsed="false">
      <c r="N471" s="16"/>
      <c r="O471" s="16"/>
    </row>
    <row r="472" customFormat="false" ht="15.75" hidden="false" customHeight="false" outlineLevel="0" collapsed="false">
      <c r="N472" s="16"/>
      <c r="O472" s="16"/>
    </row>
    <row r="473" customFormat="false" ht="15.75" hidden="false" customHeight="false" outlineLevel="0" collapsed="false">
      <c r="N473" s="16"/>
      <c r="O473" s="16"/>
    </row>
    <row r="474" customFormat="false" ht="15.75" hidden="false" customHeight="false" outlineLevel="0" collapsed="false">
      <c r="N474" s="16"/>
      <c r="O474" s="16"/>
    </row>
    <row r="475" customFormat="false" ht="15.75" hidden="false" customHeight="false" outlineLevel="0" collapsed="false">
      <c r="N475" s="16"/>
      <c r="O475" s="16"/>
    </row>
    <row r="476" customFormat="false" ht="15.75" hidden="false" customHeight="false" outlineLevel="0" collapsed="false">
      <c r="N476" s="16"/>
      <c r="O476" s="16"/>
    </row>
    <row r="477" customFormat="false" ht="15.75" hidden="false" customHeight="false" outlineLevel="0" collapsed="false">
      <c r="N477" s="16"/>
      <c r="O477" s="16"/>
    </row>
    <row r="478" customFormat="false" ht="15.75" hidden="false" customHeight="false" outlineLevel="0" collapsed="false">
      <c r="N478" s="16"/>
      <c r="O478" s="16"/>
    </row>
    <row r="479" customFormat="false" ht="15.75" hidden="false" customHeight="false" outlineLevel="0" collapsed="false">
      <c r="N479" s="16"/>
      <c r="O479" s="16"/>
    </row>
    <row r="480" customFormat="false" ht="15.75" hidden="false" customHeight="false" outlineLevel="0" collapsed="false">
      <c r="N480" s="16"/>
      <c r="O480" s="16"/>
    </row>
    <row r="481" customFormat="false" ht="15.75" hidden="false" customHeight="false" outlineLevel="0" collapsed="false">
      <c r="N481" s="16"/>
      <c r="O481" s="16"/>
    </row>
    <row r="482" customFormat="false" ht="15.75" hidden="false" customHeight="false" outlineLevel="0" collapsed="false">
      <c r="N482" s="16"/>
      <c r="O482" s="16"/>
    </row>
    <row r="483" customFormat="false" ht="15.75" hidden="false" customHeight="false" outlineLevel="0" collapsed="false">
      <c r="N483" s="16"/>
      <c r="O483" s="16"/>
    </row>
    <row r="484" customFormat="false" ht="15.75" hidden="false" customHeight="false" outlineLevel="0" collapsed="false">
      <c r="N484" s="16"/>
      <c r="O484" s="16"/>
    </row>
    <row r="485" customFormat="false" ht="15.75" hidden="false" customHeight="false" outlineLevel="0" collapsed="false">
      <c r="N485" s="16"/>
      <c r="O485" s="16"/>
    </row>
    <row r="486" customFormat="false" ht="15.75" hidden="false" customHeight="false" outlineLevel="0" collapsed="false">
      <c r="N486" s="16"/>
      <c r="O486" s="16"/>
    </row>
    <row r="487" customFormat="false" ht="15.75" hidden="false" customHeight="false" outlineLevel="0" collapsed="false">
      <c r="N487" s="16"/>
      <c r="O487" s="16"/>
    </row>
    <row r="488" customFormat="false" ht="15.75" hidden="false" customHeight="false" outlineLevel="0" collapsed="false">
      <c r="N488" s="16"/>
      <c r="O488" s="16"/>
    </row>
    <row r="489" customFormat="false" ht="15.75" hidden="false" customHeight="false" outlineLevel="0" collapsed="false">
      <c r="N489" s="16"/>
      <c r="O489" s="16"/>
    </row>
    <row r="490" customFormat="false" ht="15.75" hidden="false" customHeight="false" outlineLevel="0" collapsed="false">
      <c r="N490" s="16"/>
      <c r="O490" s="16"/>
    </row>
    <row r="491" customFormat="false" ht="15.75" hidden="false" customHeight="false" outlineLevel="0" collapsed="false">
      <c r="N491" s="16"/>
      <c r="O491" s="16"/>
    </row>
    <row r="492" customFormat="false" ht="15.75" hidden="false" customHeight="false" outlineLevel="0" collapsed="false">
      <c r="N492" s="16"/>
      <c r="O492" s="16"/>
    </row>
    <row r="493" customFormat="false" ht="15.75" hidden="false" customHeight="false" outlineLevel="0" collapsed="false">
      <c r="N493" s="16"/>
      <c r="O493" s="16"/>
    </row>
    <row r="494" customFormat="false" ht="15.75" hidden="false" customHeight="false" outlineLevel="0" collapsed="false">
      <c r="N494" s="16"/>
      <c r="O494" s="16"/>
    </row>
    <row r="495" customFormat="false" ht="15.75" hidden="false" customHeight="false" outlineLevel="0" collapsed="false">
      <c r="N495" s="16"/>
      <c r="O495" s="16"/>
    </row>
    <row r="496" customFormat="false" ht="15.75" hidden="false" customHeight="false" outlineLevel="0" collapsed="false">
      <c r="N496" s="16"/>
      <c r="O496" s="16"/>
    </row>
    <row r="497" customFormat="false" ht="15.75" hidden="false" customHeight="false" outlineLevel="0" collapsed="false">
      <c r="N497" s="16"/>
      <c r="O497" s="16"/>
    </row>
    <row r="498" customFormat="false" ht="15.75" hidden="false" customHeight="false" outlineLevel="0" collapsed="false">
      <c r="N498" s="16"/>
      <c r="O498" s="16"/>
    </row>
    <row r="499" customFormat="false" ht="15.75" hidden="false" customHeight="false" outlineLevel="0" collapsed="false">
      <c r="N499" s="16"/>
      <c r="O499" s="16"/>
    </row>
    <row r="500" customFormat="false" ht="15.75" hidden="false" customHeight="false" outlineLevel="0" collapsed="false">
      <c r="N500" s="16"/>
      <c r="O500" s="16"/>
    </row>
    <row r="501" customFormat="false" ht="15.75" hidden="false" customHeight="false" outlineLevel="0" collapsed="false">
      <c r="N501" s="16"/>
      <c r="O501" s="16"/>
    </row>
    <row r="502" customFormat="false" ht="15.75" hidden="false" customHeight="false" outlineLevel="0" collapsed="false">
      <c r="N502" s="16"/>
      <c r="O502" s="16"/>
    </row>
    <row r="503" customFormat="false" ht="15.75" hidden="false" customHeight="false" outlineLevel="0" collapsed="false">
      <c r="N503" s="16"/>
      <c r="O503" s="16"/>
    </row>
    <row r="504" customFormat="false" ht="15.75" hidden="false" customHeight="false" outlineLevel="0" collapsed="false">
      <c r="N504" s="16"/>
      <c r="O504" s="16"/>
    </row>
    <row r="505" customFormat="false" ht="15.75" hidden="false" customHeight="false" outlineLevel="0" collapsed="false">
      <c r="N505" s="16"/>
      <c r="O505" s="16"/>
    </row>
    <row r="506" customFormat="false" ht="15.75" hidden="false" customHeight="false" outlineLevel="0" collapsed="false">
      <c r="N506" s="16"/>
      <c r="O506" s="16"/>
    </row>
    <row r="507" customFormat="false" ht="15.75" hidden="false" customHeight="false" outlineLevel="0" collapsed="false">
      <c r="N507" s="16"/>
      <c r="O507" s="16"/>
    </row>
    <row r="508" customFormat="false" ht="15.75" hidden="false" customHeight="false" outlineLevel="0" collapsed="false">
      <c r="N508" s="16"/>
      <c r="O508" s="16"/>
    </row>
    <row r="509" customFormat="false" ht="15.75" hidden="false" customHeight="false" outlineLevel="0" collapsed="false">
      <c r="N509" s="16"/>
      <c r="O509" s="16"/>
    </row>
    <row r="510" customFormat="false" ht="15.75" hidden="false" customHeight="false" outlineLevel="0" collapsed="false">
      <c r="N510" s="16"/>
      <c r="O510" s="16"/>
    </row>
    <row r="511" customFormat="false" ht="15.75" hidden="false" customHeight="false" outlineLevel="0" collapsed="false">
      <c r="N511" s="16"/>
      <c r="O511" s="16"/>
    </row>
    <row r="512" customFormat="false" ht="15.75" hidden="false" customHeight="false" outlineLevel="0" collapsed="false">
      <c r="N512" s="16"/>
      <c r="O512" s="16"/>
    </row>
    <row r="513" customFormat="false" ht="15.75" hidden="false" customHeight="false" outlineLevel="0" collapsed="false">
      <c r="N513" s="16"/>
      <c r="O513" s="16"/>
    </row>
    <row r="514" customFormat="false" ht="15.75" hidden="false" customHeight="false" outlineLevel="0" collapsed="false">
      <c r="N514" s="16"/>
      <c r="O514" s="16"/>
    </row>
    <row r="515" customFormat="false" ht="15.75" hidden="false" customHeight="false" outlineLevel="0" collapsed="false">
      <c r="N515" s="16"/>
      <c r="O515" s="16"/>
    </row>
    <row r="516" customFormat="false" ht="15.75" hidden="false" customHeight="false" outlineLevel="0" collapsed="false">
      <c r="N516" s="16"/>
      <c r="O516" s="16"/>
    </row>
    <row r="517" customFormat="false" ht="15.75" hidden="false" customHeight="false" outlineLevel="0" collapsed="false">
      <c r="N517" s="16"/>
      <c r="O517" s="16"/>
    </row>
    <row r="518" customFormat="false" ht="15.75" hidden="false" customHeight="false" outlineLevel="0" collapsed="false">
      <c r="N518" s="16"/>
      <c r="O518" s="16"/>
    </row>
    <row r="519" customFormat="false" ht="15.75" hidden="false" customHeight="false" outlineLevel="0" collapsed="false">
      <c r="N519" s="16"/>
      <c r="O519" s="16"/>
    </row>
    <row r="520" customFormat="false" ht="15.75" hidden="false" customHeight="false" outlineLevel="0" collapsed="false">
      <c r="N520" s="16"/>
      <c r="O520" s="16"/>
    </row>
    <row r="521" customFormat="false" ht="15.75" hidden="false" customHeight="false" outlineLevel="0" collapsed="false">
      <c r="N521" s="16"/>
      <c r="O521" s="16"/>
    </row>
    <row r="522" customFormat="false" ht="15.75" hidden="false" customHeight="false" outlineLevel="0" collapsed="false">
      <c r="N522" s="16"/>
      <c r="O522" s="16"/>
    </row>
    <row r="523" customFormat="false" ht="15.75" hidden="false" customHeight="false" outlineLevel="0" collapsed="false">
      <c r="N523" s="16"/>
      <c r="O523" s="16"/>
    </row>
    <row r="524" customFormat="false" ht="15.75" hidden="false" customHeight="false" outlineLevel="0" collapsed="false">
      <c r="N524" s="16"/>
      <c r="O524" s="16"/>
    </row>
    <row r="525" customFormat="false" ht="15.75" hidden="false" customHeight="false" outlineLevel="0" collapsed="false">
      <c r="N525" s="16"/>
      <c r="O525" s="16"/>
    </row>
    <row r="526" customFormat="false" ht="15.75" hidden="false" customHeight="false" outlineLevel="0" collapsed="false">
      <c r="N526" s="16"/>
      <c r="O526" s="16"/>
    </row>
    <row r="527" customFormat="false" ht="15.75" hidden="false" customHeight="false" outlineLevel="0" collapsed="false">
      <c r="N527" s="16"/>
      <c r="O527" s="16"/>
    </row>
    <row r="528" customFormat="false" ht="15.75" hidden="false" customHeight="false" outlineLevel="0" collapsed="false">
      <c r="N528" s="16"/>
      <c r="O528" s="16"/>
    </row>
    <row r="529" customFormat="false" ht="15.75" hidden="false" customHeight="false" outlineLevel="0" collapsed="false">
      <c r="N529" s="16"/>
      <c r="O529" s="16"/>
    </row>
    <row r="530" customFormat="false" ht="15.75" hidden="false" customHeight="false" outlineLevel="0" collapsed="false">
      <c r="N530" s="16"/>
      <c r="O530" s="16"/>
    </row>
    <row r="531" customFormat="false" ht="15.75" hidden="false" customHeight="false" outlineLevel="0" collapsed="false">
      <c r="N531" s="16"/>
      <c r="O531" s="16"/>
    </row>
    <row r="532" customFormat="false" ht="15.75" hidden="false" customHeight="false" outlineLevel="0" collapsed="false">
      <c r="N532" s="16"/>
      <c r="O532" s="16"/>
    </row>
    <row r="533" customFormat="false" ht="15.75" hidden="false" customHeight="false" outlineLevel="0" collapsed="false">
      <c r="N533" s="16"/>
      <c r="O533" s="16"/>
    </row>
    <row r="534" customFormat="false" ht="15.75" hidden="false" customHeight="false" outlineLevel="0" collapsed="false">
      <c r="N534" s="16"/>
      <c r="O534" s="16"/>
    </row>
    <row r="535" customFormat="false" ht="15.75" hidden="false" customHeight="false" outlineLevel="0" collapsed="false">
      <c r="N535" s="16"/>
      <c r="O535" s="16"/>
    </row>
    <row r="536" customFormat="false" ht="15.75" hidden="false" customHeight="false" outlineLevel="0" collapsed="false">
      <c r="N536" s="16"/>
      <c r="O536" s="16"/>
    </row>
    <row r="537" customFormat="false" ht="15.75" hidden="false" customHeight="false" outlineLevel="0" collapsed="false">
      <c r="N537" s="16"/>
      <c r="O537" s="16"/>
    </row>
    <row r="538" customFormat="false" ht="15.75" hidden="false" customHeight="false" outlineLevel="0" collapsed="false">
      <c r="N538" s="16"/>
      <c r="O538" s="16"/>
    </row>
    <row r="539" customFormat="false" ht="15.75" hidden="false" customHeight="false" outlineLevel="0" collapsed="false">
      <c r="N539" s="16"/>
      <c r="O539" s="16"/>
    </row>
    <row r="540" customFormat="false" ht="15.75" hidden="false" customHeight="false" outlineLevel="0" collapsed="false">
      <c r="N540" s="16"/>
      <c r="O540" s="16"/>
    </row>
    <row r="541" customFormat="false" ht="15.75" hidden="false" customHeight="false" outlineLevel="0" collapsed="false">
      <c r="N541" s="16"/>
      <c r="O541" s="16"/>
    </row>
    <row r="542" customFormat="false" ht="15.75" hidden="false" customHeight="false" outlineLevel="0" collapsed="false">
      <c r="N542" s="16"/>
      <c r="O542" s="16"/>
    </row>
    <row r="543" customFormat="false" ht="15.75" hidden="false" customHeight="false" outlineLevel="0" collapsed="false">
      <c r="N543" s="16"/>
      <c r="O543" s="16"/>
    </row>
    <row r="544" customFormat="false" ht="15.75" hidden="false" customHeight="false" outlineLevel="0" collapsed="false">
      <c r="N544" s="16"/>
      <c r="O544" s="16"/>
    </row>
    <row r="545" customFormat="false" ht="15.75" hidden="false" customHeight="false" outlineLevel="0" collapsed="false">
      <c r="N545" s="16"/>
      <c r="O545" s="16"/>
    </row>
    <row r="546" customFormat="false" ht="15.75" hidden="false" customHeight="false" outlineLevel="0" collapsed="false">
      <c r="N546" s="16"/>
      <c r="O546" s="16"/>
    </row>
    <row r="547" customFormat="false" ht="15.75" hidden="false" customHeight="false" outlineLevel="0" collapsed="false">
      <c r="N547" s="16"/>
      <c r="O547" s="16"/>
    </row>
    <row r="548" customFormat="false" ht="15.75" hidden="false" customHeight="false" outlineLevel="0" collapsed="false">
      <c r="N548" s="16"/>
      <c r="O548" s="16"/>
    </row>
    <row r="549" customFormat="false" ht="15.75" hidden="false" customHeight="false" outlineLevel="0" collapsed="false">
      <c r="N549" s="16"/>
      <c r="O549" s="16"/>
    </row>
    <row r="550" customFormat="false" ht="15.75" hidden="false" customHeight="false" outlineLevel="0" collapsed="false">
      <c r="N550" s="16"/>
      <c r="O550" s="16"/>
    </row>
    <row r="551" customFormat="false" ht="15.75" hidden="false" customHeight="false" outlineLevel="0" collapsed="false">
      <c r="N551" s="16"/>
      <c r="O551" s="16"/>
    </row>
    <row r="552" customFormat="false" ht="15.75" hidden="false" customHeight="false" outlineLevel="0" collapsed="false">
      <c r="N552" s="16"/>
      <c r="O552" s="16"/>
    </row>
    <row r="553" customFormat="false" ht="15.75" hidden="false" customHeight="false" outlineLevel="0" collapsed="false">
      <c r="N553" s="16"/>
      <c r="O553" s="16"/>
    </row>
    <row r="554" customFormat="false" ht="15.75" hidden="false" customHeight="false" outlineLevel="0" collapsed="false">
      <c r="N554" s="16"/>
      <c r="O554" s="16"/>
    </row>
    <row r="555" customFormat="false" ht="15.75" hidden="false" customHeight="false" outlineLevel="0" collapsed="false">
      <c r="N555" s="16"/>
      <c r="O555" s="16"/>
    </row>
    <row r="556" customFormat="false" ht="15.75" hidden="false" customHeight="false" outlineLevel="0" collapsed="false">
      <c r="N556" s="16"/>
      <c r="O556" s="16"/>
    </row>
    <row r="557" customFormat="false" ht="15.75" hidden="false" customHeight="false" outlineLevel="0" collapsed="false">
      <c r="N557" s="16"/>
      <c r="O557" s="16"/>
    </row>
    <row r="558" customFormat="false" ht="15.75" hidden="false" customHeight="false" outlineLevel="0" collapsed="false">
      <c r="N558" s="16"/>
      <c r="O558" s="16"/>
    </row>
    <row r="559" customFormat="false" ht="15.75" hidden="false" customHeight="false" outlineLevel="0" collapsed="false">
      <c r="N559" s="16"/>
      <c r="O559" s="16"/>
    </row>
    <row r="560" customFormat="false" ht="15.75" hidden="false" customHeight="false" outlineLevel="0" collapsed="false">
      <c r="N560" s="16"/>
      <c r="O560" s="16"/>
    </row>
    <row r="561" customFormat="false" ht="15.75" hidden="false" customHeight="false" outlineLevel="0" collapsed="false">
      <c r="N561" s="16"/>
      <c r="O561" s="16"/>
    </row>
    <row r="562" customFormat="false" ht="15.75" hidden="false" customHeight="false" outlineLevel="0" collapsed="false">
      <c r="N562" s="16"/>
      <c r="O562" s="16"/>
    </row>
    <row r="563" customFormat="false" ht="15.75" hidden="false" customHeight="false" outlineLevel="0" collapsed="false">
      <c r="N563" s="16"/>
      <c r="O563" s="16"/>
    </row>
    <row r="564" customFormat="false" ht="15.75" hidden="false" customHeight="false" outlineLevel="0" collapsed="false">
      <c r="N564" s="16"/>
      <c r="O564" s="16"/>
    </row>
    <row r="565" customFormat="false" ht="15.75" hidden="false" customHeight="false" outlineLevel="0" collapsed="false">
      <c r="N565" s="16"/>
      <c r="O565" s="16"/>
    </row>
    <row r="566" customFormat="false" ht="15.75" hidden="false" customHeight="false" outlineLevel="0" collapsed="false">
      <c r="N566" s="16"/>
      <c r="O566" s="16"/>
    </row>
    <row r="567" customFormat="false" ht="15.75" hidden="false" customHeight="false" outlineLevel="0" collapsed="false">
      <c r="N567" s="16"/>
      <c r="O567" s="16"/>
    </row>
    <row r="568" customFormat="false" ht="15.75" hidden="false" customHeight="false" outlineLevel="0" collapsed="false">
      <c r="N568" s="16"/>
      <c r="O568" s="16"/>
    </row>
    <row r="569" customFormat="false" ht="15.75" hidden="false" customHeight="false" outlineLevel="0" collapsed="false">
      <c r="N569" s="16"/>
      <c r="O569" s="16"/>
    </row>
    <row r="570" customFormat="false" ht="15.75" hidden="false" customHeight="false" outlineLevel="0" collapsed="false">
      <c r="N570" s="16"/>
      <c r="O570" s="16"/>
    </row>
    <row r="571" customFormat="false" ht="15.75" hidden="false" customHeight="false" outlineLevel="0" collapsed="false">
      <c r="N571" s="16"/>
      <c r="O571" s="16"/>
    </row>
    <row r="572" customFormat="false" ht="15.75" hidden="false" customHeight="false" outlineLevel="0" collapsed="false">
      <c r="N572" s="16"/>
      <c r="O572" s="16"/>
    </row>
    <row r="573" customFormat="false" ht="15.75" hidden="false" customHeight="false" outlineLevel="0" collapsed="false">
      <c r="N573" s="16"/>
      <c r="O573" s="16"/>
    </row>
    <row r="574" customFormat="false" ht="15.75" hidden="false" customHeight="false" outlineLevel="0" collapsed="false">
      <c r="N574" s="16"/>
      <c r="O574" s="16"/>
    </row>
    <row r="575" customFormat="false" ht="15.75" hidden="false" customHeight="false" outlineLevel="0" collapsed="false">
      <c r="N575" s="16"/>
      <c r="O575" s="16"/>
    </row>
    <row r="576" customFormat="false" ht="15.75" hidden="false" customHeight="false" outlineLevel="0" collapsed="false">
      <c r="N576" s="16"/>
      <c r="O576" s="16"/>
    </row>
    <row r="577" customFormat="false" ht="15.75" hidden="false" customHeight="false" outlineLevel="0" collapsed="false">
      <c r="N577" s="16"/>
      <c r="O577" s="16"/>
    </row>
    <row r="578" customFormat="false" ht="15.75" hidden="false" customHeight="false" outlineLevel="0" collapsed="false">
      <c r="N578" s="16"/>
      <c r="O578" s="16"/>
    </row>
    <row r="579" customFormat="false" ht="15.75" hidden="false" customHeight="false" outlineLevel="0" collapsed="false">
      <c r="N579" s="16"/>
      <c r="O579" s="16"/>
    </row>
    <row r="580" customFormat="false" ht="15.75" hidden="false" customHeight="false" outlineLevel="0" collapsed="false">
      <c r="N580" s="16"/>
      <c r="O580" s="16"/>
    </row>
    <row r="581" customFormat="false" ht="15.75" hidden="false" customHeight="false" outlineLevel="0" collapsed="false">
      <c r="N581" s="16"/>
      <c r="O581" s="16"/>
    </row>
    <row r="582" customFormat="false" ht="15.75" hidden="false" customHeight="false" outlineLevel="0" collapsed="false">
      <c r="N582" s="16"/>
      <c r="O582" s="16"/>
    </row>
    <row r="583" customFormat="false" ht="15.75" hidden="false" customHeight="false" outlineLevel="0" collapsed="false">
      <c r="N583" s="16"/>
      <c r="O583" s="16"/>
    </row>
    <row r="584" customFormat="false" ht="15.75" hidden="false" customHeight="false" outlineLevel="0" collapsed="false">
      <c r="N584" s="16"/>
      <c r="O584" s="16"/>
    </row>
    <row r="585" customFormat="false" ht="15.75" hidden="false" customHeight="false" outlineLevel="0" collapsed="false">
      <c r="N585" s="16"/>
      <c r="O585" s="16"/>
    </row>
    <row r="586" customFormat="false" ht="15.75" hidden="false" customHeight="false" outlineLevel="0" collapsed="false">
      <c r="N586" s="16"/>
      <c r="O586" s="16"/>
    </row>
    <row r="587" customFormat="false" ht="15.75" hidden="false" customHeight="false" outlineLevel="0" collapsed="false">
      <c r="N587" s="16"/>
      <c r="O587" s="16"/>
    </row>
    <row r="588" customFormat="false" ht="15.75" hidden="false" customHeight="false" outlineLevel="0" collapsed="false">
      <c r="N588" s="16"/>
      <c r="O588" s="16"/>
    </row>
    <row r="589" customFormat="false" ht="15.75" hidden="false" customHeight="false" outlineLevel="0" collapsed="false">
      <c r="N589" s="16"/>
      <c r="O589" s="16"/>
    </row>
    <row r="590" customFormat="false" ht="15.75" hidden="false" customHeight="false" outlineLevel="0" collapsed="false">
      <c r="N590" s="16"/>
      <c r="O590" s="16"/>
    </row>
    <row r="591" customFormat="false" ht="15.75" hidden="false" customHeight="false" outlineLevel="0" collapsed="false">
      <c r="N591" s="16"/>
      <c r="O591" s="16"/>
    </row>
    <row r="592" customFormat="false" ht="15.75" hidden="false" customHeight="false" outlineLevel="0" collapsed="false">
      <c r="N592" s="16"/>
      <c r="O592" s="16"/>
    </row>
    <row r="593" customFormat="false" ht="15.75" hidden="false" customHeight="false" outlineLevel="0" collapsed="false">
      <c r="N593" s="16"/>
      <c r="O593" s="16"/>
    </row>
    <row r="594" customFormat="false" ht="15.75" hidden="false" customHeight="false" outlineLevel="0" collapsed="false">
      <c r="N594" s="16"/>
      <c r="O594" s="16"/>
    </row>
    <row r="595" customFormat="false" ht="15.75" hidden="false" customHeight="false" outlineLevel="0" collapsed="false">
      <c r="N595" s="16"/>
      <c r="O595" s="16"/>
    </row>
    <row r="596" customFormat="false" ht="15.75" hidden="false" customHeight="false" outlineLevel="0" collapsed="false">
      <c r="N596" s="16"/>
      <c r="O596" s="16"/>
    </row>
    <row r="597" customFormat="false" ht="15.75" hidden="false" customHeight="false" outlineLevel="0" collapsed="false">
      <c r="N597" s="16"/>
      <c r="O597" s="16"/>
    </row>
    <row r="598" customFormat="false" ht="15.75" hidden="false" customHeight="false" outlineLevel="0" collapsed="false">
      <c r="N598" s="16"/>
      <c r="O598" s="16"/>
    </row>
    <row r="599" customFormat="false" ht="15.75" hidden="false" customHeight="false" outlineLevel="0" collapsed="false">
      <c r="N599" s="16"/>
      <c r="O599" s="16"/>
    </row>
    <row r="600" customFormat="false" ht="15.75" hidden="false" customHeight="false" outlineLevel="0" collapsed="false">
      <c r="N600" s="16"/>
      <c r="O600" s="16"/>
    </row>
    <row r="601" customFormat="false" ht="15.75" hidden="false" customHeight="false" outlineLevel="0" collapsed="false">
      <c r="N601" s="16"/>
      <c r="O601" s="16"/>
    </row>
    <row r="602" customFormat="false" ht="15.75" hidden="false" customHeight="false" outlineLevel="0" collapsed="false">
      <c r="N602" s="16"/>
      <c r="O602" s="16"/>
    </row>
    <row r="603" customFormat="false" ht="15.75" hidden="false" customHeight="false" outlineLevel="0" collapsed="false">
      <c r="N603" s="16"/>
      <c r="O603" s="16"/>
    </row>
    <row r="604" customFormat="false" ht="15.75" hidden="false" customHeight="false" outlineLevel="0" collapsed="false">
      <c r="N604" s="16"/>
      <c r="O604" s="16"/>
    </row>
    <row r="605" customFormat="false" ht="15.75" hidden="false" customHeight="false" outlineLevel="0" collapsed="false">
      <c r="N605" s="16"/>
      <c r="O605" s="16"/>
    </row>
    <row r="606" customFormat="false" ht="15.75" hidden="false" customHeight="false" outlineLevel="0" collapsed="false">
      <c r="N606" s="16"/>
      <c r="O606" s="16"/>
    </row>
    <row r="607" customFormat="false" ht="15.75" hidden="false" customHeight="false" outlineLevel="0" collapsed="false">
      <c r="N607" s="16"/>
      <c r="O607" s="16"/>
    </row>
    <row r="608" customFormat="false" ht="15.75" hidden="false" customHeight="false" outlineLevel="0" collapsed="false">
      <c r="N608" s="16"/>
      <c r="O608" s="16"/>
    </row>
    <row r="609" customFormat="false" ht="15.75" hidden="false" customHeight="false" outlineLevel="0" collapsed="false">
      <c r="N609" s="16"/>
      <c r="O609" s="16"/>
    </row>
    <row r="610" customFormat="false" ht="15.75" hidden="false" customHeight="false" outlineLevel="0" collapsed="false">
      <c r="N610" s="16"/>
      <c r="O610" s="16"/>
    </row>
    <row r="611" customFormat="false" ht="15.75" hidden="false" customHeight="false" outlineLevel="0" collapsed="false">
      <c r="N611" s="16"/>
      <c r="O611" s="16"/>
    </row>
    <row r="612" customFormat="false" ht="15.75" hidden="false" customHeight="false" outlineLevel="0" collapsed="false">
      <c r="N612" s="16"/>
      <c r="O612" s="16"/>
    </row>
    <row r="613" customFormat="false" ht="15.75" hidden="false" customHeight="false" outlineLevel="0" collapsed="false">
      <c r="N613" s="16"/>
      <c r="O613" s="16"/>
    </row>
    <row r="614" customFormat="false" ht="15.75" hidden="false" customHeight="false" outlineLevel="0" collapsed="false">
      <c r="N614" s="16"/>
      <c r="O614" s="16"/>
    </row>
    <row r="615" customFormat="false" ht="15.75" hidden="false" customHeight="false" outlineLevel="0" collapsed="false">
      <c r="N615" s="16"/>
      <c r="O615" s="16"/>
    </row>
    <row r="616" customFormat="false" ht="15.75" hidden="false" customHeight="false" outlineLevel="0" collapsed="false">
      <c r="N616" s="16"/>
      <c r="O616" s="16"/>
    </row>
    <row r="617" customFormat="false" ht="15.75" hidden="false" customHeight="false" outlineLevel="0" collapsed="false">
      <c r="N617" s="16"/>
      <c r="O617" s="16"/>
    </row>
    <row r="618" customFormat="false" ht="15.75" hidden="false" customHeight="false" outlineLevel="0" collapsed="false">
      <c r="N618" s="16"/>
      <c r="O618" s="16"/>
    </row>
    <row r="619" customFormat="false" ht="15.75" hidden="false" customHeight="false" outlineLevel="0" collapsed="false">
      <c r="N619" s="16"/>
      <c r="O619" s="16"/>
    </row>
    <row r="620" customFormat="false" ht="15.75" hidden="false" customHeight="false" outlineLevel="0" collapsed="false">
      <c r="N620" s="16"/>
      <c r="O620" s="16"/>
    </row>
    <row r="621" customFormat="false" ht="15.75" hidden="false" customHeight="false" outlineLevel="0" collapsed="false">
      <c r="N621" s="16"/>
      <c r="O621" s="16"/>
    </row>
    <row r="622" customFormat="false" ht="15.75" hidden="false" customHeight="false" outlineLevel="0" collapsed="false">
      <c r="N622" s="16"/>
      <c r="O622" s="16"/>
    </row>
    <row r="623" customFormat="false" ht="15.75" hidden="false" customHeight="false" outlineLevel="0" collapsed="false">
      <c r="N623" s="16"/>
      <c r="O623" s="16"/>
    </row>
    <row r="624" customFormat="false" ht="15.75" hidden="false" customHeight="false" outlineLevel="0" collapsed="false">
      <c r="N624" s="16"/>
      <c r="O624" s="16"/>
    </row>
    <row r="625" customFormat="false" ht="15.75" hidden="false" customHeight="false" outlineLevel="0" collapsed="false">
      <c r="N625" s="16"/>
      <c r="O625" s="16"/>
    </row>
    <row r="626" customFormat="false" ht="15.75" hidden="false" customHeight="false" outlineLevel="0" collapsed="false">
      <c r="N626" s="16"/>
      <c r="O626" s="16"/>
    </row>
    <row r="627" customFormat="false" ht="15.75" hidden="false" customHeight="false" outlineLevel="0" collapsed="false">
      <c r="N627" s="16"/>
      <c r="O627" s="16"/>
    </row>
    <row r="628" customFormat="false" ht="15.75" hidden="false" customHeight="false" outlineLevel="0" collapsed="false">
      <c r="N628" s="16"/>
      <c r="O628" s="16"/>
    </row>
    <row r="629" customFormat="false" ht="15.75" hidden="false" customHeight="false" outlineLevel="0" collapsed="false">
      <c r="N629" s="16"/>
      <c r="O629" s="16"/>
    </row>
    <row r="630" customFormat="false" ht="15.75" hidden="false" customHeight="false" outlineLevel="0" collapsed="false">
      <c r="N630" s="16"/>
      <c r="O630" s="16"/>
    </row>
    <row r="631" customFormat="false" ht="15.75" hidden="false" customHeight="false" outlineLevel="0" collapsed="false">
      <c r="N631" s="16"/>
      <c r="O631" s="16"/>
    </row>
    <row r="632" customFormat="false" ht="15.75" hidden="false" customHeight="false" outlineLevel="0" collapsed="false">
      <c r="N632" s="16"/>
      <c r="O632" s="16"/>
    </row>
    <row r="633" customFormat="false" ht="15.75" hidden="false" customHeight="false" outlineLevel="0" collapsed="false">
      <c r="N633" s="16"/>
      <c r="O633" s="16"/>
    </row>
    <row r="634" customFormat="false" ht="15.75" hidden="false" customHeight="false" outlineLevel="0" collapsed="false">
      <c r="N634" s="16"/>
      <c r="O634" s="16"/>
    </row>
    <row r="635" customFormat="false" ht="15.75" hidden="false" customHeight="false" outlineLevel="0" collapsed="false">
      <c r="N635" s="16"/>
      <c r="O635" s="16"/>
    </row>
    <row r="636" customFormat="false" ht="15.75" hidden="false" customHeight="false" outlineLevel="0" collapsed="false">
      <c r="N636" s="16"/>
      <c r="O636" s="16"/>
    </row>
    <row r="637" customFormat="false" ht="15.75" hidden="false" customHeight="false" outlineLevel="0" collapsed="false">
      <c r="N637" s="16"/>
      <c r="O637" s="16"/>
    </row>
    <row r="638" customFormat="false" ht="15.75" hidden="false" customHeight="false" outlineLevel="0" collapsed="false">
      <c r="N638" s="16"/>
      <c r="O638" s="16"/>
    </row>
    <row r="639" customFormat="false" ht="15.75" hidden="false" customHeight="false" outlineLevel="0" collapsed="false">
      <c r="N639" s="16"/>
      <c r="O639" s="16"/>
    </row>
    <row r="640" customFormat="false" ht="15.75" hidden="false" customHeight="false" outlineLevel="0" collapsed="false">
      <c r="N640" s="16"/>
      <c r="O640" s="16"/>
    </row>
    <row r="641" customFormat="false" ht="15.75" hidden="false" customHeight="false" outlineLevel="0" collapsed="false">
      <c r="N641" s="16"/>
      <c r="O641" s="16"/>
    </row>
    <row r="642" customFormat="false" ht="15.75" hidden="false" customHeight="false" outlineLevel="0" collapsed="false">
      <c r="N642" s="16"/>
      <c r="O642" s="16"/>
    </row>
    <row r="643" customFormat="false" ht="15.75" hidden="false" customHeight="false" outlineLevel="0" collapsed="false">
      <c r="N643" s="16"/>
      <c r="O643" s="16"/>
    </row>
    <row r="644" customFormat="false" ht="15.75" hidden="false" customHeight="false" outlineLevel="0" collapsed="false">
      <c r="N644" s="16"/>
      <c r="O644" s="16"/>
    </row>
    <row r="645" customFormat="false" ht="15.75" hidden="false" customHeight="false" outlineLevel="0" collapsed="false">
      <c r="N645" s="16"/>
      <c r="O645" s="16"/>
    </row>
    <row r="646" customFormat="false" ht="15.75" hidden="false" customHeight="false" outlineLevel="0" collapsed="false">
      <c r="N646" s="16"/>
      <c r="O646" s="16"/>
    </row>
    <row r="647" customFormat="false" ht="15.75" hidden="false" customHeight="false" outlineLevel="0" collapsed="false">
      <c r="N647" s="16"/>
      <c r="O647" s="16"/>
    </row>
    <row r="648" customFormat="false" ht="15.75" hidden="false" customHeight="false" outlineLevel="0" collapsed="false">
      <c r="N648" s="16"/>
      <c r="O648" s="16"/>
    </row>
    <row r="649" customFormat="false" ht="15.75" hidden="false" customHeight="false" outlineLevel="0" collapsed="false">
      <c r="N649" s="16"/>
      <c r="O649" s="16"/>
    </row>
    <row r="650" customFormat="false" ht="15.75" hidden="false" customHeight="false" outlineLevel="0" collapsed="false">
      <c r="N650" s="16"/>
      <c r="O650" s="16"/>
    </row>
    <row r="651" customFormat="false" ht="15.75" hidden="false" customHeight="false" outlineLevel="0" collapsed="false">
      <c r="N651" s="16"/>
      <c r="O651" s="16"/>
    </row>
    <row r="652" customFormat="false" ht="15.75" hidden="false" customHeight="false" outlineLevel="0" collapsed="false">
      <c r="N652" s="16"/>
      <c r="O652" s="16"/>
    </row>
    <row r="653" customFormat="false" ht="15.75" hidden="false" customHeight="false" outlineLevel="0" collapsed="false">
      <c r="N653" s="16"/>
      <c r="O653" s="16"/>
    </row>
    <row r="654" customFormat="false" ht="15.75" hidden="false" customHeight="false" outlineLevel="0" collapsed="false">
      <c r="N654" s="16"/>
      <c r="O654" s="16"/>
    </row>
    <row r="655" customFormat="false" ht="15.75" hidden="false" customHeight="false" outlineLevel="0" collapsed="false">
      <c r="N655" s="16"/>
      <c r="O655" s="16"/>
    </row>
    <row r="656" customFormat="false" ht="15.75" hidden="false" customHeight="false" outlineLevel="0" collapsed="false">
      <c r="N656" s="16"/>
      <c r="O656" s="16"/>
    </row>
    <row r="657" customFormat="false" ht="15.75" hidden="false" customHeight="false" outlineLevel="0" collapsed="false">
      <c r="N657" s="16"/>
      <c r="O657" s="16"/>
    </row>
    <row r="658" customFormat="false" ht="15.75" hidden="false" customHeight="false" outlineLevel="0" collapsed="false">
      <c r="N658" s="16"/>
      <c r="O658" s="16"/>
    </row>
    <row r="659" customFormat="false" ht="15.75" hidden="false" customHeight="false" outlineLevel="0" collapsed="false">
      <c r="N659" s="16"/>
      <c r="O659" s="16"/>
    </row>
    <row r="660" customFormat="false" ht="15.75" hidden="false" customHeight="false" outlineLevel="0" collapsed="false">
      <c r="N660" s="16"/>
      <c r="O660" s="16"/>
    </row>
    <row r="661" customFormat="false" ht="15.75" hidden="false" customHeight="false" outlineLevel="0" collapsed="false">
      <c r="N661" s="16"/>
      <c r="O661" s="16"/>
    </row>
    <row r="662" customFormat="false" ht="15.75" hidden="false" customHeight="false" outlineLevel="0" collapsed="false">
      <c r="N662" s="16"/>
      <c r="O662" s="16"/>
    </row>
    <row r="663" customFormat="false" ht="15.75" hidden="false" customHeight="false" outlineLevel="0" collapsed="false">
      <c r="N663" s="16"/>
      <c r="O663" s="16"/>
    </row>
    <row r="664" customFormat="false" ht="15.75" hidden="false" customHeight="false" outlineLevel="0" collapsed="false">
      <c r="N664" s="16"/>
      <c r="O664" s="16"/>
    </row>
    <row r="665" customFormat="false" ht="15.75" hidden="false" customHeight="false" outlineLevel="0" collapsed="false">
      <c r="N665" s="16"/>
      <c r="O665" s="16"/>
    </row>
    <row r="666" customFormat="false" ht="15.75" hidden="false" customHeight="false" outlineLevel="0" collapsed="false">
      <c r="N666" s="16"/>
      <c r="O666" s="16"/>
    </row>
    <row r="667" customFormat="false" ht="15.75" hidden="false" customHeight="false" outlineLevel="0" collapsed="false">
      <c r="N667" s="16"/>
      <c r="O667" s="16"/>
    </row>
    <row r="668" customFormat="false" ht="15.75" hidden="false" customHeight="false" outlineLevel="0" collapsed="false">
      <c r="N668" s="16"/>
      <c r="O668" s="16"/>
    </row>
    <row r="669" customFormat="false" ht="15.75" hidden="false" customHeight="false" outlineLevel="0" collapsed="false">
      <c r="N669" s="16"/>
      <c r="O669" s="16"/>
    </row>
    <row r="670" customFormat="false" ht="15.75" hidden="false" customHeight="false" outlineLevel="0" collapsed="false">
      <c r="N670" s="16"/>
      <c r="O670" s="16"/>
    </row>
    <row r="671" customFormat="false" ht="15.75" hidden="false" customHeight="false" outlineLevel="0" collapsed="false">
      <c r="N671" s="16"/>
      <c r="O671" s="16"/>
    </row>
    <row r="672" customFormat="false" ht="15.75" hidden="false" customHeight="false" outlineLevel="0" collapsed="false">
      <c r="N672" s="16"/>
      <c r="O672" s="16"/>
    </row>
    <row r="673" customFormat="false" ht="15.75" hidden="false" customHeight="false" outlineLevel="0" collapsed="false">
      <c r="N673" s="16"/>
      <c r="O673" s="16"/>
    </row>
    <row r="674" customFormat="false" ht="15.75" hidden="false" customHeight="false" outlineLevel="0" collapsed="false">
      <c r="N674" s="16"/>
      <c r="O674" s="16"/>
    </row>
    <row r="675" customFormat="false" ht="15.75" hidden="false" customHeight="false" outlineLevel="0" collapsed="false">
      <c r="N675" s="16"/>
      <c r="O675" s="16"/>
    </row>
    <row r="676" customFormat="false" ht="15.75" hidden="false" customHeight="false" outlineLevel="0" collapsed="false">
      <c r="N676" s="16"/>
      <c r="O676" s="16"/>
    </row>
    <row r="677" customFormat="false" ht="15.75" hidden="false" customHeight="false" outlineLevel="0" collapsed="false">
      <c r="N677" s="16"/>
      <c r="O677" s="16"/>
    </row>
    <row r="678" customFormat="false" ht="15.75" hidden="false" customHeight="false" outlineLevel="0" collapsed="false">
      <c r="N678" s="16"/>
      <c r="O678" s="16"/>
    </row>
    <row r="679" customFormat="false" ht="15.75" hidden="false" customHeight="false" outlineLevel="0" collapsed="false">
      <c r="N679" s="16"/>
      <c r="O679" s="16"/>
    </row>
    <row r="680" customFormat="false" ht="15.75" hidden="false" customHeight="false" outlineLevel="0" collapsed="false">
      <c r="N680" s="16"/>
      <c r="O680" s="16"/>
    </row>
    <row r="681" customFormat="false" ht="15.75" hidden="false" customHeight="false" outlineLevel="0" collapsed="false">
      <c r="N681" s="16"/>
      <c r="O681" s="16"/>
    </row>
    <row r="682" customFormat="false" ht="15.75" hidden="false" customHeight="false" outlineLevel="0" collapsed="false">
      <c r="N682" s="16"/>
      <c r="O682" s="16"/>
    </row>
    <row r="683" customFormat="false" ht="15.75" hidden="false" customHeight="false" outlineLevel="0" collapsed="false">
      <c r="N683" s="16"/>
      <c r="O683" s="16"/>
    </row>
    <row r="684" customFormat="false" ht="15.75" hidden="false" customHeight="false" outlineLevel="0" collapsed="false">
      <c r="N684" s="16"/>
      <c r="O684" s="16"/>
    </row>
    <row r="685" customFormat="false" ht="15.75" hidden="false" customHeight="false" outlineLevel="0" collapsed="false">
      <c r="N685" s="16"/>
      <c r="O685" s="16"/>
    </row>
    <row r="686" customFormat="false" ht="15.75" hidden="false" customHeight="false" outlineLevel="0" collapsed="false">
      <c r="N686" s="16"/>
      <c r="O686" s="16"/>
    </row>
    <row r="687" customFormat="false" ht="15.75" hidden="false" customHeight="false" outlineLevel="0" collapsed="false">
      <c r="N687" s="16"/>
      <c r="O687" s="16"/>
    </row>
    <row r="688" customFormat="false" ht="15.75" hidden="false" customHeight="false" outlineLevel="0" collapsed="false">
      <c r="N688" s="16"/>
      <c r="O688" s="16"/>
    </row>
    <row r="689" customFormat="false" ht="15.75" hidden="false" customHeight="false" outlineLevel="0" collapsed="false">
      <c r="N689" s="16"/>
      <c r="O689" s="16"/>
    </row>
    <row r="690" customFormat="false" ht="15.75" hidden="false" customHeight="false" outlineLevel="0" collapsed="false">
      <c r="N690" s="16"/>
      <c r="O690" s="16"/>
    </row>
    <row r="691" customFormat="false" ht="15.75" hidden="false" customHeight="false" outlineLevel="0" collapsed="false">
      <c r="N691" s="16"/>
      <c r="O691" s="16"/>
    </row>
    <row r="692" customFormat="false" ht="15.75" hidden="false" customHeight="false" outlineLevel="0" collapsed="false">
      <c r="N692" s="16"/>
      <c r="O692" s="16"/>
    </row>
    <row r="693" customFormat="false" ht="15.75" hidden="false" customHeight="false" outlineLevel="0" collapsed="false">
      <c r="N693" s="16"/>
      <c r="O693" s="16"/>
    </row>
    <row r="694" customFormat="false" ht="15.75" hidden="false" customHeight="false" outlineLevel="0" collapsed="false">
      <c r="N694" s="16"/>
      <c r="O694" s="16"/>
    </row>
    <row r="695" customFormat="false" ht="15.75" hidden="false" customHeight="false" outlineLevel="0" collapsed="false">
      <c r="N695" s="16"/>
      <c r="O695" s="16"/>
    </row>
    <row r="696" customFormat="false" ht="15.75" hidden="false" customHeight="false" outlineLevel="0" collapsed="false">
      <c r="N696" s="16"/>
      <c r="O696" s="16"/>
    </row>
    <row r="697" customFormat="false" ht="15.75" hidden="false" customHeight="false" outlineLevel="0" collapsed="false">
      <c r="N697" s="16"/>
      <c r="O697" s="16"/>
    </row>
    <row r="698" customFormat="false" ht="15.75" hidden="false" customHeight="false" outlineLevel="0" collapsed="false">
      <c r="N698" s="16"/>
      <c r="O698" s="16"/>
    </row>
    <row r="699" customFormat="false" ht="15.75" hidden="false" customHeight="false" outlineLevel="0" collapsed="false">
      <c r="N699" s="16"/>
      <c r="O699" s="16"/>
    </row>
    <row r="700" customFormat="false" ht="15.75" hidden="false" customHeight="false" outlineLevel="0" collapsed="false">
      <c r="N700" s="16"/>
      <c r="O700" s="16"/>
    </row>
    <row r="701" customFormat="false" ht="15.75" hidden="false" customHeight="false" outlineLevel="0" collapsed="false">
      <c r="N701" s="16"/>
      <c r="O701" s="16"/>
    </row>
    <row r="702" customFormat="false" ht="15.75" hidden="false" customHeight="false" outlineLevel="0" collapsed="false">
      <c r="N702" s="16"/>
      <c r="O702" s="16"/>
    </row>
    <row r="703" customFormat="false" ht="15.75" hidden="false" customHeight="false" outlineLevel="0" collapsed="false">
      <c r="N703" s="16"/>
      <c r="O703" s="16"/>
    </row>
    <row r="704" customFormat="false" ht="15.75" hidden="false" customHeight="false" outlineLevel="0" collapsed="false">
      <c r="N704" s="16"/>
      <c r="O704" s="16"/>
    </row>
    <row r="705" customFormat="false" ht="15.75" hidden="false" customHeight="false" outlineLevel="0" collapsed="false">
      <c r="N705" s="16"/>
      <c r="O705" s="16"/>
    </row>
    <row r="706" customFormat="false" ht="15.75" hidden="false" customHeight="false" outlineLevel="0" collapsed="false">
      <c r="N706" s="16"/>
      <c r="O706" s="16"/>
    </row>
    <row r="707" customFormat="false" ht="15.75" hidden="false" customHeight="false" outlineLevel="0" collapsed="false">
      <c r="N707" s="16"/>
      <c r="O707" s="16"/>
    </row>
    <row r="708" customFormat="false" ht="15.75" hidden="false" customHeight="false" outlineLevel="0" collapsed="false">
      <c r="N708" s="16"/>
      <c r="O708" s="16"/>
    </row>
    <row r="709" customFormat="false" ht="15.75" hidden="false" customHeight="false" outlineLevel="0" collapsed="false">
      <c r="N709" s="16"/>
      <c r="O709" s="16"/>
    </row>
    <row r="710" customFormat="false" ht="15.75" hidden="false" customHeight="false" outlineLevel="0" collapsed="false">
      <c r="N710" s="16"/>
      <c r="O710" s="16"/>
    </row>
    <row r="711" customFormat="false" ht="15.75" hidden="false" customHeight="false" outlineLevel="0" collapsed="false">
      <c r="N711" s="16"/>
      <c r="O711" s="16"/>
    </row>
    <row r="712" customFormat="false" ht="15.75" hidden="false" customHeight="false" outlineLevel="0" collapsed="false">
      <c r="N712" s="16"/>
      <c r="O712" s="16"/>
    </row>
    <row r="713" customFormat="false" ht="15.75" hidden="false" customHeight="false" outlineLevel="0" collapsed="false">
      <c r="N713" s="16"/>
      <c r="O713" s="16"/>
    </row>
    <row r="714" customFormat="false" ht="15.75" hidden="false" customHeight="false" outlineLevel="0" collapsed="false">
      <c r="N714" s="16"/>
      <c r="O714" s="16"/>
    </row>
    <row r="715" customFormat="false" ht="15.75" hidden="false" customHeight="false" outlineLevel="0" collapsed="false">
      <c r="N715" s="16"/>
      <c r="O715" s="16"/>
    </row>
    <row r="716" customFormat="false" ht="15.75" hidden="false" customHeight="false" outlineLevel="0" collapsed="false">
      <c r="N716" s="16"/>
      <c r="O716" s="16"/>
    </row>
    <row r="717" customFormat="false" ht="15.75" hidden="false" customHeight="false" outlineLevel="0" collapsed="false">
      <c r="N717" s="16"/>
      <c r="O717" s="16"/>
    </row>
    <row r="718" customFormat="false" ht="15.75" hidden="false" customHeight="false" outlineLevel="0" collapsed="false">
      <c r="N718" s="16"/>
      <c r="O718" s="16"/>
    </row>
    <row r="719" customFormat="false" ht="15.75" hidden="false" customHeight="false" outlineLevel="0" collapsed="false">
      <c r="N719" s="16"/>
      <c r="O719" s="16"/>
    </row>
    <row r="720" customFormat="false" ht="15.75" hidden="false" customHeight="false" outlineLevel="0" collapsed="false">
      <c r="N720" s="16"/>
      <c r="O720" s="16"/>
    </row>
    <row r="721" customFormat="false" ht="15.75" hidden="false" customHeight="false" outlineLevel="0" collapsed="false">
      <c r="N721" s="16"/>
      <c r="O721" s="16"/>
    </row>
    <row r="722" customFormat="false" ht="15.75" hidden="false" customHeight="false" outlineLevel="0" collapsed="false">
      <c r="N722" s="16"/>
      <c r="O722" s="16"/>
    </row>
    <row r="723" customFormat="false" ht="15.75" hidden="false" customHeight="false" outlineLevel="0" collapsed="false">
      <c r="N723" s="16"/>
      <c r="O723" s="16"/>
    </row>
    <row r="724" customFormat="false" ht="15.75" hidden="false" customHeight="false" outlineLevel="0" collapsed="false">
      <c r="N724" s="16"/>
      <c r="O724" s="16"/>
    </row>
    <row r="725" customFormat="false" ht="15.75" hidden="false" customHeight="false" outlineLevel="0" collapsed="false">
      <c r="N725" s="16"/>
      <c r="O725" s="16"/>
    </row>
    <row r="726" customFormat="false" ht="15.75" hidden="false" customHeight="false" outlineLevel="0" collapsed="false">
      <c r="N726" s="16"/>
      <c r="O726" s="16"/>
    </row>
    <row r="727" customFormat="false" ht="15.75" hidden="false" customHeight="false" outlineLevel="0" collapsed="false">
      <c r="N727" s="16"/>
      <c r="O727" s="16"/>
    </row>
    <row r="728" customFormat="false" ht="15.75" hidden="false" customHeight="false" outlineLevel="0" collapsed="false">
      <c r="N728" s="16"/>
      <c r="O728" s="16"/>
    </row>
    <row r="729" customFormat="false" ht="15.75" hidden="false" customHeight="false" outlineLevel="0" collapsed="false">
      <c r="N729" s="16"/>
      <c r="O729" s="16"/>
    </row>
    <row r="730" customFormat="false" ht="15.75" hidden="false" customHeight="false" outlineLevel="0" collapsed="false">
      <c r="N730" s="16"/>
      <c r="O730" s="16"/>
    </row>
    <row r="731" customFormat="false" ht="15.75" hidden="false" customHeight="false" outlineLevel="0" collapsed="false">
      <c r="N731" s="16"/>
      <c r="O731" s="16"/>
    </row>
    <row r="732" customFormat="false" ht="15.75" hidden="false" customHeight="false" outlineLevel="0" collapsed="false">
      <c r="N732" s="16"/>
      <c r="O732" s="16"/>
    </row>
    <row r="733" customFormat="false" ht="15.75" hidden="false" customHeight="false" outlineLevel="0" collapsed="false">
      <c r="N733" s="16"/>
      <c r="O733" s="16"/>
    </row>
    <row r="734" customFormat="false" ht="15.75" hidden="false" customHeight="false" outlineLevel="0" collapsed="false">
      <c r="N734" s="16"/>
      <c r="O734" s="16"/>
    </row>
    <row r="735" customFormat="false" ht="15.75" hidden="false" customHeight="false" outlineLevel="0" collapsed="false">
      <c r="N735" s="16"/>
      <c r="O735" s="16"/>
    </row>
    <row r="736" customFormat="false" ht="15.75" hidden="false" customHeight="false" outlineLevel="0" collapsed="false">
      <c r="N736" s="16"/>
      <c r="O736" s="16"/>
    </row>
    <row r="737" customFormat="false" ht="15.75" hidden="false" customHeight="false" outlineLevel="0" collapsed="false">
      <c r="N737" s="16"/>
      <c r="O737" s="16"/>
    </row>
    <row r="738" customFormat="false" ht="15.75" hidden="false" customHeight="false" outlineLevel="0" collapsed="false">
      <c r="N738" s="16"/>
      <c r="O738" s="16"/>
    </row>
    <row r="739" customFormat="false" ht="15.75" hidden="false" customHeight="false" outlineLevel="0" collapsed="false">
      <c r="N739" s="16"/>
      <c r="O739" s="16"/>
    </row>
    <row r="740" customFormat="false" ht="15.75" hidden="false" customHeight="false" outlineLevel="0" collapsed="false">
      <c r="N740" s="16"/>
      <c r="O740" s="16"/>
    </row>
    <row r="741" customFormat="false" ht="15.75" hidden="false" customHeight="false" outlineLevel="0" collapsed="false">
      <c r="N741" s="16"/>
      <c r="O741" s="16"/>
    </row>
    <row r="742" customFormat="false" ht="15.75" hidden="false" customHeight="false" outlineLevel="0" collapsed="false">
      <c r="N742" s="16"/>
      <c r="O742" s="16"/>
    </row>
    <row r="743" customFormat="false" ht="15.75" hidden="false" customHeight="false" outlineLevel="0" collapsed="false">
      <c r="N743" s="16"/>
      <c r="O743" s="16"/>
    </row>
    <row r="744" customFormat="false" ht="15.75" hidden="false" customHeight="false" outlineLevel="0" collapsed="false">
      <c r="N744" s="16"/>
      <c r="O744" s="16"/>
    </row>
    <row r="745" customFormat="false" ht="15.75" hidden="false" customHeight="false" outlineLevel="0" collapsed="false">
      <c r="N745" s="16"/>
      <c r="O745" s="16"/>
    </row>
    <row r="746" customFormat="false" ht="15.75" hidden="false" customHeight="false" outlineLevel="0" collapsed="false">
      <c r="N746" s="16"/>
      <c r="O746" s="16"/>
    </row>
    <row r="747" customFormat="false" ht="15.75" hidden="false" customHeight="false" outlineLevel="0" collapsed="false">
      <c r="N747" s="16"/>
      <c r="O747" s="16"/>
    </row>
    <row r="748" customFormat="false" ht="15.75" hidden="false" customHeight="false" outlineLevel="0" collapsed="false">
      <c r="N748" s="16"/>
      <c r="O748" s="16"/>
    </row>
    <row r="749" customFormat="false" ht="15.75" hidden="false" customHeight="false" outlineLevel="0" collapsed="false">
      <c r="N749" s="16"/>
      <c r="O749" s="16"/>
    </row>
    <row r="750" customFormat="false" ht="15.75" hidden="false" customHeight="false" outlineLevel="0" collapsed="false">
      <c r="N750" s="16"/>
      <c r="O750" s="16"/>
    </row>
    <row r="751" customFormat="false" ht="15.75" hidden="false" customHeight="false" outlineLevel="0" collapsed="false">
      <c r="N751" s="16"/>
      <c r="O751" s="16"/>
    </row>
    <row r="752" customFormat="false" ht="15.75" hidden="false" customHeight="false" outlineLevel="0" collapsed="false">
      <c r="N752" s="16"/>
      <c r="O752" s="16"/>
    </row>
    <row r="753" customFormat="false" ht="15.75" hidden="false" customHeight="false" outlineLevel="0" collapsed="false">
      <c r="N753" s="16"/>
      <c r="O753" s="16"/>
    </row>
    <row r="754" customFormat="false" ht="15.75" hidden="false" customHeight="false" outlineLevel="0" collapsed="false">
      <c r="N754" s="16"/>
      <c r="O754" s="16"/>
    </row>
    <row r="755" customFormat="false" ht="15.75" hidden="false" customHeight="false" outlineLevel="0" collapsed="false">
      <c r="N755" s="16"/>
      <c r="O755" s="16"/>
    </row>
    <row r="756" customFormat="false" ht="15.75" hidden="false" customHeight="false" outlineLevel="0" collapsed="false">
      <c r="N756" s="16"/>
      <c r="O756" s="16"/>
    </row>
    <row r="757" customFormat="false" ht="15.75" hidden="false" customHeight="false" outlineLevel="0" collapsed="false">
      <c r="N757" s="16"/>
      <c r="O757" s="16"/>
    </row>
    <row r="758" customFormat="false" ht="15.75" hidden="false" customHeight="false" outlineLevel="0" collapsed="false">
      <c r="N758" s="16"/>
      <c r="O758" s="16"/>
    </row>
    <row r="759" customFormat="false" ht="15.75" hidden="false" customHeight="false" outlineLevel="0" collapsed="false">
      <c r="N759" s="16"/>
      <c r="O759" s="16"/>
    </row>
    <row r="760" customFormat="false" ht="15.75" hidden="false" customHeight="false" outlineLevel="0" collapsed="false">
      <c r="N760" s="16"/>
      <c r="O760" s="16"/>
    </row>
    <row r="761" customFormat="false" ht="15.75" hidden="false" customHeight="false" outlineLevel="0" collapsed="false">
      <c r="N761" s="16"/>
      <c r="O761" s="16"/>
    </row>
    <row r="762" customFormat="false" ht="15.75" hidden="false" customHeight="false" outlineLevel="0" collapsed="false">
      <c r="N762" s="16"/>
      <c r="O762" s="16"/>
    </row>
    <row r="763" customFormat="false" ht="15.75" hidden="false" customHeight="false" outlineLevel="0" collapsed="false">
      <c r="N763" s="16"/>
      <c r="O763" s="16"/>
    </row>
    <row r="764" customFormat="false" ht="15.75" hidden="false" customHeight="false" outlineLevel="0" collapsed="false">
      <c r="N764" s="16"/>
      <c r="O764" s="16"/>
    </row>
    <row r="765" customFormat="false" ht="15.75" hidden="false" customHeight="false" outlineLevel="0" collapsed="false">
      <c r="N765" s="16"/>
      <c r="O765" s="16"/>
    </row>
    <row r="766" customFormat="false" ht="15.75" hidden="false" customHeight="false" outlineLevel="0" collapsed="false">
      <c r="N766" s="16"/>
      <c r="O766" s="16"/>
    </row>
    <row r="767" customFormat="false" ht="15.75" hidden="false" customHeight="false" outlineLevel="0" collapsed="false">
      <c r="N767" s="16"/>
      <c r="O767" s="16"/>
    </row>
    <row r="768" customFormat="false" ht="15.75" hidden="false" customHeight="false" outlineLevel="0" collapsed="false">
      <c r="N768" s="16"/>
      <c r="O768" s="16"/>
    </row>
    <row r="769" customFormat="false" ht="15.75" hidden="false" customHeight="false" outlineLevel="0" collapsed="false">
      <c r="N769" s="16"/>
      <c r="O769" s="16"/>
    </row>
    <row r="770" customFormat="false" ht="15.75" hidden="false" customHeight="false" outlineLevel="0" collapsed="false">
      <c r="N770" s="16"/>
      <c r="O770" s="16"/>
    </row>
    <row r="771" customFormat="false" ht="15.75" hidden="false" customHeight="false" outlineLevel="0" collapsed="false">
      <c r="N771" s="16"/>
      <c r="O771" s="16"/>
    </row>
    <row r="772" customFormat="false" ht="15.75" hidden="false" customHeight="false" outlineLevel="0" collapsed="false">
      <c r="N772" s="16"/>
      <c r="O772" s="16"/>
    </row>
    <row r="773" customFormat="false" ht="15.75" hidden="false" customHeight="false" outlineLevel="0" collapsed="false">
      <c r="N773" s="16"/>
      <c r="O773" s="16"/>
    </row>
    <row r="774" customFormat="false" ht="15.75" hidden="false" customHeight="false" outlineLevel="0" collapsed="false">
      <c r="N774" s="16"/>
      <c r="O774" s="16"/>
    </row>
    <row r="775" customFormat="false" ht="15.75" hidden="false" customHeight="false" outlineLevel="0" collapsed="false">
      <c r="N775" s="16"/>
      <c r="O775" s="16"/>
    </row>
    <row r="776" customFormat="false" ht="15.75" hidden="false" customHeight="false" outlineLevel="0" collapsed="false">
      <c r="N776" s="16"/>
      <c r="O776" s="16"/>
    </row>
    <row r="777" customFormat="false" ht="15.75" hidden="false" customHeight="false" outlineLevel="0" collapsed="false">
      <c r="N777" s="16"/>
      <c r="O777" s="16"/>
    </row>
    <row r="778" customFormat="false" ht="15.75" hidden="false" customHeight="false" outlineLevel="0" collapsed="false">
      <c r="N778" s="16"/>
      <c r="O778" s="16"/>
    </row>
    <row r="779" customFormat="false" ht="15.75" hidden="false" customHeight="false" outlineLevel="0" collapsed="false">
      <c r="N779" s="16"/>
      <c r="O779" s="16"/>
    </row>
    <row r="780" customFormat="false" ht="15.75" hidden="false" customHeight="false" outlineLevel="0" collapsed="false">
      <c r="N780" s="16"/>
      <c r="O780" s="16"/>
    </row>
    <row r="781" customFormat="false" ht="15.75" hidden="false" customHeight="false" outlineLevel="0" collapsed="false">
      <c r="N781" s="16"/>
      <c r="O781" s="16"/>
    </row>
    <row r="782" customFormat="false" ht="15.75" hidden="false" customHeight="false" outlineLevel="0" collapsed="false">
      <c r="N782" s="16"/>
      <c r="O782" s="16"/>
    </row>
    <row r="783" customFormat="false" ht="15.75" hidden="false" customHeight="false" outlineLevel="0" collapsed="false">
      <c r="N783" s="16"/>
      <c r="O783" s="16"/>
    </row>
    <row r="784" customFormat="false" ht="15.75" hidden="false" customHeight="false" outlineLevel="0" collapsed="false">
      <c r="N784" s="16"/>
      <c r="O784" s="16"/>
    </row>
    <row r="785" customFormat="false" ht="15.75" hidden="false" customHeight="false" outlineLevel="0" collapsed="false">
      <c r="N785" s="16"/>
      <c r="O785" s="16"/>
    </row>
    <row r="786" customFormat="false" ht="15.75" hidden="false" customHeight="false" outlineLevel="0" collapsed="false">
      <c r="N786" s="16"/>
      <c r="O786" s="16"/>
    </row>
    <row r="787" customFormat="false" ht="15.75" hidden="false" customHeight="false" outlineLevel="0" collapsed="false">
      <c r="N787" s="16"/>
      <c r="O787" s="16"/>
    </row>
    <row r="788" customFormat="false" ht="15.75" hidden="false" customHeight="false" outlineLevel="0" collapsed="false">
      <c r="N788" s="16"/>
      <c r="O788" s="16"/>
    </row>
    <row r="789" customFormat="false" ht="15.75" hidden="false" customHeight="false" outlineLevel="0" collapsed="false">
      <c r="N789" s="16"/>
      <c r="O789" s="16"/>
    </row>
    <row r="790" customFormat="false" ht="15.75" hidden="false" customHeight="false" outlineLevel="0" collapsed="false">
      <c r="N790" s="16"/>
      <c r="O790" s="16"/>
    </row>
    <row r="791" customFormat="false" ht="15.75" hidden="false" customHeight="false" outlineLevel="0" collapsed="false">
      <c r="N791" s="16"/>
      <c r="O791" s="16"/>
    </row>
    <row r="792" customFormat="false" ht="15.75" hidden="false" customHeight="false" outlineLevel="0" collapsed="false">
      <c r="N792" s="16"/>
      <c r="O792" s="16"/>
    </row>
    <row r="793" customFormat="false" ht="15.75" hidden="false" customHeight="false" outlineLevel="0" collapsed="false">
      <c r="N793" s="16"/>
      <c r="O793" s="16"/>
    </row>
    <row r="794" customFormat="false" ht="15.75" hidden="false" customHeight="false" outlineLevel="0" collapsed="false">
      <c r="N794" s="16"/>
      <c r="O794" s="16"/>
    </row>
    <row r="795" customFormat="false" ht="15.75" hidden="false" customHeight="false" outlineLevel="0" collapsed="false">
      <c r="N795" s="16"/>
      <c r="O795" s="16"/>
    </row>
    <row r="796" customFormat="false" ht="15.75" hidden="false" customHeight="false" outlineLevel="0" collapsed="false">
      <c r="N796" s="16"/>
      <c r="O796" s="16"/>
    </row>
    <row r="797" customFormat="false" ht="15.75" hidden="false" customHeight="false" outlineLevel="0" collapsed="false">
      <c r="N797" s="16"/>
      <c r="O797" s="16"/>
    </row>
    <row r="798" customFormat="false" ht="15.75" hidden="false" customHeight="false" outlineLevel="0" collapsed="false">
      <c r="N798" s="16"/>
      <c r="O798" s="16"/>
    </row>
    <row r="799" customFormat="false" ht="15.75" hidden="false" customHeight="false" outlineLevel="0" collapsed="false">
      <c r="N799" s="16"/>
      <c r="O799" s="16"/>
    </row>
    <row r="800" customFormat="false" ht="15.75" hidden="false" customHeight="false" outlineLevel="0" collapsed="false">
      <c r="N800" s="16"/>
      <c r="O800" s="16"/>
    </row>
    <row r="801" customFormat="false" ht="15.75" hidden="false" customHeight="false" outlineLevel="0" collapsed="false">
      <c r="N801" s="16"/>
      <c r="O801" s="16"/>
    </row>
    <row r="802" customFormat="false" ht="15.75" hidden="false" customHeight="false" outlineLevel="0" collapsed="false">
      <c r="N802" s="16"/>
      <c r="O802" s="16"/>
    </row>
    <row r="803" customFormat="false" ht="15.75" hidden="false" customHeight="false" outlineLevel="0" collapsed="false">
      <c r="N803" s="16"/>
      <c r="O803" s="16"/>
    </row>
    <row r="804" customFormat="false" ht="15.75" hidden="false" customHeight="false" outlineLevel="0" collapsed="false">
      <c r="N804" s="16"/>
      <c r="O804" s="16"/>
    </row>
    <row r="805" customFormat="false" ht="15.75" hidden="false" customHeight="false" outlineLevel="0" collapsed="false">
      <c r="N805" s="16"/>
      <c r="O805" s="16"/>
    </row>
    <row r="806" customFormat="false" ht="15.75" hidden="false" customHeight="false" outlineLevel="0" collapsed="false">
      <c r="N806" s="16"/>
      <c r="O806" s="16"/>
    </row>
    <row r="807" customFormat="false" ht="15.75" hidden="false" customHeight="false" outlineLevel="0" collapsed="false">
      <c r="N807" s="16"/>
      <c r="O807" s="16"/>
    </row>
    <row r="808" customFormat="false" ht="15.75" hidden="false" customHeight="false" outlineLevel="0" collapsed="false">
      <c r="N808" s="16"/>
      <c r="O808" s="16"/>
    </row>
    <row r="809" customFormat="false" ht="15.75" hidden="false" customHeight="false" outlineLevel="0" collapsed="false">
      <c r="N809" s="16"/>
      <c r="O809" s="16"/>
    </row>
    <row r="810" customFormat="false" ht="15.75" hidden="false" customHeight="false" outlineLevel="0" collapsed="false">
      <c r="N810" s="16"/>
      <c r="O810" s="16"/>
    </row>
    <row r="811" customFormat="false" ht="15.75" hidden="false" customHeight="false" outlineLevel="0" collapsed="false">
      <c r="N811" s="16"/>
      <c r="O811" s="16"/>
    </row>
    <row r="812" customFormat="false" ht="15.75" hidden="false" customHeight="false" outlineLevel="0" collapsed="false">
      <c r="N812" s="16"/>
      <c r="O812" s="16"/>
    </row>
    <row r="813" customFormat="false" ht="15.75" hidden="false" customHeight="false" outlineLevel="0" collapsed="false">
      <c r="N813" s="16"/>
      <c r="O813" s="16"/>
    </row>
    <row r="814" customFormat="false" ht="15.75" hidden="false" customHeight="false" outlineLevel="0" collapsed="false">
      <c r="N814" s="16"/>
      <c r="O814" s="16"/>
    </row>
    <row r="815" customFormat="false" ht="15.75" hidden="false" customHeight="false" outlineLevel="0" collapsed="false">
      <c r="N815" s="16"/>
      <c r="O815" s="16"/>
    </row>
    <row r="816" customFormat="false" ht="15.75" hidden="false" customHeight="false" outlineLevel="0" collapsed="false">
      <c r="N816" s="16"/>
      <c r="O816" s="16"/>
    </row>
    <row r="817" customFormat="false" ht="15.75" hidden="false" customHeight="false" outlineLevel="0" collapsed="false">
      <c r="N817" s="16"/>
      <c r="O817" s="16"/>
    </row>
    <row r="818" customFormat="false" ht="15.75" hidden="false" customHeight="false" outlineLevel="0" collapsed="false">
      <c r="N818" s="16"/>
      <c r="O818" s="16"/>
    </row>
    <row r="819" customFormat="false" ht="15.75" hidden="false" customHeight="false" outlineLevel="0" collapsed="false">
      <c r="N819" s="16"/>
      <c r="O819" s="16"/>
    </row>
    <row r="820" customFormat="false" ht="15.75" hidden="false" customHeight="false" outlineLevel="0" collapsed="false">
      <c r="N820" s="16"/>
      <c r="O820" s="16"/>
    </row>
    <row r="821" customFormat="false" ht="15.75" hidden="false" customHeight="false" outlineLevel="0" collapsed="false">
      <c r="N821" s="16"/>
      <c r="O821" s="16"/>
    </row>
    <row r="822" customFormat="false" ht="15.75" hidden="false" customHeight="false" outlineLevel="0" collapsed="false">
      <c r="N822" s="16"/>
      <c r="O822" s="16"/>
    </row>
    <row r="823" customFormat="false" ht="15.75" hidden="false" customHeight="false" outlineLevel="0" collapsed="false">
      <c r="N823" s="16"/>
      <c r="O823" s="16"/>
    </row>
    <row r="824" customFormat="false" ht="15.75" hidden="false" customHeight="false" outlineLevel="0" collapsed="false">
      <c r="N824" s="16"/>
      <c r="O824" s="16"/>
    </row>
    <row r="825" customFormat="false" ht="15.75" hidden="false" customHeight="false" outlineLevel="0" collapsed="false">
      <c r="N825" s="16"/>
      <c r="O825" s="16"/>
    </row>
    <row r="826" customFormat="false" ht="15.75" hidden="false" customHeight="false" outlineLevel="0" collapsed="false">
      <c r="N826" s="16"/>
      <c r="O826" s="16"/>
    </row>
    <row r="827" customFormat="false" ht="15.75" hidden="false" customHeight="false" outlineLevel="0" collapsed="false">
      <c r="N827" s="16"/>
      <c r="O827" s="16"/>
    </row>
    <row r="828" customFormat="false" ht="15.75" hidden="false" customHeight="false" outlineLevel="0" collapsed="false">
      <c r="N828" s="16"/>
      <c r="O828" s="16"/>
    </row>
    <row r="829" customFormat="false" ht="15.75" hidden="false" customHeight="false" outlineLevel="0" collapsed="false">
      <c r="N829" s="16"/>
      <c r="O829" s="16"/>
    </row>
    <row r="830" customFormat="false" ht="15.75" hidden="false" customHeight="false" outlineLevel="0" collapsed="false">
      <c r="N830" s="16"/>
      <c r="O830" s="16"/>
    </row>
    <row r="831" customFormat="false" ht="15.75" hidden="false" customHeight="false" outlineLevel="0" collapsed="false">
      <c r="N831" s="16"/>
      <c r="O831" s="16"/>
    </row>
    <row r="832" customFormat="false" ht="15.75" hidden="false" customHeight="false" outlineLevel="0" collapsed="false">
      <c r="N832" s="16"/>
      <c r="O832" s="16"/>
    </row>
    <row r="833" customFormat="false" ht="15.75" hidden="false" customHeight="false" outlineLevel="0" collapsed="false">
      <c r="N833" s="16"/>
      <c r="O833" s="16"/>
    </row>
    <row r="834" customFormat="false" ht="15.75" hidden="false" customHeight="false" outlineLevel="0" collapsed="false">
      <c r="N834" s="16"/>
      <c r="O834" s="16"/>
    </row>
    <row r="835" customFormat="false" ht="15.75" hidden="false" customHeight="false" outlineLevel="0" collapsed="false">
      <c r="N835" s="16"/>
      <c r="O835" s="16"/>
    </row>
    <row r="836" customFormat="false" ht="15.75" hidden="false" customHeight="false" outlineLevel="0" collapsed="false">
      <c r="N836" s="16"/>
      <c r="O836" s="16"/>
    </row>
    <row r="837" customFormat="false" ht="15.75" hidden="false" customHeight="false" outlineLevel="0" collapsed="false">
      <c r="N837" s="16"/>
      <c r="O837" s="16"/>
    </row>
    <row r="838" customFormat="false" ht="15.75" hidden="false" customHeight="false" outlineLevel="0" collapsed="false">
      <c r="N838" s="16"/>
      <c r="O838" s="16"/>
    </row>
    <row r="839" customFormat="false" ht="15.75" hidden="false" customHeight="false" outlineLevel="0" collapsed="false">
      <c r="N839" s="16"/>
      <c r="O839" s="16"/>
    </row>
    <row r="840" customFormat="false" ht="15.75" hidden="false" customHeight="false" outlineLevel="0" collapsed="false">
      <c r="N840" s="16"/>
      <c r="O840" s="16"/>
    </row>
    <row r="841" customFormat="false" ht="15.75" hidden="false" customHeight="false" outlineLevel="0" collapsed="false">
      <c r="N841" s="16"/>
      <c r="O841" s="16"/>
    </row>
    <row r="842" customFormat="false" ht="15.75" hidden="false" customHeight="false" outlineLevel="0" collapsed="false">
      <c r="N842" s="16"/>
      <c r="O842" s="16"/>
    </row>
    <row r="843" customFormat="false" ht="15.75" hidden="false" customHeight="false" outlineLevel="0" collapsed="false">
      <c r="N843" s="16"/>
      <c r="O843" s="16"/>
    </row>
    <row r="844" customFormat="false" ht="15.75" hidden="false" customHeight="false" outlineLevel="0" collapsed="false">
      <c r="N844" s="16"/>
      <c r="O844" s="16"/>
    </row>
    <row r="845" customFormat="false" ht="15.75" hidden="false" customHeight="false" outlineLevel="0" collapsed="false">
      <c r="N845" s="16"/>
      <c r="O845" s="16"/>
    </row>
    <row r="846" customFormat="false" ht="15.75" hidden="false" customHeight="false" outlineLevel="0" collapsed="false">
      <c r="N846" s="16"/>
      <c r="O846" s="16"/>
    </row>
    <row r="847" customFormat="false" ht="15.75" hidden="false" customHeight="false" outlineLevel="0" collapsed="false">
      <c r="N847" s="16"/>
      <c r="O847" s="16"/>
    </row>
    <row r="848" customFormat="false" ht="15.75" hidden="false" customHeight="false" outlineLevel="0" collapsed="false">
      <c r="N848" s="16"/>
      <c r="O848" s="16"/>
    </row>
    <row r="849" customFormat="false" ht="15.75" hidden="false" customHeight="false" outlineLevel="0" collapsed="false">
      <c r="N849" s="16"/>
      <c r="O849" s="16"/>
    </row>
    <row r="850" customFormat="false" ht="15.75" hidden="false" customHeight="false" outlineLevel="0" collapsed="false">
      <c r="N850" s="16"/>
      <c r="O850" s="16"/>
    </row>
    <row r="851" customFormat="false" ht="15.75" hidden="false" customHeight="false" outlineLevel="0" collapsed="false">
      <c r="N851" s="16"/>
      <c r="O851" s="16"/>
    </row>
    <row r="852" customFormat="false" ht="15.75" hidden="false" customHeight="false" outlineLevel="0" collapsed="false">
      <c r="N852" s="16"/>
      <c r="O852" s="16"/>
    </row>
    <row r="853" customFormat="false" ht="15.75" hidden="false" customHeight="false" outlineLevel="0" collapsed="false">
      <c r="N853" s="16"/>
      <c r="O853" s="16"/>
    </row>
    <row r="854" customFormat="false" ht="15.75" hidden="false" customHeight="false" outlineLevel="0" collapsed="false">
      <c r="N854" s="16"/>
      <c r="O854" s="16"/>
    </row>
    <row r="855" customFormat="false" ht="15.75" hidden="false" customHeight="false" outlineLevel="0" collapsed="false">
      <c r="N855" s="16"/>
      <c r="O855" s="16"/>
    </row>
    <row r="856" customFormat="false" ht="15.75" hidden="false" customHeight="false" outlineLevel="0" collapsed="false">
      <c r="N856" s="16"/>
      <c r="O856" s="16"/>
    </row>
    <row r="857" customFormat="false" ht="15.75" hidden="false" customHeight="false" outlineLevel="0" collapsed="false">
      <c r="N857" s="16"/>
      <c r="O857" s="16"/>
    </row>
    <row r="858" customFormat="false" ht="15.75" hidden="false" customHeight="false" outlineLevel="0" collapsed="false">
      <c r="N858" s="16"/>
      <c r="O858" s="16"/>
    </row>
    <row r="859" customFormat="false" ht="15.75" hidden="false" customHeight="false" outlineLevel="0" collapsed="false">
      <c r="N859" s="16"/>
      <c r="O859" s="16"/>
    </row>
    <row r="860" customFormat="false" ht="15.75" hidden="false" customHeight="false" outlineLevel="0" collapsed="false">
      <c r="N860" s="16"/>
      <c r="O860" s="16"/>
    </row>
    <row r="861" customFormat="false" ht="15.75" hidden="false" customHeight="false" outlineLevel="0" collapsed="false">
      <c r="N861" s="16"/>
      <c r="O861" s="16"/>
    </row>
    <row r="862" customFormat="false" ht="15.75" hidden="false" customHeight="false" outlineLevel="0" collapsed="false">
      <c r="N862" s="16"/>
      <c r="O862" s="16"/>
    </row>
    <row r="863" customFormat="false" ht="15.75" hidden="false" customHeight="false" outlineLevel="0" collapsed="false">
      <c r="N863" s="16"/>
      <c r="O863" s="16"/>
    </row>
    <row r="864" customFormat="false" ht="15.75" hidden="false" customHeight="false" outlineLevel="0" collapsed="false">
      <c r="N864" s="16"/>
      <c r="O864" s="16"/>
    </row>
    <row r="865" customFormat="false" ht="15.75" hidden="false" customHeight="false" outlineLevel="0" collapsed="false">
      <c r="N865" s="16"/>
      <c r="O865" s="16"/>
    </row>
    <row r="866" customFormat="false" ht="15.75" hidden="false" customHeight="false" outlineLevel="0" collapsed="false">
      <c r="N866" s="16"/>
      <c r="O866" s="16"/>
    </row>
    <row r="867" customFormat="false" ht="15.75" hidden="false" customHeight="false" outlineLevel="0" collapsed="false">
      <c r="N867" s="16"/>
      <c r="O867" s="16"/>
    </row>
    <row r="868" customFormat="false" ht="15.75" hidden="false" customHeight="false" outlineLevel="0" collapsed="false">
      <c r="N868" s="16"/>
      <c r="O868" s="16"/>
    </row>
    <row r="869" customFormat="false" ht="15.75" hidden="false" customHeight="false" outlineLevel="0" collapsed="false">
      <c r="N869" s="16"/>
      <c r="O869" s="16"/>
    </row>
    <row r="870" customFormat="false" ht="15.75" hidden="false" customHeight="false" outlineLevel="0" collapsed="false">
      <c r="N870" s="16"/>
      <c r="O870" s="16"/>
    </row>
    <row r="871" customFormat="false" ht="15.75" hidden="false" customHeight="false" outlineLevel="0" collapsed="false">
      <c r="N871" s="16"/>
      <c r="O871" s="16"/>
    </row>
    <row r="872" customFormat="false" ht="15.75" hidden="false" customHeight="false" outlineLevel="0" collapsed="false">
      <c r="N872" s="16"/>
      <c r="O872" s="16"/>
    </row>
    <row r="873" customFormat="false" ht="15.75" hidden="false" customHeight="false" outlineLevel="0" collapsed="false">
      <c r="N873" s="16"/>
      <c r="O873" s="16"/>
    </row>
    <row r="874" customFormat="false" ht="15.75" hidden="false" customHeight="false" outlineLevel="0" collapsed="false">
      <c r="N874" s="16"/>
      <c r="O874" s="16"/>
    </row>
    <row r="875" customFormat="false" ht="15.75" hidden="false" customHeight="false" outlineLevel="0" collapsed="false">
      <c r="N875" s="16"/>
      <c r="O875" s="16"/>
    </row>
    <row r="876" customFormat="false" ht="15.75" hidden="false" customHeight="false" outlineLevel="0" collapsed="false">
      <c r="N876" s="16"/>
      <c r="O876" s="16"/>
    </row>
    <row r="877" customFormat="false" ht="15.75" hidden="false" customHeight="false" outlineLevel="0" collapsed="false">
      <c r="N877" s="16"/>
      <c r="O877" s="16"/>
    </row>
    <row r="878" customFormat="false" ht="15.75" hidden="false" customHeight="false" outlineLevel="0" collapsed="false">
      <c r="N878" s="16"/>
      <c r="O878" s="16"/>
    </row>
    <row r="879" customFormat="false" ht="15.75" hidden="false" customHeight="false" outlineLevel="0" collapsed="false">
      <c r="N879" s="16"/>
      <c r="O879" s="16"/>
    </row>
    <row r="880" customFormat="false" ht="15.75" hidden="false" customHeight="false" outlineLevel="0" collapsed="false">
      <c r="N880" s="16"/>
      <c r="O880" s="16"/>
    </row>
    <row r="881" customFormat="false" ht="15.75" hidden="false" customHeight="false" outlineLevel="0" collapsed="false">
      <c r="N881" s="16"/>
      <c r="O881" s="16"/>
    </row>
    <row r="882" customFormat="false" ht="15.75" hidden="false" customHeight="false" outlineLevel="0" collapsed="false">
      <c r="N882" s="16"/>
      <c r="O882" s="16"/>
    </row>
    <row r="883" customFormat="false" ht="15.75" hidden="false" customHeight="false" outlineLevel="0" collapsed="false">
      <c r="N883" s="16"/>
      <c r="O883" s="16"/>
    </row>
    <row r="884" customFormat="false" ht="15.75" hidden="false" customHeight="false" outlineLevel="0" collapsed="false">
      <c r="N884" s="16"/>
      <c r="O884" s="16"/>
    </row>
    <row r="885" customFormat="false" ht="15.75" hidden="false" customHeight="false" outlineLevel="0" collapsed="false">
      <c r="N885" s="16"/>
      <c r="O885" s="16"/>
    </row>
    <row r="886" customFormat="false" ht="15.75" hidden="false" customHeight="false" outlineLevel="0" collapsed="false">
      <c r="N886" s="16"/>
      <c r="O886" s="16"/>
    </row>
    <row r="887" customFormat="false" ht="15.75" hidden="false" customHeight="false" outlineLevel="0" collapsed="false">
      <c r="N887" s="16"/>
      <c r="O887" s="16"/>
    </row>
    <row r="888" customFormat="false" ht="15.75" hidden="false" customHeight="false" outlineLevel="0" collapsed="false">
      <c r="N888" s="16"/>
      <c r="O888" s="16"/>
    </row>
    <row r="889" customFormat="false" ht="15.75" hidden="false" customHeight="false" outlineLevel="0" collapsed="false">
      <c r="N889" s="16"/>
      <c r="O889" s="16"/>
    </row>
    <row r="890" customFormat="false" ht="15.75" hidden="false" customHeight="false" outlineLevel="0" collapsed="false">
      <c r="N890" s="16"/>
      <c r="O890" s="16"/>
    </row>
    <row r="891" customFormat="false" ht="15.75" hidden="false" customHeight="false" outlineLevel="0" collapsed="false">
      <c r="N891" s="16"/>
      <c r="O891" s="16"/>
    </row>
    <row r="892" customFormat="false" ht="15.75" hidden="false" customHeight="false" outlineLevel="0" collapsed="false">
      <c r="N892" s="16"/>
      <c r="O892" s="16"/>
    </row>
    <row r="893" customFormat="false" ht="15.75" hidden="false" customHeight="false" outlineLevel="0" collapsed="false">
      <c r="N893" s="16"/>
      <c r="O893" s="16"/>
    </row>
    <row r="894" customFormat="false" ht="15.75" hidden="false" customHeight="false" outlineLevel="0" collapsed="false">
      <c r="N894" s="16"/>
      <c r="O894" s="16"/>
    </row>
    <row r="895" customFormat="false" ht="15.75" hidden="false" customHeight="false" outlineLevel="0" collapsed="false">
      <c r="N895" s="16"/>
      <c r="O895" s="16"/>
    </row>
    <row r="896" customFormat="false" ht="15.75" hidden="false" customHeight="false" outlineLevel="0" collapsed="false">
      <c r="N896" s="16"/>
      <c r="O896" s="16"/>
    </row>
    <row r="897" customFormat="false" ht="15.75" hidden="false" customHeight="false" outlineLevel="0" collapsed="false">
      <c r="N897" s="16"/>
      <c r="O897" s="16"/>
    </row>
    <row r="898" customFormat="false" ht="15.75" hidden="false" customHeight="false" outlineLevel="0" collapsed="false">
      <c r="N898" s="16"/>
      <c r="O898" s="16"/>
    </row>
    <row r="899" customFormat="false" ht="15.75" hidden="false" customHeight="false" outlineLevel="0" collapsed="false">
      <c r="N899" s="16"/>
      <c r="O899" s="16"/>
    </row>
    <row r="900" customFormat="false" ht="15.75" hidden="false" customHeight="false" outlineLevel="0" collapsed="false">
      <c r="N900" s="16"/>
      <c r="O900" s="16"/>
    </row>
    <row r="901" customFormat="false" ht="15.75" hidden="false" customHeight="false" outlineLevel="0" collapsed="false">
      <c r="N901" s="16"/>
      <c r="O901" s="16"/>
    </row>
    <row r="902" customFormat="false" ht="15.75" hidden="false" customHeight="false" outlineLevel="0" collapsed="false">
      <c r="N902" s="16"/>
      <c r="O902" s="16"/>
    </row>
    <row r="903" customFormat="false" ht="15.75" hidden="false" customHeight="false" outlineLevel="0" collapsed="false">
      <c r="N903" s="16"/>
      <c r="O903" s="16"/>
    </row>
    <row r="904" customFormat="false" ht="15.75" hidden="false" customHeight="false" outlineLevel="0" collapsed="false">
      <c r="N904" s="16"/>
      <c r="O904" s="16"/>
    </row>
    <row r="905" customFormat="false" ht="15.75" hidden="false" customHeight="false" outlineLevel="0" collapsed="false">
      <c r="N905" s="16"/>
      <c r="O905" s="16"/>
    </row>
    <row r="906" customFormat="false" ht="15.75" hidden="false" customHeight="false" outlineLevel="0" collapsed="false">
      <c r="N906" s="16"/>
      <c r="O906" s="16"/>
    </row>
    <row r="907" customFormat="false" ht="15.75" hidden="false" customHeight="false" outlineLevel="0" collapsed="false">
      <c r="N907" s="16"/>
      <c r="O907" s="16"/>
    </row>
    <row r="908" customFormat="false" ht="15.75" hidden="false" customHeight="false" outlineLevel="0" collapsed="false">
      <c r="N908" s="16"/>
      <c r="O908" s="16"/>
    </row>
    <row r="909" customFormat="false" ht="15.75" hidden="false" customHeight="false" outlineLevel="0" collapsed="false">
      <c r="N909" s="16"/>
      <c r="O909" s="16"/>
    </row>
    <row r="910" customFormat="false" ht="15.75" hidden="false" customHeight="false" outlineLevel="0" collapsed="false">
      <c r="N910" s="16"/>
      <c r="O910" s="16"/>
    </row>
    <row r="911" customFormat="false" ht="15.75" hidden="false" customHeight="false" outlineLevel="0" collapsed="false">
      <c r="N911" s="16"/>
      <c r="O911" s="16"/>
    </row>
    <row r="912" customFormat="false" ht="15.75" hidden="false" customHeight="false" outlineLevel="0" collapsed="false">
      <c r="N912" s="16"/>
      <c r="O912" s="16"/>
    </row>
    <row r="913" customFormat="false" ht="15.75" hidden="false" customHeight="false" outlineLevel="0" collapsed="false">
      <c r="N913" s="16"/>
      <c r="O913" s="16"/>
    </row>
    <row r="914" customFormat="false" ht="15.75" hidden="false" customHeight="false" outlineLevel="0" collapsed="false">
      <c r="N914" s="16"/>
      <c r="O914" s="16"/>
    </row>
    <row r="915" customFormat="false" ht="15.75" hidden="false" customHeight="false" outlineLevel="0" collapsed="false">
      <c r="N915" s="16"/>
      <c r="O915" s="16"/>
    </row>
    <row r="916" customFormat="false" ht="15.75" hidden="false" customHeight="false" outlineLevel="0" collapsed="false">
      <c r="N916" s="16"/>
      <c r="O916" s="16"/>
    </row>
    <row r="917" customFormat="false" ht="15.75" hidden="false" customHeight="false" outlineLevel="0" collapsed="false">
      <c r="N917" s="16"/>
      <c r="O917" s="16"/>
    </row>
    <row r="918" customFormat="false" ht="15.75" hidden="false" customHeight="false" outlineLevel="0" collapsed="false">
      <c r="N918" s="16"/>
      <c r="O918" s="16"/>
    </row>
    <row r="919" customFormat="false" ht="15.75" hidden="false" customHeight="false" outlineLevel="0" collapsed="false">
      <c r="N919" s="16"/>
      <c r="O919" s="16"/>
    </row>
    <row r="920" customFormat="false" ht="15.75" hidden="false" customHeight="false" outlineLevel="0" collapsed="false">
      <c r="N920" s="16"/>
      <c r="O920" s="16"/>
    </row>
    <row r="921" customFormat="false" ht="15.75" hidden="false" customHeight="false" outlineLevel="0" collapsed="false">
      <c r="N921" s="16"/>
      <c r="O921" s="16"/>
    </row>
    <row r="922" customFormat="false" ht="15.75" hidden="false" customHeight="false" outlineLevel="0" collapsed="false">
      <c r="N922" s="16"/>
      <c r="O922" s="16"/>
    </row>
    <row r="923" customFormat="false" ht="15.75" hidden="false" customHeight="false" outlineLevel="0" collapsed="false">
      <c r="N923" s="16"/>
      <c r="O923" s="16"/>
    </row>
    <row r="924" customFormat="false" ht="15.75" hidden="false" customHeight="false" outlineLevel="0" collapsed="false">
      <c r="N924" s="16"/>
      <c r="O924" s="16"/>
    </row>
    <row r="925" customFormat="false" ht="15.75" hidden="false" customHeight="false" outlineLevel="0" collapsed="false">
      <c r="N925" s="16"/>
      <c r="O925" s="16"/>
    </row>
    <row r="926" customFormat="false" ht="15.75" hidden="false" customHeight="false" outlineLevel="0" collapsed="false">
      <c r="N926" s="16"/>
      <c r="O926" s="16"/>
    </row>
    <row r="927" customFormat="false" ht="15.75" hidden="false" customHeight="false" outlineLevel="0" collapsed="false">
      <c r="N927" s="16"/>
      <c r="O927" s="16"/>
    </row>
    <row r="928" customFormat="false" ht="15.75" hidden="false" customHeight="false" outlineLevel="0" collapsed="false">
      <c r="N928" s="16"/>
      <c r="O928" s="16"/>
    </row>
    <row r="929" customFormat="false" ht="15.75" hidden="false" customHeight="false" outlineLevel="0" collapsed="false">
      <c r="N929" s="16"/>
      <c r="O929" s="16"/>
    </row>
    <row r="930" customFormat="false" ht="15.75" hidden="false" customHeight="false" outlineLevel="0" collapsed="false">
      <c r="N930" s="16"/>
      <c r="O930" s="16"/>
    </row>
    <row r="931" customFormat="false" ht="15.75" hidden="false" customHeight="false" outlineLevel="0" collapsed="false">
      <c r="N931" s="16"/>
      <c r="O931" s="16"/>
    </row>
    <row r="932" customFormat="false" ht="15.75" hidden="false" customHeight="false" outlineLevel="0" collapsed="false">
      <c r="N932" s="16"/>
      <c r="O932" s="16"/>
    </row>
    <row r="933" customFormat="false" ht="15.75" hidden="false" customHeight="false" outlineLevel="0" collapsed="false">
      <c r="N933" s="16"/>
      <c r="O933" s="16"/>
    </row>
    <row r="934" customFormat="false" ht="15.75" hidden="false" customHeight="false" outlineLevel="0" collapsed="false">
      <c r="N934" s="16"/>
      <c r="O934" s="16"/>
    </row>
    <row r="935" customFormat="false" ht="15.75" hidden="false" customHeight="false" outlineLevel="0" collapsed="false">
      <c r="N935" s="16"/>
      <c r="O935" s="16"/>
    </row>
    <row r="936" customFormat="false" ht="15.75" hidden="false" customHeight="false" outlineLevel="0" collapsed="false">
      <c r="N936" s="16"/>
      <c r="O936" s="16"/>
    </row>
    <row r="937" customFormat="false" ht="15.75" hidden="false" customHeight="false" outlineLevel="0" collapsed="false">
      <c r="N937" s="16"/>
      <c r="O937" s="16"/>
    </row>
    <row r="938" customFormat="false" ht="15.75" hidden="false" customHeight="false" outlineLevel="0" collapsed="false">
      <c r="N938" s="16"/>
      <c r="O938" s="16"/>
    </row>
    <row r="939" customFormat="false" ht="15.75" hidden="false" customHeight="false" outlineLevel="0" collapsed="false">
      <c r="N939" s="16"/>
      <c r="O939" s="16"/>
    </row>
    <row r="940" customFormat="false" ht="15.75" hidden="false" customHeight="false" outlineLevel="0" collapsed="false">
      <c r="N940" s="16"/>
      <c r="O940" s="16"/>
    </row>
    <row r="941" customFormat="false" ht="15.75" hidden="false" customHeight="false" outlineLevel="0" collapsed="false">
      <c r="N941" s="16"/>
      <c r="O941" s="16"/>
    </row>
    <row r="942" customFormat="false" ht="15.75" hidden="false" customHeight="false" outlineLevel="0" collapsed="false">
      <c r="N942" s="16"/>
      <c r="O942" s="16"/>
    </row>
    <row r="943" customFormat="false" ht="15.75" hidden="false" customHeight="false" outlineLevel="0" collapsed="false">
      <c r="N943" s="16"/>
      <c r="O943" s="16"/>
    </row>
    <row r="944" customFormat="false" ht="15.75" hidden="false" customHeight="false" outlineLevel="0" collapsed="false">
      <c r="N944" s="16"/>
      <c r="O944" s="16"/>
    </row>
    <row r="945" customFormat="false" ht="15.75" hidden="false" customHeight="false" outlineLevel="0" collapsed="false">
      <c r="N945" s="16"/>
      <c r="O945" s="16"/>
    </row>
    <row r="946" customFormat="false" ht="15.75" hidden="false" customHeight="false" outlineLevel="0" collapsed="false">
      <c r="N946" s="16"/>
      <c r="O946" s="16"/>
    </row>
    <row r="947" customFormat="false" ht="15.75" hidden="false" customHeight="false" outlineLevel="0" collapsed="false">
      <c r="N947" s="16"/>
      <c r="O947" s="16"/>
    </row>
    <row r="948" customFormat="false" ht="15.75" hidden="false" customHeight="false" outlineLevel="0" collapsed="false">
      <c r="N948" s="16"/>
      <c r="O948" s="16"/>
    </row>
    <row r="949" customFormat="false" ht="15.75" hidden="false" customHeight="false" outlineLevel="0" collapsed="false">
      <c r="N949" s="16"/>
      <c r="O949" s="16"/>
    </row>
    <row r="950" customFormat="false" ht="15.75" hidden="false" customHeight="false" outlineLevel="0" collapsed="false">
      <c r="N950" s="16"/>
      <c r="O950" s="16"/>
    </row>
    <row r="951" customFormat="false" ht="15.75" hidden="false" customHeight="false" outlineLevel="0" collapsed="false">
      <c r="N951" s="16"/>
      <c r="O951" s="16"/>
    </row>
    <row r="952" customFormat="false" ht="15.75" hidden="false" customHeight="false" outlineLevel="0" collapsed="false">
      <c r="N952" s="16"/>
      <c r="O952" s="16"/>
    </row>
  </sheetData>
  <autoFilter ref="A3:O29">
    <sortState ref="A4:O29">
      <sortCondition ref="A4:A29" descending="1" customList=""/>
    </sortState>
  </autoFilter>
  <mergeCells count="6">
    <mergeCell ref="A1:O1"/>
    <mergeCell ref="A2:B2"/>
    <mergeCell ref="K2:O2"/>
    <mergeCell ref="A31:L31"/>
    <mergeCell ref="A32:L32"/>
    <mergeCell ref="A33:L33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tru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75"/>
    <col collapsed="false" customWidth="true" hidden="false" outlineLevel="0" max="2" min="2" style="0" width="14.38"/>
    <col collapsed="false" customWidth="true" hidden="false" outlineLevel="0" max="3" min="3" style="0" width="47.63"/>
    <col collapsed="false" customWidth="true" hidden="false" outlineLevel="0" max="6" min="6" style="0" width="9.51"/>
    <col collapsed="false" customWidth="true" hidden="false" outlineLevel="0" max="7" min="7" style="0" width="7.25"/>
    <col collapsed="false" customWidth="true" hidden="false" outlineLevel="0" max="13" min="8" style="0" width="6.88"/>
    <col collapsed="false" customWidth="true" hidden="false" outlineLevel="0" max="14" min="14" style="0" width="8.38"/>
    <col collapsed="false" customWidth="true" hidden="false" outlineLevel="0" max="15" min="15" style="0" width="11"/>
  </cols>
  <sheetData>
    <row r="1" customFormat="false" ht="15.75" hidden="false" customHeight="false" outlineLevel="0" collapsed="false">
      <c r="A1" s="3" t="s">
        <v>2187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.75" hidden="false" customHeight="false" outlineLevel="0" collapsed="false">
      <c r="A2" s="10" t="n">
        <v>46005</v>
      </c>
      <c r="B2" s="10"/>
      <c r="K2" s="11" t="s">
        <v>2467</v>
      </c>
      <c r="L2" s="11"/>
      <c r="M2" s="11"/>
      <c r="N2" s="11"/>
      <c r="O2" s="11"/>
    </row>
    <row r="3" customFormat="false" ht="39.55" hidden="false" customHeight="false" outlineLevel="0" collapsed="false">
      <c r="A3" s="7" t="s">
        <v>2189</v>
      </c>
      <c r="B3" s="7" t="s">
        <v>2190</v>
      </c>
      <c r="C3" s="7" t="s">
        <v>2191</v>
      </c>
      <c r="D3" s="7" t="s">
        <v>2192</v>
      </c>
      <c r="E3" s="7" t="s">
        <v>2193</v>
      </c>
      <c r="F3" s="7" t="s">
        <v>2194</v>
      </c>
      <c r="G3" s="7" t="s">
        <v>2195</v>
      </c>
      <c r="H3" s="7" t="s">
        <v>2196</v>
      </c>
      <c r="I3" s="7" t="s">
        <v>2197</v>
      </c>
      <c r="J3" s="7" t="s">
        <v>2198</v>
      </c>
      <c r="K3" s="7" t="s">
        <v>2199</v>
      </c>
      <c r="L3" s="7" t="s">
        <v>2401</v>
      </c>
      <c r="M3" s="7" t="s">
        <v>2402</v>
      </c>
      <c r="N3" s="7" t="s">
        <v>2200</v>
      </c>
      <c r="O3" s="7" t="s">
        <v>2201</v>
      </c>
    </row>
    <row r="4" customFormat="false" ht="15.75" hidden="false" customHeight="false" outlineLevel="0" collapsed="false">
      <c r="A4" s="6" t="n">
        <v>82456</v>
      </c>
      <c r="B4" s="6" t="s">
        <v>2468</v>
      </c>
      <c r="C4" s="6" t="s">
        <v>2207</v>
      </c>
      <c r="D4" s="6" t="s">
        <v>802</v>
      </c>
      <c r="E4" s="6" t="s">
        <v>2424</v>
      </c>
      <c r="F4" s="6" t="s">
        <v>2469</v>
      </c>
      <c r="G4" s="6" t="s">
        <v>2212</v>
      </c>
      <c r="H4" s="6" t="n">
        <f aca="false">VLOOKUP($A4,Day1!$A$1:$H$394,4,FALSE())</f>
        <v>7</v>
      </c>
      <c r="I4" s="6" t="n">
        <f aca="false">VLOOKUP($A4,Day1!$A$1:$H$394,5,FALSE())</f>
        <v>2</v>
      </c>
      <c r="J4" s="6" t="n">
        <f aca="false">VLOOKUP($A4,Day1!$A$1:$H$394,6,FALSE())</f>
        <v>0</v>
      </c>
      <c r="K4" s="6" t="n">
        <f aca="false">VLOOKUP($A4,'12-р анги өдөр-2'!$F$3:$L$30,4,FALSE())</f>
        <v>2</v>
      </c>
      <c r="L4" s="6" t="n">
        <f aca="false">VLOOKUP($A4,'12-р анги өдөр-2'!$F$3:$L$30,5,FALSE())</f>
        <v>0</v>
      </c>
      <c r="M4" s="6" t="n">
        <f aca="false">VLOOKUP($A4,'12-р анги өдөр-2'!$F$3:$L$30,6,FALSE())</f>
        <v>0</v>
      </c>
      <c r="N4" s="8" t="n">
        <f aca="false">SUM(H4:M4)</f>
        <v>11</v>
      </c>
      <c r="O4" s="8" t="str">
        <f aca="false">ROMAN(RANK(N4,$N$4:$N$31,0))</f>
        <v>I</v>
      </c>
    </row>
    <row r="5" customFormat="false" ht="15.75" hidden="false" customHeight="false" outlineLevel="0" collapsed="false">
      <c r="A5" s="6" t="n">
        <v>82535</v>
      </c>
      <c r="B5" s="6" t="s">
        <v>2468</v>
      </c>
      <c r="C5" s="6" t="s">
        <v>2207</v>
      </c>
      <c r="D5" s="6" t="s">
        <v>822</v>
      </c>
      <c r="E5" s="6" t="s">
        <v>615</v>
      </c>
      <c r="F5" s="6" t="s">
        <v>2469</v>
      </c>
      <c r="G5" s="6" t="s">
        <v>2212</v>
      </c>
      <c r="H5" s="6" t="n">
        <f aca="false">VLOOKUP($A5,Day1!$A$1:$H$394,4,FALSE())</f>
        <v>7</v>
      </c>
      <c r="I5" s="6" t="n">
        <f aca="false">VLOOKUP($A5,Day1!$A$1:$H$394,5,FALSE())</f>
        <v>3</v>
      </c>
      <c r="J5" s="6" t="n">
        <f aca="false">VLOOKUP($A5,Day1!$A$1:$H$394,6,FALSE())</f>
        <v>0</v>
      </c>
      <c r="K5" s="6" t="n">
        <f aca="false">VLOOKUP($A5,'12-р анги өдөр-2'!$F$3:$L$30,4,FALSE())</f>
        <v>0</v>
      </c>
      <c r="L5" s="6" t="n">
        <f aca="false">VLOOKUP($A5,'12-р анги өдөр-2'!$F$3:$L$30,5,FALSE())</f>
        <v>0</v>
      </c>
      <c r="M5" s="6" t="n">
        <f aca="false">VLOOKUP($A5,'12-р анги өдөр-2'!$F$3:$L$30,6,FALSE())</f>
        <v>0</v>
      </c>
      <c r="N5" s="8" t="n">
        <f aca="false">SUM(H5:M5)</f>
        <v>10</v>
      </c>
      <c r="O5" s="8" t="str">
        <f aca="false">ROMAN(RANK(N5,$N$4:$N$31,0))</f>
        <v>II</v>
      </c>
    </row>
    <row r="6" customFormat="false" ht="15.75" hidden="false" customHeight="false" outlineLevel="0" collapsed="false">
      <c r="A6" s="6" t="n">
        <v>142740</v>
      </c>
      <c r="B6" s="6" t="s">
        <v>2468</v>
      </c>
      <c r="C6" s="6" t="s">
        <v>2222</v>
      </c>
      <c r="D6" s="6" t="s">
        <v>841</v>
      </c>
      <c r="E6" s="6" t="s">
        <v>2470</v>
      </c>
      <c r="F6" s="6" t="s">
        <v>2469</v>
      </c>
      <c r="G6" s="6" t="s">
        <v>2206</v>
      </c>
      <c r="H6" s="6" t="n">
        <f aca="false">VLOOKUP($A6,Day1!$A$1:$H$394,4,FALSE())</f>
        <v>7</v>
      </c>
      <c r="I6" s="6" t="n">
        <f aca="false">VLOOKUP($A6,Day1!$A$1:$H$394,5,FALSE())</f>
        <v>2.5</v>
      </c>
      <c r="J6" s="6" t="n">
        <f aca="false">VLOOKUP($A6,Day1!$A$1:$H$394,6,FALSE())</f>
        <v>0</v>
      </c>
      <c r="K6" s="6" t="n">
        <f aca="false">VLOOKUP($A6,'12-р анги өдөр-2'!$F$3:$L$30,4,FALSE())</f>
        <v>0</v>
      </c>
      <c r="L6" s="6" t="n">
        <f aca="false">VLOOKUP($A6,'12-р анги өдөр-2'!$F$3:$L$30,5,FALSE())</f>
        <v>0</v>
      </c>
      <c r="M6" s="6" t="n">
        <f aca="false">VLOOKUP($A6,'12-р анги өдөр-2'!$F$3:$L$30,6,FALSE())</f>
        <v>0</v>
      </c>
      <c r="N6" s="8" t="n">
        <f aca="false">SUM(H6:M6)</f>
        <v>9.5</v>
      </c>
      <c r="O6" s="8" t="str">
        <f aca="false">ROMAN(RANK(N6,$N$4:$N$31,FALSE()))</f>
        <v>III</v>
      </c>
    </row>
    <row r="7" customFormat="false" ht="15.75" hidden="false" customHeight="false" outlineLevel="0" collapsed="false">
      <c r="A7" s="6" t="n">
        <v>59433</v>
      </c>
      <c r="B7" s="6" t="s">
        <v>2468</v>
      </c>
      <c r="C7" s="6" t="s">
        <v>2290</v>
      </c>
      <c r="D7" s="6" t="s">
        <v>827</v>
      </c>
      <c r="E7" s="6" t="s">
        <v>868</v>
      </c>
      <c r="F7" s="6" t="s">
        <v>2469</v>
      </c>
      <c r="G7" s="6" t="s">
        <v>2209</v>
      </c>
      <c r="H7" s="6" t="n">
        <f aca="false">VLOOKUP($A7,Day1!$A$1:$H$394,4,FALSE())</f>
        <v>7</v>
      </c>
      <c r="I7" s="6" t="n">
        <f aca="false">VLOOKUP($A7,Day1!$A$1:$H$394,5,FALSE())</f>
        <v>2</v>
      </c>
      <c r="J7" s="6" t="n">
        <f aca="false">VLOOKUP($A7,Day1!$A$1:$H$394,6,FALSE())</f>
        <v>0</v>
      </c>
      <c r="K7" s="6" t="n">
        <f aca="false">VLOOKUP($A7,'12-р анги өдөр-2'!$F$3:$L$30,4,FALSE())</f>
        <v>0</v>
      </c>
      <c r="L7" s="6" t="n">
        <f aca="false">VLOOKUP($A7,'12-р анги өдөр-2'!$F$3:$L$30,5,FALSE())</f>
        <v>0</v>
      </c>
      <c r="M7" s="6" t="n">
        <f aca="false">VLOOKUP($A7,'12-р анги өдөр-2'!$F$3:$L$30,6,FALSE())</f>
        <v>0</v>
      </c>
      <c r="N7" s="8" t="n">
        <f aca="false">SUM(H7:M7)</f>
        <v>9</v>
      </c>
      <c r="O7" s="8" t="str">
        <f aca="false">ROMAN(RANK(N7,$N$4:$N$31,0))</f>
        <v>IV</v>
      </c>
    </row>
    <row r="8" customFormat="false" ht="15.75" hidden="false" customHeight="false" outlineLevel="0" collapsed="false">
      <c r="A8" s="6" t="n">
        <v>82453</v>
      </c>
      <c r="B8" s="6" t="s">
        <v>2468</v>
      </c>
      <c r="C8" s="6" t="s">
        <v>2207</v>
      </c>
      <c r="D8" s="6" t="s">
        <v>786</v>
      </c>
      <c r="E8" s="6" t="s">
        <v>2471</v>
      </c>
      <c r="F8" s="6" t="s">
        <v>2469</v>
      </c>
      <c r="G8" s="6" t="s">
        <v>2212</v>
      </c>
      <c r="H8" s="6" t="n">
        <f aca="false">VLOOKUP($A8,Day1!$A$1:$H$394,4,FALSE())</f>
        <v>7</v>
      </c>
      <c r="I8" s="6" t="n">
        <f aca="false">VLOOKUP($A8,Day1!$A$1:$H$394,5,FALSE())</f>
        <v>2</v>
      </c>
      <c r="J8" s="6" t="n">
        <f aca="false">VLOOKUP($A8,Day1!$A$1:$H$394,6,FALSE())</f>
        <v>0</v>
      </c>
      <c r="K8" s="6" t="n">
        <f aca="false">VLOOKUP($A8,'12-р анги өдөр-2'!$F$3:$L$30,4,FALSE())</f>
        <v>0</v>
      </c>
      <c r="L8" s="6" t="n">
        <f aca="false">VLOOKUP($A8,'12-р анги өдөр-2'!$F$3:$L$30,5,FALSE())</f>
        <v>0</v>
      </c>
      <c r="M8" s="6" t="n">
        <f aca="false">VLOOKUP($A8,'12-р анги өдөр-2'!$F$3:$L$30,6,FALSE())</f>
        <v>0</v>
      </c>
      <c r="N8" s="8" t="n">
        <f aca="false">SUM(H8:M8)</f>
        <v>9</v>
      </c>
      <c r="O8" s="8" t="str">
        <f aca="false">ROMAN(RANK(N8,$N$4:$N$31,0))</f>
        <v>IV</v>
      </c>
    </row>
    <row r="9" customFormat="false" ht="15.75" hidden="false" customHeight="false" outlineLevel="0" collapsed="false">
      <c r="A9" s="6" t="n">
        <v>110661</v>
      </c>
      <c r="B9" s="6" t="s">
        <v>2468</v>
      </c>
      <c r="C9" s="6" t="s">
        <v>2210</v>
      </c>
      <c r="D9" s="6" t="s">
        <v>845</v>
      </c>
      <c r="E9" s="6" t="s">
        <v>2355</v>
      </c>
      <c r="F9" s="6" t="s">
        <v>2469</v>
      </c>
      <c r="G9" s="6" t="s">
        <v>2209</v>
      </c>
      <c r="H9" s="6" t="n">
        <f aca="false">VLOOKUP($A9,Day1!$A$1:$H$394,4,FALSE())</f>
        <v>7</v>
      </c>
      <c r="I9" s="6" t="n">
        <f aca="false">VLOOKUP($A9,Day1!$A$1:$H$394,5,FALSE())</f>
        <v>2</v>
      </c>
      <c r="J9" s="6" t="n">
        <f aca="false">VLOOKUP($A9,Day1!$A$1:$H$394,6,FALSE())</f>
        <v>0</v>
      </c>
      <c r="K9" s="6" t="n">
        <f aca="false">VLOOKUP($A9,'12-р анги өдөр-2'!$F$3:$L$30,4,FALSE())</f>
        <v>0</v>
      </c>
      <c r="L9" s="6" t="n">
        <f aca="false">VLOOKUP($A9,'12-р анги өдөр-2'!$F$3:$L$30,5,FALSE())</f>
        <v>0</v>
      </c>
      <c r="M9" s="6" t="n">
        <f aca="false">VLOOKUP($A9,'12-р анги өдөр-2'!$F$3:$L$30,6,FALSE())</f>
        <v>0</v>
      </c>
      <c r="N9" s="8" t="n">
        <f aca="false">SUM(H9:M9)</f>
        <v>9</v>
      </c>
      <c r="O9" s="8" t="str">
        <f aca="false">ROMAN(RANK(N9,$N$4:$N$31,0))</f>
        <v>IV</v>
      </c>
    </row>
    <row r="10" customFormat="false" ht="15.75" hidden="false" customHeight="false" outlineLevel="0" collapsed="false">
      <c r="A10" s="6" t="n">
        <v>122031</v>
      </c>
      <c r="B10" s="6" t="s">
        <v>2468</v>
      </c>
      <c r="C10" s="6" t="s">
        <v>2203</v>
      </c>
      <c r="D10" s="6" t="s">
        <v>851</v>
      </c>
      <c r="E10" s="6" t="s">
        <v>2472</v>
      </c>
      <c r="F10" s="6" t="s">
        <v>2469</v>
      </c>
      <c r="G10" s="6" t="s">
        <v>2212</v>
      </c>
      <c r="H10" s="6" t="n">
        <f aca="false">VLOOKUP($A10,Day1!$A$1:$H$394,4,FALSE())</f>
        <v>7</v>
      </c>
      <c r="I10" s="6" t="n">
        <f aca="false">VLOOKUP($A10,Day1!$A$1:$H$394,5,FALSE())</f>
        <v>2</v>
      </c>
      <c r="J10" s="6" t="n">
        <f aca="false">VLOOKUP($A10,Day1!$A$1:$H$394,6,FALSE())</f>
        <v>0</v>
      </c>
      <c r="K10" s="6" t="n">
        <f aca="false">VLOOKUP($A10,'12-р анги өдөр-2'!$F$3:$L$30,4,FALSE())</f>
        <v>0</v>
      </c>
      <c r="L10" s="6" t="n">
        <f aca="false">VLOOKUP($A10,'12-р анги өдөр-2'!$F$3:$L$30,5,FALSE())</f>
        <v>0</v>
      </c>
      <c r="M10" s="6" t="n">
        <f aca="false">VLOOKUP($A10,'12-р анги өдөр-2'!$F$3:$L$30,6,FALSE())</f>
        <v>0</v>
      </c>
      <c r="N10" s="8" t="n">
        <f aca="false">SUM(H10:M10)</f>
        <v>9</v>
      </c>
      <c r="O10" s="8" t="str">
        <f aca="false">ROMAN(RANK(N10,$N$4:$N$31,0))</f>
        <v>IV</v>
      </c>
    </row>
    <row r="11" customFormat="false" ht="15.75" hidden="false" customHeight="false" outlineLevel="0" collapsed="false">
      <c r="A11" s="6" t="n">
        <v>129372</v>
      </c>
      <c r="B11" s="6" t="s">
        <v>2468</v>
      </c>
      <c r="C11" s="6" t="s">
        <v>2310</v>
      </c>
      <c r="D11" s="6" t="s">
        <v>774</v>
      </c>
      <c r="E11" s="6" t="s">
        <v>2473</v>
      </c>
      <c r="F11" s="6" t="s">
        <v>2469</v>
      </c>
      <c r="G11" s="6" t="s">
        <v>2206</v>
      </c>
      <c r="H11" s="6" t="n">
        <f aca="false">VLOOKUP($A11,Day1!$A$1:$H$394,4,FALSE())</f>
        <v>6</v>
      </c>
      <c r="I11" s="6" t="n">
        <f aca="false">VLOOKUP($A11,Day1!$A$1:$H$394,5,FALSE())</f>
        <v>0</v>
      </c>
      <c r="J11" s="6" t="n">
        <f aca="false">VLOOKUP($A11,Day1!$A$1:$H$394,6,FALSE())</f>
        <v>0</v>
      </c>
      <c r="K11" s="6" t="n">
        <f aca="false">VLOOKUP($A11,'12-р анги өдөр-2'!$F$3:$L$30,4,FALSE())</f>
        <v>3</v>
      </c>
      <c r="L11" s="6" t="n">
        <f aca="false">VLOOKUP($A11,'12-р анги өдөр-2'!$F$3:$L$30,5,FALSE())</f>
        <v>0</v>
      </c>
      <c r="M11" s="6" t="n">
        <f aca="false">VLOOKUP($A11,'12-р анги өдөр-2'!$F$3:$L$30,6,FALSE())</f>
        <v>0</v>
      </c>
      <c r="N11" s="8" t="n">
        <f aca="false">SUM(H11:M11)</f>
        <v>9</v>
      </c>
      <c r="O11" s="8" t="str">
        <f aca="false">ROMAN(RANK(N11,$N$4:$N$31,0))</f>
        <v>IV</v>
      </c>
    </row>
    <row r="12" customFormat="false" ht="15.75" hidden="false" customHeight="false" outlineLevel="0" collapsed="false">
      <c r="A12" s="6" t="n">
        <v>109503</v>
      </c>
      <c r="B12" s="6" t="s">
        <v>2468</v>
      </c>
      <c r="C12" s="6" t="s">
        <v>2221</v>
      </c>
      <c r="D12" s="6" t="s">
        <v>857</v>
      </c>
      <c r="E12" s="6" t="s">
        <v>35</v>
      </c>
      <c r="F12" s="6" t="s">
        <v>2469</v>
      </c>
      <c r="G12" s="6" t="s">
        <v>2225</v>
      </c>
      <c r="H12" s="6" t="n">
        <f aca="false">VLOOKUP($A12,Day1!$A$1:$H$394,4,FALSE())</f>
        <v>3</v>
      </c>
      <c r="I12" s="6" t="n">
        <f aca="false">VLOOKUP($A12,Day1!$A$1:$H$394,5,FALSE())</f>
        <v>2</v>
      </c>
      <c r="J12" s="6" t="n">
        <f aca="false">VLOOKUP($A12,Day1!$A$1:$H$394,6,FALSE())</f>
        <v>0</v>
      </c>
      <c r="K12" s="6" t="n">
        <f aca="false">VLOOKUP($A12,'12-р анги өдөр-2'!$F$3:$L$30,4,FALSE())</f>
        <v>2</v>
      </c>
      <c r="L12" s="6" t="n">
        <f aca="false">VLOOKUP($A12,'12-р анги өдөр-2'!$F$3:$L$30,5,FALSE())</f>
        <v>0</v>
      </c>
      <c r="M12" s="6" t="n">
        <f aca="false">VLOOKUP($A12,'12-р анги өдөр-2'!$F$3:$L$30,6,FALSE())</f>
        <v>0</v>
      </c>
      <c r="N12" s="8" t="n">
        <f aca="false">SUM(H12:M12)</f>
        <v>7</v>
      </c>
      <c r="O12" s="8" t="str">
        <f aca="false">ROMAN(RANK(N12,$N$4:$N$31,0))</f>
        <v>IX</v>
      </c>
    </row>
    <row r="13" customFormat="false" ht="15.75" hidden="false" customHeight="false" outlineLevel="0" collapsed="false">
      <c r="A13" s="6" t="n">
        <v>87436</v>
      </c>
      <c r="B13" s="6" t="s">
        <v>2468</v>
      </c>
      <c r="C13" s="6" t="s">
        <v>2261</v>
      </c>
      <c r="D13" s="6" t="s">
        <v>849</v>
      </c>
      <c r="E13" s="6" t="s">
        <v>2474</v>
      </c>
      <c r="F13" s="6" t="s">
        <v>2469</v>
      </c>
      <c r="G13" s="6" t="s">
        <v>2209</v>
      </c>
      <c r="H13" s="6" t="n">
        <f aca="false">VLOOKUP($A13,Day1!$A$1:$H$394,4,FALSE())</f>
        <v>7</v>
      </c>
      <c r="I13" s="6" t="n">
        <f aca="false">VLOOKUP($A13,Day1!$A$1:$H$394,5,FALSE())</f>
        <v>0</v>
      </c>
      <c r="J13" s="6" t="n">
        <f aca="false">VLOOKUP($A13,Day1!$A$1:$H$394,6,FALSE())</f>
        <v>0</v>
      </c>
      <c r="K13" s="6" t="n">
        <f aca="false">VLOOKUP($A13,'12-р анги өдөр-2'!$F$3:$L$30,4,FALSE())</f>
        <v>0</v>
      </c>
      <c r="L13" s="6" t="n">
        <f aca="false">VLOOKUP($A13,'12-р анги өдөр-2'!$F$3:$L$30,5,FALSE())</f>
        <v>0</v>
      </c>
      <c r="M13" s="6" t="n">
        <f aca="false">VLOOKUP($A13,'12-р анги өдөр-2'!$F$3:$L$30,6,FALSE())</f>
        <v>0</v>
      </c>
      <c r="N13" s="8" t="n">
        <f aca="false">SUM(H13:M13)</f>
        <v>7</v>
      </c>
      <c r="O13" s="8" t="str">
        <f aca="false">ROMAN(RANK(N13,$N$4:$N$31,0))</f>
        <v>IX</v>
      </c>
    </row>
    <row r="14" customFormat="false" ht="15.75" hidden="false" customHeight="false" outlineLevel="0" collapsed="false">
      <c r="A14" s="6" t="n">
        <v>178304</v>
      </c>
      <c r="B14" s="6" t="s">
        <v>2468</v>
      </c>
      <c r="C14" s="6" t="s">
        <v>2207</v>
      </c>
      <c r="D14" s="6" t="s">
        <v>212</v>
      </c>
      <c r="E14" s="6" t="s">
        <v>1088</v>
      </c>
      <c r="F14" s="6" t="s">
        <v>2469</v>
      </c>
      <c r="G14" s="6" t="s">
        <v>2212</v>
      </c>
      <c r="H14" s="6" t="n">
        <f aca="false">VLOOKUP($A14,Day1!$A$1:$H$394,4,FALSE())</f>
        <v>3</v>
      </c>
      <c r="I14" s="6" t="n">
        <f aca="false">VLOOKUP($A14,Day1!$A$1:$H$394,5,FALSE())</f>
        <v>2</v>
      </c>
      <c r="J14" s="6" t="n">
        <f aca="false">VLOOKUP($A14,Day1!$A$1:$H$394,6,FALSE())</f>
        <v>0</v>
      </c>
      <c r="K14" s="6" t="n">
        <f aca="false">VLOOKUP($A14,'12-р анги өдөр-2'!$F$3:$L$30,4,FALSE())</f>
        <v>0</v>
      </c>
      <c r="L14" s="6" t="n">
        <f aca="false">VLOOKUP($A14,'12-р анги өдөр-2'!$F$3:$L$30,5,FALSE())</f>
        <v>0</v>
      </c>
      <c r="M14" s="6" t="n">
        <f aca="false">VLOOKUP($A14,'12-р анги өдөр-2'!$F$3:$L$30,6,FALSE())</f>
        <v>0</v>
      </c>
      <c r="N14" s="8" t="n">
        <f aca="false">SUM(H14:M14)</f>
        <v>5</v>
      </c>
      <c r="O14" s="8" t="str">
        <f aca="false">ROMAN(RANK(N14,$N$4:$N$31,0))</f>
        <v>XI</v>
      </c>
    </row>
    <row r="15" customFormat="false" ht="15.75" hidden="false" customHeight="false" outlineLevel="0" collapsed="false">
      <c r="A15" s="6" t="n">
        <v>59211</v>
      </c>
      <c r="B15" s="6" t="s">
        <v>2468</v>
      </c>
      <c r="C15" s="6" t="s">
        <v>2221</v>
      </c>
      <c r="D15" s="6" t="s">
        <v>868</v>
      </c>
      <c r="E15" s="6" t="s">
        <v>2475</v>
      </c>
      <c r="F15" s="6" t="s">
        <v>2469</v>
      </c>
      <c r="G15" s="6" t="s">
        <v>2206</v>
      </c>
      <c r="H15" s="6" t="n">
        <f aca="false">VLOOKUP($A15,Day1!$A$1:$H$394,4,FALSE())</f>
        <v>0</v>
      </c>
      <c r="I15" s="6" t="n">
        <f aca="false">VLOOKUP($A15,Day1!$A$1:$H$394,5,FALSE())</f>
        <v>2</v>
      </c>
      <c r="J15" s="6" t="n">
        <f aca="false">VLOOKUP($A15,Day1!$A$1:$H$394,6,FALSE())</f>
        <v>0</v>
      </c>
      <c r="K15" s="6" t="n">
        <f aca="false">VLOOKUP($A15,'12-р анги өдөр-2'!$F$3:$L$30,4,FALSE())</f>
        <v>3</v>
      </c>
      <c r="L15" s="6" t="n">
        <f aca="false">VLOOKUP($A15,'12-р анги өдөр-2'!$F$3:$L$30,5,FALSE())</f>
        <v>0</v>
      </c>
      <c r="M15" s="6" t="n">
        <f aca="false">VLOOKUP($A15,'12-р анги өдөр-2'!$F$3:$L$30,6,FALSE())</f>
        <v>0</v>
      </c>
      <c r="N15" s="8" t="n">
        <f aca="false">SUM(H15:M15)</f>
        <v>5</v>
      </c>
      <c r="O15" s="8" t="str">
        <f aca="false">ROMAN(RANK(N15,$N$4:$N$31,0))</f>
        <v>XI</v>
      </c>
    </row>
    <row r="16" customFormat="false" ht="15.75" hidden="false" customHeight="false" outlineLevel="0" collapsed="false">
      <c r="A16" s="6" t="n">
        <v>16020</v>
      </c>
      <c r="B16" s="6" t="s">
        <v>2468</v>
      </c>
      <c r="C16" s="6" t="s">
        <v>2215</v>
      </c>
      <c r="D16" s="6" t="s">
        <v>780</v>
      </c>
      <c r="E16" s="6" t="s">
        <v>25</v>
      </c>
      <c r="F16" s="6" t="s">
        <v>2469</v>
      </c>
      <c r="G16" s="6" t="s">
        <v>2212</v>
      </c>
      <c r="H16" s="6" t="n">
        <f aca="false">VLOOKUP($A16,Day1!$A$1:$H$394,4,FALSE())</f>
        <v>0</v>
      </c>
      <c r="I16" s="6" t="n">
        <f aca="false">VLOOKUP($A16,Day1!$A$1:$H$394,5,FALSE())</f>
        <v>2</v>
      </c>
      <c r="J16" s="6" t="n">
        <f aca="false">VLOOKUP($A16,Day1!$A$1:$H$394,6,FALSE())</f>
        <v>0</v>
      </c>
      <c r="K16" s="6" t="n">
        <f aca="false">VLOOKUP($A16,'12-р анги өдөр-2'!$F$3:$L$30,4,FALSE())</f>
        <v>2</v>
      </c>
      <c r="L16" s="6" t="n">
        <f aca="false">VLOOKUP($A16,'12-р анги өдөр-2'!$F$3:$L$30,5,FALSE())</f>
        <v>0</v>
      </c>
      <c r="M16" s="6" t="n">
        <f aca="false">VLOOKUP($A16,'12-р анги өдөр-2'!$F$3:$L$30,6,FALSE())</f>
        <v>0</v>
      </c>
      <c r="N16" s="8" t="n">
        <f aca="false">SUM(H16:M16)</f>
        <v>4</v>
      </c>
      <c r="O16" s="8" t="str">
        <f aca="false">ROMAN(RANK(N16,$N$4:$N$31,0))</f>
        <v>XIII</v>
      </c>
    </row>
    <row r="17" customFormat="false" ht="15.75" hidden="false" customHeight="false" outlineLevel="0" collapsed="false">
      <c r="A17" s="6" t="n">
        <v>203256</v>
      </c>
      <c r="B17" s="6" t="s">
        <v>2468</v>
      </c>
      <c r="C17" s="6" t="s">
        <v>2222</v>
      </c>
      <c r="D17" s="6" t="s">
        <v>793</v>
      </c>
      <c r="E17" s="6" t="s">
        <v>749</v>
      </c>
      <c r="F17" s="6" t="s">
        <v>2469</v>
      </c>
      <c r="G17" s="6" t="s">
        <v>2225</v>
      </c>
      <c r="H17" s="6" t="n">
        <f aca="false">VLOOKUP($A17,Day1!$A$1:$H$394,4,FALSE())</f>
        <v>0</v>
      </c>
      <c r="I17" s="6" t="n">
        <f aca="false">VLOOKUP($A17,Day1!$A$1:$H$394,5,FALSE())</f>
        <v>2</v>
      </c>
      <c r="J17" s="6" t="n">
        <f aca="false">VLOOKUP($A17,Day1!$A$1:$H$394,6,FALSE())</f>
        <v>0</v>
      </c>
      <c r="K17" s="6" t="n">
        <f aca="false">VLOOKUP($A17,'12-р анги өдөр-2'!$F$3:$L$30,4,FALSE())</f>
        <v>0</v>
      </c>
      <c r="L17" s="6" t="n">
        <f aca="false">VLOOKUP($A17,'12-р анги өдөр-2'!$F$3:$L$30,5,FALSE())</f>
        <v>0</v>
      </c>
      <c r="M17" s="6" t="n">
        <f aca="false">VLOOKUP($A17,'12-р анги өдөр-2'!$F$3:$L$30,6,FALSE())</f>
        <v>0</v>
      </c>
      <c r="N17" s="8" t="n">
        <f aca="false">SUM(H17:M17)</f>
        <v>2</v>
      </c>
      <c r="O17" s="8" t="str">
        <f aca="false">ROMAN(RANK(N17,$N$4:$N$31,0))</f>
        <v>XIV</v>
      </c>
    </row>
    <row r="18" customFormat="false" ht="15.75" hidden="false" customHeight="false" outlineLevel="0" collapsed="false">
      <c r="A18" s="6" t="n">
        <v>118442</v>
      </c>
      <c r="B18" s="6" t="s">
        <v>2468</v>
      </c>
      <c r="C18" s="6" t="s">
        <v>2253</v>
      </c>
      <c r="D18" s="6" t="s">
        <v>876</v>
      </c>
      <c r="E18" s="6" t="s">
        <v>2429</v>
      </c>
      <c r="F18" s="6" t="s">
        <v>2469</v>
      </c>
      <c r="G18" s="6" t="s">
        <v>2212</v>
      </c>
      <c r="H18" s="6" t="n">
        <f aca="false">VLOOKUP($A18,Day1!$A$1:$H$394,4,FALSE())</f>
        <v>0</v>
      </c>
      <c r="I18" s="6" t="n">
        <f aca="false">VLOOKUP($A18,Day1!$A$1:$H$394,5,FALSE())</f>
        <v>2</v>
      </c>
      <c r="J18" s="6" t="n">
        <f aca="false">VLOOKUP($A18,Day1!$A$1:$H$394,6,FALSE())</f>
        <v>0</v>
      </c>
      <c r="K18" s="6" t="n">
        <f aca="false">VLOOKUP($A18,'12-р анги өдөр-2'!$F$3:$L$30,4,FALSE())</f>
        <v>0</v>
      </c>
      <c r="L18" s="6" t="n">
        <f aca="false">VLOOKUP($A18,'12-р анги өдөр-2'!$F$3:$L$30,5,FALSE())</f>
        <v>0</v>
      </c>
      <c r="M18" s="6" t="n">
        <f aca="false">VLOOKUP($A18,'12-р анги өдөр-2'!$F$3:$L$30,6,FALSE())</f>
        <v>0</v>
      </c>
      <c r="N18" s="8" t="n">
        <f aca="false">SUM(H18:M18)</f>
        <v>2</v>
      </c>
      <c r="O18" s="8" t="str">
        <f aca="false">ROMAN(RANK(N18,$N$4:$N$31,0))</f>
        <v>XIV</v>
      </c>
    </row>
    <row r="19" customFormat="false" ht="15.75" hidden="false" customHeight="false" outlineLevel="0" collapsed="false">
      <c r="A19" s="6" t="n">
        <v>194729</v>
      </c>
      <c r="B19" s="6" t="s">
        <v>2468</v>
      </c>
      <c r="C19" s="6" t="s">
        <v>2227</v>
      </c>
      <c r="D19" s="6" t="s">
        <v>835</v>
      </c>
      <c r="E19" s="6" t="s">
        <v>2296</v>
      </c>
      <c r="F19" s="6" t="s">
        <v>2469</v>
      </c>
      <c r="G19" s="6" t="s">
        <v>2212</v>
      </c>
      <c r="H19" s="6" t="n">
        <f aca="false">VLOOKUP($A19,Day1!$A$1:$H$394,4,FALSE())</f>
        <v>0</v>
      </c>
      <c r="I19" s="6" t="n">
        <f aca="false">VLOOKUP($A19,Day1!$A$1:$H$394,5,FALSE())</f>
        <v>2</v>
      </c>
      <c r="J19" s="6" t="n">
        <f aca="false">VLOOKUP($A19,Day1!$A$1:$H$394,6,FALSE())</f>
        <v>0</v>
      </c>
      <c r="K19" s="6" t="n">
        <f aca="false">VLOOKUP($A19,'12-р анги өдөр-2'!$F$3:$L$30,4,FALSE())</f>
        <v>0</v>
      </c>
      <c r="L19" s="6" t="n">
        <f aca="false">VLOOKUP($A19,'12-р анги өдөр-2'!$F$3:$L$30,5,FALSE())</f>
        <v>0</v>
      </c>
      <c r="M19" s="6" t="n">
        <f aca="false">VLOOKUP($A19,'12-р анги өдөр-2'!$F$3:$L$30,6,FALSE())</f>
        <v>0</v>
      </c>
      <c r="N19" s="8" t="n">
        <f aca="false">SUM(H19:M19)</f>
        <v>2</v>
      </c>
      <c r="O19" s="8" t="str">
        <f aca="false">ROMAN(RANK(N19,$N$4:$N$31,0))</f>
        <v>XIV</v>
      </c>
    </row>
    <row r="20" customFormat="false" ht="15.75" hidden="false" customHeight="false" outlineLevel="0" collapsed="false">
      <c r="A20" s="6" t="n">
        <v>139239</v>
      </c>
      <c r="B20" s="6" t="s">
        <v>2468</v>
      </c>
      <c r="C20" s="6" t="s">
        <v>2295</v>
      </c>
      <c r="D20" s="6" t="s">
        <v>861</v>
      </c>
      <c r="E20" s="6" t="s">
        <v>35</v>
      </c>
      <c r="F20" s="6" t="s">
        <v>2469</v>
      </c>
      <c r="G20" s="6" t="s">
        <v>2206</v>
      </c>
      <c r="H20" s="6" t="n">
        <f aca="false">VLOOKUP($A20,Day1!$A$1:$H$394,4,FALSE())</f>
        <v>0</v>
      </c>
      <c r="I20" s="6" t="n">
        <f aca="false">VLOOKUP($A20,Day1!$A$1:$H$394,5,FALSE())</f>
        <v>2</v>
      </c>
      <c r="J20" s="6" t="n">
        <f aca="false">VLOOKUP($A20,Day1!$A$1:$H$394,6,FALSE())</f>
        <v>0</v>
      </c>
      <c r="K20" s="6" t="n">
        <f aca="false">VLOOKUP($A20,'12-р анги өдөр-2'!$F$3:$L$30,4,FALSE())</f>
        <v>0</v>
      </c>
      <c r="L20" s="6" t="n">
        <f aca="false">VLOOKUP($A20,'12-р анги өдөр-2'!$F$3:$L$30,5,FALSE())</f>
        <v>0</v>
      </c>
      <c r="M20" s="6" t="n">
        <f aca="false">VLOOKUP($A20,'12-р анги өдөр-2'!$F$3:$L$30,6,FALSE())</f>
        <v>0</v>
      </c>
      <c r="N20" s="8" t="n">
        <f aca="false">SUM(H20:M20)</f>
        <v>2</v>
      </c>
      <c r="O20" s="8" t="str">
        <f aca="false">ROMAN(RANK(N20,$N$4:$N$31,0))</f>
        <v>XIV</v>
      </c>
    </row>
    <row r="21" customFormat="false" ht="15.75" hidden="false" customHeight="false" outlineLevel="0" collapsed="false">
      <c r="A21" s="6" t="n">
        <v>53495</v>
      </c>
      <c r="B21" s="6" t="s">
        <v>2468</v>
      </c>
      <c r="C21" s="6" t="s">
        <v>2265</v>
      </c>
      <c r="D21" s="6" t="s">
        <v>797</v>
      </c>
      <c r="E21" s="6" t="s">
        <v>2395</v>
      </c>
      <c r="F21" s="6" t="s">
        <v>2469</v>
      </c>
      <c r="G21" s="6" t="s">
        <v>2209</v>
      </c>
      <c r="H21" s="6" t="n">
        <f aca="false">VLOOKUP($A21,Day1!$A$1:$H$394,4,FALSE())</f>
        <v>0</v>
      </c>
      <c r="I21" s="6" t="n">
        <f aca="false">VLOOKUP($A21,Day1!$A$1:$H$394,5,FALSE())</f>
        <v>2</v>
      </c>
      <c r="J21" s="6" t="n">
        <f aca="false">VLOOKUP($A21,Day1!$A$1:$H$394,6,FALSE())</f>
        <v>0</v>
      </c>
      <c r="K21" s="6" t="n">
        <f aca="false">VLOOKUP($A21,'12-р анги өдөр-2'!$F$3:$L$30,4,FALSE())</f>
        <v>0</v>
      </c>
      <c r="L21" s="6" t="n">
        <f aca="false">VLOOKUP($A21,'12-р анги өдөр-2'!$F$3:$L$30,5,FALSE())</f>
        <v>0</v>
      </c>
      <c r="M21" s="6" t="n">
        <f aca="false">VLOOKUP($A21,'12-р анги өдөр-2'!$F$3:$L$30,6,FALSE())</f>
        <v>0</v>
      </c>
      <c r="N21" s="8" t="n">
        <f aca="false">SUM(H21:M21)</f>
        <v>2</v>
      </c>
      <c r="O21" s="8" t="str">
        <f aca="false">ROMAN(RANK(N21,$N$4:$N$31,0))</f>
        <v>XIV</v>
      </c>
    </row>
    <row r="22" customFormat="false" ht="15.75" hidden="false" customHeight="false" outlineLevel="0" collapsed="false">
      <c r="A22" s="6" t="n">
        <v>117778</v>
      </c>
      <c r="B22" s="6" t="s">
        <v>2468</v>
      </c>
      <c r="C22" s="6" t="s">
        <v>2277</v>
      </c>
      <c r="D22" s="6" t="s">
        <v>816</v>
      </c>
      <c r="E22" s="6" t="s">
        <v>2476</v>
      </c>
      <c r="F22" s="6" t="s">
        <v>2469</v>
      </c>
      <c r="G22" s="6" t="s">
        <v>2212</v>
      </c>
      <c r="H22" s="6" t="n">
        <f aca="false">VLOOKUP($A22,Day1!$A$1:$H$394,4,FALSE())</f>
        <v>0</v>
      </c>
      <c r="I22" s="6" t="n">
        <f aca="false">VLOOKUP($A22,Day1!$A$1:$H$394,5,FALSE())</f>
        <v>2</v>
      </c>
      <c r="J22" s="6" t="n">
        <f aca="false">VLOOKUP($A22,Day1!$A$1:$H$394,6,FALSE())</f>
        <v>0</v>
      </c>
      <c r="K22" s="6" t="n">
        <f aca="false">VLOOKUP($A22,'12-р анги өдөр-2'!$F$3:$L$30,4,FALSE())</f>
        <v>0</v>
      </c>
      <c r="L22" s="6" t="n">
        <f aca="false">VLOOKUP($A22,'12-р анги өдөр-2'!$F$3:$L$30,5,FALSE())</f>
        <v>0</v>
      </c>
      <c r="M22" s="6" t="n">
        <f aca="false">VLOOKUP($A22,'12-р анги өдөр-2'!$F$3:$L$30,6,FALSE())</f>
        <v>0</v>
      </c>
      <c r="N22" s="8" t="n">
        <f aca="false">SUM(H22:M22)</f>
        <v>2</v>
      </c>
      <c r="O22" s="8" t="str">
        <f aca="false">ROMAN(RANK(N22,$N$4:$N$31,0))</f>
        <v>XIV</v>
      </c>
    </row>
    <row r="23" customFormat="false" ht="15.75" hidden="false" customHeight="false" outlineLevel="0" collapsed="false">
      <c r="A23" s="6" t="n">
        <v>109392</v>
      </c>
      <c r="B23" s="6" t="s">
        <v>2468</v>
      </c>
      <c r="C23" s="6" t="s">
        <v>2218</v>
      </c>
      <c r="D23" s="6" t="s">
        <v>873</v>
      </c>
      <c r="E23" s="6" t="s">
        <v>2477</v>
      </c>
      <c r="F23" s="6" t="s">
        <v>2469</v>
      </c>
      <c r="G23" s="6" t="s">
        <v>2212</v>
      </c>
      <c r="H23" s="6" t="n">
        <f aca="false">VLOOKUP($A23,Day1!$A$1:$H$394,4,FALSE())</f>
        <v>0</v>
      </c>
      <c r="I23" s="6" t="n">
        <f aca="false">VLOOKUP($A23,Day1!$A$1:$H$394,5,FALSE())</f>
        <v>2</v>
      </c>
      <c r="J23" s="6" t="n">
        <f aca="false">VLOOKUP($A23,Day1!$A$1:$H$394,6,FALSE())</f>
        <v>0</v>
      </c>
      <c r="K23" s="6" t="n">
        <f aca="false">VLOOKUP($A23,'12-р анги өдөр-2'!$F$3:$L$30,4,FALSE())</f>
        <v>0</v>
      </c>
      <c r="L23" s="6" t="n">
        <f aca="false">VLOOKUP($A23,'12-р анги өдөр-2'!$F$3:$L$30,5,FALSE())</f>
        <v>0</v>
      </c>
      <c r="M23" s="6" t="n">
        <f aca="false">VLOOKUP($A23,'12-р анги өдөр-2'!$F$3:$L$30,6,FALSE())</f>
        <v>0</v>
      </c>
      <c r="N23" s="8" t="n">
        <f aca="false">SUM(H23:M23)</f>
        <v>2</v>
      </c>
      <c r="O23" s="8" t="str">
        <f aca="false">ROMAN(RANK(N23,$N$4:$N$31,0))</f>
        <v>XIV</v>
      </c>
    </row>
    <row r="24" customFormat="false" ht="15.75" hidden="false" customHeight="false" outlineLevel="0" collapsed="false">
      <c r="A24" s="6" t="n">
        <v>139279</v>
      </c>
      <c r="B24" s="6" t="s">
        <v>2468</v>
      </c>
      <c r="C24" s="6" t="s">
        <v>2295</v>
      </c>
      <c r="D24" s="6" t="s">
        <v>855</v>
      </c>
      <c r="E24" s="6" t="s">
        <v>2250</v>
      </c>
      <c r="F24" s="6" t="s">
        <v>2469</v>
      </c>
      <c r="G24" s="6" t="s">
        <v>2206</v>
      </c>
      <c r="H24" s="6" t="n">
        <f aca="false">VLOOKUP($A24,Day1!$A$1:$H$394,4,FALSE())</f>
        <v>0</v>
      </c>
      <c r="I24" s="6" t="n">
        <f aca="false">VLOOKUP($A24,Day1!$A$1:$H$394,5,FALSE())</f>
        <v>0</v>
      </c>
      <c r="J24" s="6" t="n">
        <f aca="false">VLOOKUP($A24,Day1!$A$1:$H$394,6,FALSE())</f>
        <v>0</v>
      </c>
      <c r="K24" s="6" t="n">
        <f aca="false">VLOOKUP($A24,'12-р анги өдөр-2'!$F$3:$L$30,4,FALSE())</f>
        <v>0</v>
      </c>
      <c r="L24" s="6" t="n">
        <f aca="false">VLOOKUP($A24,'12-р анги өдөр-2'!$F$3:$L$30,5,FALSE())</f>
        <v>0</v>
      </c>
      <c r="M24" s="6" t="n">
        <f aca="false">VLOOKUP($A24,'12-р анги өдөр-2'!$F$3:$L$30,6,FALSE())</f>
        <v>0</v>
      </c>
      <c r="N24" s="8" t="n">
        <f aca="false">SUM(H24:M24)</f>
        <v>0</v>
      </c>
      <c r="O24" s="8" t="str">
        <f aca="false">ROMAN(RANK(N24,$N$4:$N$31,0))</f>
        <v>XXI</v>
      </c>
    </row>
    <row r="25" customFormat="false" ht="15.75" hidden="false" customHeight="false" outlineLevel="0" collapsed="false">
      <c r="A25" s="6" t="n">
        <v>110088</v>
      </c>
      <c r="B25" s="6" t="s">
        <v>2468</v>
      </c>
      <c r="C25" s="6" t="s">
        <v>2290</v>
      </c>
      <c r="D25" s="6" t="s">
        <v>831</v>
      </c>
      <c r="E25" s="6" t="s">
        <v>1011</v>
      </c>
      <c r="F25" s="6" t="s">
        <v>2469</v>
      </c>
      <c r="G25" s="6" t="s">
        <v>2212</v>
      </c>
      <c r="H25" s="6" t="n">
        <f aca="false">VLOOKUP($A25,Day1!$A$1:$H$394,4,FALSE())</f>
        <v>0</v>
      </c>
      <c r="I25" s="6" t="n">
        <f aca="false">VLOOKUP($A25,Day1!$A$1:$H$394,5,FALSE())</f>
        <v>0</v>
      </c>
      <c r="J25" s="6" t="n">
        <f aca="false">VLOOKUP($A25,Day1!$A$1:$H$394,6,FALSE())</f>
        <v>0</v>
      </c>
      <c r="K25" s="6" t="n">
        <f aca="false">VLOOKUP($A25,'12-р анги өдөр-2'!$F$3:$L$30,4,FALSE())</f>
        <v>0</v>
      </c>
      <c r="L25" s="6" t="n">
        <f aca="false">VLOOKUP($A25,'12-р анги өдөр-2'!$F$3:$L$30,5,FALSE())</f>
        <v>0</v>
      </c>
      <c r="M25" s="6" t="n">
        <f aca="false">VLOOKUP($A25,'12-р анги өдөр-2'!$F$3:$L$30,6,FALSE())</f>
        <v>0</v>
      </c>
      <c r="N25" s="8" t="n">
        <f aca="false">SUM(H25:M25)</f>
        <v>0</v>
      </c>
      <c r="O25" s="8" t="str">
        <f aca="false">ROMAN(RANK(N25,$N$4:$N$31,0))</f>
        <v>XXI</v>
      </c>
    </row>
    <row r="26" customFormat="false" ht="15.75" hidden="false" customHeight="false" outlineLevel="0" collapsed="false">
      <c r="A26" s="6" t="n">
        <v>212553</v>
      </c>
      <c r="B26" s="6" t="s">
        <v>2468</v>
      </c>
      <c r="C26" s="6" t="s">
        <v>2219</v>
      </c>
      <c r="D26" s="6" t="s">
        <v>820</v>
      </c>
      <c r="E26" s="6" t="s">
        <v>2241</v>
      </c>
      <c r="F26" s="6" t="s">
        <v>2469</v>
      </c>
      <c r="G26" s="6" t="s">
        <v>2209</v>
      </c>
      <c r="H26" s="6" t="n">
        <f aca="false">VLOOKUP($A26,Day1!$A$1:$H$394,4,FALSE())</f>
        <v>0</v>
      </c>
      <c r="I26" s="6" t="n">
        <f aca="false">VLOOKUP($A26,Day1!$A$1:$H$394,5,FALSE())</f>
        <v>0</v>
      </c>
      <c r="J26" s="6" t="n">
        <f aca="false">VLOOKUP($A26,Day1!$A$1:$H$394,6,FALSE())</f>
        <v>0</v>
      </c>
      <c r="K26" s="6" t="n">
        <f aca="false">VLOOKUP($A26,'12-р анги өдөр-2'!$F$3:$L$30,4,FALSE())</f>
        <v>0</v>
      </c>
      <c r="L26" s="6" t="n">
        <f aca="false">VLOOKUP($A26,'12-р анги өдөр-2'!$F$3:$L$30,5,FALSE())</f>
        <v>0</v>
      </c>
      <c r="M26" s="6" t="n">
        <f aca="false">VLOOKUP($A26,'12-р анги өдөр-2'!$F$3:$L$30,6,FALSE())</f>
        <v>0</v>
      </c>
      <c r="N26" s="8" t="n">
        <f aca="false">SUM(H26:M26)</f>
        <v>0</v>
      </c>
      <c r="O26" s="8" t="str">
        <f aca="false">ROMAN(RANK(N26,$N$4:$N$31,0))</f>
        <v>XXI</v>
      </c>
    </row>
    <row r="27" customFormat="false" ht="15.75" hidden="false" customHeight="false" outlineLevel="0" collapsed="false">
      <c r="A27" s="6" t="n">
        <v>118418</v>
      </c>
      <c r="B27" s="6" t="s">
        <v>2468</v>
      </c>
      <c r="C27" s="6" t="s">
        <v>2253</v>
      </c>
      <c r="D27" s="6" t="s">
        <v>789</v>
      </c>
      <c r="E27" s="6" t="s">
        <v>2371</v>
      </c>
      <c r="F27" s="6" t="s">
        <v>2469</v>
      </c>
      <c r="G27" s="6" t="s">
        <v>2212</v>
      </c>
      <c r="H27" s="6" t="n">
        <f aca="false">VLOOKUP($A27,Day1!$A$1:$H$394,4,FALSE())</f>
        <v>0</v>
      </c>
      <c r="I27" s="6" t="n">
        <f aca="false">VLOOKUP($A27,Day1!$A$1:$H$394,5,FALSE())</f>
        <v>0</v>
      </c>
      <c r="J27" s="6" t="n">
        <f aca="false">VLOOKUP($A27,Day1!$A$1:$H$394,6,FALSE())</f>
        <v>0</v>
      </c>
      <c r="K27" s="6" t="n">
        <f aca="false">VLOOKUP($A27,'12-р анги өдөр-2'!$F$3:$L$30,4,FALSE())</f>
        <v>0</v>
      </c>
      <c r="L27" s="6" t="n">
        <f aca="false">VLOOKUP($A27,'12-р анги өдөр-2'!$F$3:$L$30,5,FALSE())</f>
        <v>0</v>
      </c>
      <c r="M27" s="6" t="n">
        <f aca="false">VLOOKUP($A27,'12-р анги өдөр-2'!$F$3:$L$30,6,FALSE())</f>
        <v>0</v>
      </c>
      <c r="N27" s="8" t="n">
        <f aca="false">SUM(H27:M27)</f>
        <v>0</v>
      </c>
      <c r="O27" s="8" t="str">
        <f aca="false">ROMAN(RANK(N27,$N$4:$N$31,0))</f>
        <v>XXI</v>
      </c>
    </row>
    <row r="28" customFormat="false" ht="15.75" hidden="false" customHeight="false" outlineLevel="0" collapsed="false">
      <c r="A28" s="6" t="n">
        <v>122405</v>
      </c>
      <c r="B28" s="6" t="s">
        <v>2468</v>
      </c>
      <c r="C28" s="6" t="s">
        <v>2310</v>
      </c>
      <c r="D28" s="6" t="s">
        <v>805</v>
      </c>
      <c r="E28" s="6" t="s">
        <v>2478</v>
      </c>
      <c r="F28" s="6" t="s">
        <v>2469</v>
      </c>
      <c r="G28" s="6" t="s">
        <v>2206</v>
      </c>
      <c r="H28" s="6" t="n">
        <f aca="false">VLOOKUP($A28,Day1!$A$1:$H$394,4,FALSE())</f>
        <v>0</v>
      </c>
      <c r="I28" s="6" t="n">
        <f aca="false">VLOOKUP($A28,Day1!$A$1:$H$394,5,FALSE())</f>
        <v>0</v>
      </c>
      <c r="J28" s="6" t="n">
        <f aca="false">VLOOKUP($A28,Day1!$A$1:$H$394,6,FALSE())</f>
        <v>0</v>
      </c>
      <c r="K28" s="6" t="n">
        <f aca="false">VLOOKUP($A28,'12-р анги өдөр-2'!$F$3:$L$30,4,FALSE())</f>
        <v>0</v>
      </c>
      <c r="L28" s="6" t="n">
        <f aca="false">VLOOKUP($A28,'12-р анги өдөр-2'!$F$3:$L$30,5,FALSE())</f>
        <v>0</v>
      </c>
      <c r="M28" s="6" t="n">
        <f aca="false">VLOOKUP($A28,'12-р анги өдөр-2'!$F$3:$L$30,6,FALSE())</f>
        <v>0</v>
      </c>
      <c r="N28" s="8" t="n">
        <f aca="false">SUM(H28:M28)</f>
        <v>0</v>
      </c>
      <c r="O28" s="8" t="str">
        <f aca="false">ROMAN(RANK(N28,$N$4:$N$31,0))</f>
        <v>XXI</v>
      </c>
    </row>
    <row r="29" customFormat="false" ht="15.75" hidden="false" customHeight="false" outlineLevel="0" collapsed="false">
      <c r="A29" s="6" t="n">
        <v>111890</v>
      </c>
      <c r="B29" s="6" t="s">
        <v>2468</v>
      </c>
      <c r="C29" s="6" t="s">
        <v>2257</v>
      </c>
      <c r="D29" s="6" t="s">
        <v>808</v>
      </c>
      <c r="E29" s="6" t="s">
        <v>868</v>
      </c>
      <c r="F29" s="6" t="s">
        <v>2469</v>
      </c>
      <c r="G29" s="6" t="s">
        <v>2212</v>
      </c>
      <c r="H29" s="6" t="n">
        <f aca="false">VLOOKUP($A29,Day1!$A$1:$H$394,4,FALSE())</f>
        <v>0</v>
      </c>
      <c r="I29" s="6" t="n">
        <f aca="false">VLOOKUP($A29,Day1!$A$1:$H$394,5,FALSE())</f>
        <v>0</v>
      </c>
      <c r="J29" s="6" t="n">
        <f aca="false">VLOOKUP($A29,Day1!$A$1:$H$394,6,FALSE())</f>
        <v>0</v>
      </c>
      <c r="K29" s="6" t="n">
        <f aca="false">VLOOKUP($A29,'12-р анги өдөр-2'!$F$3:$L$30,4,FALSE())</f>
        <v>0</v>
      </c>
      <c r="L29" s="6" t="n">
        <f aca="false">VLOOKUP($A29,'12-р анги өдөр-2'!$F$3:$L$30,5,FALSE())</f>
        <v>0</v>
      </c>
      <c r="M29" s="6" t="n">
        <f aca="false">VLOOKUP($A29,'12-р анги өдөр-2'!$F$3:$L$30,6,FALSE())</f>
        <v>0</v>
      </c>
      <c r="N29" s="8" t="n">
        <f aca="false">SUM(H29:M29)</f>
        <v>0</v>
      </c>
      <c r="O29" s="8" t="str">
        <f aca="false">ROMAN(RANK(N29,$N$4:$N$31,0))</f>
        <v>XXI</v>
      </c>
    </row>
    <row r="30" customFormat="false" ht="26.85" hidden="false" customHeight="false" outlineLevel="0" collapsed="false">
      <c r="A30" s="6" t="n">
        <v>182905</v>
      </c>
      <c r="B30" s="6" t="s">
        <v>2468</v>
      </c>
      <c r="C30" s="7" t="s">
        <v>2432</v>
      </c>
      <c r="D30" s="6" t="s">
        <v>839</v>
      </c>
      <c r="E30" s="6" t="s">
        <v>2479</v>
      </c>
      <c r="F30" s="6" t="s">
        <v>2469</v>
      </c>
      <c r="G30" s="6" t="s">
        <v>2212</v>
      </c>
      <c r="H30" s="6" t="n">
        <f aca="false">VLOOKUP($A30,Day1!$A$1:$H$394,4,FALSE())</f>
        <v>0</v>
      </c>
      <c r="I30" s="6" t="n">
        <f aca="false">VLOOKUP($A30,Day1!$A$1:$H$394,5,FALSE())</f>
        <v>0</v>
      </c>
      <c r="J30" s="6" t="n">
        <f aca="false">VLOOKUP($A30,Day1!$A$1:$H$394,6,FALSE())</f>
        <v>0</v>
      </c>
      <c r="K30" s="6" t="n">
        <f aca="false">VLOOKUP($A30,'12-р анги өдөр-2'!$F$3:$L$30,4,FALSE())</f>
        <v>0</v>
      </c>
      <c r="L30" s="6" t="n">
        <f aca="false">VLOOKUP($A30,'12-р анги өдөр-2'!$F$3:$L$30,5,FALSE())</f>
        <v>0</v>
      </c>
      <c r="M30" s="6" t="n">
        <f aca="false">VLOOKUP($A30,'12-р анги өдөр-2'!$F$3:$L$30,6,FALSE())</f>
        <v>0</v>
      </c>
      <c r="N30" s="8" t="n">
        <f aca="false">SUM(H30:M30)</f>
        <v>0</v>
      </c>
      <c r="O30" s="8" t="str">
        <f aca="false">ROMAN(RANK(N30,$N$4:$N$31,0))</f>
        <v>XXI</v>
      </c>
    </row>
    <row r="31" customFormat="false" ht="15.75" hidden="false" customHeight="false" outlineLevel="0" collapsed="false">
      <c r="A31" s="6" t="n">
        <v>115785</v>
      </c>
      <c r="B31" s="6" t="s">
        <v>2468</v>
      </c>
      <c r="C31" s="6" t="s">
        <v>2255</v>
      </c>
      <c r="D31" s="6" t="s">
        <v>863</v>
      </c>
      <c r="E31" s="6" t="s">
        <v>2457</v>
      </c>
      <c r="F31" s="6" t="s">
        <v>2469</v>
      </c>
      <c r="G31" s="6" t="s">
        <v>2212</v>
      </c>
      <c r="H31" s="6" t="n">
        <f aca="false">VLOOKUP($A31,Day1!$A$1:$H$394,4,FALSE())</f>
        <v>0</v>
      </c>
      <c r="I31" s="6" t="n">
        <f aca="false">VLOOKUP($A31,Day1!$A$1:$H$394,5,FALSE())</f>
        <v>0</v>
      </c>
      <c r="J31" s="6" t="n">
        <f aca="false">VLOOKUP($A31,Day1!$A$1:$H$394,6,FALSE())</f>
        <v>0</v>
      </c>
      <c r="K31" s="6" t="n">
        <f aca="false">VLOOKUP($A31,'12-р анги өдөр-2'!$F$3:$L$30,4,FALSE())</f>
        <v>0</v>
      </c>
      <c r="L31" s="6" t="n">
        <f aca="false">VLOOKUP($A31,'12-р анги өдөр-2'!$F$3:$L$30,5,FALSE())</f>
        <v>0</v>
      </c>
      <c r="M31" s="6" t="n">
        <f aca="false">VLOOKUP($A31,'12-р анги өдөр-2'!$F$3:$L$30,6,FALSE())</f>
        <v>0</v>
      </c>
      <c r="N31" s="8" t="n">
        <f aca="false">SUM(H31:M31)</f>
        <v>0</v>
      </c>
      <c r="O31" s="8" t="str">
        <f aca="false">ROMAN(RANK(N31,$N$4:$N$31,0))</f>
        <v>XXI</v>
      </c>
    </row>
    <row r="33" customFormat="false" ht="15.75" hidden="false" customHeight="false" outlineLevel="0" collapsed="false">
      <c r="A33" s="5" t="s">
        <v>2465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customFormat="false" ht="15.75" hidden="false" customHeight="false" outlineLevel="0" collapsed="false">
      <c r="A35" s="5" t="s">
        <v>2466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</sheetData>
  <autoFilter ref="A3:O31">
    <sortState ref="A4:O31">
      <sortCondition ref="A4:A31" descending="1" customList=""/>
    </sortState>
  </autoFilter>
  <mergeCells count="6">
    <mergeCell ref="A1:O1"/>
    <mergeCell ref="A2:B2"/>
    <mergeCell ref="K2:O2"/>
    <mergeCell ref="A33:L33"/>
    <mergeCell ref="A34:L34"/>
    <mergeCell ref="A35:L35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true"/>
  </sheetPr>
  <dimension ref="A1:X9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75"/>
    <col collapsed="false" customWidth="true" hidden="false" outlineLevel="0" max="2" min="2" style="0" width="6.51"/>
    <col collapsed="false" customWidth="true" hidden="false" outlineLevel="0" max="3" min="3" style="0" width="10.51"/>
    <col collapsed="false" customWidth="true" hidden="false" outlineLevel="0" max="4" min="4" style="0" width="31.5"/>
    <col collapsed="false" customWidth="true" hidden="false" outlineLevel="0" max="5" min="5" style="0" width="10.75"/>
    <col collapsed="false" customWidth="true" hidden="false" outlineLevel="0" max="6" min="6" style="0" width="13.13"/>
    <col collapsed="false" customWidth="true" hidden="false" outlineLevel="0" max="10" min="7" style="0" width="8.25"/>
    <col collapsed="false" customWidth="true" hidden="false" outlineLevel="0" max="11" min="11" style="0" width="6.51"/>
    <col collapsed="false" customWidth="true" hidden="false" outlineLevel="0" max="12" min="12" style="0" width="8"/>
  </cols>
  <sheetData>
    <row r="1" customFormat="false" ht="15.75" hidden="false" customHeight="false" outlineLevel="0" collapsed="false">
      <c r="A1" s="17" t="s">
        <v>2480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customFormat="false" ht="15.75" hidden="false" customHeight="false" outlineLevel="0" collapsed="false">
      <c r="A2" s="18"/>
      <c r="B2" s="18"/>
      <c r="C2" s="18"/>
      <c r="D2" s="18"/>
      <c r="E2" s="18"/>
      <c r="F2" s="18"/>
      <c r="G2" s="18"/>
      <c r="H2" s="17" t="s">
        <v>2481</v>
      </c>
      <c r="I2" s="17"/>
      <c r="J2" s="17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customFormat="false" ht="37.5" hidden="false" customHeight="true" outlineLevel="0" collapsed="false">
      <c r="A3" s="19"/>
      <c r="B3" s="19" t="s">
        <v>2189</v>
      </c>
      <c r="C3" s="19" t="s">
        <v>2190</v>
      </c>
      <c r="D3" s="19" t="s">
        <v>2191</v>
      </c>
      <c r="E3" s="19" t="s">
        <v>2192</v>
      </c>
      <c r="F3" s="19" t="s">
        <v>2193</v>
      </c>
      <c r="G3" s="19" t="s">
        <v>2196</v>
      </c>
      <c r="H3" s="19" t="s">
        <v>2197</v>
      </c>
      <c r="I3" s="19" t="s">
        <v>2198</v>
      </c>
      <c r="J3" s="19" t="s">
        <v>2199</v>
      </c>
      <c r="K3" s="19" t="s">
        <v>2200</v>
      </c>
      <c r="L3" s="19" t="s">
        <v>2201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customFormat="false" ht="15.75" hidden="false" customHeight="false" outlineLevel="0" collapsed="false">
      <c r="A4" s="21" t="n">
        <v>1</v>
      </c>
      <c r="B4" s="21" t="n">
        <v>177663</v>
      </c>
      <c r="C4" s="21" t="s">
        <v>883</v>
      </c>
      <c r="D4" s="21" t="s">
        <v>2222</v>
      </c>
      <c r="E4" s="21" t="s">
        <v>2482</v>
      </c>
      <c r="F4" s="21" t="s">
        <v>888</v>
      </c>
      <c r="G4" s="21" t="n">
        <f aca="false">VLOOKUP($B4,Day2!$A$1:$H$400,4,FALSE())</f>
        <v>7</v>
      </c>
      <c r="H4" s="21" t="n">
        <f aca="false">VLOOKUP($B4,Day2!$A$1:$H$400,5,FALSE())</f>
        <v>0</v>
      </c>
      <c r="I4" s="21" t="n">
        <f aca="false">VLOOKUP($B4,Day2!$A$1:$H$400,6,FALSE())</f>
        <v>1</v>
      </c>
      <c r="J4" s="21" t="n">
        <f aca="false">VLOOKUP($B4,Day2!$A$1:$H$400,7,FALSE())</f>
        <v>7</v>
      </c>
      <c r="K4" s="21" t="n">
        <f aca="false">SUM(G4:J4)</f>
        <v>15</v>
      </c>
      <c r="L4" s="21" t="str">
        <f aca="false">ROMAN(RANK(K4,$K$4:$K$46,0))</f>
        <v>I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customFormat="false" ht="15.75" hidden="false" customHeight="false" outlineLevel="0" collapsed="false">
      <c r="A5" s="21" t="n">
        <v>2</v>
      </c>
      <c r="B5" s="21" t="n">
        <v>177676</v>
      </c>
      <c r="C5" s="21" t="s">
        <v>883</v>
      </c>
      <c r="D5" s="21" t="s">
        <v>2222</v>
      </c>
      <c r="E5" s="21" t="s">
        <v>2483</v>
      </c>
      <c r="F5" s="21" t="s">
        <v>893</v>
      </c>
      <c r="G5" s="21" t="n">
        <f aca="false">VLOOKUP($B5,Day2!$A$1:$H$400,4,FALSE())</f>
        <v>7</v>
      </c>
      <c r="H5" s="21" t="n">
        <f aca="false">VLOOKUP($B5,Day2!$A$1:$H$400,5,FALSE())</f>
        <v>0</v>
      </c>
      <c r="I5" s="21" t="n">
        <f aca="false">VLOOKUP($B5,Day2!$A$1:$H$400,6,FALSE())</f>
        <v>0</v>
      </c>
      <c r="J5" s="21" t="n">
        <f aca="false">VLOOKUP($B5,Day2!$A$1:$H$400,7,FALSE())</f>
        <v>7</v>
      </c>
      <c r="K5" s="21" t="n">
        <f aca="false">SUM(G5:J5)</f>
        <v>14</v>
      </c>
      <c r="L5" s="21" t="str">
        <f aca="false">ROMAN(RANK(K5,$K$4:$K$46,0))</f>
        <v>II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customFormat="false" ht="15.75" hidden="false" customHeight="false" outlineLevel="0" collapsed="false">
      <c r="A6" s="21" t="n">
        <v>3</v>
      </c>
      <c r="B6" s="21" t="n">
        <v>177707</v>
      </c>
      <c r="C6" s="21" t="s">
        <v>883</v>
      </c>
      <c r="D6" s="21" t="s">
        <v>2261</v>
      </c>
      <c r="E6" s="21" t="s">
        <v>2484</v>
      </c>
      <c r="F6" s="21" t="s">
        <v>898</v>
      </c>
      <c r="G6" s="21" t="n">
        <f aca="false">VLOOKUP($B6,Day2!$A$1:$H$400,4,FALSE())</f>
        <v>7</v>
      </c>
      <c r="H6" s="21" t="n">
        <f aca="false">VLOOKUP($B6,Day2!$A$1:$H$400,5,FALSE())</f>
        <v>0</v>
      </c>
      <c r="I6" s="21" t="n">
        <f aca="false">VLOOKUP($B6,Day2!$A$1:$H$400,6,FALSE())</f>
        <v>1</v>
      </c>
      <c r="J6" s="21" t="n">
        <f aca="false">VLOOKUP($B6,Day2!$A$1:$H$400,7,FALSE())</f>
        <v>5</v>
      </c>
      <c r="K6" s="21" t="n">
        <f aca="false">SUM(G6:J6)</f>
        <v>13</v>
      </c>
      <c r="L6" s="21" t="str">
        <f aca="false">ROMAN(RANK(K6,$K$4:$K$46,0))</f>
        <v>III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customFormat="false" ht="15.75" hidden="false" customHeight="false" outlineLevel="0" collapsed="false">
      <c r="A7" s="21" t="n">
        <v>4</v>
      </c>
      <c r="B7" s="21" t="n">
        <v>177668</v>
      </c>
      <c r="C7" s="21" t="s">
        <v>883</v>
      </c>
      <c r="D7" s="21" t="s">
        <v>2221</v>
      </c>
      <c r="E7" s="21" t="s">
        <v>749</v>
      </c>
      <c r="F7" s="21" t="s">
        <v>903</v>
      </c>
      <c r="G7" s="21" t="n">
        <f aca="false">VLOOKUP($B7,Day2!$A$1:$H$400,4,FALSE())</f>
        <v>7</v>
      </c>
      <c r="H7" s="21" t="n">
        <f aca="false">VLOOKUP($B7,Day2!$A$1:$H$400,5,FALSE())</f>
        <v>0</v>
      </c>
      <c r="I7" s="21" t="n">
        <f aca="false">VLOOKUP($B7,Day2!$A$1:$H$400,6,FALSE())</f>
        <v>1</v>
      </c>
      <c r="J7" s="21" t="n">
        <f aca="false">VLOOKUP($B7,Day2!$A$1:$H$400,7,FALSE())</f>
        <v>5</v>
      </c>
      <c r="K7" s="21" t="n">
        <f aca="false">SUM(G7:J7)</f>
        <v>13</v>
      </c>
      <c r="L7" s="21" t="str">
        <f aca="false">ROMAN(RANK(K7,$K$4:$K$46,0))</f>
        <v>III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customFormat="false" ht="15.75" hidden="false" customHeight="false" outlineLevel="0" collapsed="false">
      <c r="A8" s="21" t="n">
        <v>7</v>
      </c>
      <c r="B8" s="21" t="n">
        <v>231981</v>
      </c>
      <c r="C8" s="21" t="s">
        <v>883</v>
      </c>
      <c r="D8" s="21" t="s">
        <v>2221</v>
      </c>
      <c r="E8" s="21" t="s">
        <v>364</v>
      </c>
      <c r="F8" s="21" t="s">
        <v>970</v>
      </c>
      <c r="G8" s="21" t="n">
        <f aca="false">VLOOKUP($B8,Day2!$A$1:$H$400,4,FALSE())</f>
        <v>7</v>
      </c>
      <c r="H8" s="21" t="n">
        <f aca="false">VLOOKUP($B8,Day2!$A$1:$H$400,5,FALSE())</f>
        <v>0</v>
      </c>
      <c r="I8" s="21" t="n">
        <f aca="false">VLOOKUP($B8,Day2!$A$1:$H$400,6,FALSE())</f>
        <v>1</v>
      </c>
      <c r="J8" s="21" t="n">
        <f aca="false">VLOOKUP($B8,Day2!$A$1:$H$400,7,FALSE())</f>
        <v>4</v>
      </c>
      <c r="K8" s="21" t="n">
        <f aca="false">SUM(G8:J8)</f>
        <v>12</v>
      </c>
      <c r="L8" s="21" t="str">
        <f aca="false">ROMAN(RANK(K8,$K$4:$K$46,0))</f>
        <v>V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customFormat="false" ht="15.75" hidden="false" customHeight="false" outlineLevel="0" collapsed="false">
      <c r="A9" s="21" t="n">
        <v>8</v>
      </c>
      <c r="B9" s="21" t="n">
        <v>232137</v>
      </c>
      <c r="C9" s="21" t="s">
        <v>883</v>
      </c>
      <c r="D9" s="21" t="s">
        <v>2259</v>
      </c>
      <c r="E9" s="21" t="s">
        <v>2317</v>
      </c>
      <c r="F9" s="21" t="s">
        <v>2485</v>
      </c>
      <c r="G9" s="21" t="n">
        <f aca="false">VLOOKUP($B9,Day2!$A$1:$H$400,4,FALSE())</f>
        <v>7</v>
      </c>
      <c r="H9" s="21" t="n">
        <f aca="false">VLOOKUP($B9,Day2!$A$1:$H$400,5,FALSE())</f>
        <v>0</v>
      </c>
      <c r="I9" s="21" t="n">
        <f aca="false">VLOOKUP($B9,Day2!$A$1:$H$400,6,FALSE())</f>
        <v>0</v>
      </c>
      <c r="J9" s="21" t="n">
        <f aca="false">VLOOKUP($B9,Day2!$A$1:$H$400,7,FALSE())</f>
        <v>4</v>
      </c>
      <c r="K9" s="21" t="n">
        <f aca="false">SUM(G9:J9)</f>
        <v>11</v>
      </c>
      <c r="L9" s="21" t="str">
        <f aca="false">ROMAN(RANK(K9,$K$4:$K$46,0))</f>
        <v>VI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customFormat="false" ht="15.75" hidden="false" customHeight="false" outlineLevel="0" collapsed="false">
      <c r="A10" s="21" t="n">
        <v>9</v>
      </c>
      <c r="B10" s="21" t="n">
        <v>232149</v>
      </c>
      <c r="C10" s="21" t="s">
        <v>883</v>
      </c>
      <c r="D10" s="21" t="s">
        <v>2259</v>
      </c>
      <c r="E10" s="21" t="s">
        <v>2486</v>
      </c>
      <c r="F10" s="21" t="s">
        <v>913</v>
      </c>
      <c r="G10" s="21" t="n">
        <f aca="false">VLOOKUP($B10,Day2!$A$1:$H$400,4,FALSE())</f>
        <v>7</v>
      </c>
      <c r="H10" s="21" t="n">
        <f aca="false">VLOOKUP($B10,Day2!$A$1:$H$400,5,FALSE())</f>
        <v>0</v>
      </c>
      <c r="I10" s="21" t="n">
        <f aca="false">VLOOKUP($B10,Day2!$A$1:$H$400,6,FALSE())</f>
        <v>0</v>
      </c>
      <c r="J10" s="21" t="n">
        <f aca="false">VLOOKUP($B10,Day2!$A$1:$H$400,7,FALSE())</f>
        <v>4</v>
      </c>
      <c r="K10" s="21" t="n">
        <f aca="false">SUM(G10:J10)</f>
        <v>11</v>
      </c>
      <c r="L10" s="21" t="str">
        <f aca="false">ROMAN(RANK(K10,$K$4:$K$46,0))</f>
        <v>VI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customFormat="false" ht="15.75" hidden="false" customHeight="false" outlineLevel="0" collapsed="false">
      <c r="A11" s="21" t="n">
        <v>10</v>
      </c>
      <c r="B11" s="21" t="n">
        <v>232058</v>
      </c>
      <c r="C11" s="21" t="s">
        <v>883</v>
      </c>
      <c r="D11" s="21" t="s">
        <v>2487</v>
      </c>
      <c r="E11" s="21" t="s">
        <v>2488</v>
      </c>
      <c r="F11" s="21" t="s">
        <v>923</v>
      </c>
      <c r="G11" s="21" t="n">
        <f aca="false">VLOOKUP($B11,Day2!$A$1:$H$400,4,FALSE())</f>
        <v>7</v>
      </c>
      <c r="H11" s="21" t="n">
        <f aca="false">VLOOKUP($B11,Day2!$A$1:$H$400,5,FALSE())</f>
        <v>0</v>
      </c>
      <c r="I11" s="21" t="n">
        <f aca="false">VLOOKUP($B11,Day2!$A$1:$H$400,6,FALSE())</f>
        <v>0</v>
      </c>
      <c r="J11" s="21" t="n">
        <f aca="false">VLOOKUP($B11,Day2!$A$1:$H$400,7,FALSE())</f>
        <v>3</v>
      </c>
      <c r="K11" s="21" t="n">
        <f aca="false">SUM(G11:J11)</f>
        <v>10</v>
      </c>
      <c r="L11" s="21" t="str">
        <f aca="false">ROMAN(RANK(K11,$K$4:$K$46,0))</f>
        <v>VIII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customFormat="false" ht="15.75" hidden="false" customHeight="false" outlineLevel="0" collapsed="false">
      <c r="A12" s="21" t="n">
        <v>11</v>
      </c>
      <c r="B12" s="21" t="n">
        <v>101655</v>
      </c>
      <c r="C12" s="21" t="s">
        <v>883</v>
      </c>
      <c r="D12" s="21" t="s">
        <v>2203</v>
      </c>
      <c r="E12" s="21" t="s">
        <v>2489</v>
      </c>
      <c r="F12" s="21" t="s">
        <v>928</v>
      </c>
      <c r="G12" s="21" t="n">
        <f aca="false">VLOOKUP($B12,Day2!$A$1:$H$400,4,FALSE())</f>
        <v>7</v>
      </c>
      <c r="H12" s="21" t="n">
        <f aca="false">VLOOKUP($B12,Day2!$A$1:$H$400,5,FALSE())</f>
        <v>0</v>
      </c>
      <c r="I12" s="21" t="n">
        <f aca="false">VLOOKUP($B12,Day2!$A$1:$H$400,6,FALSE())</f>
        <v>0</v>
      </c>
      <c r="J12" s="21" t="n">
        <f aca="false">VLOOKUP($B12,Day2!$A$1:$H$400,7,FALSE())</f>
        <v>3</v>
      </c>
      <c r="K12" s="21" t="n">
        <f aca="false">SUM(G12:J12)</f>
        <v>10</v>
      </c>
      <c r="L12" s="21" t="str">
        <f aca="false">ROMAN(RANK(K12,$K$4:$K$46,0))</f>
        <v>VIII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customFormat="false" ht="15.75" hidden="false" customHeight="false" outlineLevel="0" collapsed="false">
      <c r="A13" s="21" t="n">
        <v>12</v>
      </c>
      <c r="B13" s="21" t="n">
        <v>9944</v>
      </c>
      <c r="C13" s="21" t="s">
        <v>883</v>
      </c>
      <c r="D13" s="21" t="s">
        <v>2295</v>
      </c>
      <c r="E13" s="21" t="s">
        <v>2338</v>
      </c>
      <c r="F13" s="21" t="s">
        <v>937</v>
      </c>
      <c r="G13" s="21" t="n">
        <f aca="false">VLOOKUP($B13,Day2!$A$1:$H$400,4,FALSE())</f>
        <v>7</v>
      </c>
      <c r="H13" s="21" t="n">
        <f aca="false">VLOOKUP($B13,Day2!$A$1:$H$400,5,FALSE())</f>
        <v>0</v>
      </c>
      <c r="I13" s="21" t="n">
        <f aca="false">VLOOKUP($B13,Day2!$A$1:$H$400,6,FALSE())</f>
        <v>0</v>
      </c>
      <c r="J13" s="21" t="n">
        <f aca="false">VLOOKUP($B13,Day2!$A$1:$H$400,7,FALSE())</f>
        <v>3</v>
      </c>
      <c r="K13" s="21" t="n">
        <f aca="false">SUM(G13:J13)</f>
        <v>10</v>
      </c>
      <c r="L13" s="21" t="str">
        <f aca="false">ROMAN(RANK(K13,$K$4:$K$46,0))</f>
        <v>VIII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customFormat="false" ht="15.75" hidden="false" customHeight="false" outlineLevel="0" collapsed="false">
      <c r="A14" s="21" t="n">
        <v>13</v>
      </c>
      <c r="B14" s="21" t="n">
        <v>231999</v>
      </c>
      <c r="C14" s="21" t="s">
        <v>883</v>
      </c>
      <c r="D14" s="21" t="s">
        <v>2222</v>
      </c>
      <c r="E14" s="21" t="s">
        <v>2490</v>
      </c>
      <c r="F14" s="21" t="s">
        <v>639</v>
      </c>
      <c r="G14" s="21" t="n">
        <f aca="false">VLOOKUP($B14,Day2!$A$1:$H$400,4,FALSE())</f>
        <v>7</v>
      </c>
      <c r="H14" s="21" t="n">
        <f aca="false">VLOOKUP($B14,Day2!$A$1:$H$400,5,FALSE())</f>
        <v>0</v>
      </c>
      <c r="I14" s="21" t="n">
        <f aca="false">VLOOKUP($B14,Day2!$A$1:$H$400,6,FALSE())</f>
        <v>0</v>
      </c>
      <c r="J14" s="21" t="n">
        <f aca="false">VLOOKUP($B14,Day2!$A$1:$H$400,7,FALSE())</f>
        <v>3</v>
      </c>
      <c r="K14" s="21" t="n">
        <f aca="false">SUM(G14:J14)</f>
        <v>10</v>
      </c>
      <c r="L14" s="21" t="str">
        <f aca="false">ROMAN(RANK(K14,$K$4:$K$46,0))</f>
        <v>VIII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customFormat="false" ht="15.75" hidden="false" customHeight="false" outlineLevel="0" collapsed="false">
      <c r="A15" s="21" t="n">
        <v>14</v>
      </c>
      <c r="B15" s="21" t="n">
        <v>232005</v>
      </c>
      <c r="C15" s="21" t="s">
        <v>883</v>
      </c>
      <c r="D15" s="21" t="s">
        <v>2265</v>
      </c>
      <c r="E15" s="21" t="s">
        <v>2369</v>
      </c>
      <c r="F15" s="21" t="s">
        <v>918</v>
      </c>
      <c r="G15" s="21" t="n">
        <f aca="false">VLOOKUP($B15,Day2!$A$1:$H$400,4,FALSE())</f>
        <v>7</v>
      </c>
      <c r="H15" s="21" t="n">
        <f aca="false">VLOOKUP($B15,Day2!$A$1:$H$400,5,FALSE())</f>
        <v>0</v>
      </c>
      <c r="I15" s="21" t="n">
        <f aca="false">VLOOKUP($B15,Day2!$A$1:$H$400,6,FALSE())</f>
        <v>0</v>
      </c>
      <c r="J15" s="21" t="n">
        <f aca="false">VLOOKUP($B15,Day2!$A$1:$H$400,7,FALSE())</f>
        <v>3</v>
      </c>
      <c r="K15" s="21" t="n">
        <f aca="false">SUM(G15:J15)</f>
        <v>10</v>
      </c>
      <c r="L15" s="21" t="str">
        <f aca="false">ROMAN(RANK(K15,$K$4:$K$46,0))</f>
        <v>VIII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customFormat="false" ht="15.75" hidden="false" customHeight="false" outlineLevel="0" collapsed="false">
      <c r="A16" s="21" t="n">
        <v>15</v>
      </c>
      <c r="B16" s="21" t="n">
        <v>231966</v>
      </c>
      <c r="C16" s="21" t="s">
        <v>883</v>
      </c>
      <c r="D16" s="21" t="s">
        <v>2277</v>
      </c>
      <c r="E16" s="21" t="s">
        <v>2491</v>
      </c>
      <c r="F16" s="21" t="s">
        <v>942</v>
      </c>
      <c r="G16" s="21" t="n">
        <f aca="false">VLOOKUP($B16,Day2!$A$1:$H$400,4,FALSE())</f>
        <v>7</v>
      </c>
      <c r="H16" s="21" t="n">
        <f aca="false">VLOOKUP($B16,Day2!$A$1:$H$400,5,FALSE())</f>
        <v>0</v>
      </c>
      <c r="I16" s="21" t="n">
        <f aca="false">VLOOKUP($B16,Day2!$A$1:$H$400,6,FALSE())</f>
        <v>0</v>
      </c>
      <c r="J16" s="21" t="n">
        <f aca="false">VLOOKUP($B16,Day2!$A$1:$H$400,7,FALSE())</f>
        <v>3</v>
      </c>
      <c r="K16" s="21" t="n">
        <f aca="false">SUM(G16:J16)</f>
        <v>10</v>
      </c>
      <c r="L16" s="21" t="str">
        <f aca="false">ROMAN(RANK(K16,$K$4:$K$46,0))</f>
        <v>VIII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customFormat="false" ht="15.75" hidden="false" customHeight="false" outlineLevel="0" collapsed="false">
      <c r="A17" s="21" t="n">
        <v>16</v>
      </c>
      <c r="B17" s="21" t="n">
        <v>232142</v>
      </c>
      <c r="C17" s="21" t="s">
        <v>883</v>
      </c>
      <c r="D17" s="21" t="s">
        <v>2221</v>
      </c>
      <c r="E17" s="21" t="s">
        <v>2492</v>
      </c>
      <c r="F17" s="21" t="s">
        <v>44</v>
      </c>
      <c r="G17" s="21" t="n">
        <f aca="false">VLOOKUP($B17,Day2!$A$1:$H$400,4,FALSE())</f>
        <v>7</v>
      </c>
      <c r="H17" s="21" t="n">
        <f aca="false">VLOOKUP($B17,Day2!$A$1:$H$400,5,FALSE())</f>
        <v>0</v>
      </c>
      <c r="I17" s="21" t="n">
        <f aca="false">VLOOKUP($B17,Day2!$A$1:$H$400,6,FALSE())</f>
        <v>1</v>
      </c>
      <c r="J17" s="21" t="n">
        <f aca="false">VLOOKUP($B17,Day2!$A$1:$H$400,7,FALSE())</f>
        <v>1</v>
      </c>
      <c r="K17" s="21" t="n">
        <f aca="false">SUM(G17:J17)</f>
        <v>9</v>
      </c>
      <c r="L17" s="21" t="str">
        <f aca="false">ROMAN(RANK(K17,$K$4:$K$46,0))</f>
        <v>XIV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customFormat="false" ht="15.75" hidden="false" customHeight="false" outlineLevel="0" collapsed="false">
      <c r="A18" s="21" t="n">
        <v>17</v>
      </c>
      <c r="B18" s="21" t="n">
        <v>182640</v>
      </c>
      <c r="C18" s="21" t="s">
        <v>883</v>
      </c>
      <c r="D18" s="21" t="s">
        <v>2295</v>
      </c>
      <c r="E18" s="21" t="s">
        <v>2493</v>
      </c>
      <c r="F18" s="21" t="s">
        <v>2329</v>
      </c>
      <c r="G18" s="21" t="n">
        <f aca="false">VLOOKUP($B18,Day2!$A$1:$H$400,4,FALSE())</f>
        <v>1</v>
      </c>
      <c r="H18" s="21" t="n">
        <f aca="false">VLOOKUP($B18,Day2!$A$1:$H$400,5,FALSE())</f>
        <v>0</v>
      </c>
      <c r="I18" s="21" t="n">
        <f aca="false">VLOOKUP($B18,Day2!$A$1:$H$400,6,FALSE())</f>
        <v>0</v>
      </c>
      <c r="J18" s="21" t="n">
        <f aca="false">VLOOKUP($B18,Day2!$A$1:$H$400,7,FALSE())</f>
        <v>7</v>
      </c>
      <c r="K18" s="21" t="n">
        <f aca="false">SUM(G18:J18)</f>
        <v>8</v>
      </c>
      <c r="L18" s="21" t="str">
        <f aca="false">ROMAN(RANK(K18,$K$4:$K$46,0))</f>
        <v>XV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customFormat="false" ht="15.75" hidden="false" customHeight="false" outlineLevel="0" collapsed="false">
      <c r="A19" s="21" t="n">
        <v>18</v>
      </c>
      <c r="B19" s="21" t="n">
        <v>101634</v>
      </c>
      <c r="C19" s="21" t="s">
        <v>883</v>
      </c>
      <c r="D19" s="21" t="s">
        <v>2203</v>
      </c>
      <c r="E19" s="21" t="s">
        <v>2494</v>
      </c>
      <c r="F19" s="21" t="s">
        <v>951</v>
      </c>
      <c r="G19" s="21" t="n">
        <f aca="false">VLOOKUP($B19,Day2!$A$1:$H$400,4,FALSE())</f>
        <v>0</v>
      </c>
      <c r="H19" s="21" t="n">
        <f aca="false">VLOOKUP($B19,Day2!$A$1:$H$400,5,FALSE())</f>
        <v>0</v>
      </c>
      <c r="I19" s="21" t="n">
        <f aca="false">VLOOKUP($B19,Day2!$A$1:$H$400,6,FALSE())</f>
        <v>1</v>
      </c>
      <c r="J19" s="21" t="n">
        <f aca="false">VLOOKUP($B19,Day2!$A$1:$H$400,7,FALSE())</f>
        <v>7</v>
      </c>
      <c r="K19" s="21" t="n">
        <f aca="false">SUM(G19:J19)</f>
        <v>8</v>
      </c>
      <c r="L19" s="21" t="str">
        <f aca="false">ROMAN(RANK(K19,$K$4:$K$46,0))</f>
        <v>XV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customFormat="false" ht="15.75" hidden="false" customHeight="false" outlineLevel="0" collapsed="false">
      <c r="A20" s="21" t="n">
        <v>19</v>
      </c>
      <c r="B20" s="21" t="n">
        <v>231982</v>
      </c>
      <c r="C20" s="21" t="s">
        <v>883</v>
      </c>
      <c r="D20" s="21" t="s">
        <v>2261</v>
      </c>
      <c r="E20" s="21" t="s">
        <v>2235</v>
      </c>
      <c r="F20" s="21" t="s">
        <v>961</v>
      </c>
      <c r="G20" s="21" t="n">
        <f aca="false">VLOOKUP($B20,Day2!$A$1:$H$400,4,FALSE())</f>
        <v>2</v>
      </c>
      <c r="H20" s="21" t="n">
        <f aca="false">VLOOKUP($B20,Day2!$A$1:$H$400,5,FALSE())</f>
        <v>0</v>
      </c>
      <c r="I20" s="21" t="n">
        <f aca="false">VLOOKUP($B20,Day2!$A$1:$H$400,6,FALSE())</f>
        <v>1</v>
      </c>
      <c r="J20" s="21" t="n">
        <f aca="false">VLOOKUP($B20,Day2!$A$1:$H$400,7,FALSE())</f>
        <v>3</v>
      </c>
      <c r="K20" s="21" t="n">
        <f aca="false">SUM(G20:J20)</f>
        <v>6</v>
      </c>
      <c r="L20" s="21" t="str">
        <f aca="false">ROMAN(RANK(K20,$K$4:$K$46,0))</f>
        <v>XVII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customFormat="false" ht="15.75" hidden="false" customHeight="false" outlineLevel="0" collapsed="false">
      <c r="A21" s="21" t="n">
        <v>20</v>
      </c>
      <c r="B21" s="21" t="n">
        <v>231977</v>
      </c>
      <c r="C21" s="21" t="s">
        <v>883</v>
      </c>
      <c r="D21" s="21" t="s">
        <v>2215</v>
      </c>
      <c r="E21" s="21" t="s">
        <v>2495</v>
      </c>
      <c r="F21" s="21" t="s">
        <v>966</v>
      </c>
      <c r="G21" s="21" t="n">
        <f aca="false">VLOOKUP($B21,Day2!$A$1:$H$400,4,FALSE())</f>
        <v>2</v>
      </c>
      <c r="H21" s="21" t="n">
        <f aca="false">VLOOKUP($B21,Day2!$A$1:$H$400,5,FALSE())</f>
        <v>0</v>
      </c>
      <c r="I21" s="21" t="n">
        <f aca="false">VLOOKUP($B21,Day2!$A$1:$H$400,6,FALSE())</f>
        <v>0</v>
      </c>
      <c r="J21" s="21" t="n">
        <f aca="false">VLOOKUP($B21,Day2!$A$1:$H$400,7,FALSE())</f>
        <v>4</v>
      </c>
      <c r="K21" s="21" t="n">
        <f aca="false">SUM(G21:J21)</f>
        <v>6</v>
      </c>
      <c r="L21" s="21" t="str">
        <f aca="false">ROMAN(RANK(K21,$K$4:$K$46,0))</f>
        <v>XVII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customFormat="false" ht="15.75" hidden="false" customHeight="false" outlineLevel="0" collapsed="false">
      <c r="A22" s="21" t="n">
        <v>23</v>
      </c>
      <c r="B22" s="21" t="n">
        <v>231961</v>
      </c>
      <c r="C22" s="21" t="s">
        <v>883</v>
      </c>
      <c r="D22" s="21" t="s">
        <v>2215</v>
      </c>
      <c r="E22" s="21" t="s">
        <v>873</v>
      </c>
      <c r="F22" s="21" t="s">
        <v>975</v>
      </c>
      <c r="G22" s="21" t="n">
        <f aca="false">VLOOKUP($B22,Day2!$A$1:$H$400,4,FALSE())</f>
        <v>2</v>
      </c>
      <c r="H22" s="21" t="n">
        <f aca="false">VLOOKUP($B22,Day2!$A$1:$H$400,5,FALSE())</f>
        <v>0</v>
      </c>
      <c r="I22" s="21" t="n">
        <f aca="false">VLOOKUP($B22,Day2!$A$1:$H$400,6,FALSE())</f>
        <v>0</v>
      </c>
      <c r="J22" s="21" t="n">
        <f aca="false">VLOOKUP($B22,Day2!$A$1:$H$400,7,FALSE())</f>
        <v>3</v>
      </c>
      <c r="K22" s="21" t="n">
        <f aca="false">SUM(G22:J22)</f>
        <v>5</v>
      </c>
      <c r="L22" s="21" t="str">
        <f aca="false">ROMAN(RANK(K22,$K$4:$K$46,0))</f>
        <v>XIX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customFormat="false" ht="15.75" hidden="false" customHeight="false" outlineLevel="0" collapsed="false">
      <c r="A23" s="21" t="n">
        <v>31</v>
      </c>
      <c r="B23" s="21" t="n">
        <v>232102</v>
      </c>
      <c r="C23" s="21" t="s">
        <v>883</v>
      </c>
      <c r="D23" s="21" t="s">
        <v>2227</v>
      </c>
      <c r="E23" s="21" t="s">
        <v>2496</v>
      </c>
      <c r="F23" s="21" t="s">
        <v>980</v>
      </c>
      <c r="G23" s="21" t="n">
        <f aca="false">VLOOKUP($B23,Day2!$A$1:$H$400,4,FALSE())</f>
        <v>1</v>
      </c>
      <c r="H23" s="21" t="n">
        <f aca="false">VLOOKUP($B23,Day2!$A$1:$H$400,5,FALSE())</f>
        <v>0</v>
      </c>
      <c r="I23" s="21" t="n">
        <f aca="false">VLOOKUP($B23,Day2!$A$1:$H$400,6,FALSE())</f>
        <v>0</v>
      </c>
      <c r="J23" s="21" t="n">
        <f aca="false">VLOOKUP($B23,Day2!$A$1:$H$400,7,FALSE())</f>
        <v>4</v>
      </c>
      <c r="K23" s="21" t="n">
        <f aca="false">SUM(G23:J23)</f>
        <v>5</v>
      </c>
      <c r="L23" s="21" t="str">
        <f aca="false">ROMAN(RANK(K23,$K$4:$K$46,0))</f>
        <v>XIX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customFormat="false" ht="15.75" hidden="false" customHeight="false" outlineLevel="0" collapsed="false">
      <c r="A24" s="21" t="n">
        <v>32</v>
      </c>
      <c r="B24" s="21" t="n">
        <v>181868</v>
      </c>
      <c r="C24" s="21" t="s">
        <v>883</v>
      </c>
      <c r="D24" s="21" t="s">
        <v>2247</v>
      </c>
      <c r="E24" s="21" t="s">
        <v>2224</v>
      </c>
      <c r="F24" s="21" t="s">
        <v>989</v>
      </c>
      <c r="G24" s="21" t="n">
        <f aca="false">VLOOKUP($B24,Day2!$A$1:$H$400,4,FALSE())</f>
        <v>1</v>
      </c>
      <c r="H24" s="21" t="n">
        <f aca="false">VLOOKUP($B24,Day2!$A$1:$H$400,5,FALSE())</f>
        <v>0</v>
      </c>
      <c r="I24" s="21" t="n">
        <f aca="false">VLOOKUP($B24,Day2!$A$1:$H$400,6,FALSE())</f>
        <v>0</v>
      </c>
      <c r="J24" s="21" t="n">
        <f aca="false">VLOOKUP($B24,Day2!$A$1:$H$400,7,FALSE())</f>
        <v>3</v>
      </c>
      <c r="K24" s="21" t="n">
        <f aca="false">SUM(G24:J24)</f>
        <v>4</v>
      </c>
      <c r="L24" s="21" t="str">
        <f aca="false">ROMAN(RANK(K24,$K$4:$K$46,0))</f>
        <v>XXI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customFormat="false" ht="15.75" hidden="false" customHeight="false" outlineLevel="0" collapsed="false">
      <c r="A25" s="21" t="n">
        <v>33</v>
      </c>
      <c r="B25" s="21" t="n">
        <v>232000</v>
      </c>
      <c r="C25" s="21" t="s">
        <v>883</v>
      </c>
      <c r="D25" s="21" t="s">
        <v>2261</v>
      </c>
      <c r="E25" s="21" t="s">
        <v>2497</v>
      </c>
      <c r="F25" s="21" t="s">
        <v>993</v>
      </c>
      <c r="G25" s="21" t="n">
        <f aca="false">VLOOKUP($B25,Day2!$A$1:$H$400,4,FALSE())</f>
        <v>1</v>
      </c>
      <c r="H25" s="21" t="n">
        <f aca="false">VLOOKUP($B25,Day2!$A$1:$H$400,5,FALSE())</f>
        <v>0</v>
      </c>
      <c r="I25" s="21" t="n">
        <f aca="false">VLOOKUP($B25,Day2!$A$1:$H$400,6,FALSE())</f>
        <v>0</v>
      </c>
      <c r="J25" s="21" t="n">
        <f aca="false">VLOOKUP($B25,Day2!$A$1:$H$400,7,FALSE())</f>
        <v>3</v>
      </c>
      <c r="K25" s="21" t="n">
        <f aca="false">SUM(G25:J25)</f>
        <v>4</v>
      </c>
      <c r="L25" s="21" t="str">
        <f aca="false">ROMAN(RANK(K25,$K$4:$K$46,0))</f>
        <v>XXI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customFormat="false" ht="15.75" hidden="false" customHeight="false" outlineLevel="0" collapsed="false">
      <c r="A26" s="21" t="n">
        <v>35</v>
      </c>
      <c r="B26" s="21" t="n">
        <v>232023</v>
      </c>
      <c r="C26" s="21" t="s">
        <v>883</v>
      </c>
      <c r="D26" s="21" t="s">
        <v>2295</v>
      </c>
      <c r="E26" s="21" t="s">
        <v>1160</v>
      </c>
      <c r="F26" s="21" t="s">
        <v>2498</v>
      </c>
      <c r="G26" s="21" t="n">
        <f aca="false">VLOOKUP($B26,Day2!$A$1:$H$400,4,FALSE())</f>
        <v>1</v>
      </c>
      <c r="H26" s="21" t="n">
        <f aca="false">VLOOKUP($B26,Day2!$A$1:$H$400,5,FALSE())</f>
        <v>0</v>
      </c>
      <c r="I26" s="21" t="n">
        <f aca="false">VLOOKUP($B26,Day2!$A$1:$H$400,6,FALSE())</f>
        <v>0</v>
      </c>
      <c r="J26" s="21" t="n">
        <f aca="false">VLOOKUP($B26,Day2!$A$1:$H$400,7,FALSE())</f>
        <v>3</v>
      </c>
      <c r="K26" s="21" t="n">
        <f aca="false">SUM(G26:J26)</f>
        <v>4</v>
      </c>
      <c r="L26" s="21" t="str">
        <f aca="false">ROMAN(RANK(K26,$K$4:$K$46,0))</f>
        <v>XXI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customFormat="false" ht="15.75" hidden="false" customHeight="false" outlineLevel="0" collapsed="false">
      <c r="A27" s="21" t="n">
        <v>36</v>
      </c>
      <c r="B27" s="21" t="n">
        <v>232145</v>
      </c>
      <c r="C27" s="21" t="s">
        <v>883</v>
      </c>
      <c r="D27" s="21" t="s">
        <v>2207</v>
      </c>
      <c r="E27" s="21" t="s">
        <v>761</v>
      </c>
      <c r="F27" s="21" t="s">
        <v>985</v>
      </c>
      <c r="G27" s="21" t="n">
        <f aca="false">VLOOKUP($B27,Day2!$A$1:$H$400,4,FALSE())</f>
        <v>1</v>
      </c>
      <c r="H27" s="21" t="n">
        <f aca="false">VLOOKUP($B27,Day2!$A$1:$H$400,5,FALSE())</f>
        <v>0</v>
      </c>
      <c r="I27" s="21" t="n">
        <f aca="false">VLOOKUP($B27,Day2!$A$1:$H$400,6,FALSE())</f>
        <v>0</v>
      </c>
      <c r="J27" s="21" t="n">
        <f aca="false">VLOOKUP($B27,Day2!$A$1:$H$400,7,FALSE())</f>
        <v>3</v>
      </c>
      <c r="K27" s="21" t="n">
        <f aca="false">SUM(G27:J27)</f>
        <v>4</v>
      </c>
      <c r="L27" s="21" t="str">
        <f aca="false">ROMAN(RANK(K27,$K$4:$K$46,0))</f>
        <v>XXI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customFormat="false" ht="15.75" hidden="false" customHeight="false" outlineLevel="0" collapsed="false">
      <c r="A28" s="21" t="n">
        <v>37</v>
      </c>
      <c r="B28" s="21" t="n">
        <v>852629</v>
      </c>
      <c r="C28" s="21" t="s">
        <v>883</v>
      </c>
      <c r="D28" s="21" t="s">
        <v>2263</v>
      </c>
      <c r="E28" s="21" t="s">
        <v>2278</v>
      </c>
      <c r="F28" s="21" t="s">
        <v>360</v>
      </c>
      <c r="G28" s="21" t="n">
        <f aca="false">VLOOKUP($B28,Day2!$A$1:$H$400,4,FALSE())</f>
        <v>1</v>
      </c>
      <c r="H28" s="21" t="n">
        <f aca="false">VLOOKUP($B28,Day2!$A$1:$H$400,5,FALSE())</f>
        <v>0</v>
      </c>
      <c r="I28" s="21" t="n">
        <f aca="false">VLOOKUP($B28,Day2!$A$1:$H$400,6,FALSE())</f>
        <v>0</v>
      </c>
      <c r="J28" s="21" t="n">
        <f aca="false">VLOOKUP($B28,Day2!$A$1:$H$400,7,FALSE())</f>
        <v>3</v>
      </c>
      <c r="K28" s="21" t="n">
        <f aca="false">SUM(G28:J28)</f>
        <v>4</v>
      </c>
      <c r="L28" s="21" t="str">
        <f aca="false">ROMAN(RANK(K28,$K$4:$K$46,0))</f>
        <v>XXI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customFormat="false" ht="15.75" hidden="false" customHeight="false" outlineLevel="0" collapsed="false">
      <c r="A29" s="21" t="n">
        <v>38</v>
      </c>
      <c r="B29" s="21" t="n">
        <v>231971</v>
      </c>
      <c r="C29" s="21" t="s">
        <v>883</v>
      </c>
      <c r="D29" s="21" t="s">
        <v>2257</v>
      </c>
      <c r="E29" s="21" t="s">
        <v>2331</v>
      </c>
      <c r="F29" s="21" t="s">
        <v>975</v>
      </c>
      <c r="G29" s="21" t="n">
        <f aca="false">VLOOKUP($B29,Day2!$A$1:$H$400,4,FALSE())</f>
        <v>0</v>
      </c>
      <c r="H29" s="21" t="n">
        <f aca="false">VLOOKUP($B29,Day2!$A$1:$H$400,5,FALSE())</f>
        <v>0</v>
      </c>
      <c r="I29" s="21" t="n">
        <f aca="false">VLOOKUP($B29,Day2!$A$1:$H$400,6,FALSE())</f>
        <v>0</v>
      </c>
      <c r="J29" s="21" t="n">
        <f aca="false">VLOOKUP($B29,Day2!$A$1:$H$400,7,FALSE())</f>
        <v>3</v>
      </c>
      <c r="K29" s="21" t="n">
        <f aca="false">SUM(G29:J29)</f>
        <v>3</v>
      </c>
      <c r="L29" s="21" t="str">
        <f aca="false">ROMAN(RANK(K29,$K$4:$K$46,0))</f>
        <v>XXVI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customFormat="false" ht="15.75" hidden="false" customHeight="false" outlineLevel="0" collapsed="false">
      <c r="A30" s="21" t="n">
        <v>39</v>
      </c>
      <c r="B30" s="21" t="n">
        <v>232146</v>
      </c>
      <c r="C30" s="21" t="s">
        <v>883</v>
      </c>
      <c r="D30" s="21" t="s">
        <v>2259</v>
      </c>
      <c r="E30" s="21" t="s">
        <v>1011</v>
      </c>
      <c r="F30" s="21" t="s">
        <v>1055</v>
      </c>
      <c r="G30" s="21" t="n">
        <f aca="false">VLOOKUP($B30,Day2!$A$1:$H$400,4,FALSE())</f>
        <v>0</v>
      </c>
      <c r="H30" s="21" t="n">
        <f aca="false">VLOOKUP($B30,Day2!$A$1:$H$400,5,FALSE())</f>
        <v>0</v>
      </c>
      <c r="I30" s="21" t="n">
        <f aca="false">VLOOKUP($B30,Day2!$A$1:$H$400,6,FALSE())</f>
        <v>0</v>
      </c>
      <c r="J30" s="21" t="n">
        <f aca="false">VLOOKUP($B30,Day2!$A$1:$H$400,7,FALSE())</f>
        <v>3</v>
      </c>
      <c r="K30" s="21" t="n">
        <f aca="false">SUM(G30:J30)</f>
        <v>3</v>
      </c>
      <c r="L30" s="21" t="str">
        <f aca="false">ROMAN(RANK(K30,$K$4:$K$46,0))</f>
        <v>XXVI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customFormat="false" ht="15.75" hidden="false" customHeight="false" outlineLevel="0" collapsed="false">
      <c r="A31" s="21" t="n">
        <v>40</v>
      </c>
      <c r="B31" s="21" t="n">
        <v>231998</v>
      </c>
      <c r="C31" s="21" t="s">
        <v>883</v>
      </c>
      <c r="D31" s="21" t="s">
        <v>2261</v>
      </c>
      <c r="E31" s="21" t="s">
        <v>2457</v>
      </c>
      <c r="F31" s="21" t="s">
        <v>1057</v>
      </c>
      <c r="G31" s="21" t="n">
        <f aca="false">VLOOKUP($B31,Day2!$A$1:$H$400,4,FALSE())</f>
        <v>0</v>
      </c>
      <c r="H31" s="21" t="n">
        <f aca="false">VLOOKUP($B31,Day2!$A$1:$H$400,5,FALSE())</f>
        <v>0</v>
      </c>
      <c r="I31" s="21" t="n">
        <f aca="false">VLOOKUP($B31,Day2!$A$1:$H$400,6,FALSE())</f>
        <v>0</v>
      </c>
      <c r="J31" s="21" t="n">
        <f aca="false">VLOOKUP($B31,Day2!$A$1:$H$400,7,FALSE())</f>
        <v>3</v>
      </c>
      <c r="K31" s="21" t="n">
        <f aca="false">SUM(G31:J31)</f>
        <v>3</v>
      </c>
      <c r="L31" s="21" t="str">
        <f aca="false">ROMAN(RANK(K31,$K$4:$K$46,0))</f>
        <v>XXVI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customFormat="false" ht="15.75" hidden="false" customHeight="false" outlineLevel="0" collapsed="false">
      <c r="A32" s="21" t="n">
        <v>41</v>
      </c>
      <c r="B32" s="21" t="n">
        <v>232103</v>
      </c>
      <c r="C32" s="21" t="s">
        <v>883</v>
      </c>
      <c r="D32" s="21" t="s">
        <v>2227</v>
      </c>
      <c r="E32" s="21" t="s">
        <v>749</v>
      </c>
      <c r="F32" s="21" t="s">
        <v>1070</v>
      </c>
      <c r="G32" s="21" t="n">
        <f aca="false">VLOOKUP($B32,Day2!$A$1:$H$400,4,FALSE())</f>
        <v>0</v>
      </c>
      <c r="H32" s="21" t="n">
        <f aca="false">VLOOKUP($B32,Day2!$A$1:$H$400,5,FALSE())</f>
        <v>0</v>
      </c>
      <c r="I32" s="21" t="n">
        <f aca="false">VLOOKUP($B32,Day2!$A$1:$H$400,6,FALSE())</f>
        <v>0</v>
      </c>
      <c r="J32" s="21" t="n">
        <f aca="false">VLOOKUP($B32,Day2!$A$1:$H$400,7,FALSE())</f>
        <v>3</v>
      </c>
      <c r="K32" s="21" t="n">
        <f aca="false">SUM(G32:J32)</f>
        <v>3</v>
      </c>
      <c r="L32" s="21" t="str">
        <f aca="false">ROMAN(RANK(K32,$K$4:$K$46,0))</f>
        <v>XXVI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customFormat="false" ht="15.75" hidden="false" customHeight="false" outlineLevel="0" collapsed="false">
      <c r="A33" s="21" t="n">
        <v>42</v>
      </c>
      <c r="B33" s="21" t="n">
        <v>177698</v>
      </c>
      <c r="C33" s="21" t="s">
        <v>883</v>
      </c>
      <c r="D33" s="21" t="s">
        <v>2265</v>
      </c>
      <c r="E33" s="21" t="s">
        <v>2499</v>
      </c>
      <c r="F33" s="21" t="s">
        <v>1066</v>
      </c>
      <c r="G33" s="21" t="n">
        <f aca="false">VLOOKUP($B33,Day2!$A$1:$H$400,4,FALSE())</f>
        <v>0</v>
      </c>
      <c r="H33" s="21" t="n">
        <f aca="false">VLOOKUP($B33,Day2!$A$1:$H$400,5,FALSE())</f>
        <v>0</v>
      </c>
      <c r="I33" s="21" t="n">
        <f aca="false">VLOOKUP($B33,Day2!$A$1:$H$400,6,FALSE())</f>
        <v>0</v>
      </c>
      <c r="J33" s="21" t="n">
        <f aca="false">VLOOKUP($B33,Day2!$A$1:$H$400,7,FALSE())</f>
        <v>3</v>
      </c>
      <c r="K33" s="21" t="n">
        <f aca="false">SUM(G33:J33)</f>
        <v>3</v>
      </c>
      <c r="L33" s="21" t="str">
        <f aca="false">ROMAN(RANK(K33,$K$4:$K$46,0))</f>
        <v>XXVI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customFormat="false" ht="15.75" hidden="false" customHeight="false" outlineLevel="0" collapsed="false">
      <c r="A34" s="21" t="n">
        <v>43</v>
      </c>
      <c r="B34" s="21" t="n">
        <v>230427</v>
      </c>
      <c r="C34" s="21" t="s">
        <v>883</v>
      </c>
      <c r="D34" s="21" t="s">
        <v>2290</v>
      </c>
      <c r="E34" s="21" t="s">
        <v>2500</v>
      </c>
      <c r="F34" s="21" t="s">
        <v>1061</v>
      </c>
      <c r="G34" s="21" t="n">
        <f aca="false">VLOOKUP($B34,Day2!$A$1:$H$400,4,FALSE())</f>
        <v>0</v>
      </c>
      <c r="H34" s="21" t="n">
        <f aca="false">VLOOKUP($B34,Day2!$A$1:$H$400,5,FALSE())</f>
        <v>0</v>
      </c>
      <c r="I34" s="21" t="n">
        <f aca="false">VLOOKUP($B34,Day2!$A$1:$H$400,6,FALSE())</f>
        <v>0</v>
      </c>
      <c r="J34" s="21" t="n">
        <f aca="false">VLOOKUP($B34,Day2!$A$1:$H$400,7,FALSE())</f>
        <v>3</v>
      </c>
      <c r="K34" s="21" t="n">
        <f aca="false">SUM(G34:J34)</f>
        <v>3</v>
      </c>
      <c r="L34" s="21" t="str">
        <f aca="false">ROMAN(RANK(K34,$K$4:$K$46,0))</f>
        <v>XXVI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customFormat="false" ht="15.75" hidden="false" customHeight="false" outlineLevel="0" collapsed="false">
      <c r="A35" s="21" t="n">
        <v>44</v>
      </c>
      <c r="B35" s="21" t="n">
        <v>232043</v>
      </c>
      <c r="C35" s="21" t="s">
        <v>883</v>
      </c>
      <c r="D35" s="21" t="s">
        <v>2436</v>
      </c>
      <c r="E35" s="21" t="s">
        <v>2501</v>
      </c>
      <c r="F35" s="21" t="s">
        <v>1006</v>
      </c>
      <c r="G35" s="21" t="n">
        <f aca="false">VLOOKUP($B35,Day2!$A$1:$H$400,4,FALSE())</f>
        <v>0</v>
      </c>
      <c r="H35" s="21" t="n">
        <f aca="false">VLOOKUP($B35,Day2!$A$1:$H$400,5,FALSE())</f>
        <v>0</v>
      </c>
      <c r="I35" s="21" t="n">
        <f aca="false">VLOOKUP($B35,Day2!$A$1:$H$400,6,FALSE())</f>
        <v>0</v>
      </c>
      <c r="J35" s="21" t="n">
        <f aca="false">VLOOKUP($B35,Day2!$A$1:$H$400,7,FALSE())</f>
        <v>3</v>
      </c>
      <c r="K35" s="21" t="n">
        <f aca="false">SUM(G35:J35)</f>
        <v>3</v>
      </c>
      <c r="L35" s="21" t="str">
        <f aca="false">ROMAN(RANK(K35,$K$4:$K$46,0))</f>
        <v>XXVI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customFormat="false" ht="15.75" hidden="false" customHeight="false" outlineLevel="0" collapsed="false">
      <c r="A36" s="21" t="n">
        <v>45</v>
      </c>
      <c r="B36" s="21" t="n">
        <v>232046</v>
      </c>
      <c r="C36" s="21" t="s">
        <v>883</v>
      </c>
      <c r="D36" s="21" t="s">
        <v>2436</v>
      </c>
      <c r="E36" s="21" t="s">
        <v>2502</v>
      </c>
      <c r="F36" s="21" t="s">
        <v>1015</v>
      </c>
      <c r="G36" s="21" t="n">
        <f aca="false">VLOOKUP($B36,Day2!$A$1:$H$400,4,FALSE())</f>
        <v>0</v>
      </c>
      <c r="H36" s="21" t="n">
        <f aca="false">VLOOKUP($B36,Day2!$A$1:$H$400,5,FALSE())</f>
        <v>0</v>
      </c>
      <c r="I36" s="21" t="n">
        <f aca="false">VLOOKUP($B36,Day2!$A$1:$H$400,6,FALSE())</f>
        <v>0</v>
      </c>
      <c r="J36" s="21" t="n">
        <f aca="false">VLOOKUP($B36,Day2!$A$1:$H$400,7,FALSE())</f>
        <v>3</v>
      </c>
      <c r="K36" s="21" t="n">
        <f aca="false">SUM(G36:J36)</f>
        <v>3</v>
      </c>
      <c r="L36" s="21" t="str">
        <f aca="false">ROMAN(RANK(K36,$K$4:$K$46,0))</f>
        <v>XXVI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customFormat="false" ht="15.75" hidden="false" customHeight="false" outlineLevel="0" collapsed="false">
      <c r="A37" s="21" t="n">
        <v>46</v>
      </c>
      <c r="B37" s="21" t="n">
        <v>197798</v>
      </c>
      <c r="C37" s="21" t="s">
        <v>883</v>
      </c>
      <c r="D37" s="21" t="s">
        <v>2255</v>
      </c>
      <c r="E37" s="21" t="s">
        <v>2503</v>
      </c>
      <c r="F37" s="21" t="s">
        <v>1011</v>
      </c>
      <c r="G37" s="21" t="n">
        <f aca="false">VLOOKUP($B37,Day2!$A$1:$H$400,4,FALSE())</f>
        <v>0</v>
      </c>
      <c r="H37" s="21" t="n">
        <f aca="false">VLOOKUP($B37,Day2!$A$1:$H$400,5,FALSE())</f>
        <v>0</v>
      </c>
      <c r="I37" s="21" t="n">
        <f aca="false">VLOOKUP($B37,Day2!$A$1:$H$400,6,FALSE())</f>
        <v>0</v>
      </c>
      <c r="J37" s="21" t="n">
        <f aca="false">VLOOKUP($B37,Day2!$A$1:$H$400,7,FALSE())</f>
        <v>3</v>
      </c>
      <c r="K37" s="21" t="n">
        <f aca="false">SUM(G37:J37)</f>
        <v>3</v>
      </c>
      <c r="L37" s="21" t="str">
        <f aca="false">ROMAN(RANK(K37,$K$4:$K$46,0))</f>
        <v>XXVI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customFormat="false" ht="15.75" hidden="false" customHeight="false" outlineLevel="0" collapsed="false">
      <c r="A38" s="21" t="n">
        <v>47</v>
      </c>
      <c r="B38" s="21" t="n">
        <v>113007</v>
      </c>
      <c r="C38" s="21" t="s">
        <v>883</v>
      </c>
      <c r="D38" s="21" t="s">
        <v>2215</v>
      </c>
      <c r="E38" s="21" t="s">
        <v>2504</v>
      </c>
      <c r="F38" s="21" t="s">
        <v>1075</v>
      </c>
      <c r="G38" s="21" t="n">
        <f aca="false">VLOOKUP($B38,Day2!$A$1:$H$400,4,FALSE())</f>
        <v>2</v>
      </c>
      <c r="H38" s="21" t="n">
        <f aca="false">VLOOKUP($B38,Day2!$A$1:$H$400,5,FALSE())</f>
        <v>0</v>
      </c>
      <c r="I38" s="21" t="n">
        <f aca="false">VLOOKUP($B38,Day2!$A$1:$H$400,6,FALSE())</f>
        <v>0</v>
      </c>
      <c r="J38" s="21" t="n">
        <f aca="false">VLOOKUP($B38,Day2!$A$1:$H$400,7,FALSE())</f>
        <v>0</v>
      </c>
      <c r="K38" s="21" t="n">
        <f aca="false">SUM(G38:J38)</f>
        <v>2</v>
      </c>
      <c r="L38" s="21" t="str">
        <f aca="false">ROMAN(RANK(K38,$K$4:$K$46,0))</f>
        <v>XXXV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customFormat="false" ht="15.75" hidden="false" customHeight="false" outlineLevel="0" collapsed="false">
      <c r="A39" s="21" t="n">
        <v>48</v>
      </c>
      <c r="B39" s="21" t="n">
        <v>99971</v>
      </c>
      <c r="C39" s="21" t="s">
        <v>883</v>
      </c>
      <c r="D39" s="21" t="s">
        <v>2207</v>
      </c>
      <c r="E39" s="21" t="s">
        <v>2244</v>
      </c>
      <c r="F39" s="21" t="s">
        <v>820</v>
      </c>
      <c r="G39" s="21" t="n">
        <f aca="false">VLOOKUP($B39,Day2!$A$1:$H$400,4,FALSE())</f>
        <v>2</v>
      </c>
      <c r="H39" s="21" t="n">
        <f aca="false">VLOOKUP($B39,Day2!$A$1:$H$400,5,FALSE())</f>
        <v>0</v>
      </c>
      <c r="I39" s="21" t="n">
        <f aca="false">VLOOKUP($B39,Day2!$A$1:$H$400,6,FALSE())</f>
        <v>0</v>
      </c>
      <c r="J39" s="21" t="n">
        <f aca="false">VLOOKUP($B39,Day2!$A$1:$H$400,7,FALSE())</f>
        <v>0</v>
      </c>
      <c r="K39" s="21" t="n">
        <f aca="false">SUM(G39:J39)</f>
        <v>2</v>
      </c>
      <c r="L39" s="21" t="str">
        <f aca="false">ROMAN(RANK(K39,$K$4:$K$46,0))</f>
        <v>XXXV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customFormat="false" ht="15.75" hidden="false" customHeight="false" outlineLevel="0" collapsed="false">
      <c r="A40" s="21" t="n">
        <v>49</v>
      </c>
      <c r="B40" s="21" t="n">
        <v>177667</v>
      </c>
      <c r="C40" s="21" t="s">
        <v>883</v>
      </c>
      <c r="D40" s="21" t="s">
        <v>2222</v>
      </c>
      <c r="E40" s="21" t="s">
        <v>2505</v>
      </c>
      <c r="F40" s="21" t="s">
        <v>882</v>
      </c>
      <c r="G40" s="21" t="n">
        <f aca="false">VLOOKUP($B40,Day2!$A$1:$H$400,4,FALSE())</f>
        <v>2</v>
      </c>
      <c r="H40" s="21" t="n">
        <f aca="false">VLOOKUP($B40,Day2!$A$1:$H$400,5,FALSE())</f>
        <v>0</v>
      </c>
      <c r="I40" s="21" t="n">
        <f aca="false">VLOOKUP($B40,Day2!$A$1:$H$400,6,FALSE())</f>
        <v>0</v>
      </c>
      <c r="J40" s="21" t="n">
        <f aca="false">VLOOKUP($B40,Day2!$A$1:$H$400,7,FALSE())</f>
        <v>0</v>
      </c>
      <c r="K40" s="21" t="n">
        <f aca="false">SUM(G40:J40)</f>
        <v>2</v>
      </c>
      <c r="L40" s="21" t="str">
        <f aca="false">ROMAN(RANK(K40,$K$4:$K$46,0))</f>
        <v>XXXV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customFormat="false" ht="15.75" hidden="false" customHeight="false" outlineLevel="0" collapsed="false">
      <c r="A41" s="21" t="n">
        <v>50</v>
      </c>
      <c r="B41" s="21" t="n">
        <v>232013</v>
      </c>
      <c r="C41" s="21" t="s">
        <v>883</v>
      </c>
      <c r="D41" s="21" t="s">
        <v>2295</v>
      </c>
      <c r="E41" s="21" t="s">
        <v>2506</v>
      </c>
      <c r="F41" s="21" t="s">
        <v>1036</v>
      </c>
      <c r="G41" s="21" t="n">
        <f aca="false">VLOOKUP($B41,Day2!$A$1:$H$400,4,FALSE())</f>
        <v>1</v>
      </c>
      <c r="H41" s="21" t="n">
        <f aca="false">VLOOKUP($B41,Day2!$A$1:$H$400,5,FALSE())</f>
        <v>0</v>
      </c>
      <c r="I41" s="21" t="n">
        <f aca="false">VLOOKUP($B41,Day2!$A$1:$H$400,6,FALSE())</f>
        <v>0</v>
      </c>
      <c r="J41" s="21" t="n">
        <f aca="false">VLOOKUP($B41,Day2!$A$1:$H$400,7,FALSE())</f>
        <v>0</v>
      </c>
      <c r="K41" s="21" t="n">
        <f aca="false">SUM(G41:J41)</f>
        <v>1</v>
      </c>
      <c r="L41" s="21" t="str">
        <f aca="false">ROMAN(RANK(K41,$K$4:$K$46,0))</f>
        <v>XXXVIII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customFormat="false" ht="15.75" hidden="false" customHeight="false" outlineLevel="0" collapsed="false">
      <c r="A42" s="21" t="n">
        <v>51</v>
      </c>
      <c r="B42" s="21" t="n">
        <v>231604</v>
      </c>
      <c r="C42" s="21" t="s">
        <v>883</v>
      </c>
      <c r="D42" s="21" t="s">
        <v>2210</v>
      </c>
      <c r="E42" s="21" t="s">
        <v>1740</v>
      </c>
      <c r="F42" s="21" t="s">
        <v>2507</v>
      </c>
      <c r="G42" s="21" t="n">
        <f aca="false">VLOOKUP($B42,Day2!$A$1:$H$400,4,FALSE())</f>
        <v>1</v>
      </c>
      <c r="H42" s="21" t="n">
        <f aca="false">VLOOKUP($B42,Day2!$A$1:$H$400,5,FALSE())</f>
        <v>0</v>
      </c>
      <c r="I42" s="21" t="n">
        <f aca="false">VLOOKUP($B42,Day2!$A$1:$H$400,6,FALSE())</f>
        <v>0</v>
      </c>
      <c r="J42" s="21" t="n">
        <f aca="false">VLOOKUP($B42,Day2!$A$1:$H$400,7,FALSE())</f>
        <v>0</v>
      </c>
      <c r="K42" s="21" t="n">
        <f aca="false">SUM(G42:J42)</f>
        <v>1</v>
      </c>
      <c r="L42" s="21" t="str">
        <f aca="false">ROMAN(RANK(K42,$K$4:$K$46,0))</f>
        <v>XXXVIII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customFormat="false" ht="15.75" hidden="false" customHeight="false" outlineLevel="0" collapsed="false">
      <c r="A43" s="21" t="n">
        <v>52</v>
      </c>
      <c r="B43" s="21" t="n">
        <v>231960</v>
      </c>
      <c r="C43" s="21" t="s">
        <v>883</v>
      </c>
      <c r="D43" s="21" t="s">
        <v>2219</v>
      </c>
      <c r="E43" s="21" t="s">
        <v>1866</v>
      </c>
      <c r="F43" s="21" t="s">
        <v>1041</v>
      </c>
      <c r="G43" s="21" t="n">
        <f aca="false">VLOOKUP($B43,Day2!$A$1:$H$400,4,FALSE())</f>
        <v>0</v>
      </c>
      <c r="H43" s="21" t="n">
        <f aca="false">VLOOKUP($B43,Day2!$A$1:$H$400,5,FALSE())</f>
        <v>0</v>
      </c>
      <c r="I43" s="21" t="n">
        <f aca="false">VLOOKUP($B43,Day2!$A$1:$H$400,6,FALSE())</f>
        <v>0</v>
      </c>
      <c r="J43" s="21" t="n">
        <f aca="false">VLOOKUP($B43,Day2!$A$1:$H$400,7,FALSE())</f>
        <v>0</v>
      </c>
      <c r="K43" s="21" t="n">
        <f aca="false">SUM(G43:J43)</f>
        <v>0</v>
      </c>
      <c r="L43" s="21" t="str">
        <f aca="false">ROMAN(RANK(K43,$K$4:$K$46,0))</f>
        <v>XL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customFormat="false" ht="15.75" hidden="false" customHeight="false" outlineLevel="0" collapsed="false">
      <c r="A44" s="21" t="n">
        <v>53</v>
      </c>
      <c r="B44" s="21" t="n">
        <v>232025</v>
      </c>
      <c r="C44" s="21" t="s">
        <v>883</v>
      </c>
      <c r="D44" s="21" t="s">
        <v>2295</v>
      </c>
      <c r="E44" s="21" t="s">
        <v>698</v>
      </c>
      <c r="F44" s="21" t="s">
        <v>1047</v>
      </c>
      <c r="G44" s="21" t="n">
        <f aca="false">VLOOKUP($B44,Day2!$A$1:$H$400,4,FALSE())</f>
        <v>0</v>
      </c>
      <c r="H44" s="21" t="n">
        <f aca="false">VLOOKUP($B44,Day2!$A$1:$H$400,5,FALSE())</f>
        <v>0</v>
      </c>
      <c r="I44" s="21" t="n">
        <f aca="false">VLOOKUP($B44,Day2!$A$1:$H$400,6,FALSE())</f>
        <v>0</v>
      </c>
      <c r="J44" s="21" t="n">
        <f aca="false">VLOOKUP($B44,Day2!$A$1:$H$400,7,FALSE())</f>
        <v>0</v>
      </c>
      <c r="K44" s="21" t="n">
        <f aca="false">SUM(G44:J44)</f>
        <v>0</v>
      </c>
      <c r="L44" s="21" t="str">
        <f aca="false">ROMAN(RANK(K44,$K$4:$K$46,0))</f>
        <v>XL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customFormat="false" ht="15.75" hidden="false" customHeight="false" outlineLevel="0" collapsed="false">
      <c r="A45" s="21" t="n">
        <v>54</v>
      </c>
      <c r="B45" s="21" t="n">
        <v>232101</v>
      </c>
      <c r="C45" s="21" t="s">
        <v>883</v>
      </c>
      <c r="D45" s="21" t="s">
        <v>2227</v>
      </c>
      <c r="E45" s="21" t="s">
        <v>868</v>
      </c>
      <c r="F45" s="21" t="s">
        <v>1024</v>
      </c>
      <c r="G45" s="21" t="n">
        <f aca="false">VLOOKUP($B45,Day2!$A$1:$H$400,4,FALSE())</f>
        <v>0</v>
      </c>
      <c r="H45" s="21" t="n">
        <f aca="false">VLOOKUP($B45,Day2!$A$1:$H$400,5,FALSE())</f>
        <v>0</v>
      </c>
      <c r="I45" s="21" t="n">
        <f aca="false">VLOOKUP($B45,Day2!$A$1:$H$400,6,FALSE())</f>
        <v>0</v>
      </c>
      <c r="J45" s="21" t="n">
        <f aca="false">VLOOKUP($B45,Day2!$A$1:$H$400,7,FALSE())</f>
        <v>0</v>
      </c>
      <c r="K45" s="21" t="n">
        <f aca="false">SUM(G45:J45)</f>
        <v>0</v>
      </c>
      <c r="L45" s="21" t="str">
        <f aca="false">ROMAN(RANK(K45,$K$4:$K$46,0))</f>
        <v>XL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customFormat="false" ht="15.75" hidden="false" customHeight="false" outlineLevel="0" collapsed="false">
      <c r="A46" s="21" t="n">
        <v>56</v>
      </c>
      <c r="B46" s="21" t="n">
        <v>231994</v>
      </c>
      <c r="C46" s="21" t="s">
        <v>883</v>
      </c>
      <c r="D46" s="21" t="s">
        <v>2253</v>
      </c>
      <c r="E46" s="21" t="s">
        <v>2503</v>
      </c>
      <c r="F46" s="21" t="s">
        <v>1044</v>
      </c>
      <c r="G46" s="21" t="n">
        <f aca="false">VLOOKUP($B46,Day2!$A$1:$H$400,4,FALSE())</f>
        <v>0</v>
      </c>
      <c r="H46" s="21" t="n">
        <f aca="false">VLOOKUP($B46,Day2!$A$1:$H$400,5,FALSE())</f>
        <v>0</v>
      </c>
      <c r="I46" s="21" t="n">
        <f aca="false">VLOOKUP($B46,Day2!$A$1:$H$400,6,FALSE())</f>
        <v>0</v>
      </c>
      <c r="J46" s="21" t="n">
        <f aca="false">VLOOKUP($B46,Day2!$A$1:$H$400,7,FALSE())</f>
        <v>0</v>
      </c>
      <c r="K46" s="21" t="n">
        <f aca="false">SUM(G46:J46)</f>
        <v>0</v>
      </c>
      <c r="L46" s="21" t="str">
        <f aca="false">ROMAN(RANK(K46,$K$4:$K$46,0))</f>
        <v>XL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customFormat="false" ht="15.75" hidden="false" customHeight="fals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customFormat="false" ht="15.75" hidden="false" customHeight="false" outlineLevel="0" collapsed="false">
      <c r="A48" s="22"/>
      <c r="B48" s="23" t="s">
        <v>2508</v>
      </c>
      <c r="C48" s="23"/>
      <c r="D48" s="23"/>
      <c r="E48" s="23"/>
      <c r="F48" s="23"/>
      <c r="G48" s="23"/>
      <c r="H48" s="23"/>
      <c r="I48" s="23"/>
      <c r="J48" s="23"/>
      <c r="K48" s="2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customFormat="false" ht="15.75" hidden="false" customHeight="false" outlineLevel="0" collapsed="false">
      <c r="A49" s="22"/>
      <c r="B49" s="23" t="s">
        <v>2509</v>
      </c>
      <c r="C49" s="23"/>
      <c r="D49" s="23"/>
      <c r="E49" s="23"/>
      <c r="F49" s="23"/>
      <c r="G49" s="23"/>
      <c r="H49" s="22"/>
      <c r="I49" s="22"/>
      <c r="J49" s="22"/>
      <c r="K49" s="22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customFormat="false" ht="15.7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customFormat="false" ht="15.75" hidden="false" customHeight="fals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customFormat="false" ht="15.7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customFormat="false" ht="15.75" hidden="false" customHeight="fals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customFormat="false" ht="15.7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customFormat="false" ht="15.75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customFormat="false" ht="15.7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customFormat="false" ht="15.7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customFormat="false" ht="15.7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customFormat="false" ht="15.75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customFormat="false" ht="15.7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customFormat="false" ht="15.7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customFormat="false" ht="15.7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customFormat="false" ht="15.75" hidden="false" customHeight="fals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customFormat="false" ht="15.7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customFormat="false" ht="15.75" hidden="false" customHeight="fals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customFormat="false" ht="15.7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customFormat="false" ht="15.75" hidden="false" customHeight="fals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customFormat="false" ht="15.7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customFormat="false" ht="15.75" hidden="false" customHeight="fals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customFormat="false" ht="15.7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customFormat="false" ht="15.75" hidden="false" customHeight="fals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customFormat="false" ht="15.7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customFormat="false" ht="15.75" hidden="false" customHeight="fals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customFormat="false" ht="15.7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customFormat="false" ht="15.75" hidden="false" customHeight="fals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customFormat="false" ht="15.7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customFormat="false" ht="15.75" hidden="false" customHeight="fals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customFormat="false" ht="15.7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customFormat="false" ht="15.75" hidden="false" customHeight="fals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customFormat="false" ht="15.7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customFormat="false" ht="15.75" hidden="false" customHeight="fals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customFormat="false" ht="15.7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customFormat="false" ht="15.75" hidden="false" customHeight="fals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customFormat="false" ht="15.7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customFormat="false" ht="15.75" hidden="false" customHeight="fals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customFormat="false" ht="15.7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customFormat="false" ht="15.75" hidden="false" customHeight="fals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customFormat="false" ht="15.75" hidden="false" customHeight="fals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customFormat="false" ht="15.75" hidden="false" customHeight="fals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customFormat="false" ht="15.75" hidden="false" customHeight="fals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customFormat="false" ht="15.75" hidden="false" customHeight="fals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customFormat="false" ht="15.75" hidden="false" customHeight="fals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customFormat="false" ht="15.75" hidden="false" customHeight="fals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customFormat="false" ht="15.75" hidden="false" customHeight="fals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customFormat="false" ht="15.75" hidden="false" customHeight="fals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customFormat="false" ht="15.75" hidden="false" customHeight="fals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customFormat="false" ht="15.75" hidden="false" customHeight="fals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customFormat="false" ht="15.75" hidden="false" customHeight="fals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customFormat="false" ht="15.75" hidden="false" customHeight="fals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customFormat="false" ht="15.75" hidden="false" customHeight="fals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customFormat="false" ht="15.75" hidden="false" customHeight="fals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customFormat="false" ht="15.75" hidden="false" customHeight="fals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customFormat="false" ht="15.75" hidden="false" customHeight="fals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customFormat="false" ht="15.75" hidden="false" customHeight="fals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customFormat="false" ht="15.75" hidden="false" customHeight="fals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customFormat="false" ht="15.75" hidden="false" customHeight="fals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customFormat="false" ht="15.75" hidden="false" customHeight="fals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customFormat="false" ht="15.75" hidden="false" customHeight="fals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customFormat="false" ht="15.75" hidden="false" customHeight="fals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customFormat="false" ht="15.75" hidden="false" customHeight="fals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customFormat="false" ht="15.75" hidden="false" customHeight="fals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customFormat="false" ht="15.75" hidden="false" customHeight="fals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customFormat="false" ht="15.75" hidden="false" customHeight="fals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customFormat="false" ht="15.75" hidden="false" customHeight="fals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customFormat="false" ht="15.75" hidden="false" customHeight="fals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customFormat="false" ht="15.75" hidden="false" customHeight="fals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customFormat="false" ht="15.75" hidden="false" customHeight="fals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customFormat="false" ht="15.75" hidden="false" customHeight="fals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customFormat="false" ht="15.75" hidden="false" customHeight="fals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customFormat="false" ht="15.75" hidden="false" customHeight="fals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customFormat="false" ht="15.75" hidden="false" customHeight="fals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customFormat="false" ht="15.75" hidden="false" customHeight="fals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customFormat="false" ht="15.75" hidden="false" customHeight="fals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customFormat="false" ht="15.75" hidden="false" customHeight="fals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customFormat="false" ht="15.75" hidden="false" customHeight="fals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customFormat="false" ht="15.75" hidden="false" customHeight="fals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customFormat="false" ht="15.75" hidden="false" customHeight="fals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customFormat="false" ht="15.75" hidden="false" customHeight="fals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customFormat="false" ht="15.75" hidden="false" customHeight="fals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customFormat="false" ht="15.75" hidden="false" customHeight="fals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customFormat="false" ht="15.75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customFormat="false" ht="15.75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customFormat="false" ht="15.75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customFormat="false" ht="15.75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customFormat="false" ht="15.75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customFormat="false" ht="15.75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customFormat="false" ht="15.75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customFormat="false" ht="15.75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customFormat="false" ht="15.75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customFormat="false" ht="15.75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customFormat="false" ht="15.75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customFormat="false" ht="15.75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customFormat="false" ht="15.75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customFormat="false" ht="15.75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customFormat="false" ht="15.75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customFormat="false" ht="15.75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customFormat="false" ht="15.75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customFormat="false" ht="15.7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customFormat="false" ht="15.7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customFormat="false" ht="15.7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customFormat="false" ht="15.7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customFormat="false" ht="15.7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customFormat="false" ht="15.7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customFormat="false" ht="15.7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customFormat="false" ht="15.7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customFormat="false" ht="15.7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customFormat="false" ht="15.7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customFormat="false" ht="15.7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customFormat="false" ht="15.7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customFormat="false" ht="15.7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customFormat="false" ht="15.7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customFormat="false" ht="15.7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customFormat="false" ht="15.7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customFormat="false" ht="15.7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customFormat="false" ht="15.7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customFormat="false" ht="15.75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customFormat="false" ht="15.75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customFormat="false" ht="15.75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customFormat="false" ht="15.75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customFormat="false" ht="15.75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customFormat="false" ht="15.75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customFormat="false" ht="15.75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customFormat="false" ht="15.75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customFormat="false" ht="15.75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customFormat="false" ht="15.75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customFormat="false" ht="15.75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customFormat="false" ht="15.75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customFormat="false" ht="15.75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customFormat="false" ht="15.75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customFormat="false" ht="15.75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customFormat="false" ht="15.75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customFormat="false" ht="15.75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customFormat="false" ht="15.75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customFormat="false" ht="15.75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customFormat="false" ht="15.75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customFormat="false" ht="15.75" hidden="false" customHeight="fals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customFormat="false" ht="15.75" hidden="false" customHeight="fals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customFormat="false" ht="15.75" hidden="false" customHeight="fals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customFormat="false" ht="15.75" hidden="false" customHeight="fals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customFormat="false" ht="15.75" hidden="false" customHeight="fals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customFormat="false" ht="15.75" hidden="false" customHeight="fals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customFormat="false" ht="15.75" hidden="false" customHeight="fals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customFormat="false" ht="15.75" hidden="false" customHeight="fals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customFormat="false" ht="15.75" hidden="false" customHeight="fals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customFormat="false" ht="15.75" hidden="false" customHeight="fals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customFormat="false" ht="15.75" hidden="false" customHeight="fals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customFormat="false" ht="15.75" hidden="false" customHeight="fals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customFormat="false" ht="15.75" hidden="false" customHeight="fals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customFormat="false" ht="15.75" hidden="false" customHeight="fals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customFormat="false" ht="15.75" hidden="false" customHeight="fals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customFormat="false" ht="15.75" hidden="false" customHeight="fals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customFormat="false" ht="15.75" hidden="false" customHeight="fals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customFormat="false" ht="15.75" hidden="false" customHeight="fals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customFormat="false" ht="15.75" hidden="false" customHeight="fals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customFormat="false" ht="15.75" hidden="false" customHeight="fals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customFormat="false" ht="15.75" hidden="false" customHeight="fals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customFormat="false" ht="15.75" hidden="false" customHeight="fals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 customFormat="false" ht="15.75" hidden="false" customHeight="fals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customFormat="false" ht="15.75" hidden="false" customHeight="fals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customFormat="false" ht="15.75" hidden="false" customHeight="fals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customFormat="false" ht="15.75" hidden="false" customHeight="fals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customFormat="false" ht="15.75" hidden="false" customHeight="fals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customFormat="false" ht="15.75" hidden="false" customHeight="fals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customFormat="false" ht="15.75" hidden="false" customHeight="fals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customFormat="false" ht="15.75" hidden="false" customHeight="fals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customFormat="false" ht="15.75" hidden="false" customHeight="fals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customFormat="false" ht="15.75" hidden="false" customHeight="fals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customFormat="false" ht="15.75" hidden="false" customHeight="fals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customFormat="false" ht="15.75" hidden="false" customHeight="fals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customFormat="false" ht="15.75" hidden="false" customHeight="fals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 customFormat="false" ht="15.75" hidden="false" customHeight="fals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 customFormat="false" ht="15.75" hidden="false" customHeight="fals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customFormat="false" ht="15.75" hidden="false" customHeight="fals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 customFormat="false" ht="15.75" hidden="false" customHeight="fals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 customFormat="false" ht="15.75" hidden="false" customHeight="fals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 customFormat="false" ht="15.75" hidden="false" customHeight="fals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 customFormat="false" ht="15.75" hidden="false" customHeight="fals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 customFormat="false" ht="15.75" hidden="false" customHeight="fals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 customFormat="false" ht="15.75" hidden="false" customHeight="fals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customFormat="false" ht="15.75" hidden="false" customHeight="fals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 customFormat="false" ht="15.75" hidden="false" customHeight="fals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 customFormat="false" ht="15.75" hidden="false" customHeight="fals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 customFormat="false" ht="15.75" hidden="false" customHeight="fals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 customFormat="false" ht="15.75" hidden="false" customHeight="fals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customFormat="false" ht="15.75" hidden="false" customHeight="fals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customFormat="false" ht="15.75" hidden="false" customHeight="fals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customFormat="false" ht="15.75" hidden="false" customHeight="fals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customFormat="false" ht="15.75" hidden="false" customHeight="fals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customFormat="false" ht="15.75" hidden="false" customHeight="fals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customFormat="false" ht="15.75" hidden="false" customHeight="fals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customFormat="false" ht="15.75" hidden="false" customHeight="fals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customFormat="false" ht="15.75" hidden="false" customHeight="fals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customFormat="false" ht="15.75" hidden="false" customHeight="fals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customFormat="false" ht="15.75" hidden="false" customHeight="fals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customFormat="false" ht="15.75" hidden="false" customHeight="fals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customFormat="false" ht="15.75" hidden="false" customHeight="fals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customFormat="false" ht="15.75" hidden="false" customHeight="fals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customFormat="false" ht="15.75" hidden="false" customHeight="fals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customFormat="false" ht="15.75" hidden="false" customHeight="fals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customFormat="false" ht="15.75" hidden="false" customHeight="fals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customFormat="false" ht="15.75" hidden="false" customHeight="fals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customFormat="false" ht="15.75" hidden="false" customHeight="fals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customFormat="false" ht="15.75" hidden="false" customHeight="fals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customFormat="false" ht="15.75" hidden="false" customHeight="fals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customFormat="false" ht="15.75" hidden="false" customHeight="fals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customFormat="false" ht="15.75" hidden="false" customHeight="fals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customFormat="false" ht="15.75" hidden="false" customHeight="fals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customFormat="false" ht="15.75" hidden="false" customHeight="fals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customFormat="false" ht="15.75" hidden="false" customHeight="fals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customFormat="false" ht="15.75" hidden="false" customHeight="fals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customFormat="false" ht="15.75" hidden="false" customHeight="fals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customFormat="false" ht="15.75" hidden="false" customHeight="fals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customFormat="false" ht="15.75" hidden="false" customHeight="fals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customFormat="false" ht="15.75" hidden="false" customHeight="fals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customFormat="false" ht="15.75" hidden="false" customHeight="fals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customFormat="false" ht="15.75" hidden="false" customHeight="fals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customFormat="false" ht="15.75" hidden="false" customHeight="fals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customFormat="false" ht="15.75" hidden="false" customHeight="fals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customFormat="false" ht="15.75" hidden="false" customHeight="fals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customFormat="false" ht="15.75" hidden="false" customHeight="fals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customFormat="false" ht="15.75" hidden="false" customHeight="fals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customFormat="false" ht="15.75" hidden="false" customHeight="fals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customFormat="false" ht="15.75" hidden="false" customHeight="fals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customFormat="false" ht="15.75" hidden="false" customHeight="fals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customFormat="false" ht="15.75" hidden="false" customHeight="fals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customFormat="false" ht="15.75" hidden="false" customHeight="fals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customFormat="false" ht="15.75" hidden="false" customHeight="fals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customFormat="false" ht="15.75" hidden="false" customHeight="fals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customFormat="false" ht="15.75" hidden="false" customHeight="fals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customFormat="false" ht="15.75" hidden="false" customHeight="fals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customFormat="false" ht="15.75" hidden="false" customHeight="fals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customFormat="false" ht="15.75" hidden="false" customHeight="fals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customFormat="false" ht="15.75" hidden="false" customHeight="fals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customFormat="false" ht="15.75" hidden="false" customHeight="fals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customFormat="false" ht="15.75" hidden="false" customHeight="fals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customFormat="false" ht="15.75" hidden="false" customHeight="fals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customFormat="false" ht="15.75" hidden="false" customHeight="fals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customFormat="false" ht="15.75" hidden="false" customHeight="fals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customFormat="false" ht="15.75" hidden="false" customHeight="fals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customFormat="false" ht="15.75" hidden="false" customHeight="fals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customFormat="false" ht="15.75" hidden="false" customHeight="fals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customFormat="false" ht="15.75" hidden="false" customHeight="fals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customFormat="false" ht="15.75" hidden="false" customHeight="fals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customFormat="false" ht="15.75" hidden="false" customHeight="fals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customFormat="false" ht="15.75" hidden="false" customHeight="fals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customFormat="false" ht="15.75" hidden="false" customHeight="fals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customFormat="false" ht="15.75" hidden="false" customHeight="fals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customFormat="false" ht="15.75" hidden="false" customHeight="fals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customFormat="false" ht="15.75" hidden="false" customHeight="fals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customFormat="false" ht="15.75" hidden="false" customHeight="fals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customFormat="false" ht="15.75" hidden="false" customHeight="fals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customFormat="false" ht="15.75" hidden="false" customHeight="fals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customFormat="false" ht="15.75" hidden="false" customHeight="fals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customFormat="false" ht="15.75" hidden="false" customHeight="fals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customFormat="false" ht="15.75" hidden="false" customHeight="fals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customFormat="false" ht="15.75" hidden="false" customHeight="fals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customFormat="false" ht="15.75" hidden="false" customHeight="fals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customFormat="false" ht="15.75" hidden="false" customHeight="fals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customFormat="false" ht="15.75" hidden="false" customHeight="fals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customFormat="false" ht="15.75" hidden="false" customHeight="fals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customFormat="false" ht="15.75" hidden="false" customHeight="fals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customFormat="false" ht="15.75" hidden="false" customHeight="fals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customFormat="false" ht="15.75" hidden="false" customHeight="fals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customFormat="false" ht="15.75" hidden="false" customHeight="fals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customFormat="false" ht="15.75" hidden="false" customHeight="fals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customFormat="false" ht="15.75" hidden="false" customHeight="fals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customFormat="false" ht="15.75" hidden="false" customHeight="fals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customFormat="false" ht="15.75" hidden="false" customHeight="fals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customFormat="false" ht="15.75" hidden="false" customHeight="fals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customFormat="false" ht="15.75" hidden="false" customHeight="fals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customFormat="false" ht="15.75" hidden="false" customHeight="fals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customFormat="false" ht="15.75" hidden="false" customHeight="fals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customFormat="false" ht="15.75" hidden="false" customHeight="fals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customFormat="false" ht="15.75" hidden="false" customHeight="fals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customFormat="false" ht="15.75" hidden="false" customHeight="fals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customFormat="false" ht="15.75" hidden="false" customHeight="fals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customFormat="false" ht="15.75" hidden="false" customHeight="fals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customFormat="false" ht="15.75" hidden="false" customHeight="fals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customFormat="false" ht="15.75" hidden="false" customHeight="fals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customFormat="false" ht="15.75" hidden="false" customHeight="fals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customFormat="false" ht="15.75" hidden="false" customHeight="fals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customFormat="false" ht="15.75" hidden="false" customHeight="fals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customFormat="false" ht="15.75" hidden="false" customHeight="fals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customFormat="false" ht="15.75" hidden="false" customHeight="fals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customFormat="false" ht="15.75" hidden="false" customHeight="fals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customFormat="false" ht="15.75" hidden="false" customHeight="fals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customFormat="false" ht="15.75" hidden="false" customHeight="fals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customFormat="false" ht="15.75" hidden="false" customHeight="fals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customFormat="false" ht="15.75" hidden="false" customHeight="fals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customFormat="false" ht="15.75" hidden="false" customHeight="fals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customFormat="false" ht="15.75" hidden="false" customHeight="fals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customFormat="false" ht="15.75" hidden="false" customHeight="fals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customFormat="false" ht="15.75" hidden="false" customHeight="fals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customFormat="false" ht="15.75" hidden="false" customHeight="fals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customFormat="false" ht="15.75" hidden="false" customHeight="fals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customFormat="false" ht="15.75" hidden="false" customHeight="fals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customFormat="false" ht="15.75" hidden="false" customHeight="fals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customFormat="false" ht="15.75" hidden="false" customHeight="fals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customFormat="false" ht="15.75" hidden="false" customHeight="fals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customFormat="false" ht="15.75" hidden="false" customHeight="fals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customFormat="false" ht="15.75" hidden="false" customHeight="fals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customFormat="false" ht="15.75" hidden="false" customHeight="fals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customFormat="false" ht="15.75" hidden="false" customHeight="fals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customFormat="false" ht="15.75" hidden="false" customHeight="fals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customFormat="false" ht="15.75" hidden="false" customHeight="fals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customFormat="false" ht="15.75" hidden="false" customHeight="fals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customFormat="false" ht="15.75" hidden="false" customHeight="fals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customFormat="false" ht="15.75" hidden="false" customHeight="fals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customFormat="false" ht="15.75" hidden="false" customHeight="fals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customFormat="false" ht="15.75" hidden="false" customHeight="fals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customFormat="false" ht="15.75" hidden="false" customHeight="fals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customFormat="false" ht="15.75" hidden="false" customHeight="fals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customFormat="false" ht="15.75" hidden="false" customHeight="fals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customFormat="false" ht="15.75" hidden="false" customHeight="fals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customFormat="false" ht="15.75" hidden="false" customHeight="fals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customFormat="false" ht="15.75" hidden="false" customHeight="fals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customFormat="false" ht="15.75" hidden="false" customHeight="fals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customFormat="false" ht="15.75" hidden="false" customHeight="fals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customFormat="false" ht="15.75" hidden="false" customHeight="fals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customFormat="false" ht="15.75" hidden="false" customHeight="fals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customFormat="false" ht="15.75" hidden="false" customHeight="fals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customFormat="false" ht="15.75" hidden="false" customHeight="fals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customFormat="false" ht="15.75" hidden="false" customHeight="fals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customFormat="false" ht="15.75" hidden="false" customHeight="fals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customFormat="false" ht="15.75" hidden="false" customHeight="fals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customFormat="false" ht="15.75" hidden="false" customHeight="fals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customFormat="false" ht="15.75" hidden="false" customHeight="fals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customFormat="false" ht="15.75" hidden="false" customHeight="fals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customFormat="false" ht="15.75" hidden="false" customHeight="fals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customFormat="false" ht="15.75" hidden="false" customHeight="fals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customFormat="false" ht="15.75" hidden="false" customHeight="fals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customFormat="false" ht="15.75" hidden="false" customHeight="fals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customFormat="false" ht="15.75" hidden="false" customHeight="fals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customFormat="false" ht="15.75" hidden="false" customHeight="fals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customFormat="false" ht="15.75" hidden="false" customHeight="fals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customFormat="false" ht="15.75" hidden="false" customHeight="fals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customFormat="false" ht="15.75" hidden="false" customHeight="fals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customFormat="false" ht="15.75" hidden="false" customHeight="fals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customFormat="false" ht="15.75" hidden="false" customHeight="fals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customFormat="false" ht="15.75" hidden="false" customHeight="fals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customFormat="false" ht="15.75" hidden="false" customHeight="fals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customFormat="false" ht="15.75" hidden="false" customHeight="fals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customFormat="false" ht="15.75" hidden="false" customHeight="fals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customFormat="false" ht="15.75" hidden="false" customHeight="fals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customFormat="false" ht="15.75" hidden="false" customHeight="fals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customFormat="false" ht="15.75" hidden="false" customHeight="fals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customFormat="false" ht="15.75" hidden="false" customHeight="fals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customFormat="false" ht="15.75" hidden="false" customHeight="fals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customFormat="false" ht="15.75" hidden="false" customHeight="fals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customFormat="false" ht="15.75" hidden="false" customHeight="fals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customFormat="false" ht="15.75" hidden="false" customHeight="fals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customFormat="false" ht="15.75" hidden="false" customHeight="fals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customFormat="false" ht="15.75" hidden="false" customHeight="fals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customFormat="false" ht="15.75" hidden="false" customHeight="fals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customFormat="false" ht="15.75" hidden="false" customHeight="fals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customFormat="false" ht="15.75" hidden="false" customHeight="fals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customFormat="false" ht="15.75" hidden="false" customHeight="fals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customFormat="false" ht="15.75" hidden="false" customHeight="fals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customFormat="false" ht="15.75" hidden="false" customHeight="fals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customFormat="false" ht="15.75" hidden="false" customHeight="fals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customFormat="false" ht="15.75" hidden="false" customHeight="fals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customFormat="false" ht="15.75" hidden="false" customHeight="fals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customFormat="false" ht="15.75" hidden="false" customHeight="fals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customFormat="false" ht="15.75" hidden="false" customHeight="fals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customFormat="false" ht="15.75" hidden="false" customHeight="fals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customFormat="false" ht="15.75" hidden="false" customHeight="fals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customFormat="false" ht="15.75" hidden="false" customHeight="fals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customFormat="false" ht="15.75" hidden="false" customHeight="fals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customFormat="false" ht="15.75" hidden="false" customHeight="fals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customFormat="false" ht="15.75" hidden="false" customHeight="fals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customFormat="false" ht="15.75" hidden="false" customHeight="fals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customFormat="false" ht="15.75" hidden="false" customHeight="fals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customFormat="false" ht="15.75" hidden="false" customHeight="fals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customFormat="false" ht="15.75" hidden="false" customHeight="fals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customFormat="false" ht="15.75" hidden="false" customHeight="fals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customFormat="false" ht="15.75" hidden="false" customHeight="fals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customFormat="false" ht="15.75" hidden="false" customHeight="fals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customFormat="false" ht="15.75" hidden="false" customHeight="fals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customFormat="false" ht="15.75" hidden="false" customHeight="fals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customFormat="false" ht="15.75" hidden="false" customHeight="fals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customFormat="false" ht="15.75" hidden="false" customHeight="fals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customFormat="false" ht="15.75" hidden="false" customHeight="fals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customFormat="false" ht="15.75" hidden="false" customHeight="fals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customFormat="false" ht="15.75" hidden="false" customHeight="fals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customFormat="false" ht="15.75" hidden="false" customHeight="fals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customFormat="false" ht="15.75" hidden="false" customHeight="fals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customFormat="false" ht="15.75" hidden="false" customHeight="fals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customFormat="false" ht="15.75" hidden="false" customHeight="fals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customFormat="false" ht="15.75" hidden="false" customHeight="fals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customFormat="false" ht="15.75" hidden="false" customHeight="fals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customFormat="false" ht="15.75" hidden="false" customHeight="fals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customFormat="false" ht="15.75" hidden="false" customHeight="fals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customFormat="false" ht="15.75" hidden="false" customHeight="fals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customFormat="false" ht="15.75" hidden="false" customHeight="fals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customFormat="false" ht="15.75" hidden="false" customHeight="fals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customFormat="false" ht="15.75" hidden="false" customHeight="fals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customFormat="false" ht="15.75" hidden="false" customHeight="fals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customFormat="false" ht="15.75" hidden="false" customHeight="fals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customFormat="false" ht="15.75" hidden="false" customHeight="fals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customFormat="false" ht="15.75" hidden="false" customHeight="fals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customFormat="false" ht="15.75" hidden="false" customHeight="fals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customFormat="false" ht="15.75" hidden="false" customHeight="fals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customFormat="false" ht="15.75" hidden="false" customHeight="fals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customFormat="false" ht="15.75" hidden="false" customHeight="fals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customFormat="false" ht="15.75" hidden="false" customHeight="fals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customFormat="false" ht="15.75" hidden="false" customHeight="fals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customFormat="false" ht="15.75" hidden="false" customHeight="fals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customFormat="false" ht="15.75" hidden="false" customHeight="fals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customFormat="false" ht="15.75" hidden="false" customHeight="fals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customFormat="false" ht="15.75" hidden="false" customHeight="fals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customFormat="false" ht="15.75" hidden="false" customHeight="fals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customFormat="false" ht="15.75" hidden="false" customHeight="fals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customFormat="false" ht="15.75" hidden="false" customHeight="fals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customFormat="false" ht="15.75" hidden="false" customHeight="fals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customFormat="false" ht="15.75" hidden="false" customHeight="fals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customFormat="false" ht="15.75" hidden="false" customHeight="fals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customFormat="false" ht="15.75" hidden="false" customHeight="fals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customFormat="false" ht="15.75" hidden="false" customHeight="fals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customFormat="false" ht="15.75" hidden="false" customHeight="fals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customFormat="false" ht="15.75" hidden="false" customHeight="fals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customFormat="false" ht="15.75" hidden="false" customHeight="fals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customFormat="false" ht="15.75" hidden="false" customHeight="fals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customFormat="false" ht="15.75" hidden="false" customHeight="fals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customFormat="false" ht="15.75" hidden="false" customHeight="fals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customFormat="false" ht="15.75" hidden="false" customHeight="fals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customFormat="false" ht="15.75" hidden="false" customHeight="fals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customFormat="false" ht="15.75" hidden="false" customHeight="fals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customFormat="false" ht="15.75" hidden="false" customHeight="fals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customFormat="false" ht="15.75" hidden="false" customHeight="fals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customFormat="false" ht="15.75" hidden="false" customHeight="fals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customFormat="false" ht="15.75" hidden="false" customHeight="fals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customFormat="false" ht="15.75" hidden="false" customHeight="fals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customFormat="false" ht="15.75" hidden="false" customHeight="fals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customFormat="false" ht="15.75" hidden="false" customHeight="fals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customFormat="false" ht="15.75" hidden="false" customHeight="fals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customFormat="false" ht="15.75" hidden="false" customHeight="fals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customFormat="false" ht="15.75" hidden="false" customHeight="fals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customFormat="false" ht="15.75" hidden="false" customHeight="fals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customFormat="false" ht="15.75" hidden="false" customHeight="fals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customFormat="false" ht="15.75" hidden="false" customHeight="fals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customFormat="false" ht="15.75" hidden="false" customHeight="fals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customFormat="false" ht="15.75" hidden="false" customHeight="fals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customFormat="false" ht="15.75" hidden="false" customHeight="fals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customFormat="false" ht="15.75" hidden="false" customHeight="fals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customFormat="false" ht="15.75" hidden="false" customHeight="fals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customFormat="false" ht="15.75" hidden="false" customHeight="fals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customFormat="false" ht="15.75" hidden="false" customHeight="fals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customFormat="false" ht="15.75" hidden="false" customHeight="fals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customFormat="false" ht="15.75" hidden="false" customHeight="fals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customFormat="false" ht="15.75" hidden="false" customHeight="fals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customFormat="false" ht="15.75" hidden="false" customHeight="fals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customFormat="false" ht="15.75" hidden="false" customHeight="fals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customFormat="false" ht="15.75" hidden="false" customHeight="fals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customFormat="false" ht="15.75" hidden="false" customHeight="fals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customFormat="false" ht="15.75" hidden="false" customHeight="fals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customFormat="false" ht="15.75" hidden="false" customHeight="fals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customFormat="false" ht="15.75" hidden="false" customHeight="fals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customFormat="false" ht="15.75" hidden="false" customHeight="fals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customFormat="false" ht="15.75" hidden="false" customHeight="fals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customFormat="false" ht="15.75" hidden="false" customHeight="fals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customFormat="false" ht="15.75" hidden="false" customHeight="fals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customFormat="false" ht="15.75" hidden="false" customHeight="fals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customFormat="false" ht="15.75" hidden="false" customHeight="fals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customFormat="false" ht="15.75" hidden="false" customHeight="fals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customFormat="false" ht="15.75" hidden="false" customHeight="fals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customFormat="false" ht="15.75" hidden="false" customHeight="fals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customFormat="false" ht="15.75" hidden="false" customHeight="fals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customFormat="false" ht="15.75" hidden="false" customHeight="fals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customFormat="false" ht="15.75" hidden="false" customHeight="fals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customFormat="false" ht="15.75" hidden="false" customHeight="fals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customFormat="false" ht="15.75" hidden="false" customHeight="fals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customFormat="false" ht="15.75" hidden="false" customHeight="fals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customFormat="false" ht="15.75" hidden="false" customHeight="fals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customFormat="false" ht="15.75" hidden="false" customHeight="fals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customFormat="false" ht="15.75" hidden="false" customHeight="fals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customFormat="false" ht="15.75" hidden="false" customHeight="fals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customFormat="false" ht="15.75" hidden="false" customHeight="fals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customFormat="false" ht="15.75" hidden="false" customHeight="fals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customFormat="false" ht="15.75" hidden="false" customHeight="fals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customFormat="false" ht="15.75" hidden="false" customHeight="fals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customFormat="false" ht="15.75" hidden="false" customHeight="fals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customFormat="false" ht="15.75" hidden="false" customHeight="fals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customFormat="false" ht="15.75" hidden="false" customHeight="fals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customFormat="false" ht="15.75" hidden="false" customHeight="fals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customFormat="false" ht="15.75" hidden="false" customHeight="fals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customFormat="false" ht="15.75" hidden="false" customHeight="fals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customFormat="false" ht="15.75" hidden="false" customHeight="fals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customFormat="false" ht="15.75" hidden="false" customHeight="fals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customFormat="false" ht="15.75" hidden="false" customHeight="fals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customFormat="false" ht="15.75" hidden="false" customHeight="fals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customFormat="false" ht="15.75" hidden="false" customHeight="fals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customFormat="false" ht="15.75" hidden="false" customHeight="fals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customFormat="false" ht="15.75" hidden="false" customHeight="fals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customFormat="false" ht="15.75" hidden="false" customHeight="fals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customFormat="false" ht="15.75" hidden="false" customHeight="fals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customFormat="false" ht="15.75" hidden="false" customHeight="fals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customFormat="false" ht="15.75" hidden="false" customHeight="fals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customFormat="false" ht="15.75" hidden="false" customHeight="fals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customFormat="false" ht="15.75" hidden="false" customHeight="fals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customFormat="false" ht="15.75" hidden="false" customHeight="fals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customFormat="false" ht="15.75" hidden="false" customHeight="fals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customFormat="false" ht="15.75" hidden="false" customHeight="fals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customFormat="false" ht="15.75" hidden="false" customHeight="fals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customFormat="false" ht="15.75" hidden="false" customHeight="fals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customFormat="false" ht="15.75" hidden="false" customHeight="fals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customFormat="false" ht="15.75" hidden="false" customHeight="fals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customFormat="false" ht="15.75" hidden="false" customHeight="fals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customFormat="false" ht="15.75" hidden="false" customHeight="fals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customFormat="false" ht="15.75" hidden="false" customHeight="fals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customFormat="false" ht="15.75" hidden="false" customHeight="fals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customFormat="false" ht="15.75" hidden="false" customHeight="fals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customFormat="false" ht="15.75" hidden="false" customHeight="fals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customFormat="false" ht="15.75" hidden="false" customHeight="fals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customFormat="false" ht="15.75" hidden="false" customHeight="fals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customFormat="false" ht="15.75" hidden="false" customHeight="fals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customFormat="false" ht="15.75" hidden="false" customHeight="fals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customFormat="false" ht="15.75" hidden="false" customHeight="fals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customFormat="false" ht="15.75" hidden="false" customHeight="fals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customFormat="false" ht="15.75" hidden="false" customHeight="fals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customFormat="false" ht="15.75" hidden="false" customHeight="fals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customFormat="false" ht="15.75" hidden="false" customHeight="fals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customFormat="false" ht="15.75" hidden="false" customHeight="fals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customFormat="false" ht="15.75" hidden="false" customHeight="fals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customFormat="false" ht="15.75" hidden="false" customHeight="fals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customFormat="false" ht="15.75" hidden="false" customHeight="fals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customFormat="false" ht="15.75" hidden="false" customHeight="fals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customFormat="false" ht="15.75" hidden="false" customHeight="fals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customFormat="false" ht="15.75" hidden="false" customHeight="fals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customFormat="false" ht="15.75" hidden="false" customHeight="fals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customFormat="false" ht="15.75" hidden="false" customHeight="fals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customFormat="false" ht="15.75" hidden="false" customHeight="fals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customFormat="false" ht="15.75" hidden="false" customHeight="fals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customFormat="false" ht="15.75" hidden="false" customHeight="fals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customFormat="false" ht="15.75" hidden="false" customHeight="fals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customFormat="false" ht="15.75" hidden="false" customHeight="fals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customFormat="false" ht="15.75" hidden="false" customHeight="fals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customFormat="false" ht="15.75" hidden="false" customHeight="fals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customFormat="false" ht="15.75" hidden="false" customHeight="fals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customFormat="false" ht="15.75" hidden="false" customHeight="fals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customFormat="false" ht="15.75" hidden="false" customHeight="fals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customFormat="false" ht="15.75" hidden="false" customHeight="fals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customFormat="false" ht="15.75" hidden="false" customHeight="fals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customFormat="false" ht="15.75" hidden="false" customHeight="fals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customFormat="false" ht="15.75" hidden="false" customHeight="fals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customFormat="false" ht="15.75" hidden="false" customHeight="fals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customFormat="false" ht="15.75" hidden="false" customHeight="fals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customFormat="false" ht="15.75" hidden="false" customHeight="fals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customFormat="false" ht="15.75" hidden="false" customHeight="fals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customFormat="false" ht="15.75" hidden="false" customHeight="fals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customFormat="false" ht="15.75" hidden="false" customHeight="fals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customFormat="false" ht="15.75" hidden="false" customHeight="fals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customFormat="false" ht="15.75" hidden="false" customHeight="fals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customFormat="false" ht="15.75" hidden="false" customHeight="fals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customFormat="false" ht="15.75" hidden="false" customHeight="fals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customFormat="false" ht="15.75" hidden="false" customHeight="fals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customFormat="false" ht="15.75" hidden="false" customHeight="fals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customFormat="false" ht="15.75" hidden="false" customHeight="fals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customFormat="false" ht="15.75" hidden="false" customHeight="fals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customFormat="false" ht="15.75" hidden="false" customHeight="fals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customFormat="false" ht="15.75" hidden="false" customHeight="fals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customFormat="false" ht="15.75" hidden="false" customHeight="fals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customFormat="false" ht="15.75" hidden="false" customHeight="fals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customFormat="false" ht="15.75" hidden="false" customHeight="fals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customFormat="false" ht="15.75" hidden="false" customHeight="fals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customFormat="false" ht="15.75" hidden="false" customHeight="fals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customFormat="false" ht="15.75" hidden="false" customHeight="fals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customFormat="false" ht="15.75" hidden="false" customHeight="fals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customFormat="false" ht="15.75" hidden="false" customHeight="fals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customFormat="false" ht="15.75" hidden="false" customHeight="fals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customFormat="false" ht="15.75" hidden="false" customHeight="fals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customFormat="false" ht="15.75" hidden="false" customHeight="fals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customFormat="false" ht="15.75" hidden="false" customHeight="fals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customFormat="false" ht="15.75" hidden="false" customHeight="fals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customFormat="false" ht="15.75" hidden="false" customHeight="fals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customFormat="false" ht="15.75" hidden="false" customHeight="fals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customFormat="false" ht="15.75" hidden="false" customHeight="fals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customFormat="false" ht="15.75" hidden="false" customHeight="fals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customFormat="false" ht="15.75" hidden="false" customHeight="fals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customFormat="false" ht="15.75" hidden="false" customHeight="fals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customFormat="false" ht="15.75" hidden="false" customHeight="fals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customFormat="false" ht="15.75" hidden="false" customHeight="fals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customFormat="false" ht="15.75" hidden="false" customHeight="fals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customFormat="false" ht="15.75" hidden="false" customHeight="fals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customFormat="false" ht="15.75" hidden="false" customHeight="fals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customFormat="false" ht="15.75" hidden="false" customHeight="fals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customFormat="false" ht="15.75" hidden="false" customHeight="fals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customFormat="false" ht="15.75" hidden="false" customHeight="fals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customFormat="false" ht="15.75" hidden="false" customHeight="fals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customFormat="false" ht="15.75" hidden="false" customHeight="fals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customFormat="false" ht="15.75" hidden="false" customHeight="fals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customFormat="false" ht="15.75" hidden="false" customHeight="fals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customFormat="false" ht="15.75" hidden="false" customHeight="fals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customFormat="false" ht="15.75" hidden="false" customHeight="fals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customFormat="false" ht="15.75" hidden="false" customHeight="fals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customFormat="false" ht="15.75" hidden="false" customHeight="fals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customFormat="false" ht="15.75" hidden="false" customHeight="fals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customFormat="false" ht="15.75" hidden="false" customHeight="fals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customFormat="false" ht="15.75" hidden="false" customHeight="fals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customFormat="false" ht="15.75" hidden="false" customHeight="fals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customFormat="false" ht="15.75" hidden="false" customHeight="fals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customFormat="false" ht="15.75" hidden="false" customHeight="fals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customFormat="false" ht="15.75" hidden="false" customHeight="fals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customFormat="false" ht="15.75" hidden="false" customHeight="fals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customFormat="false" ht="15.75" hidden="false" customHeight="fals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customFormat="false" ht="15.75" hidden="false" customHeight="fals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customFormat="false" ht="15.75" hidden="false" customHeight="fals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customFormat="false" ht="15.75" hidden="false" customHeight="fals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customFormat="false" ht="15.75" hidden="false" customHeight="fals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customFormat="false" ht="15.75" hidden="false" customHeight="fals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customFormat="false" ht="15.75" hidden="false" customHeight="fals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customFormat="false" ht="15.75" hidden="false" customHeight="fals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customFormat="false" ht="15.75" hidden="false" customHeight="fals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customFormat="false" ht="15.75" hidden="false" customHeight="fals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customFormat="false" ht="15.75" hidden="false" customHeight="fals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customFormat="false" ht="15.75" hidden="false" customHeight="fals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customFormat="false" ht="15.75" hidden="false" customHeight="fals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customFormat="false" ht="15.75" hidden="false" customHeight="fals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customFormat="false" ht="15.75" hidden="false" customHeight="fals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customFormat="false" ht="15.75" hidden="false" customHeight="fals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customFormat="false" ht="15.75" hidden="false" customHeight="fals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customFormat="false" ht="15.75" hidden="false" customHeight="fals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customFormat="false" ht="15.75" hidden="false" customHeight="fals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customFormat="false" ht="15.75" hidden="false" customHeight="fals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customFormat="false" ht="15.75" hidden="false" customHeight="fals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customFormat="false" ht="15.75" hidden="false" customHeight="fals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customFormat="false" ht="15.75" hidden="false" customHeight="fals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customFormat="false" ht="15.75" hidden="false" customHeight="fals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customFormat="false" ht="15.75" hidden="false" customHeight="fals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customFormat="false" ht="15.75" hidden="false" customHeight="fals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customFormat="false" ht="15.75" hidden="false" customHeight="fals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customFormat="false" ht="15.75" hidden="false" customHeight="fals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customFormat="false" ht="15.75" hidden="false" customHeight="fals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customFormat="false" ht="15.75" hidden="false" customHeight="fals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customFormat="false" ht="15.75" hidden="false" customHeight="fals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customFormat="false" ht="15.75" hidden="false" customHeight="fals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customFormat="false" ht="15.75" hidden="false" customHeight="fals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customFormat="false" ht="15.75" hidden="false" customHeight="fals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customFormat="false" ht="15.75" hidden="false" customHeight="fals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customFormat="false" ht="15.75" hidden="false" customHeight="fals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customFormat="false" ht="15.75" hidden="false" customHeight="fals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customFormat="false" ht="15.75" hidden="false" customHeight="fals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customFormat="false" ht="15.75" hidden="false" customHeight="fals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customFormat="false" ht="15.75" hidden="false" customHeight="fals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customFormat="false" ht="15.75" hidden="false" customHeight="fals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customFormat="false" ht="15.75" hidden="false" customHeight="fals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customFormat="false" ht="15.75" hidden="false" customHeight="fals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customFormat="false" ht="15.75" hidden="false" customHeight="fals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customFormat="false" ht="15.75" hidden="false" customHeight="fals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customFormat="false" ht="15.75" hidden="false" customHeight="fals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customFormat="false" ht="15.75" hidden="false" customHeight="fals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customFormat="false" ht="15.75" hidden="false" customHeight="fals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customFormat="false" ht="15.75" hidden="false" customHeight="fals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customFormat="false" ht="15.75" hidden="false" customHeight="fals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customFormat="false" ht="15.75" hidden="false" customHeight="fals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customFormat="false" ht="15.75" hidden="false" customHeight="fals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customFormat="false" ht="15.75" hidden="false" customHeight="fals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customFormat="false" ht="15.75" hidden="false" customHeight="fals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customFormat="false" ht="15.75" hidden="false" customHeight="fals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customFormat="false" ht="15.75" hidden="false" customHeight="fals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customFormat="false" ht="15.75" hidden="false" customHeight="fals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customFormat="false" ht="15.75" hidden="false" customHeight="fals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customFormat="false" ht="15.75" hidden="false" customHeight="fals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customFormat="false" ht="15.75" hidden="false" customHeight="fals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customFormat="false" ht="15.75" hidden="false" customHeight="fals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customFormat="false" ht="15.75" hidden="false" customHeight="fals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customFormat="false" ht="15.75" hidden="false" customHeight="fals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customFormat="false" ht="15.75" hidden="false" customHeight="fals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customFormat="false" ht="15.75" hidden="false" customHeight="fals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customFormat="false" ht="15.75" hidden="false" customHeight="fals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customFormat="false" ht="15.75" hidden="false" customHeight="fals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customFormat="false" ht="15.75" hidden="false" customHeight="fals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customFormat="false" ht="15.75" hidden="false" customHeight="fals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customFormat="false" ht="15.75" hidden="false" customHeight="fals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customFormat="false" ht="15.75" hidden="false" customHeight="fals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customFormat="false" ht="15.75" hidden="false" customHeight="fals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customFormat="false" ht="15.75" hidden="false" customHeight="fals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customFormat="false" ht="15.75" hidden="false" customHeight="fals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customFormat="false" ht="15.75" hidden="false" customHeight="fals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customFormat="false" ht="15.75" hidden="false" customHeight="fals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customFormat="false" ht="15.75" hidden="false" customHeight="fals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customFormat="false" ht="15.75" hidden="false" customHeight="fals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customFormat="false" ht="15.75" hidden="false" customHeight="fals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customFormat="false" ht="15.75" hidden="false" customHeight="fals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customFormat="false" ht="15.75" hidden="false" customHeight="fals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customFormat="false" ht="15.75" hidden="false" customHeight="fals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customFormat="false" ht="15.75" hidden="false" customHeight="fals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customFormat="false" ht="15.75" hidden="false" customHeight="fals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customFormat="false" ht="15.75" hidden="false" customHeight="fals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customFormat="false" ht="15.75" hidden="false" customHeight="fals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customFormat="false" ht="15.75" hidden="false" customHeight="fals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customFormat="false" ht="15.75" hidden="false" customHeight="fals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customFormat="false" ht="15.75" hidden="false" customHeight="fals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customFormat="false" ht="15.75" hidden="false" customHeight="fals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customFormat="false" ht="15.75" hidden="false" customHeight="fals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customFormat="false" ht="15.75" hidden="false" customHeight="fals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customFormat="false" ht="15.75" hidden="false" customHeight="fals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customFormat="false" ht="15.75" hidden="false" customHeight="fals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customFormat="false" ht="15.75" hidden="false" customHeight="fals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customFormat="false" ht="15.75" hidden="false" customHeight="fals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customFormat="false" ht="15.75" hidden="false" customHeight="fals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customFormat="false" ht="15.75" hidden="false" customHeight="fals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customFormat="false" ht="15.75" hidden="false" customHeight="fals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customFormat="false" ht="15.75" hidden="false" customHeight="fals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customFormat="false" ht="15.75" hidden="false" customHeight="fals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customFormat="false" ht="15.75" hidden="false" customHeight="fals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customFormat="false" ht="15.75" hidden="false" customHeight="fals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customFormat="false" ht="15.75" hidden="false" customHeight="fals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customFormat="false" ht="15.75" hidden="false" customHeight="fals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customFormat="false" ht="15.75" hidden="false" customHeight="fals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customFormat="false" ht="15.75" hidden="false" customHeight="fals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customFormat="false" ht="15.75" hidden="false" customHeight="fals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customFormat="false" ht="15.75" hidden="false" customHeight="fals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customFormat="false" ht="15.75" hidden="false" customHeight="fals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customFormat="false" ht="15.75" hidden="false" customHeight="fals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customFormat="false" ht="15.75" hidden="false" customHeight="fals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customFormat="false" ht="15.75" hidden="false" customHeight="fals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customFormat="false" ht="15.75" hidden="false" customHeight="fals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customFormat="false" ht="15.75" hidden="false" customHeight="fals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customFormat="false" ht="15.75" hidden="false" customHeight="fals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customFormat="false" ht="15.75" hidden="false" customHeight="fals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customFormat="false" ht="15.75" hidden="false" customHeight="fals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customFormat="false" ht="15.75" hidden="false" customHeight="fals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customFormat="false" ht="15.75" hidden="false" customHeight="fals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customFormat="false" ht="15.75" hidden="false" customHeight="fals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customFormat="false" ht="15.75" hidden="false" customHeight="fals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customFormat="false" ht="15.75" hidden="false" customHeight="fals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customFormat="false" ht="15.75" hidden="false" customHeight="fals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customFormat="false" ht="15.75" hidden="false" customHeight="fals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customFormat="false" ht="15.75" hidden="false" customHeight="fals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customFormat="false" ht="15.75" hidden="false" customHeight="fals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customFormat="false" ht="15.75" hidden="false" customHeight="fals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customFormat="false" ht="15.75" hidden="false" customHeight="fals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customFormat="false" ht="15.75" hidden="false" customHeight="fals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customFormat="false" ht="15.75" hidden="false" customHeight="fals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customFormat="false" ht="15.75" hidden="false" customHeight="fals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customFormat="false" ht="15.75" hidden="false" customHeight="fals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customFormat="false" ht="15.75" hidden="false" customHeight="fals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customFormat="false" ht="15.75" hidden="false" customHeight="fals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customFormat="false" ht="15.75" hidden="false" customHeight="fals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customFormat="false" ht="15.75" hidden="false" customHeight="fals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customFormat="false" ht="15.75" hidden="false" customHeight="fals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customFormat="false" ht="15.75" hidden="false" customHeight="fals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customFormat="false" ht="15.75" hidden="false" customHeight="fals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customFormat="false" ht="15.75" hidden="false" customHeight="fals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customFormat="false" ht="15.75" hidden="false" customHeight="fals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customFormat="false" ht="15.75" hidden="false" customHeight="fals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customFormat="false" ht="15.75" hidden="false" customHeight="fals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customFormat="false" ht="15.75" hidden="false" customHeight="fals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customFormat="false" ht="15.75" hidden="false" customHeight="fals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customFormat="false" ht="15.75" hidden="false" customHeight="fals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customFormat="false" ht="15.75" hidden="false" customHeight="fals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customFormat="false" ht="15.75" hidden="false" customHeight="fals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customFormat="false" ht="15.75" hidden="false" customHeight="fals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customFormat="false" ht="15.75" hidden="false" customHeight="fals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customFormat="false" ht="15.75" hidden="false" customHeight="fals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customFormat="false" ht="15.75" hidden="false" customHeight="fals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customFormat="false" ht="15.75" hidden="false" customHeight="fals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customFormat="false" ht="15.75" hidden="false" customHeight="fals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customFormat="false" ht="15.75" hidden="false" customHeight="fals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customFormat="false" ht="15.75" hidden="false" customHeight="fals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customFormat="false" ht="15.75" hidden="false" customHeight="fals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customFormat="false" ht="15.75" hidden="false" customHeight="fals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customFormat="false" ht="15.75" hidden="false" customHeight="fals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customFormat="false" ht="15.75" hidden="false" customHeight="fals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customFormat="false" ht="15.75" hidden="false" customHeight="fals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customFormat="false" ht="15.75" hidden="false" customHeight="fals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customFormat="false" ht="15.75" hidden="false" customHeight="fals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customFormat="false" ht="15.75" hidden="false" customHeight="fals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customFormat="false" ht="15.75" hidden="false" customHeight="fals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customFormat="false" ht="15.75" hidden="false" customHeight="fals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customFormat="false" ht="15.75" hidden="false" customHeight="fals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customFormat="false" ht="15.75" hidden="false" customHeight="fals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customFormat="false" ht="15.75" hidden="false" customHeight="fals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customFormat="false" ht="15.75" hidden="false" customHeight="fals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customFormat="false" ht="15.75" hidden="false" customHeight="fals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customFormat="false" ht="15.75" hidden="false" customHeight="fals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customFormat="false" ht="15.75" hidden="false" customHeight="fals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customFormat="false" ht="15.75" hidden="false" customHeight="fals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customFormat="false" ht="15.75" hidden="false" customHeight="fals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customFormat="false" ht="15.75" hidden="false" customHeight="fals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customFormat="false" ht="15.75" hidden="false" customHeight="fals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customFormat="false" ht="15.75" hidden="false" customHeight="fals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customFormat="false" ht="15.75" hidden="false" customHeight="fals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customFormat="false" ht="15.75" hidden="false" customHeight="fals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customFormat="false" ht="15.75" hidden="false" customHeight="fals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customFormat="false" ht="15.75" hidden="false" customHeight="fals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customFormat="false" ht="15.75" hidden="false" customHeight="fals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customFormat="false" ht="15.75" hidden="false" customHeight="fals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customFormat="false" ht="15.75" hidden="false" customHeight="fals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customFormat="false" ht="15.75" hidden="false" customHeight="fals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customFormat="false" ht="15.75" hidden="false" customHeight="fals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customFormat="false" ht="15.75" hidden="false" customHeight="fals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customFormat="false" ht="15.75" hidden="false" customHeight="fals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customFormat="false" ht="15.75" hidden="false" customHeight="fals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customFormat="false" ht="15.75" hidden="false" customHeight="fals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customFormat="false" ht="15.75" hidden="false" customHeight="fals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customFormat="false" ht="15.75" hidden="false" customHeight="fals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customFormat="false" ht="15.75" hidden="false" customHeight="fals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customFormat="false" ht="15.75" hidden="false" customHeight="fals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customFormat="false" ht="15.75" hidden="false" customHeight="fals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customFormat="false" ht="15.75" hidden="false" customHeight="fals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customFormat="false" ht="15.75" hidden="false" customHeight="fals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customFormat="false" ht="15.75" hidden="false" customHeight="fals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customFormat="false" ht="15.75" hidden="false" customHeight="fals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customFormat="false" ht="15.75" hidden="false" customHeight="fals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customFormat="false" ht="15.75" hidden="false" customHeight="fals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customFormat="false" ht="15.75" hidden="false" customHeight="fals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customFormat="false" ht="15.75" hidden="false" customHeight="fals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customFormat="false" ht="15.75" hidden="false" customHeight="fals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customFormat="false" ht="15.75" hidden="false" customHeight="fals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customFormat="false" ht="15.75" hidden="false" customHeight="fals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customFormat="false" ht="15.75" hidden="false" customHeight="fals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customFormat="false" ht="15.75" hidden="false" customHeight="fals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customFormat="false" ht="15.75" hidden="false" customHeight="fals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customFormat="false" ht="15.75" hidden="false" customHeight="fals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customFormat="false" ht="15.75" hidden="false" customHeight="fals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customFormat="false" ht="15.75" hidden="false" customHeight="fals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customFormat="false" ht="15.75" hidden="false" customHeight="fals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customFormat="false" ht="15.75" hidden="false" customHeight="fals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customFormat="false" ht="15.75" hidden="false" customHeight="fals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customFormat="false" ht="15.75" hidden="false" customHeight="fals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customFormat="false" ht="15.75" hidden="false" customHeight="fals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customFormat="false" ht="15.75" hidden="false" customHeight="fals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customFormat="false" ht="15.75" hidden="false" customHeight="fals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customFormat="false" ht="15.75" hidden="false" customHeight="fals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customFormat="false" ht="15.75" hidden="false" customHeight="fals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customFormat="false" ht="15.75" hidden="false" customHeight="fals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customFormat="false" ht="15.75" hidden="false" customHeight="fals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customFormat="false" ht="15.75" hidden="false" customHeight="fals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customFormat="false" ht="15.75" hidden="false" customHeight="fals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customFormat="false" ht="15.75" hidden="false" customHeight="fals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customFormat="false" ht="15.75" hidden="false" customHeight="fals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customFormat="false" ht="15.75" hidden="false" customHeight="fals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customFormat="false" ht="15.75" hidden="false" customHeight="fals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customFormat="false" ht="15.75" hidden="false" customHeight="fals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customFormat="false" ht="15.75" hidden="false" customHeight="fals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customFormat="false" ht="15.75" hidden="false" customHeight="fals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customFormat="false" ht="15.75" hidden="false" customHeight="fals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customFormat="false" ht="15.75" hidden="false" customHeight="fals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customFormat="false" ht="15.75" hidden="false" customHeight="fals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customFormat="false" ht="15.75" hidden="false" customHeight="fals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customFormat="false" ht="15.75" hidden="false" customHeight="fals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customFormat="false" ht="15.75" hidden="false" customHeight="fals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customFormat="false" ht="15.75" hidden="false" customHeight="fals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customFormat="false" ht="15.75" hidden="false" customHeight="fals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customFormat="false" ht="15.75" hidden="false" customHeight="fals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customFormat="false" ht="15.75" hidden="false" customHeight="fals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customFormat="false" ht="15.75" hidden="false" customHeight="fals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customFormat="false" ht="15.75" hidden="false" customHeight="fals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customFormat="false" ht="15.75" hidden="false" customHeight="fals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customFormat="false" ht="15.75" hidden="false" customHeight="fals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customFormat="false" ht="15.75" hidden="false" customHeight="fals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customFormat="false" ht="15.75" hidden="false" customHeight="fals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customFormat="false" ht="15.75" hidden="false" customHeight="fals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customFormat="false" ht="15.75" hidden="false" customHeight="fals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customFormat="false" ht="15.75" hidden="false" customHeight="fals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customFormat="false" ht="15.75" hidden="false" customHeight="fals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customFormat="false" ht="15.75" hidden="false" customHeight="fals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customFormat="false" ht="15.75" hidden="false" customHeight="fals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customFormat="false" ht="15.75" hidden="false" customHeight="fals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customFormat="false" ht="15.75" hidden="false" customHeight="fals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customFormat="false" ht="15.75" hidden="false" customHeight="fals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customFormat="false" ht="15.75" hidden="false" customHeight="fals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customFormat="false" ht="15.75" hidden="false" customHeight="fals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customFormat="false" ht="15.75" hidden="false" customHeight="fals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customFormat="false" ht="15.75" hidden="false" customHeight="fals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customFormat="false" ht="15.75" hidden="false" customHeight="fals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customFormat="false" ht="15.75" hidden="false" customHeight="fals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customFormat="false" ht="15.75" hidden="false" customHeight="fals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customFormat="false" ht="15.75" hidden="false" customHeight="fals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customFormat="false" ht="15.75" hidden="false" customHeight="fals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customFormat="false" ht="15.75" hidden="false" customHeight="fals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customFormat="false" ht="15.75" hidden="false" customHeight="fals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customFormat="false" ht="15.75" hidden="false" customHeight="fals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customFormat="false" ht="15.75" hidden="false" customHeight="fals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customFormat="false" ht="15.75" hidden="false" customHeight="fals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customFormat="false" ht="15.75" hidden="false" customHeight="fals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customFormat="false" ht="15.75" hidden="false" customHeight="fals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customFormat="false" ht="15.75" hidden="false" customHeight="fals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customFormat="false" ht="15.75" hidden="false" customHeight="fals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customFormat="false" ht="15.75" hidden="false" customHeight="fals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customFormat="false" ht="15.75" hidden="false" customHeight="fals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</sheetData>
  <autoFilter ref="B3:L46">
    <sortState ref="B4:L46">
      <sortCondition ref="B4:B46" descending="1" customList=""/>
    </sortState>
  </autoFilter>
  <mergeCells count="4">
    <mergeCell ref="A1:L1"/>
    <mergeCell ref="H2:L2"/>
    <mergeCell ref="B48:K48"/>
    <mergeCell ref="B49:G49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true"/>
  </sheetPr>
  <dimension ref="A1:X9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51"/>
    <col collapsed="false" customWidth="true" hidden="false" outlineLevel="0" max="2" min="2" style="0" width="46.63"/>
    <col collapsed="false" customWidth="true" hidden="false" outlineLevel="0" max="3" min="3" style="0" width="12"/>
    <col collapsed="false" customWidth="true" hidden="false" outlineLevel="0" max="4" min="4" style="0" width="13.25"/>
    <col collapsed="false" customWidth="true" hidden="false" outlineLevel="0" max="10" min="5" style="0" width="8.25"/>
    <col collapsed="false" customWidth="true" hidden="false" outlineLevel="0" max="12" min="12" style="0" width="14.75"/>
  </cols>
  <sheetData>
    <row r="1" customFormat="false" ht="15.75" hidden="false" customHeight="false" outlineLevel="0" collapsed="false">
      <c r="A1" s="17" t="s">
        <v>2480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customFormat="false" ht="15.75" hidden="false" customHeight="false" outlineLevel="0" collapsed="false">
      <c r="A2" s="18"/>
      <c r="B2" s="18"/>
      <c r="C2" s="18"/>
      <c r="D2" s="18"/>
      <c r="E2" s="18"/>
      <c r="F2" s="18"/>
      <c r="G2" s="18"/>
      <c r="H2" s="17" t="s">
        <v>2510</v>
      </c>
      <c r="I2" s="17"/>
      <c r="J2" s="17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customFormat="false" ht="15.75" hidden="false" customHeight="false" outlineLevel="0" collapsed="false">
      <c r="A3" s="21" t="s">
        <v>2189</v>
      </c>
      <c r="B3" s="21" t="s">
        <v>2191</v>
      </c>
      <c r="C3" s="21" t="s">
        <v>2193</v>
      </c>
      <c r="D3" s="21" t="s">
        <v>2192</v>
      </c>
      <c r="E3" s="21" t="s">
        <v>2196</v>
      </c>
      <c r="F3" s="21" t="s">
        <v>2197</v>
      </c>
      <c r="G3" s="21" t="s">
        <v>2198</v>
      </c>
      <c r="H3" s="21" t="s">
        <v>2199</v>
      </c>
      <c r="I3" s="21" t="s">
        <v>2401</v>
      </c>
      <c r="J3" s="21" t="s">
        <v>2402</v>
      </c>
      <c r="K3" s="21" t="s">
        <v>2200</v>
      </c>
      <c r="L3" s="21" t="s">
        <v>2201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customFormat="false" ht="15.75" hidden="false" customHeight="false" outlineLevel="0" collapsed="false">
      <c r="A4" s="21" t="n">
        <v>101189</v>
      </c>
      <c r="B4" s="21" t="s">
        <v>2253</v>
      </c>
      <c r="C4" s="21" t="s">
        <v>2511</v>
      </c>
      <c r="D4" s="21" t="s">
        <v>1187</v>
      </c>
      <c r="E4" s="21" t="n">
        <f aca="false">VLOOKUP($A4,Day1!$A$1:$H$394,4,FALSE())</f>
        <v>7</v>
      </c>
      <c r="F4" s="21" t="n">
        <f aca="false">VLOOKUP($A4,Day1!$A$1:$H$394,5,FALSE())</f>
        <v>7</v>
      </c>
      <c r="G4" s="21" t="n">
        <f aca="false">VLOOKUP($A4,Day1!$A$1:$H$394,6,FALSE())</f>
        <v>0</v>
      </c>
      <c r="H4" s="21" t="n">
        <f aca="false">VLOOKUP($A4,Day2!$A$1:$H$400,4,FALSE())</f>
        <v>7</v>
      </c>
      <c r="I4" s="21" t="n">
        <f aca="false">VLOOKUP($A4,Day2!$A$1:$H$400,5,FALSE())</f>
        <v>6</v>
      </c>
      <c r="J4" s="21" t="n">
        <f aca="false">VLOOKUP($A4,Day2!$A$1:$H$400,6,FALSE())</f>
        <v>0</v>
      </c>
      <c r="K4" s="21" t="n">
        <f aca="false">SUM(E4:J4)</f>
        <v>27</v>
      </c>
      <c r="L4" s="21" t="str">
        <f aca="false">ROMAN(RANK(K4,$K$4:$K$40,0))</f>
        <v>I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customFormat="false" ht="15.75" hidden="false" customHeight="false" outlineLevel="0" collapsed="false">
      <c r="A5" s="21" t="n">
        <v>4060</v>
      </c>
      <c r="B5" s="21" t="s">
        <v>2222</v>
      </c>
      <c r="C5" s="21" t="s">
        <v>1655</v>
      </c>
      <c r="D5" s="21" t="s">
        <v>1178</v>
      </c>
      <c r="E5" s="21" t="n">
        <f aca="false">VLOOKUP($A5,Day1!$A$1:$H$394,4,FALSE())</f>
        <v>7</v>
      </c>
      <c r="F5" s="21" t="n">
        <f aca="false">VLOOKUP($A5,Day1!$A$1:$H$394,5,FALSE())</f>
        <v>7</v>
      </c>
      <c r="G5" s="21" t="n">
        <f aca="false">VLOOKUP($A5,Day1!$A$1:$H$394,6,FALSE())</f>
        <v>0</v>
      </c>
      <c r="H5" s="21" t="n">
        <f aca="false">VLOOKUP($A5,Day2!$A$1:$H$400,4,FALSE())</f>
        <v>7</v>
      </c>
      <c r="I5" s="21" t="n">
        <f aca="false">VLOOKUP($A5,Day2!$A$1:$H$400,5,FALSE())</f>
        <v>2</v>
      </c>
      <c r="J5" s="21" t="n">
        <f aca="false">VLOOKUP($A5,Day2!$A$1:$H$400,6,FALSE())</f>
        <v>1</v>
      </c>
      <c r="K5" s="21" t="n">
        <f aca="false">SUM(E5:J5)</f>
        <v>24</v>
      </c>
      <c r="L5" s="21" t="str">
        <f aca="false">ROMAN(RANK(K5,$K$4:$K$40,0))</f>
        <v>II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customFormat="false" ht="15.75" hidden="false" customHeight="false" outlineLevel="0" collapsed="false">
      <c r="A6" s="21" t="n">
        <v>273</v>
      </c>
      <c r="B6" s="21" t="s">
        <v>2207</v>
      </c>
      <c r="C6" s="21" t="s">
        <v>2512</v>
      </c>
      <c r="D6" s="21" t="s">
        <v>1175</v>
      </c>
      <c r="E6" s="21" t="n">
        <f aca="false">VLOOKUP($A6,Day1!$A$1:$H$394,4,FALSE())</f>
        <v>7</v>
      </c>
      <c r="F6" s="21" t="n">
        <f aca="false">VLOOKUP($A6,Day1!$A$1:$H$394,5,FALSE())</f>
        <v>7</v>
      </c>
      <c r="G6" s="21" t="n">
        <f aca="false">VLOOKUP($A6,Day1!$A$1:$H$394,6,FALSE())</f>
        <v>0</v>
      </c>
      <c r="H6" s="21" t="n">
        <f aca="false">VLOOKUP($A6,Day2!$A$1:$H$400,4,FALSE())</f>
        <v>7</v>
      </c>
      <c r="I6" s="21" t="n">
        <f aca="false">VLOOKUP($A6,Day2!$A$1:$H$400,5,FALSE())</f>
        <v>2</v>
      </c>
      <c r="J6" s="21" t="n">
        <f aca="false">VLOOKUP($A6,Day2!$A$1:$H$400,6,FALSE())</f>
        <v>0</v>
      </c>
      <c r="K6" s="21" t="n">
        <f aca="false">SUM(E6:J6)</f>
        <v>23</v>
      </c>
      <c r="L6" s="21" t="str">
        <f aca="false">ROMAN(RANK(K6,$K$4:$K$40,0))</f>
        <v>III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customFormat="false" ht="15.75" hidden="false" customHeight="false" outlineLevel="0" collapsed="false">
      <c r="A7" s="21" t="n">
        <v>99922</v>
      </c>
      <c r="B7" s="21" t="s">
        <v>2203</v>
      </c>
      <c r="C7" s="21" t="s">
        <v>2513</v>
      </c>
      <c r="D7" s="21" t="s">
        <v>1165</v>
      </c>
      <c r="E7" s="21" t="n">
        <f aca="false">VLOOKUP($A7,Day1!$A$1:$H$394,4,FALSE())</f>
        <v>7</v>
      </c>
      <c r="F7" s="21" t="n">
        <f aca="false">VLOOKUP($A7,Day1!$A$1:$H$394,5,FALSE())</f>
        <v>1</v>
      </c>
      <c r="G7" s="21" t="n">
        <f aca="false">VLOOKUP($A7,Day1!$A$1:$H$394,6,FALSE())</f>
        <v>0</v>
      </c>
      <c r="H7" s="21" t="n">
        <f aca="false">VLOOKUP($A7,Day2!$A$1:$H$400,4,FALSE())</f>
        <v>7</v>
      </c>
      <c r="I7" s="21" t="n">
        <f aca="false">VLOOKUP($A7,Day2!$A$1:$H$400,5,FALSE())</f>
        <v>4</v>
      </c>
      <c r="J7" s="21" t="n">
        <f aca="false">VLOOKUP($A7,Day2!$A$1:$H$400,6,FALSE())</f>
        <v>0</v>
      </c>
      <c r="K7" s="21" t="n">
        <f aca="false">SUM(E7:J7)</f>
        <v>19</v>
      </c>
      <c r="L7" s="21" t="str">
        <f aca="false">ROMAN(RANK(K7,$K$4:$K$40,0))</f>
        <v>IV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customFormat="false" ht="15.75" hidden="false" customHeight="false" outlineLevel="0" collapsed="false">
      <c r="A8" s="21" t="n">
        <v>4235</v>
      </c>
      <c r="B8" s="21" t="s">
        <v>2207</v>
      </c>
      <c r="C8" s="21" t="s">
        <v>2359</v>
      </c>
      <c r="D8" s="21" t="s">
        <v>1088</v>
      </c>
      <c r="E8" s="21" t="n">
        <f aca="false">VLOOKUP($A8,Day1!$A$1:$H$394,4,FALSE())</f>
        <v>7</v>
      </c>
      <c r="F8" s="21" t="n">
        <f aca="false">VLOOKUP($A8,Day1!$A$1:$H$394,5,FALSE())</f>
        <v>1</v>
      </c>
      <c r="G8" s="21" t="n">
        <f aca="false">VLOOKUP($A8,Day1!$A$1:$H$394,6,FALSE())</f>
        <v>0</v>
      </c>
      <c r="H8" s="21" t="n">
        <f aca="false">VLOOKUP($A8,Day2!$A$1:$H$400,4,FALSE())</f>
        <v>7</v>
      </c>
      <c r="I8" s="21" t="n">
        <f aca="false">VLOOKUP($A8,Day2!$A$1:$H$400,5,FALSE())</f>
        <v>2</v>
      </c>
      <c r="J8" s="21" t="n">
        <f aca="false">VLOOKUP($A8,Day2!$A$1:$H$400,6,FALSE())</f>
        <v>0</v>
      </c>
      <c r="K8" s="21" t="n">
        <f aca="false">SUM(E8:J8)</f>
        <v>17</v>
      </c>
      <c r="L8" s="21" t="str">
        <f aca="false">ROMAN(RANK(K8,$K$4:$K$40,0))</f>
        <v>V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customFormat="false" ht="15.75" hidden="false" customHeight="false" outlineLevel="0" collapsed="false">
      <c r="A9" s="21" t="n">
        <v>99291</v>
      </c>
      <c r="B9" s="21" t="s">
        <v>2210</v>
      </c>
      <c r="C9" s="21" t="s">
        <v>2514</v>
      </c>
      <c r="D9" s="21" t="s">
        <v>1116</v>
      </c>
      <c r="E9" s="21" t="n">
        <f aca="false">VLOOKUP($A9,Day1!$A$1:$H$394,4,FALSE())</f>
        <v>4</v>
      </c>
      <c r="F9" s="21" t="n">
        <f aca="false">VLOOKUP($A9,Day1!$A$1:$H$394,5,FALSE())</f>
        <v>1</v>
      </c>
      <c r="G9" s="21" t="n">
        <f aca="false">VLOOKUP($A9,Day1!$A$1:$H$394,6,FALSE())</f>
        <v>0</v>
      </c>
      <c r="H9" s="21" t="n">
        <f aca="false">VLOOKUP($A9,Day2!$A$1:$H$400,4,FALSE())</f>
        <v>7</v>
      </c>
      <c r="I9" s="21" t="n">
        <f aca="false">VLOOKUP($A9,Day2!$A$1:$H$400,5,FALSE())</f>
        <v>2</v>
      </c>
      <c r="J9" s="21" t="n">
        <f aca="false">VLOOKUP($A9,Day2!$A$1:$H$400,6,FALSE())</f>
        <v>0</v>
      </c>
      <c r="K9" s="21" t="n">
        <f aca="false">SUM(E9:J9)</f>
        <v>14</v>
      </c>
      <c r="L9" s="21" t="str">
        <f aca="false">ROMAN(RANK(K9,$K$4:$K$40,0))</f>
        <v>VI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customFormat="false" ht="15.75" hidden="false" customHeight="false" outlineLevel="0" collapsed="false">
      <c r="A10" s="21" t="n">
        <v>6001</v>
      </c>
      <c r="B10" s="21" t="s">
        <v>2261</v>
      </c>
      <c r="C10" s="21" t="s">
        <v>2515</v>
      </c>
      <c r="D10" s="21" t="s">
        <v>1079</v>
      </c>
      <c r="E10" s="21" t="n">
        <f aca="false">VLOOKUP($A10,Day1!$A$1:$H$394,4,FALSE())</f>
        <v>4</v>
      </c>
      <c r="F10" s="21" t="n">
        <f aca="false">VLOOKUP($A10,Day1!$A$1:$H$394,5,FALSE())</f>
        <v>1</v>
      </c>
      <c r="G10" s="21" t="n">
        <f aca="false">VLOOKUP($A10,Day1!$A$1:$H$394,6,FALSE())</f>
        <v>0</v>
      </c>
      <c r="H10" s="21" t="n">
        <f aca="false">VLOOKUP($A10,Day2!$A$1:$H$400,4,FALSE())</f>
        <v>7</v>
      </c>
      <c r="I10" s="21" t="n">
        <f aca="false">VLOOKUP($A10,Day2!$A$1:$H$400,5,FALSE())</f>
        <v>0</v>
      </c>
      <c r="J10" s="21" t="n">
        <f aca="false">VLOOKUP($A10,Day2!$A$1:$H$400,6,FALSE())</f>
        <v>0</v>
      </c>
      <c r="K10" s="21" t="n">
        <f aca="false">SUM(E10:J10)</f>
        <v>12</v>
      </c>
      <c r="L10" s="21" t="str">
        <f aca="false">ROMAN(RANK(K10,$K$4:$K$40,0))</f>
        <v>VII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customFormat="false" ht="15.75" hidden="false" customHeight="false" outlineLevel="0" collapsed="false">
      <c r="A11" s="21" t="n">
        <v>232105</v>
      </c>
      <c r="B11" s="21" t="s">
        <v>2227</v>
      </c>
      <c r="C11" s="21" t="s">
        <v>2516</v>
      </c>
      <c r="D11" s="21" t="s">
        <v>1119</v>
      </c>
      <c r="E11" s="21" t="n">
        <f aca="false">VLOOKUP($A11,Day1!$A$1:$H$394,4,FALSE())</f>
        <v>3</v>
      </c>
      <c r="F11" s="21" t="n">
        <f aca="false">VLOOKUP($A11,Day1!$A$1:$H$394,5,FALSE())</f>
        <v>1</v>
      </c>
      <c r="G11" s="21" t="n">
        <f aca="false">VLOOKUP($A11,Day1!$A$1:$H$394,6,FALSE())</f>
        <v>0</v>
      </c>
      <c r="H11" s="21" t="n">
        <f aca="false">VLOOKUP($A11,Day2!$A$1:$H$400,4,FALSE())</f>
        <v>7</v>
      </c>
      <c r="I11" s="21" t="n">
        <f aca="false">VLOOKUP($A11,Day2!$A$1:$H$400,5,FALSE())</f>
        <v>1</v>
      </c>
      <c r="J11" s="21" t="n">
        <f aca="false">VLOOKUP($A11,Day2!$A$1:$H$400,6,FALSE())</f>
        <v>0</v>
      </c>
      <c r="K11" s="21" t="n">
        <f aca="false">SUM(E11:J11)</f>
        <v>12</v>
      </c>
      <c r="L11" s="21" t="str">
        <f aca="false">ROMAN(RANK(K11,$K$4:$K$40,0))</f>
        <v>VII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customFormat="false" ht="15.75" hidden="false" customHeight="false" outlineLevel="0" collapsed="false">
      <c r="A12" s="21" t="n">
        <v>107321</v>
      </c>
      <c r="B12" s="21" t="s">
        <v>2221</v>
      </c>
      <c r="C12" s="21" t="s">
        <v>2338</v>
      </c>
      <c r="D12" s="21" t="s">
        <v>723</v>
      </c>
      <c r="E12" s="21" t="n">
        <f aca="false">VLOOKUP($A12,Day1!$A$1:$H$394,4,FALSE())</f>
        <v>7</v>
      </c>
      <c r="F12" s="21" t="n">
        <f aca="false">VLOOKUP($A12,Day1!$A$1:$H$394,5,FALSE())</f>
        <v>1</v>
      </c>
      <c r="G12" s="21" t="n">
        <f aca="false">VLOOKUP($A12,Day1!$A$1:$H$394,6,FALSE())</f>
        <v>0</v>
      </c>
      <c r="H12" s="21" t="n">
        <f aca="false">VLOOKUP($A12,Day2!$A$1:$H$400,4,FALSE())</f>
        <v>1</v>
      </c>
      <c r="I12" s="21" t="n">
        <f aca="false">VLOOKUP($A12,Day2!$A$1:$H$400,5,FALSE())</f>
        <v>2</v>
      </c>
      <c r="J12" s="21" t="n">
        <f aca="false">VLOOKUP($A12,Day2!$A$1:$H$400,6,FALSE())</f>
        <v>0</v>
      </c>
      <c r="K12" s="21" t="n">
        <f aca="false">SUM(E12:J12)</f>
        <v>11</v>
      </c>
      <c r="L12" s="21" t="str">
        <f aca="false">ROMAN(RANK(K12,$K$4:$K$40,0))</f>
        <v>IX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customFormat="false" ht="15.75" hidden="false" customHeight="false" outlineLevel="0" collapsed="false">
      <c r="A13" s="21" t="n">
        <v>133459</v>
      </c>
      <c r="B13" s="21" t="s">
        <v>2221</v>
      </c>
      <c r="C13" s="21" t="s">
        <v>2517</v>
      </c>
      <c r="D13" s="21" t="s">
        <v>1151</v>
      </c>
      <c r="E13" s="21" t="n">
        <f aca="false">VLOOKUP($A13,Day1!$A$1:$H$394,4,FALSE())</f>
        <v>3</v>
      </c>
      <c r="F13" s="21" t="n">
        <f aca="false">VLOOKUP($A13,Day1!$A$1:$H$394,5,FALSE())</f>
        <v>0</v>
      </c>
      <c r="G13" s="21" t="n">
        <f aca="false">VLOOKUP($A13,Day1!$A$1:$H$394,6,FALSE())</f>
        <v>0</v>
      </c>
      <c r="H13" s="21" t="n">
        <f aca="false">VLOOKUP($A13,Day2!$A$1:$H$400,4,FALSE())</f>
        <v>7</v>
      </c>
      <c r="I13" s="21" t="n">
        <f aca="false">VLOOKUP($A13,Day2!$A$1:$H$400,5,FALSE())</f>
        <v>0</v>
      </c>
      <c r="J13" s="21" t="n">
        <f aca="false">VLOOKUP($A13,Day2!$A$1:$H$400,6,FALSE())</f>
        <v>0</v>
      </c>
      <c r="K13" s="21" t="n">
        <f aca="false">SUM(E13:J13)</f>
        <v>10</v>
      </c>
      <c r="L13" s="21" t="str">
        <f aca="false">ROMAN(RANK(K13,$K$4:$K$40,0))</f>
        <v>X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customFormat="false" ht="15.75" hidden="false" customHeight="false" outlineLevel="0" collapsed="false">
      <c r="A14" s="21" t="n">
        <v>107329</v>
      </c>
      <c r="B14" s="21" t="s">
        <v>2302</v>
      </c>
      <c r="C14" s="21" t="s">
        <v>2518</v>
      </c>
      <c r="D14" s="21" t="s">
        <v>1170</v>
      </c>
      <c r="E14" s="21" t="n">
        <f aca="false">VLOOKUP($A14,Day1!$A$1:$H$394,4,FALSE())</f>
        <v>2</v>
      </c>
      <c r="F14" s="21" t="n">
        <f aca="false">VLOOKUP($A14,Day1!$A$1:$H$394,5,FALSE())</f>
        <v>1</v>
      </c>
      <c r="G14" s="21" t="n">
        <f aca="false">VLOOKUP($A14,Day1!$A$1:$H$394,6,FALSE())</f>
        <v>0</v>
      </c>
      <c r="H14" s="21" t="n">
        <f aca="false">VLOOKUP($A14,Day2!$A$1:$H$400,4,FALSE())</f>
        <v>7</v>
      </c>
      <c r="I14" s="21" t="n">
        <f aca="false">VLOOKUP($A14,Day2!$A$1:$H$400,5,FALSE())</f>
        <v>0</v>
      </c>
      <c r="J14" s="21" t="n">
        <f aca="false">VLOOKUP($A14,Day2!$A$1:$H$400,6,FALSE())</f>
        <v>0</v>
      </c>
      <c r="K14" s="21" t="n">
        <f aca="false">SUM(E14:J14)</f>
        <v>10</v>
      </c>
      <c r="L14" s="21" t="str">
        <f aca="false">ROMAN(RANK(K14,$K$4:$K$40,0))</f>
        <v>X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customFormat="false" ht="15.75" hidden="false" customHeight="false" outlineLevel="0" collapsed="false">
      <c r="A15" s="21" t="n">
        <v>113019</v>
      </c>
      <c r="B15" s="21" t="s">
        <v>2215</v>
      </c>
      <c r="C15" s="21" t="s">
        <v>2519</v>
      </c>
      <c r="D15" s="21" t="s">
        <v>1096</v>
      </c>
      <c r="E15" s="21" t="n">
        <f aca="false">VLOOKUP($A15,Day1!$A$1:$H$394,4,FALSE())</f>
        <v>0.5</v>
      </c>
      <c r="F15" s="21" t="n">
        <f aca="false">VLOOKUP($A15,Day1!$A$1:$H$394,5,FALSE())</f>
        <v>1</v>
      </c>
      <c r="G15" s="21" t="n">
        <f aca="false">VLOOKUP($A15,Day1!$A$1:$H$394,6,FALSE())</f>
        <v>0</v>
      </c>
      <c r="H15" s="21" t="n">
        <f aca="false">VLOOKUP($A15,Day2!$A$1:$H$400,4,FALSE())</f>
        <v>7</v>
      </c>
      <c r="I15" s="21" t="n">
        <f aca="false">VLOOKUP($A15,Day2!$A$1:$H$400,5,FALSE())</f>
        <v>0</v>
      </c>
      <c r="J15" s="21" t="n">
        <f aca="false">VLOOKUP($A15,Day2!$A$1:$H$400,6,FALSE())</f>
        <v>0</v>
      </c>
      <c r="K15" s="21" t="n">
        <f aca="false">SUM(E15:J15)</f>
        <v>8.5</v>
      </c>
      <c r="L15" s="21" t="str">
        <f aca="false">ROMAN(RANK(K15,$K$4:$K$40,0))</f>
        <v>XII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customFormat="false" ht="15.75" hidden="false" customHeight="false" outlineLevel="0" collapsed="false">
      <c r="A16" s="21" t="n">
        <v>107332</v>
      </c>
      <c r="B16" s="21" t="s">
        <v>2265</v>
      </c>
      <c r="C16" s="21" t="s">
        <v>2338</v>
      </c>
      <c r="D16" s="21" t="s">
        <v>1093</v>
      </c>
      <c r="E16" s="21" t="n">
        <f aca="false">VLOOKUP($A16,Day1!$A$1:$H$394,4,FALSE())</f>
        <v>0.5</v>
      </c>
      <c r="F16" s="21" t="n">
        <f aca="false">VLOOKUP($A16,Day1!$A$1:$H$394,5,FALSE())</f>
        <v>1</v>
      </c>
      <c r="G16" s="21" t="n">
        <f aca="false">VLOOKUP($A16,Day1!$A$1:$H$394,6,FALSE())</f>
        <v>0</v>
      </c>
      <c r="H16" s="21" t="n">
        <f aca="false">VLOOKUP($A16,Day2!$A$1:$H$400,4,FALSE())</f>
        <v>7</v>
      </c>
      <c r="I16" s="21" t="n">
        <f aca="false">VLOOKUP($A16,Day2!$A$1:$H$400,5,FALSE())</f>
        <v>0</v>
      </c>
      <c r="J16" s="21" t="n">
        <f aca="false">VLOOKUP($A16,Day2!$A$1:$H$400,6,FALSE())</f>
        <v>0</v>
      </c>
      <c r="K16" s="21" t="n">
        <f aca="false">SUM(E16:J16)</f>
        <v>8.5</v>
      </c>
      <c r="L16" s="21" t="str">
        <f aca="false">ROMAN(RANK(K16,$K$4:$K$40,0))</f>
        <v>XII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customFormat="false" ht="15.75" hidden="false" customHeight="false" outlineLevel="0" collapsed="false">
      <c r="A17" s="21" t="n">
        <v>231963</v>
      </c>
      <c r="B17" s="21" t="s">
        <v>2203</v>
      </c>
      <c r="C17" s="21" t="s">
        <v>2352</v>
      </c>
      <c r="D17" s="21" t="s">
        <v>1109</v>
      </c>
      <c r="E17" s="21" t="n">
        <f aca="false">VLOOKUP($A17,Day1!$A$1:$H$394,4,FALSE())</f>
        <v>0</v>
      </c>
      <c r="F17" s="21" t="n">
        <f aca="false">VLOOKUP($A17,Day1!$A$1:$H$394,5,FALSE())</f>
        <v>1</v>
      </c>
      <c r="G17" s="21" t="n">
        <f aca="false">VLOOKUP($A17,Day1!$A$1:$H$394,6,FALSE())</f>
        <v>0</v>
      </c>
      <c r="H17" s="21" t="n">
        <f aca="false">VLOOKUP($A17,Day2!$A$1:$H$400,4,FALSE())</f>
        <v>7</v>
      </c>
      <c r="I17" s="21" t="n">
        <f aca="false">VLOOKUP($A17,Day2!$A$1:$H$400,5,FALSE())</f>
        <v>0</v>
      </c>
      <c r="J17" s="21" t="n">
        <f aca="false">VLOOKUP($A17,Day2!$A$1:$H$400,6,FALSE())</f>
        <v>0</v>
      </c>
      <c r="K17" s="21" t="n">
        <f aca="false">SUM(E17:J17)</f>
        <v>8</v>
      </c>
      <c r="L17" s="21" t="str">
        <f aca="false">ROMAN(RANK(K17,$K$4:$K$40,0))</f>
        <v>XIV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customFormat="false" ht="15.75" hidden="false" customHeight="false" outlineLevel="0" collapsed="false">
      <c r="A18" s="21" t="n">
        <v>100814</v>
      </c>
      <c r="B18" s="21" t="s">
        <v>2253</v>
      </c>
      <c r="C18" s="21" t="s">
        <v>2520</v>
      </c>
      <c r="D18" s="21" t="s">
        <v>1193</v>
      </c>
      <c r="E18" s="21" t="n">
        <f aca="false">VLOOKUP($A18,Day1!$A$1:$H$394,4,FALSE())</f>
        <v>0.5</v>
      </c>
      <c r="F18" s="21" t="n">
        <f aca="false">VLOOKUP($A18,Day1!$A$1:$H$394,5,FALSE())</f>
        <v>0</v>
      </c>
      <c r="G18" s="21" t="n">
        <f aca="false">VLOOKUP($A18,Day1!$A$1:$H$394,6,FALSE())</f>
        <v>0</v>
      </c>
      <c r="H18" s="21" t="n">
        <f aca="false">VLOOKUP($A18,Day2!$A$1:$H$400,4,FALSE())</f>
        <v>7</v>
      </c>
      <c r="I18" s="21" t="n">
        <f aca="false">VLOOKUP($A18,Day2!$A$1:$H$400,5,FALSE())</f>
        <v>0</v>
      </c>
      <c r="J18" s="21" t="n">
        <f aca="false">VLOOKUP($A18,Day2!$A$1:$H$400,6,FALSE())</f>
        <v>0</v>
      </c>
      <c r="K18" s="21" t="n">
        <f aca="false">SUM(E18:J18)</f>
        <v>7.5</v>
      </c>
      <c r="L18" s="21" t="str">
        <f aca="false">ROMAN(RANK(K18,$K$4:$K$40,0))</f>
        <v>XV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customFormat="false" ht="15.75" hidden="false" customHeight="false" outlineLevel="0" collapsed="false">
      <c r="A19" s="21" t="n">
        <v>107325</v>
      </c>
      <c r="B19" s="21" t="s">
        <v>2210</v>
      </c>
      <c r="C19" s="21" t="s">
        <v>2521</v>
      </c>
      <c r="D19" s="21" t="s">
        <v>598</v>
      </c>
      <c r="E19" s="21" t="n">
        <f aca="false">VLOOKUP($A19,Day1!$A$1:$H$394,4,FALSE())</f>
        <v>0.5</v>
      </c>
      <c r="F19" s="21" t="n">
        <f aca="false">VLOOKUP($A19,Day1!$A$1:$H$394,5,FALSE())</f>
        <v>0</v>
      </c>
      <c r="G19" s="21" t="n">
        <f aca="false">VLOOKUP($A19,Day1!$A$1:$H$394,6,FALSE())</f>
        <v>0</v>
      </c>
      <c r="H19" s="21" t="n">
        <f aca="false">VLOOKUP($A19,Day2!$A$1:$H$400,4,FALSE())</f>
        <v>7</v>
      </c>
      <c r="I19" s="21" t="n">
        <f aca="false">VLOOKUP($A19,Day2!$A$1:$H$400,5,FALSE())</f>
        <v>0</v>
      </c>
      <c r="J19" s="21" t="n">
        <f aca="false">VLOOKUP($A19,Day2!$A$1:$H$400,6,FALSE())</f>
        <v>0</v>
      </c>
      <c r="K19" s="21" t="n">
        <f aca="false">SUM(E19:J19)</f>
        <v>7.5</v>
      </c>
      <c r="L19" s="21" t="str">
        <f aca="false">ROMAN(RANK(K19,$K$4:$K$40,0))</f>
        <v>XV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customFormat="false" ht="15.75" hidden="false" customHeight="false" outlineLevel="0" collapsed="false">
      <c r="A20" s="21" t="n">
        <v>182555</v>
      </c>
      <c r="B20" s="21" t="s">
        <v>2295</v>
      </c>
      <c r="C20" s="21" t="s">
        <v>2491</v>
      </c>
      <c r="D20" s="21" t="s">
        <v>1156</v>
      </c>
      <c r="E20" s="21" t="n">
        <f aca="false">VLOOKUP($A20,Day1!$A$1:$H$394,4,FALSE())</f>
        <v>4</v>
      </c>
      <c r="F20" s="21" t="n">
        <f aca="false">VLOOKUP($A20,Day1!$A$1:$H$394,5,FALSE())</f>
        <v>0</v>
      </c>
      <c r="G20" s="21" t="n">
        <f aca="false">VLOOKUP($A20,Day1!$A$1:$H$394,6,FALSE())</f>
        <v>0</v>
      </c>
      <c r="H20" s="21" t="n">
        <f aca="false">VLOOKUP($A20,Day2!$A$1:$H$400,4,FALSE())</f>
        <v>0</v>
      </c>
      <c r="I20" s="21" t="n">
        <f aca="false">VLOOKUP($A20,Day2!$A$1:$H$400,5,FALSE())</f>
        <v>2</v>
      </c>
      <c r="J20" s="21" t="n">
        <f aca="false">VLOOKUP($A20,Day2!$A$1:$H$400,6,FALSE())</f>
        <v>0</v>
      </c>
      <c r="K20" s="21" t="n">
        <f aca="false">SUM(E20:J20)</f>
        <v>6</v>
      </c>
      <c r="L20" s="21" t="str">
        <f aca="false">ROMAN(RANK(K20,$K$4:$K$40,0))</f>
        <v>XVII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customFormat="false" ht="15.75" hidden="false" customHeight="false" outlineLevel="0" collapsed="false">
      <c r="A21" s="21" t="n">
        <v>206155</v>
      </c>
      <c r="B21" s="21" t="s">
        <v>2218</v>
      </c>
      <c r="C21" s="21" t="s">
        <v>2522</v>
      </c>
      <c r="D21" s="21" t="s">
        <v>1147</v>
      </c>
      <c r="E21" s="21" t="n">
        <f aca="false">VLOOKUP($A21,Day1!$A$1:$H$394,4,FALSE())</f>
        <v>4</v>
      </c>
      <c r="F21" s="21" t="n">
        <f aca="false">VLOOKUP($A21,Day1!$A$1:$H$394,5,FALSE())</f>
        <v>0</v>
      </c>
      <c r="G21" s="21" t="n">
        <f aca="false">VLOOKUP($A21,Day1!$A$1:$H$394,6,FALSE())</f>
        <v>0</v>
      </c>
      <c r="H21" s="21" t="n">
        <f aca="false">VLOOKUP($A21,Day2!$A$1:$H$400,4,FALSE())</f>
        <v>0</v>
      </c>
      <c r="I21" s="21" t="n">
        <f aca="false">VLOOKUP($A21,Day2!$A$1:$H$400,5,FALSE())</f>
        <v>1</v>
      </c>
      <c r="J21" s="21" t="n">
        <f aca="false">VLOOKUP($A21,Day2!$A$1:$H$400,6,FALSE())</f>
        <v>0</v>
      </c>
      <c r="K21" s="21" t="n">
        <f aca="false">SUM(E21:J21)</f>
        <v>5</v>
      </c>
      <c r="L21" s="21" t="str">
        <f aca="false">ROMAN(RANK(K21,$K$4:$K$40,0))</f>
        <v>XVIII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customFormat="false" ht="15.75" hidden="false" customHeight="false" outlineLevel="0" collapsed="false">
      <c r="A22" s="21" t="n">
        <v>107331</v>
      </c>
      <c r="B22" s="21" t="s">
        <v>2263</v>
      </c>
      <c r="C22" s="21" t="s">
        <v>2369</v>
      </c>
      <c r="D22" s="21" t="s">
        <v>324</v>
      </c>
      <c r="E22" s="21" t="n">
        <f aca="false">VLOOKUP($A22,Day1!$A$1:$H$394,4,FALSE())</f>
        <v>2</v>
      </c>
      <c r="F22" s="21" t="n">
        <f aca="false">VLOOKUP($A22,Day1!$A$1:$H$394,5,FALSE())</f>
        <v>0</v>
      </c>
      <c r="G22" s="21" t="n">
        <f aca="false">VLOOKUP($A22,Day1!$A$1:$H$394,6,FALSE())</f>
        <v>0</v>
      </c>
      <c r="H22" s="21" t="n">
        <f aca="false">VLOOKUP($A22,Day2!$A$1:$H$400,4,FALSE())</f>
        <v>1</v>
      </c>
      <c r="I22" s="21" t="n">
        <f aca="false">VLOOKUP($A22,Day2!$A$1:$H$400,5,FALSE())</f>
        <v>1</v>
      </c>
      <c r="J22" s="21" t="n">
        <f aca="false">VLOOKUP($A22,Day2!$A$1:$H$400,6,FALSE())</f>
        <v>0</v>
      </c>
      <c r="K22" s="21" t="n">
        <f aca="false">SUM(E22:J22)</f>
        <v>4</v>
      </c>
      <c r="L22" s="21" t="str">
        <f aca="false">ROMAN(RANK(K22,$K$4:$K$40,0))</f>
        <v>XIX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customFormat="false" ht="15.75" hidden="false" customHeight="false" outlineLevel="0" collapsed="false">
      <c r="A23" s="21" t="n">
        <v>223687</v>
      </c>
      <c r="B23" s="21" t="s">
        <v>2219</v>
      </c>
      <c r="C23" s="21" t="s">
        <v>2523</v>
      </c>
      <c r="D23" s="21" t="s">
        <v>882</v>
      </c>
      <c r="E23" s="21" t="n">
        <f aca="false">VLOOKUP($A23,Day1!$A$1:$H$394,4,FALSE())</f>
        <v>2</v>
      </c>
      <c r="F23" s="21" t="n">
        <f aca="false">VLOOKUP($A23,Day1!$A$1:$H$394,5,FALSE())</f>
        <v>0</v>
      </c>
      <c r="G23" s="21" t="n">
        <f aca="false">VLOOKUP($A23,Day1!$A$1:$H$394,6,FALSE())</f>
        <v>0</v>
      </c>
      <c r="H23" s="21" t="n">
        <f aca="false">VLOOKUP($A23,Day2!$A$1:$H$400,4,FALSE())</f>
        <v>1</v>
      </c>
      <c r="I23" s="21" t="n">
        <f aca="false">VLOOKUP($A23,Day2!$A$1:$H$400,5,FALSE())</f>
        <v>1</v>
      </c>
      <c r="J23" s="21" t="n">
        <f aca="false">VLOOKUP($A23,Day2!$A$1:$H$400,6,FALSE())</f>
        <v>0</v>
      </c>
      <c r="K23" s="21" t="n">
        <f aca="false">SUM(E23:J23)</f>
        <v>4</v>
      </c>
      <c r="L23" s="21" t="str">
        <f aca="false">ROMAN(RANK(K23,$K$4:$K$40,0))</f>
        <v>XIX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customFormat="false" ht="15.75" hidden="false" customHeight="false" outlineLevel="0" collapsed="false">
      <c r="A24" s="21" t="n">
        <v>107333</v>
      </c>
      <c r="B24" s="21" t="s">
        <v>2277</v>
      </c>
      <c r="C24" s="21" t="s">
        <v>1895</v>
      </c>
      <c r="D24" s="21" t="s">
        <v>1134</v>
      </c>
      <c r="E24" s="21" t="n">
        <f aca="false">VLOOKUP($A24,Day1!$A$1:$H$394,4,FALSE())</f>
        <v>0.5</v>
      </c>
      <c r="F24" s="21" t="n">
        <f aca="false">VLOOKUP($A24,Day1!$A$1:$H$394,5,FALSE())</f>
        <v>1</v>
      </c>
      <c r="G24" s="21" t="n">
        <f aca="false">VLOOKUP($A24,Day1!$A$1:$H$394,6,FALSE())</f>
        <v>0</v>
      </c>
      <c r="H24" s="21" t="n">
        <f aca="false">VLOOKUP($A24,Day2!$A$1:$H$400,4,FALSE())</f>
        <v>1</v>
      </c>
      <c r="I24" s="21" t="n">
        <f aca="false">VLOOKUP($A24,Day2!$A$1:$H$400,5,FALSE())</f>
        <v>1</v>
      </c>
      <c r="J24" s="21" t="n">
        <f aca="false">VLOOKUP($A24,Day2!$A$1:$H$400,6,FALSE())</f>
        <v>0</v>
      </c>
      <c r="K24" s="21" t="n">
        <f aca="false">SUM(E24:J24)</f>
        <v>3.5</v>
      </c>
      <c r="L24" s="21" t="str">
        <f aca="false">ROMAN(RANK(K24,$K$4:$K$40,0))</f>
        <v>XXI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customFormat="false" ht="15.75" hidden="false" customHeight="false" outlineLevel="0" collapsed="false">
      <c r="A25" s="21" t="n">
        <v>158514</v>
      </c>
      <c r="B25" s="21" t="s">
        <v>2255</v>
      </c>
      <c r="C25" s="21" t="s">
        <v>2524</v>
      </c>
      <c r="D25" s="21" t="s">
        <v>140</v>
      </c>
      <c r="E25" s="21" t="n">
        <f aca="false">VLOOKUP($A25,Day1!$A$1:$H$394,4,FALSE())</f>
        <v>2</v>
      </c>
      <c r="F25" s="21" t="n">
        <f aca="false">VLOOKUP($A25,Day1!$A$1:$H$394,5,FALSE())</f>
        <v>1</v>
      </c>
      <c r="G25" s="21" t="n">
        <f aca="false">VLOOKUP($A25,Day1!$A$1:$H$394,6,FALSE())</f>
        <v>0</v>
      </c>
      <c r="H25" s="21" t="n">
        <f aca="false">VLOOKUP($A25,Day2!$A$1:$H$400,4,FALSE())</f>
        <v>0</v>
      </c>
      <c r="I25" s="21" t="n">
        <f aca="false">VLOOKUP($A25,Day2!$A$1:$H$400,5,FALSE())</f>
        <v>0</v>
      </c>
      <c r="J25" s="21" t="n">
        <f aca="false">VLOOKUP($A25,Day2!$A$1:$H$400,6,FALSE())</f>
        <v>0</v>
      </c>
      <c r="K25" s="21" t="n">
        <f aca="false">SUM(E25:J25)</f>
        <v>3</v>
      </c>
      <c r="L25" s="21" t="str">
        <f aca="false">ROMAN(RANK(K25,$K$4:$K$40,0))</f>
        <v>XXII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customFormat="false" ht="15.75" hidden="false" customHeight="false" outlineLevel="0" collapsed="false">
      <c r="A26" s="21" t="n">
        <v>232007</v>
      </c>
      <c r="B26" s="21" t="s">
        <v>2436</v>
      </c>
      <c r="C26" s="21" t="s">
        <v>2525</v>
      </c>
      <c r="D26" s="21" t="s">
        <v>1100</v>
      </c>
      <c r="E26" s="21" t="n">
        <f aca="false">VLOOKUP($A26,Day1!$A$1:$H$394,4,FALSE())</f>
        <v>0.5</v>
      </c>
      <c r="F26" s="21" t="n">
        <f aca="false">VLOOKUP($A26,Day1!$A$1:$H$394,5,FALSE())</f>
        <v>1</v>
      </c>
      <c r="G26" s="21" t="n">
        <f aca="false">VLOOKUP($A26,Day1!$A$1:$H$394,6,FALSE())</f>
        <v>0</v>
      </c>
      <c r="H26" s="21" t="n">
        <f aca="false">VLOOKUP($A26,Day2!$A$1:$H$400,4,FALSE())</f>
        <v>0</v>
      </c>
      <c r="I26" s="21" t="n">
        <f aca="false">VLOOKUP($A26,Day2!$A$1:$H$400,5,FALSE())</f>
        <v>1</v>
      </c>
      <c r="J26" s="21" t="n">
        <f aca="false">VLOOKUP($A26,Day2!$A$1:$H$400,6,FALSE())</f>
        <v>0</v>
      </c>
      <c r="K26" s="21" t="n">
        <f aca="false">SUM(E26:J26)</f>
        <v>2.5</v>
      </c>
      <c r="L26" s="21" t="str">
        <f aca="false">ROMAN(RANK(K26,$K$4:$K$40,0))</f>
        <v>XXIII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customFormat="false" ht="15.75" hidden="false" customHeight="false" outlineLevel="0" collapsed="false">
      <c r="A27" s="21" t="n">
        <v>107334</v>
      </c>
      <c r="B27" s="21" t="s">
        <v>2290</v>
      </c>
      <c r="C27" s="21" t="s">
        <v>2526</v>
      </c>
      <c r="D27" s="21" t="s">
        <v>1160</v>
      </c>
      <c r="E27" s="21" t="n">
        <f aca="false">VLOOKUP($A27,Day1!$A$1:$H$394,4,FALSE())</f>
        <v>0.5</v>
      </c>
      <c r="F27" s="21" t="n">
        <f aca="false">VLOOKUP($A27,Day1!$A$1:$H$394,5,FALSE())</f>
        <v>0</v>
      </c>
      <c r="G27" s="21" t="n">
        <f aca="false">VLOOKUP($A27,Day1!$A$1:$H$394,6,FALSE())</f>
        <v>0</v>
      </c>
      <c r="H27" s="21" t="n">
        <f aca="false">VLOOKUP($A27,Day2!$A$1:$H$400,4,FALSE())</f>
        <v>2</v>
      </c>
      <c r="I27" s="21" t="n">
        <f aca="false">VLOOKUP($A27,Day2!$A$1:$H$400,5,FALSE())</f>
        <v>0</v>
      </c>
      <c r="J27" s="21" t="n">
        <f aca="false">VLOOKUP($A27,Day2!$A$1:$H$400,6,FALSE())</f>
        <v>0</v>
      </c>
      <c r="K27" s="21" t="n">
        <f aca="false">SUM(E27:J27)</f>
        <v>2.5</v>
      </c>
      <c r="L27" s="21" t="str">
        <f aca="false">ROMAN(RANK(K27,$K$4:$K$40,0))</f>
        <v>XXIII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customFormat="false" ht="15.75" hidden="false" customHeight="false" outlineLevel="0" collapsed="false">
      <c r="A28" s="21" t="n">
        <v>232056</v>
      </c>
      <c r="B28" s="21" t="s">
        <v>2487</v>
      </c>
      <c r="C28" s="21" t="s">
        <v>2527</v>
      </c>
      <c r="D28" s="21" t="s">
        <v>2175</v>
      </c>
      <c r="E28" s="21" t="n">
        <f aca="false">VLOOKUP($A28,Day1!$A$1:$H$394,4,FALSE())</f>
        <v>2</v>
      </c>
      <c r="F28" s="21" t="n">
        <f aca="false">VLOOKUP($A28,Day1!$A$1:$H$394,5,FALSE())</f>
        <v>0</v>
      </c>
      <c r="G28" s="21" t="n">
        <f aca="false">VLOOKUP($A28,Day1!$A$1:$H$394,6,FALSE())</f>
        <v>0</v>
      </c>
      <c r="H28" s="21"/>
      <c r="I28" s="21"/>
      <c r="J28" s="21"/>
      <c r="K28" s="21" t="n">
        <f aca="false">SUM(E28:J28)</f>
        <v>2</v>
      </c>
      <c r="L28" s="21" t="str">
        <f aca="false">ROMAN(RANK(K28,$K$4:$K$40,0))</f>
        <v>XXV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customFormat="false" ht="15.75" hidden="false" customHeight="false" outlineLevel="0" collapsed="false">
      <c r="A29" s="21" t="n">
        <v>128152</v>
      </c>
      <c r="B29" s="21" t="s">
        <v>2310</v>
      </c>
      <c r="C29" s="21" t="s">
        <v>2528</v>
      </c>
      <c r="D29" s="21" t="s">
        <v>1142</v>
      </c>
      <c r="E29" s="21" t="n">
        <f aca="false">VLOOKUP($A29,Day1!$A$1:$H$394,4,FALSE())</f>
        <v>1</v>
      </c>
      <c r="F29" s="21" t="n">
        <f aca="false">VLOOKUP($A29,Day1!$A$1:$H$394,5,FALSE())</f>
        <v>0</v>
      </c>
      <c r="G29" s="21" t="n">
        <f aca="false">VLOOKUP($A29,Day1!$A$1:$H$394,6,FALSE())</f>
        <v>0</v>
      </c>
      <c r="H29" s="21" t="n">
        <f aca="false">VLOOKUP($A29,Day2!$A$1:$H$400,4,FALSE())</f>
        <v>0</v>
      </c>
      <c r="I29" s="21" t="n">
        <f aca="false">VLOOKUP($A29,Day2!$A$1:$H$400,5,FALSE())</f>
        <v>1</v>
      </c>
      <c r="J29" s="21" t="n">
        <f aca="false">VLOOKUP($A29,Day2!$A$1:$H$400,6,FALSE())</f>
        <v>0</v>
      </c>
      <c r="K29" s="21" t="n">
        <f aca="false">SUM(E29:J29)</f>
        <v>2</v>
      </c>
      <c r="L29" s="21" t="str">
        <f aca="false">ROMAN(RANK(K29,$K$4:$K$40,0))</f>
        <v>XXV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customFormat="false" ht="15.75" hidden="false" customHeight="false" outlineLevel="0" collapsed="false">
      <c r="A30" s="21" t="n">
        <v>196774</v>
      </c>
      <c r="B30" s="21" t="s">
        <v>2310</v>
      </c>
      <c r="C30" s="21" t="s">
        <v>2529</v>
      </c>
      <c r="D30" s="21" t="s">
        <v>1112</v>
      </c>
      <c r="E30" s="21" t="n">
        <f aca="false">VLOOKUP($A30,Day1!$A$1:$H$394,4,FALSE())</f>
        <v>1</v>
      </c>
      <c r="F30" s="21" t="n">
        <f aca="false">VLOOKUP($A30,Day1!$A$1:$H$394,5,FALSE())</f>
        <v>0</v>
      </c>
      <c r="G30" s="21" t="n">
        <f aca="false">VLOOKUP($A30,Day1!$A$1:$H$394,6,FALSE())</f>
        <v>0</v>
      </c>
      <c r="H30" s="21" t="n">
        <f aca="false">VLOOKUP($A30,Day2!$A$1:$H$400,4,FALSE())</f>
        <v>1</v>
      </c>
      <c r="I30" s="21" t="n">
        <f aca="false">VLOOKUP($A30,Day2!$A$1:$H$400,5,FALSE())</f>
        <v>0</v>
      </c>
      <c r="J30" s="21" t="n">
        <f aca="false">VLOOKUP($A30,Day2!$A$1:$H$400,6,FALSE())</f>
        <v>0</v>
      </c>
      <c r="K30" s="21" t="n">
        <f aca="false">SUM(E30:J30)</f>
        <v>2</v>
      </c>
      <c r="L30" s="21" t="str">
        <f aca="false">ROMAN(RANK(K30,$K$4:$K$40,0))</f>
        <v>XXV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customFormat="false" ht="15.75" hidden="false" customHeight="false" outlineLevel="0" collapsed="false">
      <c r="A31" s="21" t="n">
        <v>107327</v>
      </c>
      <c r="B31" s="21" t="s">
        <v>2432</v>
      </c>
      <c r="C31" s="21" t="s">
        <v>2530</v>
      </c>
      <c r="D31" s="21" t="s">
        <v>2531</v>
      </c>
      <c r="E31" s="21" t="n">
        <f aca="false">VLOOKUP($A31,Day1!$A$1:$H$394,4,FALSE())</f>
        <v>0.5</v>
      </c>
      <c r="F31" s="21" t="n">
        <f aca="false">VLOOKUP($A31,Day1!$A$1:$H$394,5,FALSE())</f>
        <v>1</v>
      </c>
      <c r="G31" s="21" t="n">
        <f aca="false">VLOOKUP($A31,Day1!$A$1:$H$394,6,FALSE())</f>
        <v>0</v>
      </c>
      <c r="H31" s="21" t="n">
        <f aca="false">VLOOKUP($A31,Day2!$A$1:$H$400,4,FALSE())</f>
        <v>0</v>
      </c>
      <c r="I31" s="21" t="n">
        <f aca="false">VLOOKUP($A31,Day2!$A$1:$H$400,5,FALSE())</f>
        <v>0</v>
      </c>
      <c r="J31" s="21" t="n">
        <f aca="false">VLOOKUP($A31,Day2!$A$1:$H$400,6,FALSE())</f>
        <v>0</v>
      </c>
      <c r="K31" s="21" t="n">
        <f aca="false">SUM(E31:J31)</f>
        <v>1.5</v>
      </c>
      <c r="L31" s="21" t="str">
        <f aca="false">ROMAN(RANK(K31,$K$4:$K$40,0))</f>
        <v>XXVIII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customFormat="false" ht="15.75" hidden="false" customHeight="false" outlineLevel="0" collapsed="false">
      <c r="A32" s="21" t="n">
        <v>99109</v>
      </c>
      <c r="B32" s="21" t="s">
        <v>2222</v>
      </c>
      <c r="C32" s="21" t="s">
        <v>364</v>
      </c>
      <c r="D32" s="21" t="s">
        <v>1655</v>
      </c>
      <c r="E32" s="21" t="n">
        <f aca="false">VLOOKUP($A32,Day1!$A$1:$H$394,4,FALSE())</f>
        <v>0.5</v>
      </c>
      <c r="F32" s="21" t="n">
        <f aca="false">VLOOKUP($A32,Day1!$A$1:$H$394,5,FALSE())</f>
        <v>1</v>
      </c>
      <c r="G32" s="21" t="n">
        <f aca="false">VLOOKUP($A32,Day1!$A$1:$H$394,6,FALSE())</f>
        <v>0</v>
      </c>
      <c r="H32" s="21"/>
      <c r="I32" s="21"/>
      <c r="J32" s="21"/>
      <c r="K32" s="21" t="n">
        <f aca="false">SUM(E32:J32)</f>
        <v>1.5</v>
      </c>
      <c r="L32" s="21" t="str">
        <f aca="false">ROMAN(RANK(K32,$K$4:$K$40,0))</f>
        <v>XXVIII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customFormat="false" ht="15.75" hidden="false" customHeight="false" outlineLevel="0" collapsed="false">
      <c r="A33" s="21" t="n">
        <v>231996</v>
      </c>
      <c r="B33" s="21" t="s">
        <v>2265</v>
      </c>
      <c r="C33" s="21" t="s">
        <v>2532</v>
      </c>
      <c r="D33" s="21" t="s">
        <v>1124</v>
      </c>
      <c r="E33" s="21" t="n">
        <f aca="false">VLOOKUP($A33,Day1!$A$1:$H$394,4,FALSE())</f>
        <v>1</v>
      </c>
      <c r="F33" s="21" t="n">
        <f aca="false">VLOOKUP($A33,Day1!$A$1:$H$394,5,FALSE())</f>
        <v>0</v>
      </c>
      <c r="G33" s="21" t="n">
        <f aca="false">VLOOKUP($A33,Day1!$A$1:$H$394,6,FALSE())</f>
        <v>0</v>
      </c>
      <c r="H33" s="21" t="n">
        <f aca="false">VLOOKUP($A33,Day2!$A$1:$H$400,4,FALSE())</f>
        <v>0</v>
      </c>
      <c r="I33" s="21" t="n">
        <f aca="false">VLOOKUP($A33,Day2!$A$1:$H$400,5,FALSE())</f>
        <v>0</v>
      </c>
      <c r="J33" s="21" t="n">
        <f aca="false">VLOOKUP($A33,Day2!$A$1:$H$400,6,FALSE())</f>
        <v>0</v>
      </c>
      <c r="K33" s="21" t="n">
        <f aca="false">SUM(E33:J33)</f>
        <v>1</v>
      </c>
      <c r="L33" s="21" t="str">
        <f aca="false">ROMAN(RANK(K33,$K$4:$K$40,0))</f>
        <v>XXX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customFormat="false" ht="15.75" hidden="false" customHeight="false" outlineLevel="0" collapsed="false">
      <c r="A34" s="21" t="n">
        <v>231833</v>
      </c>
      <c r="B34" s="21" t="s">
        <v>2290</v>
      </c>
      <c r="C34" s="21" t="s">
        <v>2533</v>
      </c>
      <c r="D34" s="21" t="s">
        <v>1104</v>
      </c>
      <c r="E34" s="21" t="n">
        <f aca="false">VLOOKUP($A34,Day1!$A$1:$H$394,4,FALSE())</f>
        <v>0</v>
      </c>
      <c r="F34" s="21" t="n">
        <f aca="false">VLOOKUP($A34,Day1!$A$1:$H$394,5,FALSE())</f>
        <v>0</v>
      </c>
      <c r="G34" s="21" t="n">
        <f aca="false">VLOOKUP($A34,Day1!$A$1:$H$394,6,FALSE())</f>
        <v>0</v>
      </c>
      <c r="H34" s="21" t="n">
        <f aca="false">VLOOKUP($A34,Day2!$A$1:$H$400,4,FALSE())</f>
        <v>0</v>
      </c>
      <c r="I34" s="21" t="n">
        <f aca="false">VLOOKUP($A34,Day2!$A$1:$H$400,5,FALSE())</f>
        <v>1</v>
      </c>
      <c r="J34" s="21" t="n">
        <f aca="false">VLOOKUP($A34,Day2!$A$1:$H$400,6,FALSE())</f>
        <v>0</v>
      </c>
      <c r="K34" s="21" t="n">
        <f aca="false">SUM(E34:J34)</f>
        <v>1</v>
      </c>
      <c r="L34" s="21" t="str">
        <f aca="false">ROMAN(RANK(K34,$K$4:$K$40,0))</f>
        <v>XXX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customFormat="false" ht="15.75" hidden="false" customHeight="false" outlineLevel="0" collapsed="false">
      <c r="A35" s="21" t="n">
        <v>107318</v>
      </c>
      <c r="B35" s="21" t="s">
        <v>2259</v>
      </c>
      <c r="C35" s="21" t="s">
        <v>2355</v>
      </c>
      <c r="D35" s="21" t="s">
        <v>188</v>
      </c>
      <c r="E35" s="21" t="n">
        <f aca="false">VLOOKUP($A35,Day1!$A$1:$H$394,4,FALSE())</f>
        <v>0.5</v>
      </c>
      <c r="F35" s="21" t="n">
        <f aca="false">VLOOKUP($A35,Day1!$A$1:$H$394,5,FALSE())</f>
        <v>0</v>
      </c>
      <c r="G35" s="21" t="n">
        <f aca="false">VLOOKUP($A35,Day1!$A$1:$H$394,6,FALSE())</f>
        <v>0</v>
      </c>
      <c r="H35" s="21"/>
      <c r="I35" s="21"/>
      <c r="J35" s="21"/>
      <c r="K35" s="21" t="n">
        <f aca="false">SUM(E35:J35)</f>
        <v>0.5</v>
      </c>
      <c r="L35" s="21" t="str">
        <f aca="false">ROMAN(RANK(K35,$K$4:$K$40,0))</f>
        <v>XXXII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customFormat="false" ht="15.75" hidden="false" customHeight="false" outlineLevel="0" collapsed="false">
      <c r="A36" s="21" t="n">
        <v>177724</v>
      </c>
      <c r="B36" s="21" t="s">
        <v>2210</v>
      </c>
      <c r="C36" s="21" t="s">
        <v>35</v>
      </c>
      <c r="D36" s="21" t="s">
        <v>1138</v>
      </c>
      <c r="E36" s="21" t="n">
        <f aca="false">VLOOKUP($A36,Day1!$A$1:$H$394,4,FALSE())</f>
        <v>0.5</v>
      </c>
      <c r="F36" s="21" t="n">
        <f aca="false">VLOOKUP($A36,Day1!$A$1:$H$394,5,FALSE())</f>
        <v>0</v>
      </c>
      <c r="G36" s="21" t="n">
        <f aca="false">VLOOKUP($A36,Day1!$A$1:$H$394,6,FALSE())</f>
        <v>0</v>
      </c>
      <c r="H36" s="21" t="n">
        <f aca="false">VLOOKUP($A36,Day2!$A$1:$H$400,4,FALSE())</f>
        <v>0</v>
      </c>
      <c r="I36" s="21" t="n">
        <f aca="false">VLOOKUP($A36,Day2!$A$1:$H$400,5,FALSE())</f>
        <v>0</v>
      </c>
      <c r="J36" s="21" t="n">
        <f aca="false">VLOOKUP($A36,Day2!$A$1:$H$400,6,FALSE())</f>
        <v>0</v>
      </c>
      <c r="K36" s="21" t="n">
        <f aca="false">SUM(E36:J36)</f>
        <v>0.5</v>
      </c>
      <c r="L36" s="21" t="str">
        <f aca="false">ROMAN(RANK(K36,$K$4:$K$40,0))</f>
        <v>XXXII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customFormat="false" ht="15.75" hidden="false" customHeight="false" outlineLevel="0" collapsed="false">
      <c r="A37" s="21" t="n">
        <v>194915</v>
      </c>
      <c r="B37" s="21" t="s">
        <v>2227</v>
      </c>
      <c r="C37" s="21" t="s">
        <v>2359</v>
      </c>
      <c r="D37" s="21" t="s">
        <v>1119</v>
      </c>
      <c r="E37" s="21" t="n">
        <f aca="false">VLOOKUP($A37,Day1!$A$1:$H$394,4,FALSE())</f>
        <v>0.5</v>
      </c>
      <c r="F37" s="21" t="n">
        <f aca="false">VLOOKUP($A37,Day1!$A$1:$H$394,5,FALSE())</f>
        <v>0</v>
      </c>
      <c r="G37" s="21" t="n">
        <f aca="false">VLOOKUP($A37,Day1!$A$1:$H$394,6,FALSE())</f>
        <v>0</v>
      </c>
      <c r="H37" s="21" t="n">
        <f aca="false">VLOOKUP($A37,Day2!$A$1:$H$400,4,FALSE())</f>
        <v>0</v>
      </c>
      <c r="I37" s="21" t="n">
        <f aca="false">VLOOKUP($A37,Day2!$A$1:$H$400,5,FALSE())</f>
        <v>0</v>
      </c>
      <c r="J37" s="21" t="n">
        <f aca="false">VLOOKUP($A37,Day2!$A$1:$H$400,6,FALSE())</f>
        <v>0</v>
      </c>
      <c r="K37" s="21" t="n">
        <f aca="false">SUM(E37:J37)</f>
        <v>0.5</v>
      </c>
      <c r="L37" s="21" t="str">
        <f aca="false">ROMAN(RANK(K37,$K$4:$K$40,0))</f>
        <v>XXXII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customFormat="false" ht="15.75" hidden="false" customHeight="false" outlineLevel="0" collapsed="false">
      <c r="A38" s="21" t="n">
        <v>232109</v>
      </c>
      <c r="B38" s="21" t="s">
        <v>2534</v>
      </c>
      <c r="C38" s="21" t="s">
        <v>333</v>
      </c>
      <c r="D38" s="21" t="s">
        <v>1610</v>
      </c>
      <c r="E38" s="21" t="n">
        <f aca="false">VLOOKUP($A38,Day1!$A$1:$H$394,4,FALSE())</f>
        <v>0.5</v>
      </c>
      <c r="F38" s="21" t="n">
        <f aca="false">VLOOKUP($A38,Day1!$A$1:$H$394,5,FALSE())</f>
        <v>0</v>
      </c>
      <c r="G38" s="21" t="n">
        <f aca="false">VLOOKUP($A38,Day1!$A$1:$H$394,6,FALSE())</f>
        <v>0</v>
      </c>
      <c r="H38" s="21"/>
      <c r="I38" s="21"/>
      <c r="J38" s="21"/>
      <c r="K38" s="21" t="n">
        <f aca="false">SUM(E38:J38)</f>
        <v>0.5</v>
      </c>
      <c r="L38" s="21" t="str">
        <f aca="false">ROMAN(RANK(K38,$K$4:$K$40,0))</f>
        <v>XXXII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customFormat="false" ht="15.75" hidden="false" customHeight="false" outlineLevel="0" collapsed="false">
      <c r="A39" s="21" t="n">
        <v>181836</v>
      </c>
      <c r="B39" s="21" t="s">
        <v>2247</v>
      </c>
      <c r="C39" s="21" t="s">
        <v>2535</v>
      </c>
      <c r="D39" s="21" t="s">
        <v>1575</v>
      </c>
      <c r="E39" s="21" t="n">
        <f aca="false">VLOOKUP($A39,Day1!$A$1:$H$394,4,FALSE())</f>
        <v>0</v>
      </c>
      <c r="F39" s="21" t="n">
        <f aca="false">VLOOKUP($A39,Day1!$A$1:$H$394,5,FALSE())</f>
        <v>0</v>
      </c>
      <c r="G39" s="21" t="n">
        <f aca="false">VLOOKUP($A39,Day1!$A$1:$H$394,6,FALSE())</f>
        <v>0</v>
      </c>
      <c r="H39" s="21"/>
      <c r="I39" s="21"/>
      <c r="J39" s="21"/>
      <c r="K39" s="21" t="n">
        <f aca="false">SUM(E39:J39)</f>
        <v>0</v>
      </c>
      <c r="L39" s="21" t="str">
        <f aca="false">ROMAN(RANK(K39,$K$4:$K$40,0))</f>
        <v>XXXVI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customFormat="false" ht="15.75" hidden="false" customHeight="false" outlineLevel="0" collapsed="false">
      <c r="A40" s="21" t="n">
        <v>177741</v>
      </c>
      <c r="B40" s="21" t="s">
        <v>2261</v>
      </c>
      <c r="C40" s="21" t="s">
        <v>2390</v>
      </c>
      <c r="D40" s="21" t="s">
        <v>1662</v>
      </c>
      <c r="E40" s="21" t="n">
        <f aca="false">VLOOKUP($A40,Day1!$A$1:$H$394,4,FALSE())</f>
        <v>0</v>
      </c>
      <c r="F40" s="21" t="n">
        <f aca="false">VLOOKUP($A40,Day1!$A$1:$H$394,5,FALSE())</f>
        <v>0</v>
      </c>
      <c r="G40" s="21" t="n">
        <f aca="false">VLOOKUP($A40,Day1!$A$1:$H$394,6,FALSE())</f>
        <v>0</v>
      </c>
      <c r="H40" s="21"/>
      <c r="I40" s="21"/>
      <c r="J40" s="21"/>
      <c r="K40" s="21" t="n">
        <f aca="false">SUM(E40:J40)</f>
        <v>0</v>
      </c>
      <c r="L40" s="21" t="str">
        <f aca="false">ROMAN(RANK(K40,$K$4:$K$40,0))</f>
        <v>XXXVI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customFormat="false" ht="15.75" hidden="false" customHeight="false" outlineLevel="0" collapsed="false">
      <c r="A41" s="21" t="n">
        <v>99373</v>
      </c>
      <c r="B41" s="21" t="s">
        <v>2222</v>
      </c>
      <c r="C41" s="21" t="s">
        <v>2536</v>
      </c>
      <c r="D41" s="21" t="s">
        <v>1636</v>
      </c>
      <c r="E41" s="21" t="n">
        <f aca="false">VLOOKUP($A41,Day1!$A$1:$H$394,4,FALSE())</f>
        <v>0</v>
      </c>
      <c r="F41" s="21" t="n">
        <f aca="false">VLOOKUP($A41,Day1!$A$1:$H$394,5,FALSE())</f>
        <v>0</v>
      </c>
      <c r="G41" s="21" t="n">
        <f aca="false">VLOOKUP($A41,Day1!$A$1:$H$394,6,FALSE())</f>
        <v>0</v>
      </c>
      <c r="H41" s="21"/>
      <c r="I41" s="21"/>
      <c r="J41" s="21"/>
      <c r="K41" s="21" t="n">
        <f aca="false">SUM(E41:J41)</f>
        <v>0</v>
      </c>
      <c r="L41" s="21" t="str">
        <f aca="false">ROMAN(RANK(K41,$K$4:$K$40,0))</f>
        <v>XXXVI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customFormat="false" ht="15.75" hidden="false" customHeight="false" outlineLevel="0" collapsed="false">
      <c r="A42" s="22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2"/>
      <c r="M42" s="22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customFormat="false" ht="15.75" hidden="false" customHeight="false" outlineLevel="0" collapsed="false">
      <c r="A43" s="22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2"/>
      <c r="M43" s="22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customFormat="false" ht="15.75" hidden="false" customHeight="false" outlineLevel="0" collapsed="false">
      <c r="A44" s="22"/>
      <c r="B44" s="23" t="s">
        <v>2537</v>
      </c>
      <c r="C44" s="23"/>
      <c r="D44" s="23"/>
      <c r="E44" s="23"/>
      <c r="F44" s="23"/>
      <c r="G44" s="23"/>
      <c r="H44" s="23"/>
      <c r="I44" s="23"/>
      <c r="J44" s="23"/>
      <c r="K44" s="23"/>
      <c r="L44" s="22"/>
      <c r="M44" s="22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customFormat="false" ht="15.75" hidden="false" customHeight="false" outlineLevel="0" collapsed="false">
      <c r="A45" s="22"/>
      <c r="B45" s="23" t="s">
        <v>2538</v>
      </c>
      <c r="C45" s="23"/>
      <c r="D45" s="23"/>
      <c r="E45" s="23"/>
      <c r="F45" s="23"/>
      <c r="G45" s="23"/>
      <c r="H45" s="22"/>
      <c r="I45" s="22"/>
      <c r="J45" s="22"/>
      <c r="K45" s="22"/>
      <c r="L45" s="22"/>
      <c r="M45" s="22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customFormat="false" ht="15.7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customFormat="false" ht="15.75" hidden="false" customHeight="fals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customFormat="false" ht="15.7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customFormat="false" ht="15.75" hidden="false" customHeight="fals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customFormat="false" ht="15.7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customFormat="false" ht="15.75" hidden="false" customHeight="fals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customFormat="false" ht="15.7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customFormat="false" ht="15.75" hidden="false" customHeight="fals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customFormat="false" ht="15.7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customFormat="false" ht="15.75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customFormat="false" ht="15.7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customFormat="false" ht="15.7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customFormat="false" ht="15.7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customFormat="false" ht="15.75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customFormat="false" ht="15.7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customFormat="false" ht="15.7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customFormat="false" ht="15.7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customFormat="false" ht="15.75" hidden="false" customHeight="fals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customFormat="false" ht="15.7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customFormat="false" ht="15.75" hidden="false" customHeight="fals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customFormat="false" ht="15.7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customFormat="false" ht="15.75" hidden="false" customHeight="fals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customFormat="false" ht="15.7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customFormat="false" ht="15.75" hidden="false" customHeight="fals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customFormat="false" ht="15.7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customFormat="false" ht="15.75" hidden="false" customHeight="fals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customFormat="false" ht="15.7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customFormat="false" ht="15.75" hidden="false" customHeight="fals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customFormat="false" ht="15.7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customFormat="false" ht="15.75" hidden="false" customHeight="fals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customFormat="false" ht="15.7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customFormat="false" ht="15.75" hidden="false" customHeight="fals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customFormat="false" ht="15.7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customFormat="false" ht="15.75" hidden="false" customHeight="fals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customFormat="false" ht="15.7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customFormat="false" ht="15.75" hidden="false" customHeight="fals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customFormat="false" ht="15.7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customFormat="false" ht="15.75" hidden="false" customHeight="fals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customFormat="false" ht="15.7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customFormat="false" ht="15.75" hidden="false" customHeight="fals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customFormat="false" ht="15.7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customFormat="false" ht="15.75" hidden="false" customHeight="fals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customFormat="false" ht="15.75" hidden="false" customHeight="fals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customFormat="false" ht="15.75" hidden="false" customHeight="fals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customFormat="false" ht="15.75" hidden="false" customHeight="fals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customFormat="false" ht="15.75" hidden="false" customHeight="fals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customFormat="false" ht="15.75" hidden="false" customHeight="fals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customFormat="false" ht="15.75" hidden="false" customHeight="fals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customFormat="false" ht="15.75" hidden="false" customHeight="fals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customFormat="false" ht="15.75" hidden="false" customHeight="fals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customFormat="false" ht="15.75" hidden="false" customHeight="fals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customFormat="false" ht="15.75" hidden="false" customHeight="fals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customFormat="false" ht="15.75" hidden="false" customHeight="fals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customFormat="false" ht="15.75" hidden="false" customHeight="fals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customFormat="false" ht="15.75" hidden="false" customHeight="fals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customFormat="false" ht="15.75" hidden="false" customHeight="fals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customFormat="false" ht="15.75" hidden="false" customHeight="fals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customFormat="false" ht="15.75" hidden="false" customHeight="fals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customFormat="false" ht="15.75" hidden="false" customHeight="fals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customFormat="false" ht="15.75" hidden="false" customHeight="fals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customFormat="false" ht="15.75" hidden="false" customHeight="fals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customFormat="false" ht="15.75" hidden="false" customHeight="fals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customFormat="false" ht="15.75" hidden="false" customHeight="fals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customFormat="false" ht="15.75" hidden="false" customHeight="fals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customFormat="false" ht="15.75" hidden="false" customHeight="fals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customFormat="false" ht="15.75" hidden="false" customHeight="fals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customFormat="false" ht="15.75" hidden="false" customHeight="fals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customFormat="false" ht="15.75" hidden="false" customHeight="fals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customFormat="false" ht="15.75" hidden="false" customHeight="fals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customFormat="false" ht="15.75" hidden="false" customHeight="fals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customFormat="false" ht="15.75" hidden="false" customHeight="fals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customFormat="false" ht="15.75" hidden="false" customHeight="fals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customFormat="false" ht="15.75" hidden="false" customHeight="fals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customFormat="false" ht="15.75" hidden="false" customHeight="fals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customFormat="false" ht="15.75" hidden="false" customHeight="fals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customFormat="false" ht="15.75" hidden="false" customHeight="fals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customFormat="false" ht="15.75" hidden="false" customHeight="fals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customFormat="false" ht="15.75" hidden="false" customHeight="fals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customFormat="false" ht="15.75" hidden="false" customHeight="fals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customFormat="false" ht="15.75" hidden="false" customHeight="fals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customFormat="false" ht="15.75" hidden="false" customHeight="fals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customFormat="false" ht="15.75" hidden="false" customHeight="fals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customFormat="false" ht="15.75" hidden="false" customHeight="fals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customFormat="false" ht="15.75" hidden="false" customHeight="fals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customFormat="false" ht="15.75" hidden="false" customHeight="fals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customFormat="false" ht="15.75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customFormat="false" ht="15.75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customFormat="false" ht="15.75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customFormat="false" ht="15.75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customFormat="false" ht="15.75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customFormat="false" ht="15.75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customFormat="false" ht="15.75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customFormat="false" ht="15.75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customFormat="false" ht="15.75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customFormat="false" ht="15.75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customFormat="false" ht="15.75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customFormat="false" ht="15.75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customFormat="false" ht="15.75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customFormat="false" ht="15.75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customFormat="false" ht="15.75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customFormat="false" ht="15.75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customFormat="false" ht="15.75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customFormat="false" ht="15.7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customFormat="false" ht="15.7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customFormat="false" ht="15.7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customFormat="false" ht="15.7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customFormat="false" ht="15.7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customFormat="false" ht="15.7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customFormat="false" ht="15.7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customFormat="false" ht="15.7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customFormat="false" ht="15.7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customFormat="false" ht="15.7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customFormat="false" ht="15.7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customFormat="false" ht="15.7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customFormat="false" ht="15.7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customFormat="false" ht="15.7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customFormat="false" ht="15.7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customFormat="false" ht="15.7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customFormat="false" ht="15.7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customFormat="false" ht="15.7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customFormat="false" ht="15.75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customFormat="false" ht="15.75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customFormat="false" ht="15.75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customFormat="false" ht="15.75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customFormat="false" ht="15.75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customFormat="false" ht="15.75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customFormat="false" ht="15.75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customFormat="false" ht="15.75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customFormat="false" ht="15.75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customFormat="false" ht="15.75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customFormat="false" ht="15.75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customFormat="false" ht="15.75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customFormat="false" ht="15.75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customFormat="false" ht="15.75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customFormat="false" ht="15.75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customFormat="false" ht="15.75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customFormat="false" ht="15.75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customFormat="false" ht="15.75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customFormat="false" ht="15.75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customFormat="false" ht="15.75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customFormat="false" ht="15.75" hidden="false" customHeight="fals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customFormat="false" ht="15.75" hidden="false" customHeight="fals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customFormat="false" ht="15.75" hidden="false" customHeight="fals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customFormat="false" ht="15.75" hidden="false" customHeight="fals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customFormat="false" ht="15.75" hidden="false" customHeight="fals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customFormat="false" ht="15.75" hidden="false" customHeight="fals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customFormat="false" ht="15.75" hidden="false" customHeight="fals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customFormat="false" ht="15.75" hidden="false" customHeight="fals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customFormat="false" ht="15.75" hidden="false" customHeight="fals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customFormat="false" ht="15.75" hidden="false" customHeight="fals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customFormat="false" ht="15.75" hidden="false" customHeight="fals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customFormat="false" ht="15.75" hidden="false" customHeight="fals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customFormat="false" ht="15.75" hidden="false" customHeight="fals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customFormat="false" ht="15.75" hidden="false" customHeight="fals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customFormat="false" ht="15.75" hidden="false" customHeight="fals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customFormat="false" ht="15.75" hidden="false" customHeight="fals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customFormat="false" ht="15.75" hidden="false" customHeight="fals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customFormat="false" ht="15.75" hidden="false" customHeight="fals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customFormat="false" ht="15.75" hidden="false" customHeight="fals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customFormat="false" ht="15.75" hidden="false" customHeight="fals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customFormat="false" ht="15.75" hidden="false" customHeight="fals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customFormat="false" ht="15.75" hidden="false" customHeight="fals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 customFormat="false" ht="15.75" hidden="false" customHeight="fals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customFormat="false" ht="15.75" hidden="false" customHeight="fals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customFormat="false" ht="15.75" hidden="false" customHeight="fals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customFormat="false" ht="15.75" hidden="false" customHeight="fals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customFormat="false" ht="15.75" hidden="false" customHeight="fals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customFormat="false" ht="15.75" hidden="false" customHeight="fals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customFormat="false" ht="15.75" hidden="false" customHeight="fals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customFormat="false" ht="15.75" hidden="false" customHeight="fals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customFormat="false" ht="15.75" hidden="false" customHeight="fals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customFormat="false" ht="15.75" hidden="false" customHeight="fals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customFormat="false" ht="15.75" hidden="false" customHeight="fals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customFormat="false" ht="15.75" hidden="false" customHeight="fals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customFormat="false" ht="15.75" hidden="false" customHeight="fals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 customFormat="false" ht="15.75" hidden="false" customHeight="fals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 customFormat="false" ht="15.75" hidden="false" customHeight="fals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customFormat="false" ht="15.75" hidden="false" customHeight="fals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 customFormat="false" ht="15.75" hidden="false" customHeight="fals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 customFormat="false" ht="15.75" hidden="false" customHeight="fals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 customFormat="false" ht="15.75" hidden="false" customHeight="fals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 customFormat="false" ht="15.75" hidden="false" customHeight="fals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 customFormat="false" ht="15.75" hidden="false" customHeight="fals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 customFormat="false" ht="15.75" hidden="false" customHeight="fals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customFormat="false" ht="15.75" hidden="false" customHeight="fals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 customFormat="false" ht="15.75" hidden="false" customHeight="fals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 customFormat="false" ht="15.75" hidden="false" customHeight="fals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 customFormat="false" ht="15.75" hidden="false" customHeight="fals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 customFormat="false" ht="15.75" hidden="false" customHeight="fals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customFormat="false" ht="15.75" hidden="false" customHeight="fals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customFormat="false" ht="15.75" hidden="false" customHeight="fals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customFormat="false" ht="15.75" hidden="false" customHeight="fals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customFormat="false" ht="15.75" hidden="false" customHeight="fals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customFormat="false" ht="15.75" hidden="false" customHeight="fals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customFormat="false" ht="15.75" hidden="false" customHeight="fals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customFormat="false" ht="15.75" hidden="false" customHeight="fals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customFormat="false" ht="15.75" hidden="false" customHeight="fals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customFormat="false" ht="15.75" hidden="false" customHeight="fals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customFormat="false" ht="15.75" hidden="false" customHeight="fals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customFormat="false" ht="15.75" hidden="false" customHeight="fals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customFormat="false" ht="15.75" hidden="false" customHeight="fals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customFormat="false" ht="15.75" hidden="false" customHeight="fals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customFormat="false" ht="15.75" hidden="false" customHeight="fals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customFormat="false" ht="15.75" hidden="false" customHeight="fals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customFormat="false" ht="15.75" hidden="false" customHeight="fals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customFormat="false" ht="15.75" hidden="false" customHeight="fals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customFormat="false" ht="15.75" hidden="false" customHeight="fals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customFormat="false" ht="15.75" hidden="false" customHeight="fals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customFormat="false" ht="15.75" hidden="false" customHeight="fals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customFormat="false" ht="15.75" hidden="false" customHeight="fals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customFormat="false" ht="15.75" hidden="false" customHeight="fals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customFormat="false" ht="15.75" hidden="false" customHeight="fals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customFormat="false" ht="15.75" hidden="false" customHeight="fals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customFormat="false" ht="15.75" hidden="false" customHeight="fals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customFormat="false" ht="15.75" hidden="false" customHeight="fals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customFormat="false" ht="15.75" hidden="false" customHeight="fals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customFormat="false" ht="15.75" hidden="false" customHeight="fals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customFormat="false" ht="15.75" hidden="false" customHeight="fals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customFormat="false" ht="15.75" hidden="false" customHeight="fals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customFormat="false" ht="15.75" hidden="false" customHeight="fals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customFormat="false" ht="15.75" hidden="false" customHeight="fals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customFormat="false" ht="15.75" hidden="false" customHeight="fals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customFormat="false" ht="15.75" hidden="false" customHeight="fals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customFormat="false" ht="15.75" hidden="false" customHeight="fals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customFormat="false" ht="15.75" hidden="false" customHeight="fals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customFormat="false" ht="15.75" hidden="false" customHeight="fals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customFormat="false" ht="15.75" hidden="false" customHeight="fals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customFormat="false" ht="15.75" hidden="false" customHeight="fals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customFormat="false" ht="15.75" hidden="false" customHeight="fals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customFormat="false" ht="15.75" hidden="false" customHeight="fals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customFormat="false" ht="15.75" hidden="false" customHeight="fals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customFormat="false" ht="15.75" hidden="false" customHeight="fals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customFormat="false" ht="15.75" hidden="false" customHeight="fals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customFormat="false" ht="15.75" hidden="false" customHeight="fals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customFormat="false" ht="15.75" hidden="false" customHeight="fals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customFormat="false" ht="15.75" hidden="false" customHeight="fals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customFormat="false" ht="15.75" hidden="false" customHeight="fals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customFormat="false" ht="15.75" hidden="false" customHeight="fals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customFormat="false" ht="15.75" hidden="false" customHeight="fals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customFormat="false" ht="15.75" hidden="false" customHeight="fals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customFormat="false" ht="15.75" hidden="false" customHeight="fals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customFormat="false" ht="15.75" hidden="false" customHeight="fals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customFormat="false" ht="15.75" hidden="false" customHeight="fals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customFormat="false" ht="15.75" hidden="false" customHeight="fals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customFormat="false" ht="15.75" hidden="false" customHeight="fals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customFormat="false" ht="15.75" hidden="false" customHeight="fals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customFormat="false" ht="15.75" hidden="false" customHeight="fals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customFormat="false" ht="15.75" hidden="false" customHeight="fals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customFormat="false" ht="15.75" hidden="false" customHeight="fals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customFormat="false" ht="15.75" hidden="false" customHeight="fals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customFormat="false" ht="15.75" hidden="false" customHeight="fals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customFormat="false" ht="15.75" hidden="false" customHeight="fals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customFormat="false" ht="15.75" hidden="false" customHeight="fals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customFormat="false" ht="15.75" hidden="false" customHeight="fals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customFormat="false" ht="15.75" hidden="false" customHeight="fals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customFormat="false" ht="15.75" hidden="false" customHeight="fals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customFormat="false" ht="15.75" hidden="false" customHeight="fals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customFormat="false" ht="15.75" hidden="false" customHeight="fals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customFormat="false" ht="15.75" hidden="false" customHeight="fals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customFormat="false" ht="15.75" hidden="false" customHeight="fals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customFormat="false" ht="15.75" hidden="false" customHeight="fals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customFormat="false" ht="15.75" hidden="false" customHeight="fals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customFormat="false" ht="15.75" hidden="false" customHeight="fals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customFormat="false" ht="15.75" hidden="false" customHeight="fals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customFormat="false" ht="15.75" hidden="false" customHeight="fals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customFormat="false" ht="15.75" hidden="false" customHeight="fals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customFormat="false" ht="15.75" hidden="false" customHeight="fals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customFormat="false" ht="15.75" hidden="false" customHeight="fals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customFormat="false" ht="15.75" hidden="false" customHeight="fals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customFormat="false" ht="15.75" hidden="false" customHeight="fals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customFormat="false" ht="15.75" hidden="false" customHeight="fals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customFormat="false" ht="15.75" hidden="false" customHeight="fals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customFormat="false" ht="15.75" hidden="false" customHeight="fals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customFormat="false" ht="15.75" hidden="false" customHeight="fals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customFormat="false" ht="15.75" hidden="false" customHeight="fals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customFormat="false" ht="15.75" hidden="false" customHeight="fals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customFormat="false" ht="15.75" hidden="false" customHeight="fals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customFormat="false" ht="15.75" hidden="false" customHeight="fals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customFormat="false" ht="15.75" hidden="false" customHeight="fals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customFormat="false" ht="15.75" hidden="false" customHeight="fals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customFormat="false" ht="15.75" hidden="false" customHeight="fals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customFormat="false" ht="15.75" hidden="false" customHeight="fals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customFormat="false" ht="15.75" hidden="false" customHeight="fals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customFormat="false" ht="15.75" hidden="false" customHeight="fals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customFormat="false" ht="15.75" hidden="false" customHeight="fals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customFormat="false" ht="15.75" hidden="false" customHeight="fals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customFormat="false" ht="15.75" hidden="false" customHeight="fals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customFormat="false" ht="15.75" hidden="false" customHeight="fals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customFormat="false" ht="15.75" hidden="false" customHeight="fals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customFormat="false" ht="15.75" hidden="false" customHeight="fals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customFormat="false" ht="15.75" hidden="false" customHeight="fals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customFormat="false" ht="15.75" hidden="false" customHeight="fals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customFormat="false" ht="15.75" hidden="false" customHeight="fals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customFormat="false" ht="15.75" hidden="false" customHeight="fals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customFormat="false" ht="15.75" hidden="false" customHeight="fals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customFormat="false" ht="15.75" hidden="false" customHeight="fals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customFormat="false" ht="15.75" hidden="false" customHeight="fals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customFormat="false" ht="15.75" hidden="false" customHeight="fals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customFormat="false" ht="15.75" hidden="false" customHeight="fals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customFormat="false" ht="15.75" hidden="false" customHeight="fals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customFormat="false" ht="15.75" hidden="false" customHeight="fals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customFormat="false" ht="15.75" hidden="false" customHeight="fals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customFormat="false" ht="15.75" hidden="false" customHeight="fals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customFormat="false" ht="15.75" hidden="false" customHeight="fals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customFormat="false" ht="15.75" hidden="false" customHeight="fals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customFormat="false" ht="15.75" hidden="false" customHeight="fals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customFormat="false" ht="15.75" hidden="false" customHeight="fals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customFormat="false" ht="15.75" hidden="false" customHeight="fals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customFormat="false" ht="15.75" hidden="false" customHeight="fals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customFormat="false" ht="15.75" hidden="false" customHeight="fals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customFormat="false" ht="15.75" hidden="false" customHeight="fals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customFormat="false" ht="15.75" hidden="false" customHeight="fals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customFormat="false" ht="15.75" hidden="false" customHeight="fals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customFormat="false" ht="15.75" hidden="false" customHeight="fals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customFormat="false" ht="15.75" hidden="false" customHeight="fals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customFormat="false" ht="15.75" hidden="false" customHeight="fals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customFormat="false" ht="15.75" hidden="false" customHeight="fals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customFormat="false" ht="15.75" hidden="false" customHeight="fals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customFormat="false" ht="15.75" hidden="false" customHeight="fals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customFormat="false" ht="15.75" hidden="false" customHeight="fals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customFormat="false" ht="15.75" hidden="false" customHeight="fals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customFormat="false" ht="15.75" hidden="false" customHeight="fals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customFormat="false" ht="15.75" hidden="false" customHeight="fals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customFormat="false" ht="15.75" hidden="false" customHeight="fals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customFormat="false" ht="15.75" hidden="false" customHeight="fals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customFormat="false" ht="15.75" hidden="false" customHeight="fals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customFormat="false" ht="15.75" hidden="false" customHeight="fals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customFormat="false" ht="15.75" hidden="false" customHeight="fals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customFormat="false" ht="15.75" hidden="false" customHeight="fals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customFormat="false" ht="15.75" hidden="false" customHeight="fals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customFormat="false" ht="15.75" hidden="false" customHeight="fals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customFormat="false" ht="15.75" hidden="false" customHeight="fals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customFormat="false" ht="15.75" hidden="false" customHeight="fals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customFormat="false" ht="15.75" hidden="false" customHeight="fals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customFormat="false" ht="15.75" hidden="false" customHeight="fals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customFormat="false" ht="15.75" hidden="false" customHeight="fals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customFormat="false" ht="15.75" hidden="false" customHeight="fals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customFormat="false" ht="15.75" hidden="false" customHeight="fals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customFormat="false" ht="15.75" hidden="false" customHeight="fals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customFormat="false" ht="15.75" hidden="false" customHeight="fals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customFormat="false" ht="15.75" hidden="false" customHeight="fals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customFormat="false" ht="15.75" hidden="false" customHeight="fals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customFormat="false" ht="15.75" hidden="false" customHeight="fals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customFormat="false" ht="15.75" hidden="false" customHeight="fals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customFormat="false" ht="15.75" hidden="false" customHeight="fals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customFormat="false" ht="15.75" hidden="false" customHeight="fals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customFormat="false" ht="15.75" hidden="false" customHeight="fals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customFormat="false" ht="15.75" hidden="false" customHeight="fals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customFormat="false" ht="15.75" hidden="false" customHeight="fals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customFormat="false" ht="15.75" hidden="false" customHeight="fals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customFormat="false" ht="15.75" hidden="false" customHeight="fals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customFormat="false" ht="15.75" hidden="false" customHeight="fals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customFormat="false" ht="15.75" hidden="false" customHeight="fals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customFormat="false" ht="15.75" hidden="false" customHeight="fals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customFormat="false" ht="15.75" hidden="false" customHeight="fals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customFormat="false" ht="15.75" hidden="false" customHeight="fals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customFormat="false" ht="15.75" hidden="false" customHeight="fals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customFormat="false" ht="15.75" hidden="false" customHeight="fals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customFormat="false" ht="15.75" hidden="false" customHeight="fals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customFormat="false" ht="15.75" hidden="false" customHeight="fals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customFormat="false" ht="15.75" hidden="false" customHeight="fals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customFormat="false" ht="15.75" hidden="false" customHeight="fals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customFormat="false" ht="15.75" hidden="false" customHeight="fals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customFormat="false" ht="15.75" hidden="false" customHeight="fals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customFormat="false" ht="15.75" hidden="false" customHeight="fals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customFormat="false" ht="15.75" hidden="false" customHeight="fals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customFormat="false" ht="15.75" hidden="false" customHeight="fals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customFormat="false" ht="15.75" hidden="false" customHeight="fals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customFormat="false" ht="15.75" hidden="false" customHeight="fals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customFormat="false" ht="15.75" hidden="false" customHeight="fals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customFormat="false" ht="15.75" hidden="false" customHeight="fals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customFormat="false" ht="15.75" hidden="false" customHeight="fals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customFormat="false" ht="15.75" hidden="false" customHeight="fals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customFormat="false" ht="15.75" hidden="false" customHeight="fals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customFormat="false" ht="15.75" hidden="false" customHeight="fals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customFormat="false" ht="15.75" hidden="false" customHeight="fals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customFormat="false" ht="15.75" hidden="false" customHeight="fals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customFormat="false" ht="15.75" hidden="false" customHeight="fals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customFormat="false" ht="15.75" hidden="false" customHeight="fals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customFormat="false" ht="15.75" hidden="false" customHeight="fals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customFormat="false" ht="15.75" hidden="false" customHeight="fals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customFormat="false" ht="15.75" hidden="false" customHeight="fals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customFormat="false" ht="15.75" hidden="false" customHeight="fals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customFormat="false" ht="15.75" hidden="false" customHeight="fals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customFormat="false" ht="15.75" hidden="false" customHeight="fals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customFormat="false" ht="15.75" hidden="false" customHeight="fals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customFormat="false" ht="15.75" hidden="false" customHeight="fals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customFormat="false" ht="15.75" hidden="false" customHeight="fals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customFormat="false" ht="15.75" hidden="false" customHeight="fals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customFormat="false" ht="15.75" hidden="false" customHeight="fals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customFormat="false" ht="15.75" hidden="false" customHeight="fals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customFormat="false" ht="15.75" hidden="false" customHeight="fals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customFormat="false" ht="15.75" hidden="false" customHeight="fals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customFormat="false" ht="15.75" hidden="false" customHeight="fals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customFormat="false" ht="15.75" hidden="false" customHeight="fals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customFormat="false" ht="15.75" hidden="false" customHeight="fals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customFormat="false" ht="15.75" hidden="false" customHeight="fals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customFormat="false" ht="15.75" hidden="false" customHeight="fals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customFormat="false" ht="15.75" hidden="false" customHeight="fals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customFormat="false" ht="15.75" hidden="false" customHeight="fals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customFormat="false" ht="15.75" hidden="false" customHeight="fals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customFormat="false" ht="15.75" hidden="false" customHeight="fals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customFormat="false" ht="15.75" hidden="false" customHeight="fals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customFormat="false" ht="15.75" hidden="false" customHeight="fals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customFormat="false" ht="15.75" hidden="false" customHeight="fals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customFormat="false" ht="15.75" hidden="false" customHeight="fals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customFormat="false" ht="15.75" hidden="false" customHeight="fals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customFormat="false" ht="15.75" hidden="false" customHeight="fals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customFormat="false" ht="15.75" hidden="false" customHeight="fals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customFormat="false" ht="15.75" hidden="false" customHeight="fals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customFormat="false" ht="15.75" hidden="false" customHeight="fals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customFormat="false" ht="15.75" hidden="false" customHeight="fals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customFormat="false" ht="15.75" hidden="false" customHeight="fals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customFormat="false" ht="15.75" hidden="false" customHeight="fals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customFormat="false" ht="15.75" hidden="false" customHeight="fals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customFormat="false" ht="15.75" hidden="false" customHeight="fals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customFormat="false" ht="15.75" hidden="false" customHeight="fals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customFormat="false" ht="15.75" hidden="false" customHeight="fals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customFormat="false" ht="15.75" hidden="false" customHeight="fals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customFormat="false" ht="15.75" hidden="false" customHeight="fals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customFormat="false" ht="15.75" hidden="false" customHeight="fals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customFormat="false" ht="15.75" hidden="false" customHeight="fals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customFormat="false" ht="15.75" hidden="false" customHeight="fals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customFormat="false" ht="15.75" hidden="false" customHeight="fals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customFormat="false" ht="15.75" hidden="false" customHeight="fals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customFormat="false" ht="15.75" hidden="false" customHeight="fals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customFormat="false" ht="15.75" hidden="false" customHeight="fals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customFormat="false" ht="15.75" hidden="false" customHeight="fals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customFormat="false" ht="15.75" hidden="false" customHeight="fals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customFormat="false" ht="15.75" hidden="false" customHeight="fals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customFormat="false" ht="15.75" hidden="false" customHeight="fals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customFormat="false" ht="15.75" hidden="false" customHeight="fals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customFormat="false" ht="15.75" hidden="false" customHeight="fals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customFormat="false" ht="15.75" hidden="false" customHeight="fals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customFormat="false" ht="15.75" hidden="false" customHeight="fals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customFormat="false" ht="15.75" hidden="false" customHeight="fals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customFormat="false" ht="15.75" hidden="false" customHeight="fals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customFormat="false" ht="15.75" hidden="false" customHeight="fals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customFormat="false" ht="15.75" hidden="false" customHeight="fals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customFormat="false" ht="15.75" hidden="false" customHeight="fals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customFormat="false" ht="15.75" hidden="false" customHeight="fals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customFormat="false" ht="15.75" hidden="false" customHeight="fals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customFormat="false" ht="15.75" hidden="false" customHeight="fals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customFormat="false" ht="15.75" hidden="false" customHeight="fals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customFormat="false" ht="15.75" hidden="false" customHeight="fals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customFormat="false" ht="15.75" hidden="false" customHeight="fals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customFormat="false" ht="15.75" hidden="false" customHeight="fals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customFormat="false" ht="15.75" hidden="false" customHeight="fals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customFormat="false" ht="15.75" hidden="false" customHeight="fals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customFormat="false" ht="15.75" hidden="false" customHeight="fals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customFormat="false" ht="15.75" hidden="false" customHeight="fals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customFormat="false" ht="15.75" hidden="false" customHeight="fals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customFormat="false" ht="15.75" hidden="false" customHeight="fals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customFormat="false" ht="15.75" hidden="false" customHeight="fals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customFormat="false" ht="15.75" hidden="false" customHeight="fals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customFormat="false" ht="15.75" hidden="false" customHeight="fals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customFormat="false" ht="15.75" hidden="false" customHeight="fals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customFormat="false" ht="15.75" hidden="false" customHeight="fals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customFormat="false" ht="15.75" hidden="false" customHeight="fals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customFormat="false" ht="15.75" hidden="false" customHeight="fals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customFormat="false" ht="15.75" hidden="false" customHeight="fals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customFormat="false" ht="15.75" hidden="false" customHeight="fals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customFormat="false" ht="15.75" hidden="false" customHeight="fals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customFormat="false" ht="15.75" hidden="false" customHeight="fals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customFormat="false" ht="15.75" hidden="false" customHeight="fals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customFormat="false" ht="15.75" hidden="false" customHeight="fals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customFormat="false" ht="15.75" hidden="false" customHeight="fals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customFormat="false" ht="15.75" hidden="false" customHeight="fals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customFormat="false" ht="15.75" hidden="false" customHeight="fals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customFormat="false" ht="15.75" hidden="false" customHeight="fals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customFormat="false" ht="15.75" hidden="false" customHeight="fals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customFormat="false" ht="15.75" hidden="false" customHeight="fals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customFormat="false" ht="15.75" hidden="false" customHeight="fals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customFormat="false" ht="15.75" hidden="false" customHeight="fals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customFormat="false" ht="15.75" hidden="false" customHeight="fals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customFormat="false" ht="15.75" hidden="false" customHeight="fals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customFormat="false" ht="15.75" hidden="false" customHeight="fals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customFormat="false" ht="15.75" hidden="false" customHeight="fals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customFormat="false" ht="15.75" hidden="false" customHeight="fals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customFormat="false" ht="15.75" hidden="false" customHeight="fals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customFormat="false" ht="15.75" hidden="false" customHeight="fals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customFormat="false" ht="15.75" hidden="false" customHeight="fals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customFormat="false" ht="15.75" hidden="false" customHeight="fals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customFormat="false" ht="15.75" hidden="false" customHeight="fals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customFormat="false" ht="15.75" hidden="false" customHeight="fals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customFormat="false" ht="15.75" hidden="false" customHeight="fals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customFormat="false" ht="15.75" hidden="false" customHeight="fals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customFormat="false" ht="15.75" hidden="false" customHeight="fals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customFormat="false" ht="15.75" hidden="false" customHeight="fals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customFormat="false" ht="15.75" hidden="false" customHeight="fals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customFormat="false" ht="15.75" hidden="false" customHeight="fals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customFormat="false" ht="15.75" hidden="false" customHeight="fals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customFormat="false" ht="15.75" hidden="false" customHeight="fals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customFormat="false" ht="15.75" hidden="false" customHeight="fals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customFormat="false" ht="15.75" hidden="false" customHeight="fals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customFormat="false" ht="15.75" hidden="false" customHeight="fals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customFormat="false" ht="15.75" hidden="false" customHeight="fals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customFormat="false" ht="15.75" hidden="false" customHeight="fals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customFormat="false" ht="15.75" hidden="false" customHeight="fals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customFormat="false" ht="15.75" hidden="false" customHeight="fals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customFormat="false" ht="15.75" hidden="false" customHeight="fals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customFormat="false" ht="15.75" hidden="false" customHeight="fals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customFormat="false" ht="15.75" hidden="false" customHeight="fals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customFormat="false" ht="15.75" hidden="false" customHeight="fals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customFormat="false" ht="15.75" hidden="false" customHeight="fals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customFormat="false" ht="15.75" hidden="false" customHeight="fals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customFormat="false" ht="15.75" hidden="false" customHeight="fals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customFormat="false" ht="15.75" hidden="false" customHeight="fals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customFormat="false" ht="15.75" hidden="false" customHeight="fals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customFormat="false" ht="15.75" hidden="false" customHeight="fals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customFormat="false" ht="15.75" hidden="false" customHeight="fals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customFormat="false" ht="15.75" hidden="false" customHeight="fals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customFormat="false" ht="15.75" hidden="false" customHeight="fals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customFormat="false" ht="15.75" hidden="false" customHeight="fals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customFormat="false" ht="15.75" hidden="false" customHeight="fals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customFormat="false" ht="15.75" hidden="false" customHeight="fals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customFormat="false" ht="15.75" hidden="false" customHeight="fals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customFormat="false" ht="15.75" hidden="false" customHeight="fals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customFormat="false" ht="15.75" hidden="false" customHeight="fals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customFormat="false" ht="15.75" hidden="false" customHeight="fals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customFormat="false" ht="15.75" hidden="false" customHeight="fals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customFormat="false" ht="15.75" hidden="false" customHeight="fals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customFormat="false" ht="15.75" hidden="false" customHeight="fals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customFormat="false" ht="15.75" hidden="false" customHeight="fals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customFormat="false" ht="15.75" hidden="false" customHeight="fals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customFormat="false" ht="15.75" hidden="false" customHeight="fals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customFormat="false" ht="15.75" hidden="false" customHeight="fals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customFormat="false" ht="15.75" hidden="false" customHeight="fals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customFormat="false" ht="15.75" hidden="false" customHeight="fals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customFormat="false" ht="15.75" hidden="false" customHeight="fals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customFormat="false" ht="15.75" hidden="false" customHeight="fals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customFormat="false" ht="15.75" hidden="false" customHeight="fals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customFormat="false" ht="15.75" hidden="false" customHeight="fals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customFormat="false" ht="15.75" hidden="false" customHeight="fals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customFormat="false" ht="15.75" hidden="false" customHeight="fals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customFormat="false" ht="15.75" hidden="false" customHeight="fals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customFormat="false" ht="15.75" hidden="false" customHeight="fals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customFormat="false" ht="15.75" hidden="false" customHeight="fals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customFormat="false" ht="15.75" hidden="false" customHeight="fals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customFormat="false" ht="15.75" hidden="false" customHeight="fals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customFormat="false" ht="15.75" hidden="false" customHeight="fals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customFormat="false" ht="15.75" hidden="false" customHeight="fals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customFormat="false" ht="15.75" hidden="false" customHeight="fals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customFormat="false" ht="15.75" hidden="false" customHeight="fals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customFormat="false" ht="15.75" hidden="false" customHeight="fals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customFormat="false" ht="15.75" hidden="false" customHeight="fals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customFormat="false" ht="15.75" hidden="false" customHeight="fals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customFormat="false" ht="15.75" hidden="false" customHeight="fals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customFormat="false" ht="15.75" hidden="false" customHeight="fals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customFormat="false" ht="15.75" hidden="false" customHeight="fals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customFormat="false" ht="15.75" hidden="false" customHeight="fals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customFormat="false" ht="15.75" hidden="false" customHeight="fals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customFormat="false" ht="15.75" hidden="false" customHeight="fals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customFormat="false" ht="15.75" hidden="false" customHeight="fals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customFormat="false" ht="15.75" hidden="false" customHeight="fals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customFormat="false" ht="15.75" hidden="false" customHeight="fals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customFormat="false" ht="15.75" hidden="false" customHeight="fals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customFormat="false" ht="15.75" hidden="false" customHeight="fals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customFormat="false" ht="15.75" hidden="false" customHeight="fals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customFormat="false" ht="15.75" hidden="false" customHeight="fals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customFormat="false" ht="15.75" hidden="false" customHeight="fals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customFormat="false" ht="15.75" hidden="false" customHeight="fals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customFormat="false" ht="15.75" hidden="false" customHeight="fals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customFormat="false" ht="15.75" hidden="false" customHeight="fals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customFormat="false" ht="15.75" hidden="false" customHeight="fals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customFormat="false" ht="15.75" hidden="false" customHeight="fals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customFormat="false" ht="15.75" hidden="false" customHeight="fals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customFormat="false" ht="15.75" hidden="false" customHeight="fals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customFormat="false" ht="15.75" hidden="false" customHeight="fals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customFormat="false" ht="15.75" hidden="false" customHeight="fals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customFormat="false" ht="15.75" hidden="false" customHeight="fals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customFormat="false" ht="15.75" hidden="false" customHeight="fals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customFormat="false" ht="15.75" hidden="false" customHeight="fals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customFormat="false" ht="15.75" hidden="false" customHeight="fals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customFormat="false" ht="15.75" hidden="false" customHeight="fals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customFormat="false" ht="15.75" hidden="false" customHeight="fals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customFormat="false" ht="15.75" hidden="false" customHeight="fals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customFormat="false" ht="15.75" hidden="false" customHeight="fals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customFormat="false" ht="15.75" hidden="false" customHeight="fals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customFormat="false" ht="15.75" hidden="false" customHeight="fals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customFormat="false" ht="15.75" hidden="false" customHeight="fals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customFormat="false" ht="15.75" hidden="false" customHeight="fals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customFormat="false" ht="15.75" hidden="false" customHeight="fals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customFormat="false" ht="15.75" hidden="false" customHeight="fals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customFormat="false" ht="15.75" hidden="false" customHeight="fals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customFormat="false" ht="15.75" hidden="false" customHeight="fals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customFormat="false" ht="15.75" hidden="false" customHeight="fals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customFormat="false" ht="15.75" hidden="false" customHeight="fals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customFormat="false" ht="15.75" hidden="false" customHeight="fals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customFormat="false" ht="15.75" hidden="false" customHeight="fals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customFormat="false" ht="15.75" hidden="false" customHeight="fals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customFormat="false" ht="15.75" hidden="false" customHeight="fals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customFormat="false" ht="15.75" hidden="false" customHeight="fals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customFormat="false" ht="15.75" hidden="false" customHeight="fals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customFormat="false" ht="15.75" hidden="false" customHeight="fals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customFormat="false" ht="15.75" hidden="false" customHeight="fals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customFormat="false" ht="15.75" hidden="false" customHeight="fals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customFormat="false" ht="15.75" hidden="false" customHeight="fals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customFormat="false" ht="15.75" hidden="false" customHeight="fals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customFormat="false" ht="15.75" hidden="false" customHeight="fals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customFormat="false" ht="15.75" hidden="false" customHeight="fals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customFormat="false" ht="15.75" hidden="false" customHeight="fals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customFormat="false" ht="15.75" hidden="false" customHeight="fals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customFormat="false" ht="15.75" hidden="false" customHeight="fals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customFormat="false" ht="15.75" hidden="false" customHeight="fals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customFormat="false" ht="15.75" hidden="false" customHeight="fals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customFormat="false" ht="15.75" hidden="false" customHeight="fals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customFormat="false" ht="15.75" hidden="false" customHeight="fals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customFormat="false" ht="15.75" hidden="false" customHeight="fals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customFormat="false" ht="15.75" hidden="false" customHeight="fals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customFormat="false" ht="15.75" hidden="false" customHeight="fals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customFormat="false" ht="15.75" hidden="false" customHeight="fals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customFormat="false" ht="15.75" hidden="false" customHeight="fals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customFormat="false" ht="15.75" hidden="false" customHeight="fals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customFormat="false" ht="15.75" hidden="false" customHeight="fals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customFormat="false" ht="15.75" hidden="false" customHeight="fals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customFormat="false" ht="15.75" hidden="false" customHeight="fals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customFormat="false" ht="15.75" hidden="false" customHeight="fals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customFormat="false" ht="15.75" hidden="false" customHeight="fals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customFormat="false" ht="15.75" hidden="false" customHeight="fals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customFormat="false" ht="15.75" hidden="false" customHeight="fals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customFormat="false" ht="15.75" hidden="false" customHeight="fals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customFormat="false" ht="15.75" hidden="false" customHeight="fals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customFormat="false" ht="15.75" hidden="false" customHeight="fals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customFormat="false" ht="15.75" hidden="false" customHeight="fals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customFormat="false" ht="15.75" hidden="false" customHeight="fals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customFormat="false" ht="15.75" hidden="false" customHeight="fals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customFormat="false" ht="15.75" hidden="false" customHeight="fals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customFormat="false" ht="15.75" hidden="false" customHeight="fals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customFormat="false" ht="15.75" hidden="false" customHeight="fals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customFormat="false" ht="15.75" hidden="false" customHeight="fals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customFormat="false" ht="15.75" hidden="false" customHeight="fals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customFormat="false" ht="15.75" hidden="false" customHeight="fals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customFormat="false" ht="15.75" hidden="false" customHeight="fals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customFormat="false" ht="15.75" hidden="false" customHeight="fals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customFormat="false" ht="15.75" hidden="false" customHeight="fals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customFormat="false" ht="15.75" hidden="false" customHeight="fals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customFormat="false" ht="15.75" hidden="false" customHeight="fals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customFormat="false" ht="15.75" hidden="false" customHeight="fals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customFormat="false" ht="15.75" hidden="false" customHeight="fals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customFormat="false" ht="15.75" hidden="false" customHeight="fals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customFormat="false" ht="15.75" hidden="false" customHeight="fals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customFormat="false" ht="15.75" hidden="false" customHeight="fals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customFormat="false" ht="15.75" hidden="false" customHeight="fals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customFormat="false" ht="15.75" hidden="false" customHeight="fals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customFormat="false" ht="15.75" hidden="false" customHeight="fals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customFormat="false" ht="15.75" hidden="false" customHeight="fals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customFormat="false" ht="15.75" hidden="false" customHeight="fals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customFormat="false" ht="15.75" hidden="false" customHeight="fals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customFormat="false" ht="15.75" hidden="false" customHeight="fals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customFormat="false" ht="15.75" hidden="false" customHeight="fals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customFormat="false" ht="15.75" hidden="false" customHeight="fals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customFormat="false" ht="15.75" hidden="false" customHeight="fals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customFormat="false" ht="15.75" hidden="false" customHeight="fals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customFormat="false" ht="15.75" hidden="false" customHeight="fals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customFormat="false" ht="15.75" hidden="false" customHeight="fals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customFormat="false" ht="15.75" hidden="false" customHeight="fals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customFormat="false" ht="15.75" hidden="false" customHeight="fals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customFormat="false" ht="15.75" hidden="false" customHeight="fals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customFormat="false" ht="15.75" hidden="false" customHeight="fals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customFormat="false" ht="15.75" hidden="false" customHeight="fals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customFormat="false" ht="15.75" hidden="false" customHeight="fals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customFormat="false" ht="15.75" hidden="false" customHeight="fals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customFormat="false" ht="15.75" hidden="false" customHeight="fals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customFormat="false" ht="15.75" hidden="false" customHeight="fals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customFormat="false" ht="15.75" hidden="false" customHeight="fals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customFormat="false" ht="15.75" hidden="false" customHeight="fals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customFormat="false" ht="15.75" hidden="false" customHeight="fals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customFormat="false" ht="15.75" hidden="false" customHeight="fals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customFormat="false" ht="15.75" hidden="false" customHeight="fals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customFormat="false" ht="15.75" hidden="false" customHeight="fals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customFormat="false" ht="15.75" hidden="false" customHeight="fals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customFormat="false" ht="15.75" hidden="false" customHeight="fals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customFormat="false" ht="15.75" hidden="false" customHeight="fals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customFormat="false" ht="15.75" hidden="false" customHeight="fals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customFormat="false" ht="15.75" hidden="false" customHeight="fals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customFormat="false" ht="15.75" hidden="false" customHeight="fals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customFormat="false" ht="15.75" hidden="false" customHeight="fals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customFormat="false" ht="15.75" hidden="false" customHeight="fals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customFormat="false" ht="15.75" hidden="false" customHeight="fals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customFormat="false" ht="15.75" hidden="false" customHeight="fals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customFormat="false" ht="15.75" hidden="false" customHeight="fals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customFormat="false" ht="15.75" hidden="false" customHeight="fals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customFormat="false" ht="15.75" hidden="false" customHeight="fals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customFormat="false" ht="15.75" hidden="false" customHeight="fals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customFormat="false" ht="15.75" hidden="false" customHeight="fals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customFormat="false" ht="15.75" hidden="false" customHeight="fals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customFormat="false" ht="15.75" hidden="false" customHeight="fals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customFormat="false" ht="15.75" hidden="false" customHeight="fals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customFormat="false" ht="15.75" hidden="false" customHeight="fals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customFormat="false" ht="15.75" hidden="false" customHeight="fals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customFormat="false" ht="15.75" hidden="false" customHeight="fals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customFormat="false" ht="15.75" hidden="false" customHeight="fals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customFormat="false" ht="15.75" hidden="false" customHeight="fals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customFormat="false" ht="15.75" hidden="false" customHeight="fals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customFormat="false" ht="15.75" hidden="false" customHeight="fals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customFormat="false" ht="15.75" hidden="false" customHeight="fals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customFormat="false" ht="15.75" hidden="false" customHeight="fals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customFormat="false" ht="15.75" hidden="false" customHeight="fals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customFormat="false" ht="15.75" hidden="false" customHeight="fals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customFormat="false" ht="15.75" hidden="false" customHeight="fals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customFormat="false" ht="15.75" hidden="false" customHeight="fals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customFormat="false" ht="15.75" hidden="false" customHeight="fals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customFormat="false" ht="15.75" hidden="false" customHeight="fals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customFormat="false" ht="15.75" hidden="false" customHeight="fals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customFormat="false" ht="15.75" hidden="false" customHeight="fals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customFormat="false" ht="15.75" hidden="false" customHeight="fals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customFormat="false" ht="15.75" hidden="false" customHeight="fals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customFormat="false" ht="15.75" hidden="false" customHeight="fals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customFormat="false" ht="15.75" hidden="false" customHeight="fals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customFormat="false" ht="15.75" hidden="false" customHeight="fals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customFormat="false" ht="15.75" hidden="false" customHeight="fals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customFormat="false" ht="15.75" hidden="false" customHeight="fals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customFormat="false" ht="15.75" hidden="false" customHeight="fals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customFormat="false" ht="15.75" hidden="false" customHeight="fals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customFormat="false" ht="15.75" hidden="false" customHeight="fals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customFormat="false" ht="15.75" hidden="false" customHeight="fals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customFormat="false" ht="15.75" hidden="false" customHeight="fals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customFormat="false" ht="15.75" hidden="false" customHeight="fals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customFormat="false" ht="15.75" hidden="false" customHeight="fals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customFormat="false" ht="15.75" hidden="false" customHeight="fals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customFormat="false" ht="15.75" hidden="false" customHeight="fals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customFormat="false" ht="15.75" hidden="false" customHeight="fals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customFormat="false" ht="15.75" hidden="false" customHeight="fals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customFormat="false" ht="15.75" hidden="false" customHeight="fals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customFormat="false" ht="15.75" hidden="false" customHeight="fals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customFormat="false" ht="15.75" hidden="false" customHeight="fals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customFormat="false" ht="15.75" hidden="false" customHeight="fals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customFormat="false" ht="15.75" hidden="false" customHeight="fals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customFormat="false" ht="15.75" hidden="false" customHeight="fals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customFormat="false" ht="15.75" hidden="false" customHeight="fals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customFormat="false" ht="15.75" hidden="false" customHeight="fals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customFormat="false" ht="15.75" hidden="false" customHeight="fals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customFormat="false" ht="15.75" hidden="false" customHeight="fals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customFormat="false" ht="15.75" hidden="false" customHeight="fals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customFormat="false" ht="15.75" hidden="false" customHeight="fals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customFormat="false" ht="15.75" hidden="false" customHeight="fals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customFormat="false" ht="15.75" hidden="false" customHeight="fals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customFormat="false" ht="15.75" hidden="false" customHeight="fals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customFormat="false" ht="15.75" hidden="false" customHeight="fals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customFormat="false" ht="15.75" hidden="false" customHeight="fals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customFormat="false" ht="15.75" hidden="false" customHeight="fals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customFormat="false" ht="15.75" hidden="false" customHeight="fals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customFormat="false" ht="15.75" hidden="false" customHeight="fals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customFormat="false" ht="15.75" hidden="false" customHeight="fals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customFormat="false" ht="15.75" hidden="false" customHeight="fals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customFormat="false" ht="15.75" hidden="false" customHeight="fals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customFormat="false" ht="15.75" hidden="false" customHeight="fals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customFormat="false" ht="15.75" hidden="false" customHeight="fals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customFormat="false" ht="15.75" hidden="false" customHeight="fals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customFormat="false" ht="15.75" hidden="false" customHeight="fals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customFormat="false" ht="15.75" hidden="false" customHeight="fals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customFormat="false" ht="15.75" hidden="false" customHeight="fals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customFormat="false" ht="15.75" hidden="false" customHeight="fals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customFormat="false" ht="15.75" hidden="false" customHeight="fals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customFormat="false" ht="15.75" hidden="false" customHeight="fals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customFormat="false" ht="15.75" hidden="false" customHeight="fals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customFormat="false" ht="15.75" hidden="false" customHeight="fals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customFormat="false" ht="15.75" hidden="false" customHeight="fals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customFormat="false" ht="15.75" hidden="false" customHeight="fals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customFormat="false" ht="15.75" hidden="false" customHeight="fals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customFormat="false" ht="15.75" hidden="false" customHeight="fals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customFormat="false" ht="15.75" hidden="false" customHeight="fals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customFormat="false" ht="15.75" hidden="false" customHeight="fals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customFormat="false" ht="15.75" hidden="false" customHeight="fals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customFormat="false" ht="15.75" hidden="false" customHeight="fals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customFormat="false" ht="15.75" hidden="false" customHeight="fals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customFormat="false" ht="15.75" hidden="false" customHeight="fals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customFormat="false" ht="15.75" hidden="false" customHeight="fals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customFormat="false" ht="15.75" hidden="false" customHeight="fals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customFormat="false" ht="15.75" hidden="false" customHeight="fals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customFormat="false" ht="15.75" hidden="false" customHeight="fals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customFormat="false" ht="15.75" hidden="false" customHeight="fals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customFormat="false" ht="15.75" hidden="false" customHeight="fals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customFormat="false" ht="15.75" hidden="false" customHeight="fals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customFormat="false" ht="15.75" hidden="false" customHeight="fals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customFormat="false" ht="15.75" hidden="false" customHeight="fals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customFormat="false" ht="15.75" hidden="false" customHeight="fals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customFormat="false" ht="15.75" hidden="false" customHeight="fals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customFormat="false" ht="15.75" hidden="false" customHeight="fals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customFormat="false" ht="15.75" hidden="false" customHeight="fals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customFormat="false" ht="15.75" hidden="false" customHeight="fals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customFormat="false" ht="15.75" hidden="false" customHeight="fals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customFormat="false" ht="15.75" hidden="false" customHeight="fals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customFormat="false" ht="15.75" hidden="false" customHeight="fals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customFormat="false" ht="15.75" hidden="false" customHeight="fals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customFormat="false" ht="15.75" hidden="false" customHeight="fals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customFormat="false" ht="15.75" hidden="false" customHeight="fals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customFormat="false" ht="15.75" hidden="false" customHeight="fals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customFormat="false" ht="15.75" hidden="false" customHeight="fals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customFormat="false" ht="15.75" hidden="false" customHeight="fals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customFormat="false" ht="15.75" hidden="false" customHeight="fals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customFormat="false" ht="15.75" hidden="false" customHeight="fals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customFormat="false" ht="15.75" hidden="false" customHeight="fals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customFormat="false" ht="15.75" hidden="false" customHeight="fals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customFormat="false" ht="15.75" hidden="false" customHeight="fals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customFormat="false" ht="15.75" hidden="false" customHeight="fals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customFormat="false" ht="15.75" hidden="false" customHeight="fals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customFormat="false" ht="15.75" hidden="false" customHeight="fals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customFormat="false" ht="15.75" hidden="false" customHeight="fals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customFormat="false" ht="15.75" hidden="false" customHeight="fals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customFormat="false" ht="15.75" hidden="false" customHeight="fals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customFormat="false" ht="15.75" hidden="false" customHeight="fals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customFormat="false" ht="15.75" hidden="false" customHeight="fals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customFormat="false" ht="15.75" hidden="false" customHeight="fals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customFormat="false" ht="15.75" hidden="false" customHeight="fals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customFormat="false" ht="15.75" hidden="false" customHeight="fals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customFormat="false" ht="15.75" hidden="false" customHeight="fals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customFormat="false" ht="15.75" hidden="false" customHeight="fals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customFormat="false" ht="15.75" hidden="false" customHeight="fals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customFormat="false" ht="15.75" hidden="false" customHeight="fals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customFormat="false" ht="15.75" hidden="false" customHeight="fals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customFormat="false" ht="15.75" hidden="false" customHeight="fals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customFormat="false" ht="15.75" hidden="false" customHeight="fals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customFormat="false" ht="15.75" hidden="false" customHeight="fals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customFormat="false" ht="15.75" hidden="false" customHeight="fals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customFormat="false" ht="15.75" hidden="false" customHeight="fals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customFormat="false" ht="15.75" hidden="false" customHeight="fals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customFormat="false" ht="15.75" hidden="false" customHeight="fals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customFormat="false" ht="15.75" hidden="false" customHeight="fals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customFormat="false" ht="15.75" hidden="false" customHeight="fals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customFormat="false" ht="15.75" hidden="false" customHeight="fals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customFormat="false" ht="15.75" hidden="false" customHeight="fals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customFormat="false" ht="15.75" hidden="false" customHeight="fals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customFormat="false" ht="15.75" hidden="false" customHeight="fals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customFormat="false" ht="15.75" hidden="false" customHeight="fals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customFormat="false" ht="15.75" hidden="false" customHeight="fals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customFormat="false" ht="15.75" hidden="false" customHeight="fals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customFormat="false" ht="15.75" hidden="false" customHeight="fals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customFormat="false" ht="15.75" hidden="false" customHeight="fals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customFormat="false" ht="15.75" hidden="false" customHeight="fals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customFormat="false" ht="15.75" hidden="false" customHeight="fals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customFormat="false" ht="15.75" hidden="false" customHeight="fals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customFormat="false" ht="15.75" hidden="false" customHeight="fals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customFormat="false" ht="15.75" hidden="false" customHeight="fals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customFormat="false" ht="15.75" hidden="false" customHeight="fals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customFormat="false" ht="15.75" hidden="false" customHeight="fals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customFormat="false" ht="15.75" hidden="false" customHeight="fals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customFormat="false" ht="15.75" hidden="false" customHeight="fals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customFormat="false" ht="15.75" hidden="false" customHeight="fals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customFormat="false" ht="15.75" hidden="false" customHeight="fals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customFormat="false" ht="15.75" hidden="false" customHeight="fals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customFormat="false" ht="15.75" hidden="false" customHeight="fals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customFormat="false" ht="15.75" hidden="false" customHeight="fals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customFormat="false" ht="15.75" hidden="false" customHeight="fals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customFormat="false" ht="15.75" hidden="false" customHeight="fals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customFormat="false" ht="15.75" hidden="false" customHeight="fals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customFormat="false" ht="15.75" hidden="false" customHeight="fals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customFormat="false" ht="15.75" hidden="false" customHeight="fals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customFormat="false" ht="15.75" hidden="false" customHeight="fals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customFormat="false" ht="15.75" hidden="false" customHeight="fals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customFormat="false" ht="15.75" hidden="false" customHeight="fals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customFormat="false" ht="15.75" hidden="false" customHeight="fals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customFormat="false" ht="15.75" hidden="false" customHeight="fals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customFormat="false" ht="15.75" hidden="false" customHeight="fals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customFormat="false" ht="15.75" hidden="false" customHeight="fals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customFormat="false" ht="15.75" hidden="false" customHeight="fals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customFormat="false" ht="15.75" hidden="false" customHeight="fals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customFormat="false" ht="15.75" hidden="false" customHeight="fals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customFormat="false" ht="15.75" hidden="false" customHeight="fals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customFormat="false" ht="15.75" hidden="false" customHeight="fals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customFormat="false" ht="15.75" hidden="false" customHeight="fals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customFormat="false" ht="15.75" hidden="false" customHeight="fals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customFormat="false" ht="15.75" hidden="false" customHeight="fals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customFormat="false" ht="15.75" hidden="false" customHeight="fals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customFormat="false" ht="15.75" hidden="false" customHeight="fals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customFormat="false" ht="15.75" hidden="false" customHeight="fals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customFormat="false" ht="15.75" hidden="false" customHeight="fals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customFormat="false" ht="15.75" hidden="false" customHeight="fals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customFormat="false" ht="15.75" hidden="false" customHeight="fals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customFormat="false" ht="15.75" hidden="false" customHeight="fals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customFormat="false" ht="15.75" hidden="false" customHeight="fals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customFormat="false" ht="15.75" hidden="false" customHeight="fals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customFormat="false" ht="15.75" hidden="false" customHeight="fals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customFormat="false" ht="15.75" hidden="false" customHeight="fals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customFormat="false" ht="15.75" hidden="false" customHeight="fals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customFormat="false" ht="15.75" hidden="false" customHeight="fals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customFormat="false" ht="15.75" hidden="false" customHeight="fals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customFormat="false" ht="15.75" hidden="false" customHeight="fals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customFormat="false" ht="15.75" hidden="false" customHeight="fals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customFormat="false" ht="15.75" hidden="false" customHeight="fals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customFormat="false" ht="15.75" hidden="false" customHeight="fals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customFormat="false" ht="15.75" hidden="false" customHeight="fals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customFormat="false" ht="15.75" hidden="false" customHeight="fals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customFormat="false" ht="15.75" hidden="false" customHeight="fals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customFormat="false" ht="15.75" hidden="false" customHeight="fals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customFormat="false" ht="15.75" hidden="false" customHeight="fals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 customFormat="false" ht="15.75" hidden="false" customHeight="fals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 customFormat="false" ht="15.75" hidden="false" customHeight="fals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 customFormat="false" ht="15.75" hidden="false" customHeight="fals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 customFormat="false" ht="15.75" hidden="false" customHeight="fals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 customFormat="false" ht="15.75" hidden="false" customHeight="fals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 customFormat="false" ht="15.75" hidden="false" customHeight="fals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 customFormat="false" ht="15.75" hidden="false" customHeight="fals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 customFormat="false" ht="15.75" hidden="false" customHeight="fals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 customFormat="false" ht="15.75" hidden="false" customHeight="fals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 customFormat="false" ht="15.75" hidden="false" customHeight="fals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 customFormat="false" ht="15.75" hidden="false" customHeight="fals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 customFormat="false" ht="15.75" hidden="false" customHeight="fals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 customFormat="false" ht="15.75" hidden="false" customHeight="fals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 customFormat="false" ht="15.75" hidden="false" customHeight="fals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 customFormat="false" ht="15.75" hidden="false" customHeight="fals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 customFormat="false" ht="15.75" hidden="false" customHeight="fals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 customFormat="false" ht="15.75" hidden="false" customHeight="fals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 customFormat="false" ht="15.75" hidden="false" customHeight="fals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 customFormat="false" ht="15.75" hidden="false" customHeight="fals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 customFormat="false" ht="15.75" hidden="false" customHeight="fals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</sheetData>
  <autoFilter ref="A3:L45">
    <sortState ref="A4:L45">
      <sortCondition ref="A4:A45" descending="1" customList=""/>
    </sortState>
  </autoFilter>
  <mergeCells count="4">
    <mergeCell ref="A1:L1"/>
    <mergeCell ref="H2:L2"/>
    <mergeCell ref="B44:K44"/>
    <mergeCell ref="B45:G45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Z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7" min="7" style="0" width="9.25"/>
    <col collapsed="false" customWidth="true" hidden="false" outlineLevel="0" max="14" min="8" style="0" width="6.38"/>
  </cols>
  <sheetData>
    <row r="2" customFormat="false" ht="39.55" hidden="false" customHeight="false" outlineLevel="0" collapsed="false">
      <c r="A2" s="25" t="s">
        <v>2189</v>
      </c>
      <c r="B2" s="25" t="s">
        <v>2190</v>
      </c>
      <c r="C2" s="25" t="s">
        <v>2191</v>
      </c>
      <c r="D2" s="25" t="s">
        <v>2192</v>
      </c>
      <c r="E2" s="25" t="s">
        <v>2193</v>
      </c>
      <c r="F2" s="25" t="s">
        <v>2189</v>
      </c>
      <c r="G2" s="25" t="s">
        <v>2539</v>
      </c>
      <c r="H2" s="25" t="s">
        <v>2540</v>
      </c>
      <c r="I2" s="25" t="s">
        <v>2196</v>
      </c>
      <c r="J2" s="25" t="s">
        <v>2197</v>
      </c>
      <c r="K2" s="25" t="s">
        <v>2198</v>
      </c>
      <c r="L2" s="25" t="s">
        <v>2199</v>
      </c>
      <c r="M2" s="25" t="s">
        <v>2200</v>
      </c>
      <c r="N2" s="25" t="s">
        <v>2201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customFormat="false" ht="15.75" hidden="false" customHeight="false" outlineLevel="0" collapsed="false">
      <c r="A3" s="21" t="n">
        <v>118196</v>
      </c>
      <c r="B3" s="21" t="s">
        <v>2420</v>
      </c>
      <c r="C3" s="21" t="s">
        <v>2253</v>
      </c>
      <c r="D3" s="21" t="s">
        <v>513</v>
      </c>
      <c r="E3" s="21" t="s">
        <v>2296</v>
      </c>
      <c r="F3" s="21" t="n">
        <v>118196</v>
      </c>
      <c r="G3" s="21" t="s">
        <v>2421</v>
      </c>
      <c r="H3" s="21" t="s">
        <v>2209</v>
      </c>
      <c r="I3" s="21" t="n">
        <f aca="false">VLOOKUP($A3,Day1!$A$1:$H$394,4,FALSE())</f>
        <v>7</v>
      </c>
      <c r="J3" s="21" t="n">
        <f aca="false">VLOOKUP($A3,Day1!$A$1:$H$394,5,FALSE())</f>
        <v>2</v>
      </c>
      <c r="K3" s="21" t="n">
        <f aca="false">VLOOKUP($A3,Day1!$A$1:$H$394,6,FALSE())</f>
        <v>0</v>
      </c>
      <c r="L3" s="21" t="n">
        <f aca="false">VLOOKUP($A3,Day1!$A$1:$H$394,7,FALSE())</f>
        <v>0</v>
      </c>
      <c r="M3" s="21" t="n">
        <f aca="false">SUM(I3:L3)</f>
        <v>9</v>
      </c>
      <c r="N3" s="21" t="str">
        <f aca="false">ROMAN(RANK(M3,$M$3:$M$25,0))</f>
        <v>IX</v>
      </c>
    </row>
    <row r="4" customFormat="false" ht="15.75" hidden="false" customHeight="false" outlineLevel="0" collapsed="false">
      <c r="A4" s="21" t="n">
        <v>119856</v>
      </c>
      <c r="B4" s="21" t="s">
        <v>2420</v>
      </c>
      <c r="C4" s="21" t="s">
        <v>2253</v>
      </c>
      <c r="D4" s="21" t="s">
        <v>485</v>
      </c>
      <c r="E4" s="21" t="s">
        <v>2438</v>
      </c>
      <c r="F4" s="21" t="n">
        <v>119856</v>
      </c>
      <c r="G4" s="21" t="s">
        <v>2421</v>
      </c>
      <c r="H4" s="21" t="s">
        <v>2212</v>
      </c>
      <c r="I4" s="21" t="n">
        <f aca="false">VLOOKUP($A4,Day1!$A$1:$H$394,4,FALSE())</f>
        <v>0</v>
      </c>
      <c r="J4" s="21" t="n">
        <f aca="false">VLOOKUP($A4,Day1!$A$1:$H$394,5,FALSE())</f>
        <v>0</v>
      </c>
      <c r="K4" s="21" t="n">
        <f aca="false">VLOOKUP($A4,Day1!$A$1:$H$394,6,FALSE())</f>
        <v>0</v>
      </c>
      <c r="L4" s="21" t="n">
        <f aca="false">VLOOKUP($A4,Day1!$A$1:$H$394,7,FALSE())</f>
        <v>0</v>
      </c>
      <c r="M4" s="21" t="n">
        <f aca="false">SUM(I4:L4)</f>
        <v>0</v>
      </c>
      <c r="N4" s="21" t="str">
        <f aca="false">ROMAN(RANK(M4,$M$3:$M$25,0))</f>
        <v>XXI</v>
      </c>
    </row>
    <row r="5" customFormat="false" ht="15.75" hidden="false" customHeight="false" outlineLevel="0" collapsed="false">
      <c r="A5" s="21" t="n">
        <v>81436</v>
      </c>
      <c r="B5" s="21" t="s">
        <v>2420</v>
      </c>
      <c r="C5" s="21" t="s">
        <v>2207</v>
      </c>
      <c r="D5" s="21" t="s">
        <v>451</v>
      </c>
      <c r="E5" s="21" t="s">
        <v>2313</v>
      </c>
      <c r="F5" s="21" t="n">
        <v>81436</v>
      </c>
      <c r="G5" s="21" t="s">
        <v>2421</v>
      </c>
      <c r="H5" s="21" t="s">
        <v>2225</v>
      </c>
      <c r="I5" s="21" t="n">
        <f aca="false">VLOOKUP($A5,Day1!$A$1:$H$394,4,FALSE())</f>
        <v>7</v>
      </c>
      <c r="J5" s="21" t="n">
        <f aca="false">VLOOKUP($A5,Day1!$A$1:$H$394,5,FALSE())</f>
        <v>3</v>
      </c>
      <c r="K5" s="21" t="n">
        <f aca="false">VLOOKUP($A5,Day1!$A$1:$H$394,6,FALSE())</f>
        <v>0</v>
      </c>
      <c r="L5" s="21" t="n">
        <f aca="false">VLOOKUP($A5,Day1!$A$1:$H$394,7,FALSE())</f>
        <v>0</v>
      </c>
      <c r="M5" s="21" t="n">
        <f aca="false">SUM(I5:L5)</f>
        <v>10</v>
      </c>
      <c r="N5" s="21" t="str">
        <f aca="false">ROMAN(RANK(M5,$M$3:$M$25,0))</f>
        <v>VI</v>
      </c>
    </row>
    <row r="6" customFormat="false" ht="15.75" hidden="false" customHeight="false" outlineLevel="0" collapsed="false">
      <c r="A6" s="21" t="n">
        <v>73757</v>
      </c>
      <c r="B6" s="21" t="s">
        <v>2420</v>
      </c>
      <c r="C6" s="21" t="s">
        <v>2295</v>
      </c>
      <c r="D6" s="21" t="s">
        <v>530</v>
      </c>
      <c r="E6" s="21" t="s">
        <v>1655</v>
      </c>
      <c r="F6" s="21" t="n">
        <v>73757</v>
      </c>
      <c r="G6" s="21" t="s">
        <v>2421</v>
      </c>
      <c r="H6" s="21" t="s">
        <v>2212</v>
      </c>
      <c r="I6" s="21" t="n">
        <f aca="false">VLOOKUP($A6,Day1!$A$1:$H$394,4,FALSE())</f>
        <v>7</v>
      </c>
      <c r="J6" s="21" t="n">
        <f aca="false">VLOOKUP($A6,Day1!$A$1:$H$394,5,FALSE())</f>
        <v>3</v>
      </c>
      <c r="K6" s="21" t="n">
        <f aca="false">VLOOKUP($A6,Day1!$A$1:$H$394,6,FALSE())</f>
        <v>0</v>
      </c>
      <c r="L6" s="21" t="n">
        <f aca="false">VLOOKUP($A6,Day1!$A$1:$H$394,7,FALSE())</f>
        <v>0</v>
      </c>
      <c r="M6" s="21" t="n">
        <f aca="false">SUM(I6:L6)</f>
        <v>10</v>
      </c>
      <c r="N6" s="21" t="str">
        <f aca="false">ROMAN(RANK(M6,$M$3:$M$25,0))</f>
        <v>VI</v>
      </c>
    </row>
    <row r="7" customFormat="false" ht="15.75" hidden="false" customHeight="false" outlineLevel="0" collapsed="false">
      <c r="A7" s="21" t="n">
        <v>119874</v>
      </c>
      <c r="B7" s="21" t="s">
        <v>2420</v>
      </c>
      <c r="C7" s="21" t="s">
        <v>2253</v>
      </c>
      <c r="D7" s="21" t="s">
        <v>130</v>
      </c>
      <c r="E7" s="21" t="s">
        <v>2424</v>
      </c>
      <c r="F7" s="21" t="n">
        <v>119874</v>
      </c>
      <c r="G7" s="21" t="s">
        <v>2421</v>
      </c>
      <c r="H7" s="21" t="s">
        <v>2212</v>
      </c>
      <c r="I7" s="21" t="n">
        <f aca="false">VLOOKUP($A7,Day1!$A$1:$H$394,4,FALSE())</f>
        <v>7</v>
      </c>
      <c r="J7" s="21" t="n">
        <f aca="false">VLOOKUP($A7,Day1!$A$1:$H$394,5,FALSE())</f>
        <v>3</v>
      </c>
      <c r="K7" s="21" t="n">
        <f aca="false">VLOOKUP($A7,Day1!$A$1:$H$394,6,FALSE())</f>
        <v>0</v>
      </c>
      <c r="L7" s="21" t="n">
        <f aca="false">VLOOKUP($A7,Day1!$A$1:$H$394,7,FALSE())</f>
        <v>0</v>
      </c>
      <c r="M7" s="21" t="n">
        <f aca="false">SUM(I7:L7)</f>
        <v>10</v>
      </c>
      <c r="N7" s="21" t="str">
        <f aca="false">ROMAN(RANK(M7,$M$3:$M$25,0))</f>
        <v>VI</v>
      </c>
    </row>
    <row r="8" customFormat="false" ht="15.75" hidden="false" customHeight="false" outlineLevel="0" collapsed="false">
      <c r="A8" s="21" t="n">
        <v>81407</v>
      </c>
      <c r="B8" s="21" t="s">
        <v>2420</v>
      </c>
      <c r="C8" s="21" t="s">
        <v>2207</v>
      </c>
      <c r="D8" s="21" t="s">
        <v>396</v>
      </c>
      <c r="E8" s="21" t="s">
        <v>2414</v>
      </c>
      <c r="F8" s="21" t="n">
        <v>81407</v>
      </c>
      <c r="G8" s="21" t="s">
        <v>2421</v>
      </c>
      <c r="H8" s="21" t="s">
        <v>2225</v>
      </c>
      <c r="I8" s="21" t="n">
        <f aca="false">VLOOKUP($A8,Day1!$A$1:$H$394,4,FALSE())</f>
        <v>7</v>
      </c>
      <c r="J8" s="21" t="n">
        <f aca="false">VLOOKUP($A8,Day1!$A$1:$H$394,5,FALSE())</f>
        <v>7</v>
      </c>
      <c r="K8" s="21" t="n">
        <f aca="false">VLOOKUP($A8,Day1!$A$1:$H$394,6,FALSE())</f>
        <v>0</v>
      </c>
      <c r="L8" s="21" t="n">
        <f aca="false">VLOOKUP($A8,Day1!$A$1:$H$394,7,FALSE())</f>
        <v>0</v>
      </c>
      <c r="M8" s="21" t="n">
        <f aca="false">SUM(I8:L8)</f>
        <v>14</v>
      </c>
      <c r="N8" s="21" t="str">
        <f aca="false">ROMAN(RANK(M8,$M$3:$M$25,0))</f>
        <v>I</v>
      </c>
    </row>
    <row r="9" customFormat="false" ht="15.75" hidden="false" customHeight="false" outlineLevel="0" collapsed="false">
      <c r="A9" s="21" t="n">
        <v>96536</v>
      </c>
      <c r="B9" s="21" t="s">
        <v>2420</v>
      </c>
      <c r="C9" s="21" t="s">
        <v>2295</v>
      </c>
      <c r="D9" s="21" t="s">
        <v>520</v>
      </c>
      <c r="E9" s="21" t="s">
        <v>2433</v>
      </c>
      <c r="F9" s="21" t="n">
        <v>96536</v>
      </c>
      <c r="G9" s="21" t="s">
        <v>2421</v>
      </c>
      <c r="H9" s="21" t="s">
        <v>2212</v>
      </c>
      <c r="I9" s="21" t="n">
        <f aca="false">VLOOKUP($A9,Day1!$A$1:$H$394,4,FALSE())</f>
        <v>0</v>
      </c>
      <c r="J9" s="21" t="n">
        <f aca="false">VLOOKUP($A9,Day1!$A$1:$H$394,5,FALSE())</f>
        <v>2</v>
      </c>
      <c r="K9" s="21" t="n">
        <f aca="false">VLOOKUP($A9,Day1!$A$1:$H$394,6,FALSE())</f>
        <v>0</v>
      </c>
      <c r="L9" s="21" t="n">
        <f aca="false">VLOOKUP($A9,Day1!$A$1:$H$394,7,FALSE())</f>
        <v>0</v>
      </c>
      <c r="M9" s="21" t="n">
        <f aca="false">SUM(I9:L9)</f>
        <v>2</v>
      </c>
      <c r="N9" s="21" t="str">
        <f aca="false">ROMAN(RANK(M9,$M$3:$M$25,0))</f>
        <v>XVII</v>
      </c>
    </row>
    <row r="10" customFormat="false" ht="15.75" hidden="false" customHeight="false" outlineLevel="0" collapsed="false">
      <c r="A10" s="21" t="n">
        <v>127016</v>
      </c>
      <c r="B10" s="21" t="s">
        <v>2420</v>
      </c>
      <c r="C10" s="21" t="s">
        <v>2253</v>
      </c>
      <c r="D10" s="21" t="s">
        <v>506</v>
      </c>
      <c r="E10" s="21" t="s">
        <v>2439</v>
      </c>
      <c r="F10" s="21" t="n">
        <v>127016</v>
      </c>
      <c r="G10" s="21" t="s">
        <v>2421</v>
      </c>
      <c r="H10" s="21" t="s">
        <v>2212</v>
      </c>
      <c r="I10" s="21" t="n">
        <f aca="false">VLOOKUP($A10,Day1!$A$1:$H$394,4,FALSE())</f>
        <v>0</v>
      </c>
      <c r="J10" s="21" t="n">
        <f aca="false">VLOOKUP($A10,Day1!$A$1:$H$394,5,FALSE())</f>
        <v>0</v>
      </c>
      <c r="K10" s="21" t="n">
        <f aca="false">VLOOKUP($A10,Day1!$A$1:$H$394,6,FALSE())</f>
        <v>0</v>
      </c>
      <c r="L10" s="21" t="n">
        <f aca="false">VLOOKUP($A10,Day1!$A$1:$H$394,7,FALSE())</f>
        <v>0</v>
      </c>
      <c r="M10" s="21" t="n">
        <f aca="false">SUM(I10:L10)</f>
        <v>0</v>
      </c>
      <c r="N10" s="21" t="str">
        <f aca="false">ROMAN(RANK(M10,$M$3:$M$25,0))</f>
        <v>XXI</v>
      </c>
    </row>
    <row r="11" customFormat="false" ht="15.75" hidden="false" customHeight="false" outlineLevel="0" collapsed="false">
      <c r="A11" s="21" t="n">
        <v>187836</v>
      </c>
      <c r="B11" s="21" t="s">
        <v>2420</v>
      </c>
      <c r="C11" s="21" t="s">
        <v>2221</v>
      </c>
      <c r="D11" s="21" t="s">
        <v>592</v>
      </c>
      <c r="E11" s="21" t="s">
        <v>2430</v>
      </c>
      <c r="F11" s="21" t="n">
        <v>187836</v>
      </c>
      <c r="G11" s="21" t="s">
        <v>2421</v>
      </c>
      <c r="H11" s="21" t="s">
        <v>2209</v>
      </c>
      <c r="I11" s="21" t="n">
        <f aca="false">VLOOKUP($A11,Day1!$A$1:$H$394,4,FALSE())</f>
        <v>1</v>
      </c>
      <c r="J11" s="21" t="n">
        <f aca="false">VLOOKUP($A11,Day1!$A$1:$H$394,5,FALSE())</f>
        <v>3</v>
      </c>
      <c r="K11" s="21" t="n">
        <f aca="false">VLOOKUP($A11,Day1!$A$1:$H$394,6,FALSE())</f>
        <v>0</v>
      </c>
      <c r="L11" s="21" t="n">
        <f aca="false">VLOOKUP($A11,Day1!$A$1:$H$394,7,FALSE())</f>
        <v>0</v>
      </c>
      <c r="M11" s="21" t="n">
        <f aca="false">SUM(I11:L11)</f>
        <v>4</v>
      </c>
      <c r="N11" s="21" t="str">
        <f aca="false">ROMAN(RANK(M11,$M$3:$M$25,0))</f>
        <v>XV</v>
      </c>
    </row>
    <row r="12" customFormat="false" ht="15.75" hidden="false" customHeight="false" outlineLevel="0" collapsed="false">
      <c r="A12" s="21" t="n">
        <v>51485</v>
      </c>
      <c r="B12" s="21" t="s">
        <v>2420</v>
      </c>
      <c r="C12" s="21" t="s">
        <v>2222</v>
      </c>
      <c r="D12" s="21" t="s">
        <v>596</v>
      </c>
      <c r="E12" s="21" t="s">
        <v>2431</v>
      </c>
      <c r="F12" s="21" t="n">
        <v>51485</v>
      </c>
      <c r="G12" s="21" t="s">
        <v>2421</v>
      </c>
      <c r="H12" s="21" t="s">
        <v>2212</v>
      </c>
      <c r="I12" s="21" t="n">
        <f aca="false">VLOOKUP($A12,Day1!$A$1:$H$394,4,FALSE())</f>
        <v>4</v>
      </c>
      <c r="J12" s="21" t="n">
        <f aca="false">VLOOKUP($A12,Day1!$A$1:$H$394,5,FALSE())</f>
        <v>0</v>
      </c>
      <c r="K12" s="21" t="n">
        <f aca="false">VLOOKUP($A12,Day1!$A$1:$H$394,6,FALSE())</f>
        <v>0</v>
      </c>
      <c r="L12" s="21" t="n">
        <f aca="false">VLOOKUP($A12,Day1!$A$1:$H$394,7,FALSE())</f>
        <v>0</v>
      </c>
      <c r="M12" s="21" t="n">
        <f aca="false">SUM(I12:L12)</f>
        <v>4</v>
      </c>
      <c r="N12" s="21" t="str">
        <f aca="false">ROMAN(RANK(M12,$M$3:$M$25,0))</f>
        <v>XV</v>
      </c>
    </row>
    <row r="13" customFormat="false" ht="15.75" hidden="false" customHeight="false" outlineLevel="0" collapsed="false">
      <c r="A13" s="21" t="n">
        <v>127024</v>
      </c>
      <c r="B13" s="21" t="s">
        <v>2420</v>
      </c>
      <c r="C13" s="21" t="s">
        <v>2253</v>
      </c>
      <c r="D13" s="21" t="s">
        <v>491</v>
      </c>
      <c r="E13" s="21" t="s">
        <v>868</v>
      </c>
      <c r="F13" s="21" t="n">
        <v>127024</v>
      </c>
      <c r="G13" s="21" t="s">
        <v>2421</v>
      </c>
      <c r="H13" s="21" t="s">
        <v>2212</v>
      </c>
      <c r="I13" s="21" t="n">
        <f aca="false">VLOOKUP($A13,Day1!$A$1:$H$394,4,FALSE())</f>
        <v>7</v>
      </c>
      <c r="J13" s="21" t="n">
        <f aca="false">VLOOKUP($A13,Day1!$A$1:$H$394,5,FALSE())</f>
        <v>0</v>
      </c>
      <c r="K13" s="21" t="n">
        <f aca="false">VLOOKUP($A13,Day1!$A$1:$H$394,6,FALSE())</f>
        <v>0</v>
      </c>
      <c r="L13" s="21" t="n">
        <f aca="false">VLOOKUP($A13,Day1!$A$1:$H$394,7,FALSE())</f>
        <v>0</v>
      </c>
      <c r="M13" s="21" t="n">
        <f aca="false">SUM(I13:L13)</f>
        <v>7</v>
      </c>
      <c r="N13" s="21" t="str">
        <f aca="false">ROMAN(RANK(M13,$M$3:$M$25,0))</f>
        <v>XII</v>
      </c>
    </row>
    <row r="14" customFormat="false" ht="15.75" hidden="false" customHeight="false" outlineLevel="0" collapsed="false">
      <c r="A14" s="21" t="n">
        <v>52574</v>
      </c>
      <c r="B14" s="21" t="s">
        <v>2420</v>
      </c>
      <c r="C14" s="21" t="s">
        <v>2222</v>
      </c>
      <c r="D14" s="21" t="s">
        <v>589</v>
      </c>
      <c r="E14" s="21" t="s">
        <v>2348</v>
      </c>
      <c r="F14" s="21" t="n">
        <v>52574</v>
      </c>
      <c r="G14" s="21" t="s">
        <v>2421</v>
      </c>
      <c r="H14" s="21" t="s">
        <v>2212</v>
      </c>
      <c r="I14" s="21" t="n">
        <f aca="false">VLOOKUP($A14,Day1!$A$1:$H$394,4,FALSE())</f>
        <v>7</v>
      </c>
      <c r="J14" s="21" t="n">
        <f aca="false">VLOOKUP($A14,Day1!$A$1:$H$394,5,FALSE())</f>
        <v>2</v>
      </c>
      <c r="K14" s="21" t="n">
        <f aca="false">VLOOKUP($A14,Day1!$A$1:$H$394,6,FALSE())</f>
        <v>0</v>
      </c>
      <c r="L14" s="21" t="n">
        <f aca="false">VLOOKUP($A14,Day1!$A$1:$H$394,7,FALSE())</f>
        <v>0</v>
      </c>
      <c r="M14" s="21" t="n">
        <f aca="false">SUM(I14:L14)</f>
        <v>9</v>
      </c>
      <c r="N14" s="21" t="str">
        <f aca="false">ROMAN(RANK(M14,$M$3:$M$25,0))</f>
        <v>IX</v>
      </c>
    </row>
    <row r="15" customFormat="false" ht="15.75" hidden="false" customHeight="false" outlineLevel="0" collapsed="false">
      <c r="A15" s="21" t="n">
        <v>108195</v>
      </c>
      <c r="B15" s="21" t="s">
        <v>2420</v>
      </c>
      <c r="C15" s="21" t="s">
        <v>2302</v>
      </c>
      <c r="D15" s="21" t="s">
        <v>84</v>
      </c>
      <c r="E15" s="21" t="s">
        <v>2331</v>
      </c>
      <c r="F15" s="21" t="n">
        <v>108195</v>
      </c>
      <c r="G15" s="21" t="s">
        <v>2421</v>
      </c>
      <c r="H15" s="21" t="s">
        <v>2212</v>
      </c>
      <c r="I15" s="21" t="n">
        <f aca="false">VLOOKUP($A15,Day1!$A$1:$H$394,4,FALSE())</f>
        <v>1</v>
      </c>
      <c r="J15" s="21" t="n">
        <f aca="false">VLOOKUP($A15,Day1!$A$1:$H$394,5,FALSE())</f>
        <v>0</v>
      </c>
      <c r="K15" s="21" t="n">
        <f aca="false">VLOOKUP($A15,Day1!$A$1:$H$394,6,FALSE())</f>
        <v>0</v>
      </c>
      <c r="L15" s="21" t="n">
        <f aca="false">VLOOKUP($A15,Day1!$A$1:$H$394,7,FALSE())</f>
        <v>0</v>
      </c>
      <c r="M15" s="21" t="n">
        <f aca="false">SUM(I15:L15)</f>
        <v>1</v>
      </c>
      <c r="N15" s="21" t="str">
        <f aca="false">ROMAN(RANK(M15,$M$3:$M$25,0))</f>
        <v>XX</v>
      </c>
    </row>
    <row r="16" customFormat="false" ht="15.75" hidden="false" customHeight="false" outlineLevel="0" collapsed="false">
      <c r="A16" s="21" t="n">
        <v>186864</v>
      </c>
      <c r="B16" s="21" t="s">
        <v>2420</v>
      </c>
      <c r="C16" s="21" t="s">
        <v>2277</v>
      </c>
      <c r="D16" s="21" t="s">
        <v>580</v>
      </c>
      <c r="E16" s="21" t="s">
        <v>1088</v>
      </c>
      <c r="F16" s="21" t="n">
        <v>186864</v>
      </c>
      <c r="G16" s="21" t="s">
        <v>2421</v>
      </c>
      <c r="H16" s="21" t="s">
        <v>2212</v>
      </c>
      <c r="I16" s="21" t="n">
        <f aca="false">VLOOKUP($A16,Day1!$A$1:$H$394,4,FALSE())</f>
        <v>0</v>
      </c>
      <c r="J16" s="21" t="n">
        <f aca="false">VLOOKUP($A16,Day1!$A$1:$H$394,5,FALSE())</f>
        <v>2</v>
      </c>
      <c r="K16" s="21" t="n">
        <f aca="false">VLOOKUP($A16,Day1!$A$1:$H$394,6,FALSE())</f>
        <v>0</v>
      </c>
      <c r="L16" s="21" t="n">
        <f aca="false">VLOOKUP($A16,Day1!$A$1:$H$394,7,FALSE())</f>
        <v>0</v>
      </c>
      <c r="M16" s="21" t="n">
        <f aca="false">SUM(I16:L16)</f>
        <v>2</v>
      </c>
      <c r="N16" s="21" t="str">
        <f aca="false">ROMAN(RANK(M16,$M$3:$M$25,0))</f>
        <v>XVII</v>
      </c>
    </row>
    <row r="17" customFormat="false" ht="15.75" hidden="false" customHeight="false" outlineLevel="0" collapsed="false">
      <c r="A17" s="21" t="n">
        <v>181339</v>
      </c>
      <c r="B17" s="21" t="s">
        <v>2420</v>
      </c>
      <c r="C17" s="21" t="s">
        <v>2290</v>
      </c>
      <c r="D17" s="21" t="s">
        <v>583</v>
      </c>
      <c r="E17" s="21" t="s">
        <v>2440</v>
      </c>
      <c r="F17" s="21" t="n">
        <v>181339</v>
      </c>
      <c r="G17" s="21" t="s">
        <v>2421</v>
      </c>
      <c r="H17" s="21" t="s">
        <v>2212</v>
      </c>
      <c r="I17" s="21" t="n">
        <f aca="false">VLOOKUP($A17,Day1!$A$1:$H$394,4,FALSE())</f>
        <v>0</v>
      </c>
      <c r="J17" s="21" t="n">
        <f aca="false">VLOOKUP($A17,Day1!$A$1:$H$394,5,FALSE())</f>
        <v>0</v>
      </c>
      <c r="K17" s="21" t="n">
        <f aca="false">VLOOKUP($A17,Day1!$A$1:$H$394,6,FALSE())</f>
        <v>0</v>
      </c>
      <c r="L17" s="21" t="n">
        <f aca="false">VLOOKUP($A17,Day1!$A$1:$H$394,7,FALSE())</f>
        <v>0</v>
      </c>
      <c r="M17" s="21" t="n">
        <f aca="false">SUM(I17:L17)</f>
        <v>0</v>
      </c>
      <c r="N17" s="21" t="str">
        <f aca="false">ROMAN(RANK(M17,$M$3:$M$25,0))</f>
        <v>XXI</v>
      </c>
    </row>
    <row r="18" customFormat="false" ht="15.75" hidden="false" customHeight="false" outlineLevel="0" collapsed="false">
      <c r="A18" s="21" t="n">
        <v>81422</v>
      </c>
      <c r="B18" s="21" t="s">
        <v>2420</v>
      </c>
      <c r="C18" s="21" t="s">
        <v>2207</v>
      </c>
      <c r="D18" s="21" t="s">
        <v>477</v>
      </c>
      <c r="E18" s="21" t="s">
        <v>2423</v>
      </c>
      <c r="F18" s="21" t="n">
        <v>81422</v>
      </c>
      <c r="G18" s="21" t="s">
        <v>2421</v>
      </c>
      <c r="H18" s="21" t="s">
        <v>2225</v>
      </c>
      <c r="I18" s="21" t="n">
        <f aca="false">VLOOKUP($A18,Day1!$A$1:$H$394,4,FALSE())</f>
        <v>7</v>
      </c>
      <c r="J18" s="21" t="n">
        <f aca="false">VLOOKUP($A18,Day1!$A$1:$H$394,5,FALSE())</f>
        <v>4</v>
      </c>
      <c r="K18" s="21" t="n">
        <f aca="false">VLOOKUP($A18,Day1!$A$1:$H$394,6,FALSE())</f>
        <v>0</v>
      </c>
      <c r="L18" s="21" t="n">
        <f aca="false">VLOOKUP($A18,Day1!$A$1:$H$394,7,FALSE())</f>
        <v>0</v>
      </c>
      <c r="M18" s="21" t="n">
        <f aca="false">SUM(I18:L18)</f>
        <v>11</v>
      </c>
      <c r="N18" s="21" t="str">
        <f aca="false">ROMAN(RANK(M18,$M$3:$M$25,0))</f>
        <v>II</v>
      </c>
    </row>
    <row r="19" customFormat="false" ht="15.75" hidden="false" customHeight="false" outlineLevel="0" collapsed="false">
      <c r="A19" s="21" t="n">
        <v>118299</v>
      </c>
      <c r="B19" s="21" t="s">
        <v>2420</v>
      </c>
      <c r="C19" s="21" t="s">
        <v>2253</v>
      </c>
      <c r="D19" s="21" t="s">
        <v>495</v>
      </c>
      <c r="E19" s="21" t="s">
        <v>2371</v>
      </c>
      <c r="F19" s="21" t="n">
        <v>118299</v>
      </c>
      <c r="G19" s="21" t="s">
        <v>2421</v>
      </c>
      <c r="H19" s="21" t="s">
        <v>2209</v>
      </c>
      <c r="I19" s="21" t="n">
        <f aca="false">VLOOKUP($A19,Day1!$A$1:$H$394,4,FALSE())</f>
        <v>7</v>
      </c>
      <c r="J19" s="21" t="n">
        <f aca="false">VLOOKUP($A19,Day1!$A$1:$H$394,5,FALSE())</f>
        <v>4</v>
      </c>
      <c r="K19" s="21" t="n">
        <f aca="false">VLOOKUP($A19,Day1!$A$1:$H$394,6,FALSE())</f>
        <v>0</v>
      </c>
      <c r="L19" s="21" t="n">
        <f aca="false">VLOOKUP($A19,Day1!$A$1:$H$394,7,FALSE())</f>
        <v>0</v>
      </c>
      <c r="M19" s="21" t="n">
        <f aca="false">SUM(I19:L19)</f>
        <v>11</v>
      </c>
      <c r="N19" s="21" t="str">
        <f aca="false">ROMAN(RANK(M19,$M$3:$M$25,0))</f>
        <v>II</v>
      </c>
    </row>
    <row r="20" customFormat="false" ht="15.75" hidden="false" customHeight="false" outlineLevel="0" collapsed="false">
      <c r="A20" s="21" t="n">
        <v>72371</v>
      </c>
      <c r="B20" s="21" t="s">
        <v>2420</v>
      </c>
      <c r="C20" s="21" t="s">
        <v>2222</v>
      </c>
      <c r="D20" s="21" t="s">
        <v>554</v>
      </c>
      <c r="E20" s="21" t="s">
        <v>1178</v>
      </c>
      <c r="F20" s="21" t="n">
        <v>72371</v>
      </c>
      <c r="G20" s="21" t="s">
        <v>2421</v>
      </c>
      <c r="H20" s="21" t="s">
        <v>2209</v>
      </c>
      <c r="I20" s="21" t="n">
        <f aca="false">VLOOKUP($A20,Day1!$A$1:$H$394,4,FALSE())</f>
        <v>7</v>
      </c>
      <c r="J20" s="21" t="n">
        <f aca="false">VLOOKUP($A20,Day1!$A$1:$H$394,5,FALSE())</f>
        <v>4</v>
      </c>
      <c r="K20" s="21" t="n">
        <f aca="false">VLOOKUP($A20,Day1!$A$1:$H$394,6,FALSE())</f>
        <v>0</v>
      </c>
      <c r="L20" s="21" t="n">
        <f aca="false">VLOOKUP($A20,Day1!$A$1:$H$394,7,FALSE())</f>
        <v>0</v>
      </c>
      <c r="M20" s="21" t="n">
        <f aca="false">SUM(I20:L20)</f>
        <v>11</v>
      </c>
      <c r="N20" s="21" t="str">
        <f aca="false">ROMAN(RANK(M20,$M$3:$M$25,0))</f>
        <v>II</v>
      </c>
    </row>
    <row r="21" customFormat="false" ht="15.75" hidden="false" customHeight="false" outlineLevel="0" collapsed="false">
      <c r="A21" s="21" t="n">
        <v>187841</v>
      </c>
      <c r="B21" s="21" t="s">
        <v>2420</v>
      </c>
      <c r="C21" s="21" t="s">
        <v>2221</v>
      </c>
      <c r="D21" s="21" t="s">
        <v>460</v>
      </c>
      <c r="E21" s="21" t="s">
        <v>2429</v>
      </c>
      <c r="F21" s="21" t="n">
        <v>187841</v>
      </c>
      <c r="G21" s="21" t="s">
        <v>2421</v>
      </c>
      <c r="H21" s="21" t="s">
        <v>2209</v>
      </c>
      <c r="I21" s="21" t="n">
        <f aca="false">VLOOKUP($A21,Day1!$A$1:$H$394,4,FALSE())</f>
        <v>1</v>
      </c>
      <c r="J21" s="21" t="n">
        <f aca="false">VLOOKUP($A21,Day1!$A$1:$H$394,5,FALSE())</f>
        <v>4</v>
      </c>
      <c r="K21" s="21" t="n">
        <f aca="false">VLOOKUP($A21,Day1!$A$1:$H$394,6,FALSE())</f>
        <v>0</v>
      </c>
      <c r="L21" s="21" t="n">
        <f aca="false">VLOOKUP($A21,Day1!$A$1:$H$394,7,FALSE())</f>
        <v>0</v>
      </c>
      <c r="M21" s="21" t="n">
        <f aca="false">SUM(I21:L21)</f>
        <v>5</v>
      </c>
      <c r="N21" s="21" t="str">
        <f aca="false">ROMAN(RANK(M21,$M$3:$M$25,0))</f>
        <v>XIV</v>
      </c>
    </row>
    <row r="22" customFormat="false" ht="15.75" hidden="false" customHeight="false" outlineLevel="0" collapsed="false">
      <c r="A22" s="21" t="n">
        <v>118641</v>
      </c>
      <c r="B22" s="21" t="s">
        <v>2420</v>
      </c>
      <c r="C22" s="21" t="s">
        <v>2253</v>
      </c>
      <c r="D22" s="21" t="s">
        <v>472</v>
      </c>
      <c r="E22" s="21" t="s">
        <v>1088</v>
      </c>
      <c r="F22" s="21" t="n">
        <v>118641</v>
      </c>
      <c r="G22" s="21" t="s">
        <v>2421</v>
      </c>
      <c r="H22" s="21" t="s">
        <v>2209</v>
      </c>
      <c r="I22" s="21" t="n">
        <f aca="false">VLOOKUP($A22,Day1!$A$1:$H$394,4,FALSE())</f>
        <v>7</v>
      </c>
      <c r="J22" s="21" t="n">
        <f aca="false">VLOOKUP($A22,Day1!$A$1:$H$394,5,FALSE())</f>
        <v>4</v>
      </c>
      <c r="K22" s="21" t="n">
        <f aca="false">VLOOKUP($A22,Day1!$A$1:$H$394,6,FALSE())</f>
        <v>0</v>
      </c>
      <c r="L22" s="21" t="n">
        <f aca="false">VLOOKUP($A22,Day1!$A$1:$H$394,7,FALSE())</f>
        <v>0</v>
      </c>
      <c r="M22" s="21" t="n">
        <f aca="false">SUM(I22:L22)</f>
        <v>11</v>
      </c>
      <c r="N22" s="21" t="str">
        <f aca="false">ROMAN(RANK(M22,$M$3:$M$25,0))</f>
        <v>II</v>
      </c>
    </row>
    <row r="23" customFormat="false" ht="15.75" hidden="false" customHeight="false" outlineLevel="0" collapsed="false">
      <c r="A23" s="21" t="n">
        <v>212268</v>
      </c>
      <c r="B23" s="21" t="s">
        <v>2420</v>
      </c>
      <c r="C23" s="21" t="s">
        <v>2222</v>
      </c>
      <c r="D23" s="21" t="s">
        <v>550</v>
      </c>
      <c r="E23" s="21" t="s">
        <v>2376</v>
      </c>
      <c r="F23" s="21" t="n">
        <v>212268</v>
      </c>
      <c r="G23" s="21" t="s">
        <v>2421</v>
      </c>
      <c r="H23" s="21" t="s">
        <v>2212</v>
      </c>
      <c r="I23" s="21" t="n">
        <f aca="false">VLOOKUP($A23,Day1!$A$1:$H$394,4,FALSE())</f>
        <v>7</v>
      </c>
      <c r="J23" s="21" t="n">
        <f aca="false">VLOOKUP($A23,Day1!$A$1:$H$394,5,FALSE())</f>
        <v>0</v>
      </c>
      <c r="K23" s="21" t="n">
        <f aca="false">VLOOKUP($A23,Day1!$A$1:$H$394,6,FALSE())</f>
        <v>0</v>
      </c>
      <c r="L23" s="21" t="n">
        <f aca="false">VLOOKUP($A23,Day1!$A$1:$H$394,7,FALSE())</f>
        <v>0</v>
      </c>
      <c r="M23" s="21" t="n">
        <f aca="false">SUM(I23:L23)</f>
        <v>7</v>
      </c>
      <c r="N23" s="21" t="str">
        <f aca="false">ROMAN(RANK(M23,$M$3:$M$25,0))</f>
        <v>XII</v>
      </c>
    </row>
    <row r="24" customFormat="false" ht="15.75" hidden="false" customHeight="false" outlineLevel="0" collapsed="false">
      <c r="A24" s="21" t="n">
        <v>111815</v>
      </c>
      <c r="B24" s="21" t="s">
        <v>2420</v>
      </c>
      <c r="C24" s="21" t="s">
        <v>2221</v>
      </c>
      <c r="D24" s="21" t="s">
        <v>517</v>
      </c>
      <c r="E24" s="21" t="s">
        <v>2422</v>
      </c>
      <c r="F24" s="21" t="n">
        <v>111815</v>
      </c>
      <c r="G24" s="21" t="s">
        <v>2421</v>
      </c>
      <c r="H24" s="21" t="s">
        <v>2209</v>
      </c>
      <c r="I24" s="21" t="n">
        <f aca="false">VLOOKUP($A24,Day1!$A$1:$H$394,4,FALSE())</f>
        <v>7</v>
      </c>
      <c r="J24" s="21" t="n">
        <f aca="false">VLOOKUP($A24,Day1!$A$1:$H$394,5,FALSE())</f>
        <v>2</v>
      </c>
      <c r="K24" s="21" t="n">
        <f aca="false">VLOOKUP($A24,Day1!$A$1:$H$394,6,FALSE())</f>
        <v>0</v>
      </c>
      <c r="L24" s="21" t="n">
        <f aca="false">VLOOKUP($A24,Day1!$A$1:$H$394,7,FALSE())</f>
        <v>0</v>
      </c>
      <c r="M24" s="21" t="n">
        <f aca="false">SUM(I24:L24)</f>
        <v>9</v>
      </c>
      <c r="N24" s="21" t="str">
        <f aca="false">ROMAN(RANK(M24,$M$3:$M$25,0))</f>
        <v>IX</v>
      </c>
    </row>
    <row r="25" customFormat="false" ht="15.75" hidden="false" customHeight="false" outlineLevel="0" collapsed="false">
      <c r="A25" s="21" t="n">
        <v>118935</v>
      </c>
      <c r="B25" s="21" t="s">
        <v>2420</v>
      </c>
      <c r="C25" s="21" t="s">
        <v>2227</v>
      </c>
      <c r="D25" s="21" t="s">
        <v>500</v>
      </c>
      <c r="E25" s="21" t="s">
        <v>2434</v>
      </c>
      <c r="F25" s="21" t="n">
        <v>118935</v>
      </c>
      <c r="G25" s="21" t="s">
        <v>2421</v>
      </c>
      <c r="H25" s="21" t="s">
        <v>2212</v>
      </c>
      <c r="I25" s="21" t="n">
        <f aca="false">VLOOKUP($A25,Day1!$A$1:$H$394,4,FALSE())</f>
        <v>0</v>
      </c>
      <c r="J25" s="21" t="n">
        <f aca="false">VLOOKUP($A25,Day1!$A$1:$H$394,5,FALSE())</f>
        <v>2</v>
      </c>
      <c r="K25" s="21" t="n">
        <f aca="false">VLOOKUP($A25,Day1!$A$1:$H$394,6,FALSE())</f>
        <v>0</v>
      </c>
      <c r="L25" s="21" t="n">
        <f aca="false">VLOOKUP($A25,Day1!$A$1:$H$394,7,FALSE())</f>
        <v>0</v>
      </c>
      <c r="M25" s="21" t="n">
        <f aca="false">SUM(I25:L25)</f>
        <v>2</v>
      </c>
      <c r="N25" s="21" t="str">
        <f aca="false">ROMAN(RANK(M25,$M$3:$M$25,0))</f>
        <v>XVII</v>
      </c>
    </row>
    <row r="26" customFormat="false" ht="15.75" hidden="false" customHeight="false" outlineLevel="0" collapsed="false">
      <c r="A26" s="21" t="n">
        <v>136996</v>
      </c>
      <c r="B26" s="21" t="s">
        <v>2420</v>
      </c>
      <c r="C26" s="21" t="s">
        <v>2310</v>
      </c>
      <c r="D26" s="21" t="s">
        <v>563</v>
      </c>
      <c r="E26" s="21" t="s">
        <v>2372</v>
      </c>
      <c r="F26" s="21" t="n">
        <v>136996</v>
      </c>
      <c r="G26" s="21" t="s">
        <v>2421</v>
      </c>
      <c r="H26" s="21" t="s">
        <v>2212</v>
      </c>
      <c r="I26" s="21" t="n">
        <f aca="false">VLOOKUP($A26,Day1!$A$1:$H$394,4,FALSE())</f>
        <v>7</v>
      </c>
      <c r="J26" s="21" t="n">
        <f aca="false">VLOOKUP($A26,Day1!$A$1:$H$394,5,FALSE())</f>
        <v>0</v>
      </c>
      <c r="K26" s="21" t="n">
        <f aca="false">VLOOKUP($A26,Day1!$A$1:$H$394,6,FALSE())</f>
        <v>0</v>
      </c>
      <c r="L26" s="21" t="n">
        <f aca="false">VLOOKUP($A26,Day1!$A$1:$H$394,7,FALSE())</f>
        <v>0</v>
      </c>
      <c r="M26" s="21" t="n">
        <f aca="false">SUM(I26:L26)</f>
        <v>7</v>
      </c>
      <c r="N26" s="21" t="str">
        <f aca="false">ROMAN(RANK(M26,$M$3:$M$25,0))</f>
        <v>XII</v>
      </c>
    </row>
    <row r="27" customFormat="false" ht="15.75" hidden="false" customHeight="false" outlineLevel="0" collapsed="false">
      <c r="A27" s="21" t="n">
        <v>50160</v>
      </c>
      <c r="B27" s="21" t="s">
        <v>2420</v>
      </c>
      <c r="C27" s="21" t="s">
        <v>2265</v>
      </c>
      <c r="D27" s="21" t="s">
        <v>594</v>
      </c>
      <c r="E27" s="21" t="s">
        <v>2395</v>
      </c>
      <c r="F27" s="21" t="n">
        <v>50160</v>
      </c>
      <c r="G27" s="21" t="s">
        <v>2421</v>
      </c>
      <c r="H27" s="21" t="s">
        <v>2209</v>
      </c>
      <c r="I27" s="21" t="n">
        <f aca="false">VLOOKUP($A27,Day1!$A$1:$H$394,4,FALSE())</f>
        <v>7</v>
      </c>
      <c r="J27" s="21" t="n">
        <f aca="false">VLOOKUP($A27,Day1!$A$1:$H$394,5,FALSE())</f>
        <v>0</v>
      </c>
      <c r="K27" s="21" t="n">
        <f aca="false">VLOOKUP($A27,Day1!$A$1:$H$394,6,FALSE())</f>
        <v>0</v>
      </c>
      <c r="L27" s="21" t="n">
        <f aca="false">VLOOKUP($A27,Day1!$A$1:$H$394,7,FALSE())</f>
        <v>0</v>
      </c>
      <c r="M27" s="21" t="n">
        <f aca="false">SUM(I27:L27)</f>
        <v>7</v>
      </c>
      <c r="N27" s="21" t="str">
        <f aca="false">ROMAN(RANK(M27,$M$3:$M$25,0))</f>
        <v>XII</v>
      </c>
    </row>
    <row r="28" customFormat="false" ht="15.75" hidden="false" customHeight="false" outlineLevel="0" collapsed="false">
      <c r="A28" s="21" t="n">
        <v>119572</v>
      </c>
      <c r="B28" s="21" t="s">
        <v>2420</v>
      </c>
      <c r="C28" s="21" t="s">
        <v>2257</v>
      </c>
      <c r="D28" s="21" t="s">
        <v>454</v>
      </c>
      <c r="E28" s="21" t="s">
        <v>2425</v>
      </c>
      <c r="F28" s="21" t="n">
        <v>119572</v>
      </c>
      <c r="G28" s="21" t="s">
        <v>2421</v>
      </c>
      <c r="H28" s="21" t="s">
        <v>2212</v>
      </c>
      <c r="I28" s="21" t="n">
        <f aca="false">VLOOKUP($A28,Day1!$A$1:$H$394,4,FALSE())</f>
        <v>7</v>
      </c>
      <c r="J28" s="21" t="n">
        <f aca="false">VLOOKUP($A28,Day1!$A$1:$H$394,5,FALSE())</f>
        <v>2</v>
      </c>
      <c r="K28" s="21" t="n">
        <f aca="false">VLOOKUP($A28,Day1!$A$1:$H$394,6,FALSE())</f>
        <v>0</v>
      </c>
      <c r="L28" s="21" t="n">
        <f aca="false">VLOOKUP($A28,Day1!$A$1:$H$394,7,FALSE())</f>
        <v>0</v>
      </c>
      <c r="M28" s="21" t="n">
        <f aca="false">SUM(I28:L28)</f>
        <v>9</v>
      </c>
      <c r="N28" s="21" t="str">
        <f aca="false">ROMAN(RANK(M28,$M$3:$M$25,0))</f>
        <v>IX</v>
      </c>
    </row>
    <row r="29" customFormat="false" ht="15.75" hidden="false" customHeight="false" outlineLevel="0" collapsed="false">
      <c r="A29" s="21" t="n">
        <v>206976</v>
      </c>
      <c r="B29" s="21" t="s">
        <v>2420</v>
      </c>
      <c r="C29" s="21" t="s">
        <v>2215</v>
      </c>
      <c r="D29" s="21" t="s">
        <v>449</v>
      </c>
      <c r="E29" s="21" t="s">
        <v>2426</v>
      </c>
      <c r="F29" s="21" t="n">
        <v>206976</v>
      </c>
      <c r="G29" s="21" t="s">
        <v>2421</v>
      </c>
      <c r="H29" s="21" t="s">
        <v>2212</v>
      </c>
      <c r="I29" s="21" t="n">
        <f aca="false">VLOOKUP($A29,Day1!$A$1:$H$394,4,FALSE())</f>
        <v>7</v>
      </c>
      <c r="J29" s="21" t="n">
        <f aca="false">VLOOKUP($A29,Day1!$A$1:$H$394,5,FALSE())</f>
        <v>2</v>
      </c>
      <c r="K29" s="21" t="n">
        <f aca="false">VLOOKUP($A29,Day1!$A$1:$H$394,6,FALSE())</f>
        <v>0</v>
      </c>
      <c r="L29" s="21" t="n">
        <f aca="false">VLOOKUP($A29,Day1!$A$1:$H$394,7,FALSE())</f>
        <v>0</v>
      </c>
      <c r="M29" s="21" t="n">
        <f aca="false">SUM(I29:L29)</f>
        <v>9</v>
      </c>
      <c r="N29" s="21" t="str">
        <f aca="false">ROMAN(RANK(M29,$M$3:$M$25,0))</f>
        <v>IX</v>
      </c>
    </row>
    <row r="30" customFormat="false" ht="15.75" hidden="false" customHeight="false" outlineLevel="0" collapsed="false">
      <c r="A30" s="21" t="n">
        <v>155666</v>
      </c>
      <c r="B30" s="21" t="s">
        <v>2420</v>
      </c>
      <c r="C30" s="21" t="s">
        <v>2436</v>
      </c>
      <c r="D30" s="21" t="s">
        <v>541</v>
      </c>
      <c r="E30" s="21" t="s">
        <v>2441</v>
      </c>
      <c r="F30" s="21" t="n">
        <v>155666</v>
      </c>
      <c r="G30" s="21" t="s">
        <v>2421</v>
      </c>
      <c r="H30" s="21" t="s">
        <v>2212</v>
      </c>
      <c r="I30" s="21" t="n">
        <f aca="false">VLOOKUP($A30,Day1!$A$1:$H$394,4,FALSE())</f>
        <v>0</v>
      </c>
      <c r="J30" s="21" t="n">
        <f aca="false">VLOOKUP($A30,Day1!$A$1:$H$394,5,FALSE())</f>
        <v>0</v>
      </c>
      <c r="K30" s="21" t="n">
        <f aca="false">VLOOKUP($A30,Day1!$A$1:$H$394,6,FALSE())</f>
        <v>0</v>
      </c>
      <c r="L30" s="21" t="n">
        <f aca="false">VLOOKUP($A30,Day1!$A$1:$H$394,7,FALSE())</f>
        <v>0</v>
      </c>
      <c r="M30" s="21" t="n">
        <f aca="false">SUM(I30:L30)</f>
        <v>0</v>
      </c>
      <c r="N30" s="21" t="str">
        <f aca="false">ROMAN(RANK(M30,$M$3:$M$25,0))</f>
        <v>XXI</v>
      </c>
    </row>
    <row r="31" customFormat="false" ht="15.75" hidden="false" customHeight="false" outlineLevel="0" collapsed="false">
      <c r="A31" s="21" t="n">
        <v>155702</v>
      </c>
      <c r="B31" s="21" t="s">
        <v>2420</v>
      </c>
      <c r="C31" s="21" t="s">
        <v>2436</v>
      </c>
      <c r="D31" s="21" t="s">
        <v>2437</v>
      </c>
      <c r="E31" s="21" t="s">
        <v>462</v>
      </c>
      <c r="F31" s="21" t="n">
        <v>155702</v>
      </c>
      <c r="G31" s="21" t="s">
        <v>2421</v>
      </c>
      <c r="H31" s="21" t="s">
        <v>2212</v>
      </c>
      <c r="I31" s="21" t="n">
        <f aca="false">VLOOKUP($A31,Day1!$A$1:$H$394,4,FALSE())</f>
        <v>1</v>
      </c>
      <c r="J31" s="21" t="n">
        <f aca="false">VLOOKUP($A31,Day1!$A$1:$H$394,5,FALSE())</f>
        <v>0</v>
      </c>
      <c r="K31" s="21" t="n">
        <f aca="false">VLOOKUP($A31,Day1!$A$1:$H$394,6,FALSE())</f>
        <v>0</v>
      </c>
      <c r="L31" s="21" t="n">
        <f aca="false">VLOOKUP($A31,Day1!$A$1:$H$394,7,FALSE())</f>
        <v>0</v>
      </c>
      <c r="M31" s="21" t="n">
        <f aca="false">SUM(I31:L31)</f>
        <v>1</v>
      </c>
      <c r="N31" s="21" t="str">
        <f aca="false">ROMAN(RANK(M31,$M$3:$M$25,0))</f>
        <v>XX</v>
      </c>
    </row>
    <row r="32" customFormat="false" ht="15.75" hidden="false" customHeight="false" outlineLevel="0" collapsed="false">
      <c r="A32" s="21" t="n">
        <v>115673</v>
      </c>
      <c r="B32" s="21" t="s">
        <v>2420</v>
      </c>
      <c r="C32" s="21" t="s">
        <v>2255</v>
      </c>
      <c r="D32" s="21" t="s">
        <v>458</v>
      </c>
      <c r="E32" s="21" t="s">
        <v>2429</v>
      </c>
      <c r="F32" s="21" t="n">
        <v>115673</v>
      </c>
      <c r="G32" s="21" t="s">
        <v>2421</v>
      </c>
      <c r="H32" s="21" t="s">
        <v>2212</v>
      </c>
      <c r="I32" s="21" t="n">
        <f aca="false">VLOOKUP($A32,Day1!$A$1:$H$394,4,FALSE())</f>
        <v>4</v>
      </c>
      <c r="J32" s="21" t="n">
        <f aca="false">VLOOKUP($A32,Day1!$A$1:$H$394,5,FALSE())</f>
        <v>0</v>
      </c>
      <c r="K32" s="21" t="n">
        <f aca="false">VLOOKUP($A32,Day1!$A$1:$H$394,6,FALSE())</f>
        <v>0</v>
      </c>
      <c r="L32" s="21" t="n">
        <f aca="false">VLOOKUP($A32,Day1!$A$1:$H$394,7,FALSE())</f>
        <v>0</v>
      </c>
      <c r="M32" s="21" t="n">
        <f aca="false">SUM(I32:L32)</f>
        <v>4</v>
      </c>
      <c r="N32" s="21" t="str">
        <f aca="false">ROMAN(RANK(M32,$M$3:$M$25,0))</f>
        <v>XV</v>
      </c>
    </row>
    <row r="33" customFormat="false" ht="15.75" hidden="false" customHeight="false" outlineLevel="0" collapsed="false">
      <c r="A33" s="21" t="n">
        <v>109467</v>
      </c>
      <c r="B33" s="21" t="s">
        <v>2420</v>
      </c>
      <c r="C33" s="21" t="s">
        <v>2218</v>
      </c>
      <c r="D33" s="21" t="s">
        <v>561</v>
      </c>
      <c r="E33" s="21" t="s">
        <v>188</v>
      </c>
      <c r="F33" s="21" t="n">
        <v>109467</v>
      </c>
      <c r="G33" s="21" t="s">
        <v>2421</v>
      </c>
      <c r="H33" s="21" t="s">
        <v>2212</v>
      </c>
      <c r="I33" s="21" t="n">
        <f aca="false">VLOOKUP($A33,Day1!$A$1:$H$394,4,FALSE())</f>
        <v>4</v>
      </c>
      <c r="J33" s="21" t="n">
        <f aca="false">VLOOKUP($A33,Day1!$A$1:$H$394,5,FALSE())</f>
        <v>0</v>
      </c>
      <c r="K33" s="21" t="n">
        <f aca="false">VLOOKUP($A33,Day1!$A$1:$H$394,6,FALSE())</f>
        <v>0</v>
      </c>
      <c r="L33" s="21" t="n">
        <f aca="false">VLOOKUP($A33,Day1!$A$1:$H$394,7,FALSE())</f>
        <v>0</v>
      </c>
      <c r="M33" s="21" t="n">
        <f aca="false">SUM(I33:L33)</f>
        <v>4</v>
      </c>
      <c r="N33" s="21" t="str">
        <f aca="false">ROMAN(RANK(M33,$M$3:$M$25,0))</f>
        <v>XV</v>
      </c>
    </row>
    <row r="34" customFormat="false" ht="15.75" hidden="false" customHeight="false" outlineLevel="0" collapsed="false">
      <c r="A34" s="21" t="n">
        <v>174358</v>
      </c>
      <c r="B34" s="21" t="s">
        <v>2420</v>
      </c>
      <c r="C34" s="21" t="s">
        <v>2261</v>
      </c>
      <c r="D34" s="21" t="s">
        <v>465</v>
      </c>
      <c r="E34" s="21" t="s">
        <v>2442</v>
      </c>
      <c r="F34" s="21" t="n">
        <v>174358</v>
      </c>
      <c r="G34" s="21" t="s">
        <v>2421</v>
      </c>
      <c r="H34" s="21" t="s">
        <v>2209</v>
      </c>
      <c r="I34" s="21" t="n">
        <f aca="false">VLOOKUP($A34,Day1!$A$1:$H$394,4,FALSE())</f>
        <v>0</v>
      </c>
      <c r="J34" s="21" t="n">
        <f aca="false">VLOOKUP($A34,Day1!$A$1:$H$394,5,FALSE())</f>
        <v>0</v>
      </c>
      <c r="K34" s="21" t="n">
        <f aca="false">VLOOKUP($A34,Day1!$A$1:$H$394,6,FALSE())</f>
        <v>0</v>
      </c>
      <c r="L34" s="21" t="n">
        <f aca="false">VLOOKUP($A34,Day1!$A$1:$H$394,7,FALSE())</f>
        <v>0</v>
      </c>
      <c r="M34" s="21" t="n">
        <f aca="false">SUM(I34:L34)</f>
        <v>0</v>
      </c>
      <c r="N34" s="21" t="str">
        <f aca="false">ROMAN(RANK(M34,$M$3:$M$25,0))</f>
        <v>XXI</v>
      </c>
    </row>
    <row r="35" customFormat="false" ht="15.75" hidden="false" customHeight="false" outlineLevel="0" collapsed="false">
      <c r="A35" s="21" t="n">
        <v>186921</v>
      </c>
      <c r="B35" s="21" t="s">
        <v>2420</v>
      </c>
      <c r="C35" s="21" t="s">
        <v>2277</v>
      </c>
      <c r="D35" s="21" t="s">
        <v>527</v>
      </c>
      <c r="E35" s="21" t="s">
        <v>2435</v>
      </c>
      <c r="F35" s="21" t="n">
        <v>186921</v>
      </c>
      <c r="G35" s="21" t="s">
        <v>2421</v>
      </c>
      <c r="H35" s="21" t="s">
        <v>2212</v>
      </c>
      <c r="I35" s="21" t="n">
        <f aca="false">VLOOKUP($A35,Day1!$A$1:$H$394,4,FALSE())</f>
        <v>0</v>
      </c>
      <c r="J35" s="21" t="n">
        <f aca="false">VLOOKUP($A35,Day1!$A$1:$H$394,5,FALSE())</f>
        <v>2</v>
      </c>
      <c r="K35" s="21" t="n">
        <f aca="false">VLOOKUP($A35,Day1!$A$1:$H$394,6,FALSE())</f>
        <v>0</v>
      </c>
      <c r="L35" s="21" t="n">
        <f aca="false">VLOOKUP($A35,Day1!$A$1:$H$394,7,FALSE())</f>
        <v>0</v>
      </c>
      <c r="M35" s="21" t="n">
        <f aca="false">SUM(I35:L35)</f>
        <v>2</v>
      </c>
      <c r="N35" s="21" t="str">
        <f aca="false">ROMAN(RANK(M35,$M$3:$M$25,0))</f>
        <v>XVII</v>
      </c>
    </row>
    <row r="36" customFormat="false" ht="15.75" hidden="false" customHeight="false" outlineLevel="0" collapsed="false">
      <c r="A36" s="21" t="n">
        <v>175146</v>
      </c>
      <c r="B36" s="21" t="s">
        <v>2420</v>
      </c>
      <c r="C36" s="21" t="s">
        <v>2203</v>
      </c>
      <c r="D36" s="21" t="s">
        <v>600</v>
      </c>
      <c r="E36" s="21" t="s">
        <v>652</v>
      </c>
      <c r="F36" s="21" t="n">
        <v>175146</v>
      </c>
      <c r="G36" s="21" t="s">
        <v>2421</v>
      </c>
      <c r="H36" s="21" t="s">
        <v>2212</v>
      </c>
      <c r="I36" s="21" t="n">
        <f aca="false">VLOOKUP($A36,Day1!$A$1:$H$394,4,FALSE())</f>
        <v>0</v>
      </c>
      <c r="J36" s="21" t="n">
        <f aca="false">VLOOKUP($A36,Day1!$A$1:$H$394,5,FALSE())</f>
        <v>0</v>
      </c>
      <c r="K36" s="21" t="n">
        <f aca="false">VLOOKUP($A36,Day1!$A$1:$H$394,6,FALSE())</f>
        <v>0</v>
      </c>
      <c r="L36" s="21" t="n">
        <f aca="false">VLOOKUP($A36,Day1!$A$1:$H$394,7,FALSE())</f>
        <v>0</v>
      </c>
      <c r="M36" s="21" t="n">
        <f aca="false">SUM(I36:L36)</f>
        <v>0</v>
      </c>
      <c r="N36" s="21" t="str">
        <f aca="false">ROMAN(RANK(M36,$M$3:$M$25,0))</f>
        <v>XXI</v>
      </c>
    </row>
    <row r="37" customFormat="false" ht="15.75" hidden="false" customHeight="false" outlineLevel="0" collapsed="false">
      <c r="A37" s="21" t="n">
        <v>196624</v>
      </c>
      <c r="B37" s="21" t="s">
        <v>2420</v>
      </c>
      <c r="C37" s="21" t="s">
        <v>2210</v>
      </c>
      <c r="D37" s="21" t="s">
        <v>524</v>
      </c>
      <c r="E37" s="21" t="s">
        <v>2443</v>
      </c>
      <c r="F37" s="21" t="n">
        <v>196624</v>
      </c>
      <c r="G37" s="21" t="s">
        <v>2421</v>
      </c>
      <c r="H37" s="21" t="s">
        <v>2212</v>
      </c>
      <c r="I37" s="21" t="n">
        <f aca="false">VLOOKUP($A37,Day1!$A$1:$H$394,4,FALSE())</f>
        <v>0</v>
      </c>
      <c r="J37" s="21" t="n">
        <f aca="false">VLOOKUP($A37,Day1!$A$1:$H$394,5,FALSE())</f>
        <v>0</v>
      </c>
      <c r="K37" s="21" t="n">
        <f aca="false">VLOOKUP($A37,Day1!$A$1:$H$394,6,FALSE())</f>
        <v>0</v>
      </c>
      <c r="L37" s="21" t="n">
        <f aca="false">VLOOKUP($A37,Day1!$A$1:$H$394,7,FALSE())</f>
        <v>0</v>
      </c>
      <c r="M37" s="21" t="n">
        <f aca="false">SUM(I37:L37)</f>
        <v>0</v>
      </c>
      <c r="N37" s="21" t="str">
        <f aca="false">ROMAN(RANK(M37,$M$3:$M$25,0))</f>
        <v>XXI</v>
      </c>
    </row>
    <row r="38" customFormat="false" ht="15.75" hidden="false" customHeight="false" outlineLevel="0" collapsed="false">
      <c r="A38" s="21" t="n">
        <v>181570</v>
      </c>
      <c r="B38" s="21" t="s">
        <v>2420</v>
      </c>
      <c r="C38" s="21" t="s">
        <v>2432</v>
      </c>
      <c r="D38" s="21" t="s">
        <v>546</v>
      </c>
      <c r="E38" s="21" t="s">
        <v>25</v>
      </c>
      <c r="F38" s="21" t="n">
        <v>181570</v>
      </c>
      <c r="G38" s="21" t="s">
        <v>2421</v>
      </c>
      <c r="H38" s="21" t="s">
        <v>2209</v>
      </c>
      <c r="I38" s="21" t="n">
        <f aca="false">VLOOKUP($A38,Day1!$A$1:$H$394,4,FALSE())</f>
        <v>1</v>
      </c>
      <c r="J38" s="21" t="n">
        <f aca="false">VLOOKUP($A38,Day1!$A$1:$H$394,5,FALSE())</f>
        <v>2</v>
      </c>
      <c r="K38" s="21" t="n">
        <f aca="false">VLOOKUP($A38,Day1!$A$1:$H$394,6,FALSE())</f>
        <v>0</v>
      </c>
      <c r="L38" s="21" t="n">
        <f aca="false">VLOOKUP($A38,Day1!$A$1:$H$394,7,FALSE())</f>
        <v>0</v>
      </c>
      <c r="M38" s="21" t="n">
        <f aca="false">SUM(I38:L38)</f>
        <v>3</v>
      </c>
      <c r="N38" s="21" t="e">
        <f aca="false">ROMAN(RANK(M38,$M$3:$M$25,0))</f>
        <v>#N/A</v>
      </c>
    </row>
    <row r="39" customFormat="false" ht="15.75" hidden="false" customHeight="false" outlineLevel="0" collapsed="false">
      <c r="A39" s="21" t="n">
        <v>204719</v>
      </c>
      <c r="B39" s="21" t="s">
        <v>2420</v>
      </c>
      <c r="C39" s="21" t="s">
        <v>2222</v>
      </c>
      <c r="D39" s="21" t="s">
        <v>360</v>
      </c>
      <c r="E39" s="21" t="s">
        <v>2444</v>
      </c>
      <c r="F39" s="21" t="n">
        <v>204719</v>
      </c>
      <c r="G39" s="21" t="s">
        <v>2421</v>
      </c>
      <c r="H39" s="21" t="s">
        <v>2212</v>
      </c>
      <c r="I39" s="21" t="n">
        <f aca="false">VLOOKUP($A39,Day1!$A$1:$H$394,4,FALSE())</f>
        <v>0</v>
      </c>
      <c r="J39" s="21" t="n">
        <f aca="false">VLOOKUP($A39,Day1!$A$1:$H$394,5,FALSE())</f>
        <v>0</v>
      </c>
      <c r="K39" s="21" t="n">
        <f aca="false">VLOOKUP($A39,Day1!$A$1:$H$394,6,FALSE())</f>
        <v>0</v>
      </c>
      <c r="L39" s="21" t="n">
        <f aca="false">VLOOKUP($A39,Day1!$A$1:$H$394,7,FALSE())</f>
        <v>0</v>
      </c>
      <c r="M39" s="21" t="n">
        <f aca="false">SUM(I39:L39)</f>
        <v>0</v>
      </c>
      <c r="N39" s="21" t="str">
        <f aca="false">ROMAN(RANK(M39,$M$3:$M$25,0))</f>
        <v>XXI</v>
      </c>
    </row>
    <row r="40" customFormat="false" ht="15.75" hidden="false" customHeight="false" outlineLevel="0" collapsed="false">
      <c r="A40" s="21" t="n">
        <v>109300</v>
      </c>
      <c r="B40" s="21" t="s">
        <v>2420</v>
      </c>
      <c r="C40" s="21" t="s">
        <v>2221</v>
      </c>
      <c r="D40" s="21" t="s">
        <v>25</v>
      </c>
      <c r="E40" s="21" t="s">
        <v>2427</v>
      </c>
      <c r="F40" s="21" t="n">
        <v>109300</v>
      </c>
      <c r="G40" s="21" t="s">
        <v>2421</v>
      </c>
      <c r="H40" s="21" t="s">
        <v>2206</v>
      </c>
      <c r="I40" s="21" t="n">
        <f aca="false">VLOOKUP($A40,Day1!$A$1:$H$394,4,FALSE())</f>
        <v>7</v>
      </c>
      <c r="J40" s="21" t="n">
        <f aca="false">VLOOKUP($A40,Day1!$A$1:$H$394,5,FALSE())</f>
        <v>2</v>
      </c>
      <c r="K40" s="21" t="n">
        <f aca="false">VLOOKUP($A40,Day1!$A$1:$H$394,6,FALSE())</f>
        <v>0</v>
      </c>
      <c r="L40" s="21" t="n">
        <f aca="false">VLOOKUP($A40,Day1!$A$1:$H$394,7,FALSE())</f>
        <v>0</v>
      </c>
      <c r="M40" s="21" t="n">
        <f aca="false">SUM(I40:L40)</f>
        <v>9</v>
      </c>
      <c r="N40" s="21" t="str">
        <f aca="false">ROMAN(RANK(M40,$M$3:$M$25,0))</f>
        <v>IX</v>
      </c>
    </row>
    <row r="41" customFormat="false" ht="15.75" hidden="false" customHeight="false" outlineLevel="0" collapsed="false">
      <c r="A41" s="21" t="n">
        <v>183220</v>
      </c>
      <c r="B41" s="21" t="s">
        <v>2420</v>
      </c>
      <c r="C41" s="21" t="s">
        <v>2295</v>
      </c>
      <c r="D41" s="21" t="s">
        <v>467</v>
      </c>
      <c r="E41" s="21" t="s">
        <v>1766</v>
      </c>
      <c r="F41" s="21" t="n">
        <v>183220</v>
      </c>
      <c r="G41" s="21" t="s">
        <v>2421</v>
      </c>
      <c r="H41" s="21" t="s">
        <v>2225</v>
      </c>
      <c r="I41" s="21" t="n">
        <f aca="false">VLOOKUP($A41,Day1!$A$1:$H$394,4,FALSE())</f>
        <v>7</v>
      </c>
      <c r="J41" s="21" t="n">
        <f aca="false">VLOOKUP($A41,Day1!$A$1:$H$394,5,FALSE())</f>
        <v>2</v>
      </c>
      <c r="K41" s="21" t="n">
        <f aca="false">VLOOKUP($A41,Day1!$A$1:$H$394,6,FALSE())</f>
        <v>0</v>
      </c>
      <c r="L41" s="21" t="n">
        <f aca="false">VLOOKUP($A41,Day1!$A$1:$H$394,7,FALSE())</f>
        <v>0</v>
      </c>
      <c r="M41" s="21" t="n">
        <f aca="false">SUM(I41:L41)</f>
        <v>9</v>
      </c>
      <c r="N41" s="21" t="str">
        <f aca="false">ROMAN(RANK(M41,$M$3:$M$25,0))</f>
        <v>IX</v>
      </c>
    </row>
    <row r="42" customFormat="false" ht="15.75" hidden="false" customHeight="false" outlineLevel="0" collapsed="false">
      <c r="A42" s="21" t="n">
        <v>81414</v>
      </c>
      <c r="B42" s="21" t="s">
        <v>2420</v>
      </c>
      <c r="C42" s="21" t="s">
        <v>2207</v>
      </c>
      <c r="D42" s="21" t="s">
        <v>598</v>
      </c>
      <c r="E42" s="21" t="s">
        <v>2428</v>
      </c>
      <c r="F42" s="21" t="n">
        <v>81414</v>
      </c>
      <c r="G42" s="21" t="s">
        <v>2421</v>
      </c>
      <c r="H42" s="21" t="s">
        <v>2225</v>
      </c>
      <c r="I42" s="21" t="n">
        <f aca="false">VLOOKUP($A42,Day1!$A$1:$H$394,4,FALSE())</f>
        <v>7</v>
      </c>
      <c r="J42" s="21" t="n">
        <f aca="false">VLOOKUP($A42,Day1!$A$1:$H$394,5,FALSE())</f>
        <v>2</v>
      </c>
      <c r="K42" s="21" t="n">
        <f aca="false">VLOOKUP($A42,Day1!$A$1:$H$394,6,FALSE())</f>
        <v>0</v>
      </c>
      <c r="L42" s="21" t="n">
        <f aca="false">VLOOKUP($A42,Day1!$A$1:$H$394,7,FALSE())</f>
        <v>0</v>
      </c>
      <c r="M42" s="21" t="n">
        <f aca="false">SUM(I42:L42)</f>
        <v>9</v>
      </c>
      <c r="N42" s="21" t="str">
        <f aca="false">ROMAN(RANK(M42,$M$3:$M$25,0))</f>
        <v>IX</v>
      </c>
    </row>
    <row r="43" customFormat="false" ht="15.75" hidden="false" customHeight="false" outlineLevel="0" collapsed="false">
      <c r="A43" s="21" t="n">
        <v>110925</v>
      </c>
      <c r="B43" s="21" t="s">
        <v>2420</v>
      </c>
      <c r="C43" s="21" t="s">
        <v>2219</v>
      </c>
      <c r="D43" s="21" t="s">
        <v>572</v>
      </c>
      <c r="E43" s="21" t="s">
        <v>2306</v>
      </c>
      <c r="F43" s="21" t="n">
        <v>110925</v>
      </c>
      <c r="G43" s="21" t="s">
        <v>2421</v>
      </c>
      <c r="H43" s="21" t="s">
        <v>2209</v>
      </c>
      <c r="I43" s="21" t="n">
        <f aca="false">VLOOKUP($A43,Day1!$A$1:$H$394,4,FALSE())</f>
        <v>7</v>
      </c>
      <c r="J43" s="21" t="n">
        <f aca="false">VLOOKUP($A43,Day1!$A$1:$H$394,5,FALSE())</f>
        <v>4</v>
      </c>
      <c r="K43" s="21" t="n">
        <f aca="false">VLOOKUP($A43,Day1!$A$1:$H$394,6,FALSE())</f>
        <v>0</v>
      </c>
      <c r="L43" s="21" t="n">
        <f aca="false">VLOOKUP($A43,Day1!$A$1:$H$394,7,FALSE())</f>
        <v>0</v>
      </c>
      <c r="M43" s="21" t="n">
        <f aca="false">SUM(I43:L43)</f>
        <v>11</v>
      </c>
      <c r="N43" s="21" t="str">
        <f aca="false">ROMAN(RANK(M43,$M$3:$M$25,0))</f>
        <v>II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2" customFormat="false" ht="15.75" hidden="false" customHeight="false" outlineLevel="0" collapsed="false">
      <c r="A2" s="1" t="s">
        <v>2189</v>
      </c>
      <c r="B2" s="1" t="s">
        <v>2190</v>
      </c>
      <c r="C2" s="1" t="s">
        <v>2191</v>
      </c>
      <c r="D2" s="1" t="s">
        <v>2192</v>
      </c>
      <c r="E2" s="1" t="s">
        <v>2193</v>
      </c>
      <c r="F2" s="1" t="s">
        <v>2189</v>
      </c>
      <c r="G2" s="1" t="s">
        <v>2539</v>
      </c>
      <c r="H2" s="1" t="s">
        <v>2540</v>
      </c>
      <c r="I2" s="1" t="s">
        <v>2196</v>
      </c>
      <c r="J2" s="1" t="s">
        <v>2197</v>
      </c>
      <c r="K2" s="1" t="s">
        <v>2198</v>
      </c>
      <c r="L2" s="1" t="s">
        <v>2200</v>
      </c>
      <c r="M2" s="1" t="s">
        <v>2201</v>
      </c>
    </row>
    <row r="3" customFormat="false" ht="15.75" hidden="false" customHeight="false" outlineLevel="0" collapsed="false">
      <c r="A3" s="1" t="n">
        <v>118196</v>
      </c>
      <c r="B3" s="1" t="s">
        <v>2420</v>
      </c>
      <c r="C3" s="1" t="s">
        <v>2253</v>
      </c>
      <c r="D3" s="1" t="s">
        <v>513</v>
      </c>
      <c r="E3" s="1" t="s">
        <v>2296</v>
      </c>
      <c r="F3" s="1" t="n">
        <v>118196</v>
      </c>
      <c r="G3" s="1" t="s">
        <v>2421</v>
      </c>
      <c r="H3" s="1" t="s">
        <v>2209</v>
      </c>
      <c r="I3" s="1" t="n">
        <f aca="false">VLOOKUP($A3,Day2!$A$1:$H$400,4,FALSE())</f>
        <v>0</v>
      </c>
      <c r="J3" s="1" t="n">
        <f aca="false">VLOOKUP($A3,Day2!$A$1:$H$400,5,FALSE())</f>
        <v>0</v>
      </c>
      <c r="K3" s="1" t="n">
        <f aca="false">VLOOKUP($A3,Day2!$A$1:$H$400,6,FALSE())</f>
        <v>0</v>
      </c>
      <c r="L3" s="15" t="n">
        <f aca="false">SUM(I3:K3)</f>
        <v>0</v>
      </c>
      <c r="M3" s="15" t="str">
        <f aca="false">ROMAN(RANK(L3,$L$3:$L$25,0))</f>
        <v>VIII</v>
      </c>
    </row>
    <row r="4" customFormat="false" ht="15.75" hidden="false" customHeight="false" outlineLevel="0" collapsed="false">
      <c r="A4" s="1" t="n">
        <v>119856</v>
      </c>
      <c r="B4" s="1" t="s">
        <v>2420</v>
      </c>
      <c r="C4" s="1" t="s">
        <v>2253</v>
      </c>
      <c r="D4" s="1" t="s">
        <v>485</v>
      </c>
      <c r="E4" s="1" t="s">
        <v>2438</v>
      </c>
      <c r="F4" s="1" t="n">
        <v>119856</v>
      </c>
      <c r="G4" s="1" t="s">
        <v>2421</v>
      </c>
      <c r="H4" s="1" t="s">
        <v>2212</v>
      </c>
      <c r="I4" s="1" t="n">
        <f aca="false">VLOOKUP($A4,Day2!$A$1:$H$400,4,FALSE())</f>
        <v>0</v>
      </c>
      <c r="J4" s="1" t="n">
        <f aca="false">VLOOKUP($A4,Day2!$A$1:$H$400,5,FALSE())</f>
        <v>0</v>
      </c>
      <c r="K4" s="1" t="n">
        <f aca="false">VLOOKUP($A4,Day2!$A$1:$H$400,6,FALSE())</f>
        <v>0</v>
      </c>
      <c r="L4" s="15" t="n">
        <f aca="false">SUM(I4:K4)</f>
        <v>0</v>
      </c>
      <c r="M4" s="15" t="str">
        <f aca="false">ROMAN(RANK(L4,$L$3:$L$25,0))</f>
        <v>VIII</v>
      </c>
    </row>
    <row r="5" customFormat="false" ht="15.75" hidden="false" customHeight="false" outlineLevel="0" collapsed="false">
      <c r="A5" s="1" t="n">
        <v>81436</v>
      </c>
      <c r="B5" s="1" t="s">
        <v>2420</v>
      </c>
      <c r="C5" s="1" t="s">
        <v>2207</v>
      </c>
      <c r="D5" s="1" t="s">
        <v>451</v>
      </c>
      <c r="E5" s="1" t="s">
        <v>2313</v>
      </c>
      <c r="F5" s="1" t="n">
        <v>81436</v>
      </c>
      <c r="G5" s="1" t="s">
        <v>2421</v>
      </c>
      <c r="H5" s="1" t="s">
        <v>2225</v>
      </c>
      <c r="I5" s="1" t="n">
        <f aca="false">VLOOKUP($A5,Day2!$A$1:$H$400,4,FALSE())</f>
        <v>0</v>
      </c>
      <c r="J5" s="1" t="n">
        <f aca="false">VLOOKUP($A5,Day2!$A$1:$H$400,5,FALSE())</f>
        <v>0</v>
      </c>
      <c r="K5" s="1" t="n">
        <f aca="false">VLOOKUP($A5,Day2!$A$1:$H$400,6,FALSE())</f>
        <v>7</v>
      </c>
      <c r="L5" s="15" t="n">
        <f aca="false">SUM(I5:K5)</f>
        <v>7</v>
      </c>
      <c r="M5" s="15" t="str">
        <f aca="false">ROMAN(RANK(L5,$L$3:$L$25,0))</f>
        <v>II</v>
      </c>
    </row>
    <row r="6" customFormat="false" ht="15.75" hidden="false" customHeight="false" outlineLevel="0" collapsed="false">
      <c r="A6" s="1" t="n">
        <v>73757</v>
      </c>
      <c r="B6" s="1" t="s">
        <v>2420</v>
      </c>
      <c r="C6" s="1" t="s">
        <v>2295</v>
      </c>
      <c r="D6" s="1" t="s">
        <v>530</v>
      </c>
      <c r="E6" s="1" t="s">
        <v>1655</v>
      </c>
      <c r="F6" s="1" t="n">
        <v>73757</v>
      </c>
      <c r="G6" s="1" t="s">
        <v>2421</v>
      </c>
      <c r="H6" s="1" t="s">
        <v>2212</v>
      </c>
      <c r="I6" s="1" t="n">
        <f aca="false">VLOOKUP($A6,Day2!$A$1:$H$400,4,FALSE())</f>
        <v>1</v>
      </c>
      <c r="J6" s="1" t="n">
        <f aca="false">VLOOKUP($A6,Day2!$A$1:$H$400,5,FALSE())</f>
        <v>0</v>
      </c>
      <c r="K6" s="1" t="n">
        <f aca="false">VLOOKUP($A6,Day2!$A$1:$H$400,6,FALSE())</f>
        <v>0</v>
      </c>
      <c r="L6" s="15" t="n">
        <f aca="false">SUM(I6:K6)</f>
        <v>1</v>
      </c>
      <c r="M6" s="15" t="str">
        <f aca="false">ROMAN(RANK(L6,$L$3:$L$25,0))</f>
        <v>V</v>
      </c>
    </row>
    <row r="7" customFormat="false" ht="15.75" hidden="false" customHeight="false" outlineLevel="0" collapsed="false">
      <c r="A7" s="1" t="n">
        <v>119874</v>
      </c>
      <c r="B7" s="1" t="s">
        <v>2420</v>
      </c>
      <c r="C7" s="1" t="s">
        <v>2253</v>
      </c>
      <c r="D7" s="1" t="s">
        <v>130</v>
      </c>
      <c r="E7" s="1" t="s">
        <v>2424</v>
      </c>
      <c r="F7" s="1" t="n">
        <v>119874</v>
      </c>
      <c r="G7" s="1" t="s">
        <v>2421</v>
      </c>
      <c r="H7" s="1" t="s">
        <v>2212</v>
      </c>
      <c r="I7" s="1" t="n">
        <f aca="false">VLOOKUP($A7,Day2!$A$1:$H$400,4,FALSE())</f>
        <v>0</v>
      </c>
      <c r="J7" s="1" t="n">
        <f aca="false">VLOOKUP($A7,Day2!$A$1:$H$400,5,FALSE())</f>
        <v>0</v>
      </c>
      <c r="K7" s="1" t="n">
        <f aca="false">VLOOKUP($A7,Day2!$A$1:$H$400,6,FALSE())</f>
        <v>0</v>
      </c>
      <c r="L7" s="15" t="n">
        <f aca="false">SUM(I7:K7)</f>
        <v>0</v>
      </c>
      <c r="M7" s="15" t="str">
        <f aca="false">ROMAN(RANK(L7,$L$3:$L$25,0))</f>
        <v>VIII</v>
      </c>
    </row>
    <row r="8" customFormat="false" ht="15.75" hidden="false" customHeight="false" outlineLevel="0" collapsed="false">
      <c r="A8" s="1" t="n">
        <v>81407</v>
      </c>
      <c r="B8" s="1" t="s">
        <v>2420</v>
      </c>
      <c r="C8" s="1" t="s">
        <v>2207</v>
      </c>
      <c r="D8" s="1" t="s">
        <v>396</v>
      </c>
      <c r="E8" s="1" t="s">
        <v>2414</v>
      </c>
      <c r="F8" s="1" t="n">
        <v>81407</v>
      </c>
      <c r="G8" s="1" t="s">
        <v>2421</v>
      </c>
      <c r="H8" s="1" t="s">
        <v>2225</v>
      </c>
      <c r="I8" s="1" t="n">
        <f aca="false">VLOOKUP($A8,Day2!$A$1:$H$400,4,FALSE())</f>
        <v>6</v>
      </c>
      <c r="J8" s="1" t="n">
        <f aca="false">VLOOKUP($A8,Day2!$A$1:$H$400,5,FALSE())</f>
        <v>0</v>
      </c>
      <c r="K8" s="1" t="n">
        <f aca="false">VLOOKUP($A8,Day2!$A$1:$H$400,6,FALSE())</f>
        <v>7</v>
      </c>
      <c r="L8" s="15" t="n">
        <f aca="false">SUM(I8:K8)</f>
        <v>13</v>
      </c>
      <c r="M8" s="15" t="str">
        <f aca="false">ROMAN(RANK(L8,$L$3:$L$25,0))</f>
        <v>I</v>
      </c>
    </row>
    <row r="9" customFormat="false" ht="15.75" hidden="false" customHeight="false" outlineLevel="0" collapsed="false">
      <c r="A9" s="1" t="n">
        <v>96536</v>
      </c>
      <c r="B9" s="1" t="s">
        <v>2420</v>
      </c>
      <c r="C9" s="1" t="s">
        <v>2295</v>
      </c>
      <c r="D9" s="1" t="s">
        <v>520</v>
      </c>
      <c r="E9" s="1" t="s">
        <v>2433</v>
      </c>
      <c r="F9" s="1" t="n">
        <v>96536</v>
      </c>
      <c r="G9" s="1" t="s">
        <v>2421</v>
      </c>
      <c r="H9" s="1" t="s">
        <v>2212</v>
      </c>
      <c r="I9" s="1" t="n">
        <f aca="false">VLOOKUP($A9,Day2!$A$1:$H$400,4,FALSE())</f>
        <v>1</v>
      </c>
      <c r="J9" s="1" t="n">
        <f aca="false">VLOOKUP($A9,Day2!$A$1:$H$400,5,FALSE())</f>
        <v>0</v>
      </c>
      <c r="K9" s="1" t="n">
        <f aca="false">VLOOKUP($A9,Day2!$A$1:$H$400,6,FALSE())</f>
        <v>0</v>
      </c>
      <c r="L9" s="15" t="n">
        <f aca="false">SUM(I9:K9)</f>
        <v>1</v>
      </c>
      <c r="M9" s="15" t="str">
        <f aca="false">ROMAN(RANK(L9,$L$3:$L$25,0))</f>
        <v>V</v>
      </c>
    </row>
    <row r="10" customFormat="false" ht="15.75" hidden="false" customHeight="false" outlineLevel="0" collapsed="false">
      <c r="A10" s="1" t="n">
        <v>127016</v>
      </c>
      <c r="B10" s="1" t="s">
        <v>2420</v>
      </c>
      <c r="C10" s="1" t="s">
        <v>2253</v>
      </c>
      <c r="D10" s="1" t="s">
        <v>506</v>
      </c>
      <c r="E10" s="1" t="s">
        <v>2439</v>
      </c>
      <c r="F10" s="1" t="n">
        <v>127016</v>
      </c>
      <c r="G10" s="1" t="s">
        <v>2421</v>
      </c>
      <c r="H10" s="1" t="s">
        <v>2212</v>
      </c>
      <c r="I10" s="1" t="n">
        <f aca="false">VLOOKUP($A10,Day2!$A$1:$H$400,4,FALSE())</f>
        <v>0</v>
      </c>
      <c r="J10" s="1" t="n">
        <f aca="false">VLOOKUP($A10,Day2!$A$1:$H$400,5,FALSE())</f>
        <v>0</v>
      </c>
      <c r="K10" s="1" t="n">
        <f aca="false">VLOOKUP($A10,Day2!$A$1:$H$400,6,FALSE())</f>
        <v>0</v>
      </c>
      <c r="L10" s="15" t="n">
        <f aca="false">SUM(I10:K10)</f>
        <v>0</v>
      </c>
      <c r="M10" s="15" t="str">
        <f aca="false">ROMAN(RANK(L10,$L$3:$L$25,0))</f>
        <v>VIII</v>
      </c>
    </row>
    <row r="11" customFormat="false" ht="15.75" hidden="false" customHeight="false" outlineLevel="0" collapsed="false">
      <c r="A11" s="1" t="n">
        <v>187836</v>
      </c>
      <c r="B11" s="1" t="s">
        <v>2420</v>
      </c>
      <c r="C11" s="1" t="s">
        <v>2221</v>
      </c>
      <c r="D11" s="1" t="s">
        <v>592</v>
      </c>
      <c r="E11" s="1" t="s">
        <v>2430</v>
      </c>
      <c r="F11" s="1" t="n">
        <v>187836</v>
      </c>
      <c r="G11" s="1" t="s">
        <v>2421</v>
      </c>
      <c r="H11" s="1" t="s">
        <v>2209</v>
      </c>
      <c r="I11" s="1" t="n">
        <f aca="false">VLOOKUP($A11,Day2!$A$1:$H$400,4,FALSE())</f>
        <v>0</v>
      </c>
      <c r="J11" s="1" t="n">
        <f aca="false">VLOOKUP($A11,Day2!$A$1:$H$400,5,FALSE())</f>
        <v>0</v>
      </c>
      <c r="K11" s="1" t="n">
        <f aca="false">VLOOKUP($A11,Day2!$A$1:$H$400,6,FALSE())</f>
        <v>0</v>
      </c>
      <c r="L11" s="15" t="n">
        <f aca="false">SUM(I11:K11)</f>
        <v>0</v>
      </c>
      <c r="M11" s="15" t="str">
        <f aca="false">ROMAN(RANK(L11,$L$3:$L$25,0))</f>
        <v>VIII</v>
      </c>
    </row>
    <row r="12" customFormat="false" ht="15.75" hidden="false" customHeight="false" outlineLevel="0" collapsed="false">
      <c r="A12" s="1" t="n">
        <v>51485</v>
      </c>
      <c r="B12" s="1" t="s">
        <v>2420</v>
      </c>
      <c r="C12" s="1" t="s">
        <v>2222</v>
      </c>
      <c r="D12" s="1" t="s">
        <v>596</v>
      </c>
      <c r="E12" s="1" t="s">
        <v>2431</v>
      </c>
      <c r="F12" s="1" t="n">
        <v>51485</v>
      </c>
      <c r="G12" s="1" t="s">
        <v>2421</v>
      </c>
      <c r="H12" s="1" t="s">
        <v>2212</v>
      </c>
      <c r="I12" s="1" t="n">
        <f aca="false">VLOOKUP($A12,Day2!$A$1:$H$400,4,FALSE())</f>
        <v>0</v>
      </c>
      <c r="J12" s="1" t="n">
        <f aca="false">VLOOKUP($A12,Day2!$A$1:$H$400,5,FALSE())</f>
        <v>0</v>
      </c>
      <c r="K12" s="1" t="n">
        <f aca="false">VLOOKUP($A12,Day2!$A$1:$H$400,6,FALSE())</f>
        <v>0</v>
      </c>
      <c r="L12" s="15" t="n">
        <f aca="false">SUM(I12:K12)</f>
        <v>0</v>
      </c>
      <c r="M12" s="15" t="str">
        <f aca="false">ROMAN(RANK(L12,$L$3:$L$25,0))</f>
        <v>VIII</v>
      </c>
    </row>
    <row r="13" customFormat="false" ht="15.75" hidden="false" customHeight="false" outlineLevel="0" collapsed="false">
      <c r="A13" s="1" t="n">
        <v>127024</v>
      </c>
      <c r="B13" s="1" t="s">
        <v>2420</v>
      </c>
      <c r="C13" s="1" t="s">
        <v>2253</v>
      </c>
      <c r="D13" s="1" t="s">
        <v>491</v>
      </c>
      <c r="E13" s="1" t="s">
        <v>868</v>
      </c>
      <c r="F13" s="1" t="n">
        <v>127024</v>
      </c>
      <c r="G13" s="1" t="s">
        <v>2421</v>
      </c>
      <c r="H13" s="1" t="s">
        <v>2212</v>
      </c>
      <c r="I13" s="1" t="n">
        <f aca="false">VLOOKUP($A13,Day2!$A$1:$H$400,4,FALSE())</f>
        <v>0</v>
      </c>
      <c r="J13" s="1" t="n">
        <f aca="false">VLOOKUP($A13,Day2!$A$1:$H$400,5,FALSE())</f>
        <v>0</v>
      </c>
      <c r="K13" s="1" t="n">
        <f aca="false">VLOOKUP($A13,Day2!$A$1:$H$400,6,FALSE())</f>
        <v>0</v>
      </c>
      <c r="L13" s="15" t="n">
        <f aca="false">SUM(I13:K13)</f>
        <v>0</v>
      </c>
      <c r="M13" s="15" t="str">
        <f aca="false">ROMAN(RANK(L13,$L$3:$L$25,0))</f>
        <v>VIII</v>
      </c>
    </row>
    <row r="14" customFormat="false" ht="15.75" hidden="false" customHeight="false" outlineLevel="0" collapsed="false">
      <c r="A14" s="1" t="n">
        <v>52574</v>
      </c>
      <c r="B14" s="1" t="s">
        <v>2420</v>
      </c>
      <c r="C14" s="1" t="s">
        <v>2222</v>
      </c>
      <c r="D14" s="1" t="s">
        <v>589</v>
      </c>
      <c r="E14" s="1" t="s">
        <v>2348</v>
      </c>
      <c r="F14" s="1" t="n">
        <v>52574</v>
      </c>
      <c r="G14" s="1" t="s">
        <v>2421</v>
      </c>
      <c r="H14" s="1" t="s">
        <v>2212</v>
      </c>
      <c r="I14" s="1" t="n">
        <f aca="false">VLOOKUP($A14,Day2!$A$1:$H$400,4,FALSE())</f>
        <v>0</v>
      </c>
      <c r="J14" s="1" t="n">
        <f aca="false">VLOOKUP($A14,Day2!$A$1:$H$400,5,FALSE())</f>
        <v>0</v>
      </c>
      <c r="K14" s="1" t="n">
        <f aca="false">VLOOKUP($A14,Day2!$A$1:$H$400,6,FALSE())</f>
        <v>0</v>
      </c>
      <c r="L14" s="15" t="n">
        <f aca="false">SUM(I14:K14)</f>
        <v>0</v>
      </c>
      <c r="M14" s="15" t="str">
        <f aca="false">ROMAN(RANK(L14,$L$3:$L$25,0))</f>
        <v>VIII</v>
      </c>
    </row>
    <row r="15" customFormat="false" ht="15.75" hidden="false" customHeight="false" outlineLevel="0" collapsed="false">
      <c r="A15" s="1" t="n">
        <v>108195</v>
      </c>
      <c r="B15" s="1" t="s">
        <v>2420</v>
      </c>
      <c r="C15" s="1" t="s">
        <v>2302</v>
      </c>
      <c r="D15" s="1" t="s">
        <v>84</v>
      </c>
      <c r="E15" s="1" t="s">
        <v>2331</v>
      </c>
      <c r="F15" s="1" t="n">
        <v>108195</v>
      </c>
      <c r="G15" s="1" t="s">
        <v>2421</v>
      </c>
      <c r="H15" s="1" t="s">
        <v>2212</v>
      </c>
      <c r="I15" s="1" t="n">
        <f aca="false">VLOOKUP($A15,Day2!$A$1:$H$400,4,FALSE())</f>
        <v>0</v>
      </c>
      <c r="J15" s="1" t="n">
        <f aca="false">VLOOKUP($A15,Day2!$A$1:$H$400,5,FALSE())</f>
        <v>0</v>
      </c>
      <c r="K15" s="1" t="n">
        <f aca="false">VLOOKUP($A15,Day2!$A$1:$H$400,6,FALSE())</f>
        <v>0</v>
      </c>
      <c r="L15" s="15" t="n">
        <f aca="false">SUM(I15:K15)</f>
        <v>0</v>
      </c>
      <c r="M15" s="15" t="str">
        <f aca="false">ROMAN(RANK(L15,$L$3:$L$25,0))</f>
        <v>VIII</v>
      </c>
    </row>
    <row r="16" customFormat="false" ht="15.75" hidden="false" customHeight="false" outlineLevel="0" collapsed="false">
      <c r="A16" s="1" t="n">
        <v>186864</v>
      </c>
      <c r="B16" s="1" t="s">
        <v>2420</v>
      </c>
      <c r="C16" s="1" t="s">
        <v>2277</v>
      </c>
      <c r="D16" s="1" t="s">
        <v>580</v>
      </c>
      <c r="E16" s="1" t="s">
        <v>1088</v>
      </c>
      <c r="F16" s="1" t="n">
        <v>186864</v>
      </c>
      <c r="G16" s="1" t="s">
        <v>2421</v>
      </c>
      <c r="H16" s="1" t="s">
        <v>2212</v>
      </c>
      <c r="I16" s="1" t="n">
        <f aca="false">VLOOKUP($A16,Day2!$A$1:$H$400,4,FALSE())</f>
        <v>0</v>
      </c>
      <c r="J16" s="1" t="n">
        <f aca="false">VLOOKUP($A16,Day2!$A$1:$H$400,5,FALSE())</f>
        <v>0</v>
      </c>
      <c r="K16" s="1" t="n">
        <f aca="false">VLOOKUP($A16,Day2!$A$1:$H$400,6,FALSE())</f>
        <v>0</v>
      </c>
      <c r="L16" s="15" t="n">
        <f aca="false">SUM(I16:K16)</f>
        <v>0</v>
      </c>
      <c r="M16" s="15" t="str">
        <f aca="false">ROMAN(RANK(L16,$L$3:$L$25,0))</f>
        <v>VIII</v>
      </c>
    </row>
    <row r="17" customFormat="false" ht="15.75" hidden="false" customHeight="false" outlineLevel="0" collapsed="false">
      <c r="A17" s="1" t="n">
        <v>181339</v>
      </c>
      <c r="B17" s="1" t="s">
        <v>2420</v>
      </c>
      <c r="C17" s="1" t="s">
        <v>2290</v>
      </c>
      <c r="D17" s="1" t="s">
        <v>583</v>
      </c>
      <c r="E17" s="1" t="s">
        <v>2440</v>
      </c>
      <c r="F17" s="1" t="n">
        <v>181339</v>
      </c>
      <c r="G17" s="1" t="s">
        <v>2421</v>
      </c>
      <c r="H17" s="1" t="s">
        <v>2212</v>
      </c>
      <c r="I17" s="1" t="n">
        <f aca="false">VLOOKUP($A17,Day2!$A$1:$H$400,4,FALSE())</f>
        <v>0</v>
      </c>
      <c r="J17" s="1" t="n">
        <f aca="false">VLOOKUP($A17,Day2!$A$1:$H$400,5,FALSE())</f>
        <v>0</v>
      </c>
      <c r="K17" s="1" t="n">
        <f aca="false">VLOOKUP($A17,Day2!$A$1:$H$400,6,FALSE())</f>
        <v>0</v>
      </c>
      <c r="L17" s="15" t="n">
        <f aca="false">SUM(I17:K17)</f>
        <v>0</v>
      </c>
      <c r="M17" s="15" t="str">
        <f aca="false">ROMAN(RANK(L17,$L$3:$L$25,0))</f>
        <v>VIII</v>
      </c>
    </row>
    <row r="18" customFormat="false" ht="15.75" hidden="false" customHeight="false" outlineLevel="0" collapsed="false">
      <c r="A18" s="1" t="n">
        <v>81422</v>
      </c>
      <c r="B18" s="1" t="s">
        <v>2420</v>
      </c>
      <c r="C18" s="1" t="s">
        <v>2207</v>
      </c>
      <c r="D18" s="1" t="s">
        <v>477</v>
      </c>
      <c r="E18" s="1" t="s">
        <v>2423</v>
      </c>
      <c r="F18" s="1" t="n">
        <v>81422</v>
      </c>
      <c r="G18" s="1" t="s">
        <v>2421</v>
      </c>
      <c r="H18" s="1" t="s">
        <v>2225</v>
      </c>
      <c r="I18" s="1" t="n">
        <f aca="false">VLOOKUP($A18,Day2!$A$1:$H$400,4,FALSE())</f>
        <v>1</v>
      </c>
      <c r="J18" s="1" t="n">
        <f aca="false">VLOOKUP($A18,Day2!$A$1:$H$400,5,FALSE())</f>
        <v>0</v>
      </c>
      <c r="K18" s="1" t="n">
        <f aca="false">VLOOKUP($A18,Day2!$A$1:$H$400,6,FALSE())</f>
        <v>0</v>
      </c>
      <c r="L18" s="15" t="n">
        <f aca="false">SUM(I18:K18)</f>
        <v>1</v>
      </c>
      <c r="M18" s="15" t="str">
        <f aca="false">ROMAN(RANK(L18,$L$3:$L$25,0))</f>
        <v>V</v>
      </c>
    </row>
    <row r="19" customFormat="false" ht="15.75" hidden="false" customHeight="false" outlineLevel="0" collapsed="false">
      <c r="A19" s="1" t="n">
        <v>118299</v>
      </c>
      <c r="B19" s="1" t="s">
        <v>2420</v>
      </c>
      <c r="C19" s="1" t="s">
        <v>2253</v>
      </c>
      <c r="D19" s="1" t="s">
        <v>495</v>
      </c>
      <c r="E19" s="1" t="s">
        <v>2371</v>
      </c>
      <c r="F19" s="1" t="n">
        <v>118299</v>
      </c>
      <c r="G19" s="1" t="s">
        <v>2421</v>
      </c>
      <c r="H19" s="1" t="s">
        <v>2209</v>
      </c>
      <c r="I19" s="1" t="n">
        <f aca="false">VLOOKUP($A19,Day2!$A$1:$H$400,4,FALSE())</f>
        <v>0</v>
      </c>
      <c r="J19" s="1" t="n">
        <f aca="false">VLOOKUP($A19,Day2!$A$1:$H$400,5,FALSE())</f>
        <v>0</v>
      </c>
      <c r="K19" s="1" t="n">
        <f aca="false">VLOOKUP($A19,Day2!$A$1:$H$400,6,FALSE())</f>
        <v>0</v>
      </c>
      <c r="L19" s="15" t="n">
        <f aca="false">SUM(I19:K19)</f>
        <v>0</v>
      </c>
      <c r="M19" s="15" t="str">
        <f aca="false">ROMAN(RANK(L19,$L$3:$L$25,0))</f>
        <v>VIII</v>
      </c>
    </row>
    <row r="20" customFormat="false" ht="15.75" hidden="false" customHeight="false" outlineLevel="0" collapsed="false">
      <c r="A20" s="1" t="n">
        <v>72371</v>
      </c>
      <c r="B20" s="1" t="s">
        <v>2420</v>
      </c>
      <c r="C20" s="1" t="s">
        <v>2222</v>
      </c>
      <c r="D20" s="1" t="s">
        <v>554</v>
      </c>
      <c r="E20" s="1" t="s">
        <v>1178</v>
      </c>
      <c r="F20" s="1" t="n">
        <v>72371</v>
      </c>
      <c r="G20" s="1" t="s">
        <v>2421</v>
      </c>
      <c r="H20" s="1" t="s">
        <v>2209</v>
      </c>
      <c r="I20" s="1" t="n">
        <f aca="false">VLOOKUP($A20,Day2!$A$1:$H$400,4,FALSE())</f>
        <v>1</v>
      </c>
      <c r="J20" s="1" t="n">
        <f aca="false">VLOOKUP($A20,Day2!$A$1:$H$400,5,FALSE())</f>
        <v>0.5</v>
      </c>
      <c r="K20" s="1" t="n">
        <f aca="false">VLOOKUP($A20,Day2!$A$1:$H$400,6,FALSE())</f>
        <v>0</v>
      </c>
      <c r="L20" s="15" t="n">
        <f aca="false">SUM(I20:K20)</f>
        <v>1.5</v>
      </c>
      <c r="M20" s="15" t="str">
        <f aca="false">ROMAN(RANK(L20,$L$3:$L$25,0))</f>
        <v>IV</v>
      </c>
    </row>
    <row r="21" customFormat="false" ht="15.75" hidden="false" customHeight="false" outlineLevel="0" collapsed="false">
      <c r="A21" s="1" t="n">
        <v>187841</v>
      </c>
      <c r="B21" s="1" t="s">
        <v>2420</v>
      </c>
      <c r="C21" s="1" t="s">
        <v>2221</v>
      </c>
      <c r="D21" s="1" t="s">
        <v>460</v>
      </c>
      <c r="E21" s="1" t="s">
        <v>2429</v>
      </c>
      <c r="F21" s="1" t="n">
        <v>187841</v>
      </c>
      <c r="G21" s="1" t="s">
        <v>2421</v>
      </c>
      <c r="H21" s="1" t="s">
        <v>2209</v>
      </c>
      <c r="I21" s="1" t="n">
        <f aca="false">VLOOKUP($A21,Day2!$A$1:$H$400,4,FALSE())</f>
        <v>0</v>
      </c>
      <c r="J21" s="1" t="n">
        <f aca="false">VLOOKUP($A21,Day2!$A$1:$H$400,5,FALSE())</f>
        <v>0</v>
      </c>
      <c r="K21" s="1" t="n">
        <f aca="false">VLOOKUP($A21,Day2!$A$1:$H$400,6,FALSE())</f>
        <v>0</v>
      </c>
      <c r="L21" s="15" t="n">
        <f aca="false">SUM(I21:K21)</f>
        <v>0</v>
      </c>
      <c r="M21" s="15" t="str">
        <f aca="false">ROMAN(RANK(L21,$L$3:$L$25,0))</f>
        <v>VIII</v>
      </c>
    </row>
    <row r="22" customFormat="false" ht="15.75" hidden="false" customHeight="false" outlineLevel="0" collapsed="false">
      <c r="A22" s="1" t="n">
        <v>118641</v>
      </c>
      <c r="B22" s="1" t="s">
        <v>2420</v>
      </c>
      <c r="C22" s="1" t="s">
        <v>2253</v>
      </c>
      <c r="D22" s="1" t="s">
        <v>472</v>
      </c>
      <c r="E22" s="1" t="s">
        <v>1088</v>
      </c>
      <c r="F22" s="1" t="n">
        <v>118641</v>
      </c>
      <c r="G22" s="1" t="s">
        <v>2421</v>
      </c>
      <c r="H22" s="1" t="s">
        <v>2209</v>
      </c>
      <c r="I22" s="1" t="n">
        <f aca="false">VLOOKUP($A22,Day2!$A$1:$H$400,4,FALSE())</f>
        <v>0</v>
      </c>
      <c r="J22" s="1" t="n">
        <f aca="false">VLOOKUP($A22,Day2!$A$1:$H$400,5,FALSE())</f>
        <v>0</v>
      </c>
      <c r="K22" s="1" t="n">
        <f aca="false">VLOOKUP($A22,Day2!$A$1:$H$400,6,FALSE())</f>
        <v>0</v>
      </c>
      <c r="L22" s="15" t="n">
        <f aca="false">SUM(I22:K22)</f>
        <v>0</v>
      </c>
      <c r="M22" s="15" t="str">
        <f aca="false">ROMAN(RANK(L22,$L$3:$L$25,0))</f>
        <v>VIII</v>
      </c>
    </row>
    <row r="23" customFormat="false" ht="15.75" hidden="false" customHeight="false" outlineLevel="0" collapsed="false">
      <c r="A23" s="1" t="n">
        <v>212268</v>
      </c>
      <c r="B23" s="1" t="s">
        <v>2420</v>
      </c>
      <c r="C23" s="1" t="s">
        <v>2222</v>
      </c>
      <c r="D23" s="1" t="s">
        <v>550</v>
      </c>
      <c r="E23" s="1" t="s">
        <v>2376</v>
      </c>
      <c r="F23" s="1" t="n">
        <v>212268</v>
      </c>
      <c r="G23" s="1" t="s">
        <v>2421</v>
      </c>
      <c r="H23" s="1" t="s">
        <v>2212</v>
      </c>
      <c r="I23" s="1" t="n">
        <f aca="false">VLOOKUP($A23,Day2!$A$1:$H$400,4,FALSE())</f>
        <v>0</v>
      </c>
      <c r="J23" s="1" t="n">
        <f aca="false">VLOOKUP($A23,Day2!$A$1:$H$400,5,FALSE())</f>
        <v>0</v>
      </c>
      <c r="K23" s="1" t="n">
        <f aca="false">VLOOKUP($A23,Day2!$A$1:$H$400,6,FALSE())</f>
        <v>0</v>
      </c>
      <c r="L23" s="15" t="n">
        <f aca="false">SUM(I23:K23)</f>
        <v>0</v>
      </c>
      <c r="M23" s="15" t="str">
        <f aca="false">ROMAN(RANK(L23,$L$3:$L$25,0))</f>
        <v>VIII</v>
      </c>
    </row>
    <row r="24" customFormat="false" ht="15.75" hidden="false" customHeight="false" outlineLevel="0" collapsed="false">
      <c r="A24" s="1" t="n">
        <v>111815</v>
      </c>
      <c r="B24" s="1" t="s">
        <v>2420</v>
      </c>
      <c r="C24" s="1" t="s">
        <v>2221</v>
      </c>
      <c r="D24" s="1" t="s">
        <v>517</v>
      </c>
      <c r="E24" s="1" t="s">
        <v>2422</v>
      </c>
      <c r="F24" s="1" t="n">
        <v>111815</v>
      </c>
      <c r="G24" s="1" t="s">
        <v>2421</v>
      </c>
      <c r="H24" s="1" t="s">
        <v>2209</v>
      </c>
      <c r="I24" s="1" t="n">
        <f aca="false">VLOOKUP($A24,Day2!$A$1:$H$400,4,FALSE())</f>
        <v>6</v>
      </c>
      <c r="J24" s="1" t="n">
        <f aca="false">VLOOKUP($A24,Day2!$A$1:$H$400,5,FALSE())</f>
        <v>0</v>
      </c>
      <c r="K24" s="1" t="n">
        <f aca="false">VLOOKUP($A24,Day2!$A$1:$H$400,6,FALSE())</f>
        <v>0</v>
      </c>
      <c r="L24" s="15" t="n">
        <f aca="false">SUM(I24:K24)</f>
        <v>6</v>
      </c>
      <c r="M24" s="15" t="str">
        <f aca="false">ROMAN(RANK(L24,$L$3:$L$25,0))</f>
        <v>III</v>
      </c>
    </row>
    <row r="25" customFormat="false" ht="15.75" hidden="false" customHeight="false" outlineLevel="0" collapsed="false">
      <c r="A25" s="1" t="n">
        <v>118935</v>
      </c>
      <c r="B25" s="1" t="s">
        <v>2420</v>
      </c>
      <c r="C25" s="1" t="s">
        <v>2227</v>
      </c>
      <c r="D25" s="1" t="s">
        <v>500</v>
      </c>
      <c r="E25" s="1" t="s">
        <v>2434</v>
      </c>
      <c r="F25" s="1" t="n">
        <v>118935</v>
      </c>
      <c r="G25" s="1" t="s">
        <v>2421</v>
      </c>
      <c r="H25" s="1" t="s">
        <v>2212</v>
      </c>
      <c r="I25" s="1" t="n">
        <f aca="false">VLOOKUP($A25,Day2!$A$1:$H$400,4,FALSE())</f>
        <v>0</v>
      </c>
      <c r="J25" s="1" t="n">
        <f aca="false">VLOOKUP($A25,Day2!$A$1:$H$400,5,FALSE())</f>
        <v>0</v>
      </c>
      <c r="K25" s="1" t="n">
        <f aca="false">VLOOKUP($A25,Day2!$A$1:$H$400,6,FALSE())</f>
        <v>0</v>
      </c>
      <c r="L25" s="15" t="n">
        <f aca="false">SUM(I25:K25)</f>
        <v>0</v>
      </c>
      <c r="M25" s="15" t="str">
        <f aca="false">ROMAN(RANK(L25,$L$3:$L$25,0))</f>
        <v>VIII</v>
      </c>
    </row>
    <row r="26" customFormat="false" ht="15.75" hidden="false" customHeight="false" outlineLevel="0" collapsed="false">
      <c r="A26" s="1" t="n">
        <v>136996</v>
      </c>
      <c r="B26" s="1" t="s">
        <v>2420</v>
      </c>
      <c r="C26" s="1" t="s">
        <v>2310</v>
      </c>
      <c r="D26" s="1" t="s">
        <v>563</v>
      </c>
      <c r="E26" s="1" t="s">
        <v>2372</v>
      </c>
      <c r="F26" s="1" t="n">
        <v>136996</v>
      </c>
      <c r="G26" s="1" t="s">
        <v>2421</v>
      </c>
      <c r="H26" s="1" t="s">
        <v>2212</v>
      </c>
      <c r="I26" s="1" t="n">
        <f aca="false">VLOOKUP($A26,Day2!$A$1:$H$400,4,FALSE())</f>
        <v>0</v>
      </c>
      <c r="J26" s="1" t="n">
        <f aca="false">VLOOKUP($A26,Day2!$A$1:$H$400,5,FALSE())</f>
        <v>0</v>
      </c>
      <c r="K26" s="1" t="n">
        <f aca="false">VLOOKUP($A26,Day2!$A$1:$H$400,6,FALSE())</f>
        <v>0</v>
      </c>
      <c r="L26" s="15" t="n">
        <f aca="false">SUM(I26:K26)</f>
        <v>0</v>
      </c>
      <c r="M26" s="15" t="str">
        <f aca="false">ROMAN(RANK(L26,$L$3:$L$25,0))</f>
        <v>VIII</v>
      </c>
    </row>
    <row r="27" customFormat="false" ht="15.75" hidden="false" customHeight="false" outlineLevel="0" collapsed="false">
      <c r="A27" s="1" t="n">
        <v>50160</v>
      </c>
      <c r="B27" s="1" t="s">
        <v>2420</v>
      </c>
      <c r="C27" s="1" t="s">
        <v>2265</v>
      </c>
      <c r="D27" s="1" t="s">
        <v>594</v>
      </c>
      <c r="E27" s="1" t="s">
        <v>2395</v>
      </c>
      <c r="F27" s="1" t="n">
        <v>50160</v>
      </c>
      <c r="G27" s="1" t="s">
        <v>2421</v>
      </c>
      <c r="H27" s="1" t="s">
        <v>2209</v>
      </c>
      <c r="I27" s="1" t="n">
        <f aca="false">VLOOKUP($A27,Day2!$A$1:$H$400,4,FALSE())</f>
        <v>0</v>
      </c>
      <c r="J27" s="1" t="n">
        <f aca="false">VLOOKUP($A27,Day2!$A$1:$H$400,5,FALSE())</f>
        <v>0</v>
      </c>
      <c r="K27" s="1" t="n">
        <f aca="false">VLOOKUP($A27,Day2!$A$1:$H$400,6,FALSE())</f>
        <v>0</v>
      </c>
      <c r="L27" s="15" t="n">
        <f aca="false">SUM(I27:K27)</f>
        <v>0</v>
      </c>
      <c r="M27" s="15" t="str">
        <f aca="false">ROMAN(RANK(L27,$L$3:$L$25,0))</f>
        <v>VIII</v>
      </c>
    </row>
    <row r="28" customFormat="false" ht="15.75" hidden="false" customHeight="false" outlineLevel="0" collapsed="false">
      <c r="A28" s="1" t="n">
        <v>119572</v>
      </c>
      <c r="B28" s="1" t="s">
        <v>2420</v>
      </c>
      <c r="C28" s="1" t="s">
        <v>2257</v>
      </c>
      <c r="D28" s="1" t="s">
        <v>454</v>
      </c>
      <c r="E28" s="1" t="s">
        <v>2425</v>
      </c>
      <c r="F28" s="1" t="n">
        <v>119572</v>
      </c>
      <c r="G28" s="1" t="s">
        <v>2421</v>
      </c>
      <c r="H28" s="1" t="s">
        <v>2212</v>
      </c>
      <c r="I28" s="1" t="n">
        <f aca="false">VLOOKUP($A28,Day2!$A$1:$H$400,4,FALSE())</f>
        <v>0</v>
      </c>
      <c r="J28" s="1" t="n">
        <f aca="false">VLOOKUP($A28,Day2!$A$1:$H$400,5,FALSE())</f>
        <v>0</v>
      </c>
      <c r="K28" s="1" t="n">
        <f aca="false">VLOOKUP($A28,Day2!$A$1:$H$400,6,FALSE())</f>
        <v>0</v>
      </c>
      <c r="L28" s="15" t="n">
        <f aca="false">SUM(I28:K28)</f>
        <v>0</v>
      </c>
      <c r="M28" s="15" t="str">
        <f aca="false">ROMAN(RANK(L28,$L$3:$L$25,0))</f>
        <v>VIII</v>
      </c>
    </row>
    <row r="29" customFormat="false" ht="15.75" hidden="false" customHeight="false" outlineLevel="0" collapsed="false">
      <c r="A29" s="1" t="n">
        <v>206976</v>
      </c>
      <c r="B29" s="1" t="s">
        <v>2420</v>
      </c>
      <c r="C29" s="1" t="s">
        <v>2215</v>
      </c>
      <c r="D29" s="1" t="s">
        <v>449</v>
      </c>
      <c r="E29" s="1" t="s">
        <v>2426</v>
      </c>
      <c r="F29" s="1" t="n">
        <v>206976</v>
      </c>
      <c r="G29" s="1" t="s">
        <v>2421</v>
      </c>
      <c r="H29" s="1" t="s">
        <v>2212</v>
      </c>
      <c r="I29" s="1" t="n">
        <f aca="false">VLOOKUP($A29,Day2!$A$1:$H$400,4,FALSE())</f>
        <v>0</v>
      </c>
      <c r="J29" s="1" t="n">
        <f aca="false">VLOOKUP($A29,Day2!$A$1:$H$400,5,FALSE())</f>
        <v>0</v>
      </c>
      <c r="K29" s="1" t="n">
        <f aca="false">VLOOKUP($A29,Day2!$A$1:$H$400,6,FALSE())</f>
        <v>0</v>
      </c>
      <c r="L29" s="15" t="n">
        <f aca="false">SUM(I29:K29)</f>
        <v>0</v>
      </c>
      <c r="M29" s="15" t="str">
        <f aca="false">ROMAN(RANK(L29,$L$3:$L$25,0))</f>
        <v>VIII</v>
      </c>
    </row>
    <row r="30" customFormat="false" ht="15.75" hidden="false" customHeight="false" outlineLevel="0" collapsed="false">
      <c r="A30" s="1" t="n">
        <v>155666</v>
      </c>
      <c r="B30" s="1" t="s">
        <v>2420</v>
      </c>
      <c r="C30" s="1" t="s">
        <v>2436</v>
      </c>
      <c r="D30" s="1" t="s">
        <v>541</v>
      </c>
      <c r="E30" s="1" t="s">
        <v>2441</v>
      </c>
      <c r="F30" s="1" t="n">
        <v>155666</v>
      </c>
      <c r="G30" s="1" t="s">
        <v>2421</v>
      </c>
      <c r="H30" s="1" t="s">
        <v>2212</v>
      </c>
      <c r="I30" s="1" t="n">
        <f aca="false">VLOOKUP($A30,Day2!$A$1:$H$400,4,FALSE())</f>
        <v>0</v>
      </c>
      <c r="J30" s="1" t="n">
        <f aca="false">VLOOKUP($A30,Day2!$A$1:$H$400,5,FALSE())</f>
        <v>0</v>
      </c>
      <c r="K30" s="1" t="n">
        <f aca="false">VLOOKUP($A30,Day2!$A$1:$H$400,6,FALSE())</f>
        <v>0</v>
      </c>
      <c r="L30" s="15" t="n">
        <f aca="false">SUM(I30:K30)</f>
        <v>0</v>
      </c>
      <c r="M30" s="15" t="str">
        <f aca="false">ROMAN(RANK(L30,$L$3:$L$25,0))</f>
        <v>VIII</v>
      </c>
    </row>
    <row r="31" customFormat="false" ht="15.75" hidden="false" customHeight="false" outlineLevel="0" collapsed="false">
      <c r="A31" s="1" t="n">
        <v>155702</v>
      </c>
      <c r="B31" s="1" t="s">
        <v>2420</v>
      </c>
      <c r="C31" s="1" t="s">
        <v>2436</v>
      </c>
      <c r="D31" s="1" t="s">
        <v>2437</v>
      </c>
      <c r="E31" s="1" t="s">
        <v>462</v>
      </c>
      <c r="F31" s="1" t="n">
        <v>155702</v>
      </c>
      <c r="G31" s="1" t="s">
        <v>2421</v>
      </c>
      <c r="H31" s="1" t="s">
        <v>2212</v>
      </c>
      <c r="I31" s="1" t="n">
        <f aca="false">VLOOKUP($A31,Day2!$A$1:$H$400,4,FALSE())</f>
        <v>0</v>
      </c>
      <c r="J31" s="1" t="n">
        <f aca="false">VLOOKUP($A31,Day2!$A$1:$H$400,5,FALSE())</f>
        <v>0</v>
      </c>
      <c r="K31" s="1" t="n">
        <f aca="false">VLOOKUP($A31,Day2!$A$1:$H$400,6,FALSE())</f>
        <v>0</v>
      </c>
      <c r="L31" s="15" t="n">
        <f aca="false">SUM(I31:K31)</f>
        <v>0</v>
      </c>
      <c r="M31" s="15" t="str">
        <f aca="false">ROMAN(RANK(L31,$L$3:$L$25,0))</f>
        <v>VIII</v>
      </c>
    </row>
    <row r="32" customFormat="false" ht="15.75" hidden="false" customHeight="false" outlineLevel="0" collapsed="false">
      <c r="A32" s="1" t="n">
        <v>115673</v>
      </c>
      <c r="B32" s="1" t="s">
        <v>2420</v>
      </c>
      <c r="C32" s="1" t="s">
        <v>2255</v>
      </c>
      <c r="D32" s="1" t="s">
        <v>458</v>
      </c>
      <c r="E32" s="1" t="s">
        <v>2429</v>
      </c>
      <c r="F32" s="1" t="n">
        <v>115673</v>
      </c>
      <c r="G32" s="1" t="s">
        <v>2421</v>
      </c>
      <c r="H32" s="1" t="s">
        <v>2212</v>
      </c>
      <c r="I32" s="1" t="n">
        <f aca="false">VLOOKUP($A32,Day2!$A$1:$H$400,4,FALSE())</f>
        <v>0</v>
      </c>
      <c r="J32" s="1" t="n">
        <f aca="false">VLOOKUP($A32,Day2!$A$1:$H$400,5,FALSE())</f>
        <v>0</v>
      </c>
      <c r="K32" s="1" t="n">
        <f aca="false">VLOOKUP($A32,Day2!$A$1:$H$400,6,FALSE())</f>
        <v>0</v>
      </c>
      <c r="L32" s="15" t="n">
        <f aca="false">SUM(I32:K32)</f>
        <v>0</v>
      </c>
      <c r="M32" s="15" t="str">
        <f aca="false">ROMAN(RANK(L32,$L$3:$L$25,0))</f>
        <v>VIII</v>
      </c>
    </row>
    <row r="33" customFormat="false" ht="15.75" hidden="false" customHeight="false" outlineLevel="0" collapsed="false">
      <c r="A33" s="1" t="n">
        <v>109467</v>
      </c>
      <c r="B33" s="1" t="s">
        <v>2420</v>
      </c>
      <c r="C33" s="1" t="s">
        <v>2218</v>
      </c>
      <c r="D33" s="1" t="s">
        <v>561</v>
      </c>
      <c r="E33" s="1" t="s">
        <v>188</v>
      </c>
      <c r="F33" s="1" t="n">
        <v>109467</v>
      </c>
      <c r="G33" s="1" t="s">
        <v>2421</v>
      </c>
      <c r="H33" s="1" t="s">
        <v>2212</v>
      </c>
      <c r="I33" s="1" t="n">
        <f aca="false">VLOOKUP($A33,Day2!$A$1:$H$400,4,FALSE())</f>
        <v>0</v>
      </c>
      <c r="J33" s="1" t="n">
        <f aca="false">VLOOKUP($A33,Day2!$A$1:$H$400,5,FALSE())</f>
        <v>0</v>
      </c>
      <c r="K33" s="1" t="n">
        <f aca="false">VLOOKUP($A33,Day2!$A$1:$H$400,6,FALSE())</f>
        <v>0</v>
      </c>
      <c r="L33" s="15" t="n">
        <f aca="false">SUM(I33:K33)</f>
        <v>0</v>
      </c>
      <c r="M33" s="15" t="str">
        <f aca="false">ROMAN(RANK(L33,$L$3:$L$25,0))</f>
        <v>VIII</v>
      </c>
    </row>
    <row r="34" customFormat="false" ht="15.75" hidden="false" customHeight="false" outlineLevel="0" collapsed="false">
      <c r="A34" s="1" t="n">
        <v>174358</v>
      </c>
      <c r="B34" s="1" t="s">
        <v>2420</v>
      </c>
      <c r="C34" s="1" t="s">
        <v>2261</v>
      </c>
      <c r="D34" s="1" t="s">
        <v>465</v>
      </c>
      <c r="E34" s="1" t="s">
        <v>2442</v>
      </c>
      <c r="F34" s="1" t="n">
        <v>174358</v>
      </c>
      <c r="G34" s="1" t="s">
        <v>2421</v>
      </c>
      <c r="H34" s="1" t="s">
        <v>2209</v>
      </c>
      <c r="I34" s="1" t="n">
        <f aca="false">VLOOKUP($A34,Day2!$A$1:$H$400,4,FALSE())</f>
        <v>0</v>
      </c>
      <c r="J34" s="1" t="n">
        <f aca="false">VLOOKUP($A34,Day2!$A$1:$H$400,5,FALSE())</f>
        <v>0</v>
      </c>
      <c r="K34" s="1" t="n">
        <f aca="false">VLOOKUP($A34,Day2!$A$1:$H$400,6,FALSE())</f>
        <v>0</v>
      </c>
      <c r="L34" s="15" t="n">
        <f aca="false">SUM(I34:K34)</f>
        <v>0</v>
      </c>
      <c r="M34" s="15" t="str">
        <f aca="false">ROMAN(RANK(L34,$L$3:$L$25,0))</f>
        <v>VIII</v>
      </c>
    </row>
    <row r="35" customFormat="false" ht="15.75" hidden="false" customHeight="false" outlineLevel="0" collapsed="false">
      <c r="A35" s="1" t="n">
        <v>186921</v>
      </c>
      <c r="B35" s="1" t="s">
        <v>2420</v>
      </c>
      <c r="C35" s="1" t="s">
        <v>2277</v>
      </c>
      <c r="D35" s="1" t="s">
        <v>527</v>
      </c>
      <c r="E35" s="1" t="s">
        <v>2435</v>
      </c>
      <c r="F35" s="1" t="n">
        <v>186921</v>
      </c>
      <c r="G35" s="1" t="s">
        <v>2421</v>
      </c>
      <c r="H35" s="1" t="s">
        <v>2212</v>
      </c>
      <c r="I35" s="1" t="n">
        <f aca="false">VLOOKUP($A35,Day2!$A$1:$H$400,4,FALSE())</f>
        <v>0</v>
      </c>
      <c r="J35" s="1" t="n">
        <f aca="false">VLOOKUP($A35,Day2!$A$1:$H$400,5,FALSE())</f>
        <v>0</v>
      </c>
      <c r="K35" s="1" t="n">
        <f aca="false">VLOOKUP($A35,Day2!$A$1:$H$400,6,FALSE())</f>
        <v>0</v>
      </c>
      <c r="L35" s="15" t="n">
        <f aca="false">SUM(I35:K35)</f>
        <v>0</v>
      </c>
      <c r="M35" s="15" t="str">
        <f aca="false">ROMAN(RANK(L35,$L$3:$L$25,0))</f>
        <v>VIII</v>
      </c>
    </row>
    <row r="36" customFormat="false" ht="15.75" hidden="false" customHeight="false" outlineLevel="0" collapsed="false">
      <c r="A36" s="1" t="n">
        <v>175146</v>
      </c>
      <c r="B36" s="1" t="s">
        <v>2420</v>
      </c>
      <c r="C36" s="1" t="s">
        <v>2203</v>
      </c>
      <c r="D36" s="1" t="s">
        <v>600</v>
      </c>
      <c r="E36" s="1" t="s">
        <v>652</v>
      </c>
      <c r="F36" s="1" t="n">
        <v>175146</v>
      </c>
      <c r="G36" s="1" t="s">
        <v>2421</v>
      </c>
      <c r="H36" s="1" t="s">
        <v>2212</v>
      </c>
      <c r="I36" s="1" t="n">
        <f aca="false">VLOOKUP($A36,Day2!$A$1:$H$400,4,FALSE())</f>
        <v>0</v>
      </c>
      <c r="J36" s="1" t="n">
        <f aca="false">VLOOKUP($A36,Day2!$A$1:$H$400,5,FALSE())</f>
        <v>0</v>
      </c>
      <c r="K36" s="1" t="n">
        <f aca="false">VLOOKUP($A36,Day2!$A$1:$H$400,6,FALSE())</f>
        <v>0</v>
      </c>
      <c r="L36" s="15" t="n">
        <f aca="false">SUM(I36:K36)</f>
        <v>0</v>
      </c>
      <c r="M36" s="15" t="str">
        <f aca="false">ROMAN(RANK(L36,$L$3:$L$25,0))</f>
        <v>VIII</v>
      </c>
    </row>
    <row r="37" customFormat="false" ht="15.75" hidden="false" customHeight="false" outlineLevel="0" collapsed="false">
      <c r="A37" s="1" t="n">
        <v>196624</v>
      </c>
      <c r="B37" s="1" t="s">
        <v>2420</v>
      </c>
      <c r="C37" s="1" t="s">
        <v>2210</v>
      </c>
      <c r="D37" s="1" t="s">
        <v>524</v>
      </c>
      <c r="E37" s="1" t="s">
        <v>2443</v>
      </c>
      <c r="F37" s="1" t="n">
        <v>196624</v>
      </c>
      <c r="G37" s="1" t="s">
        <v>2421</v>
      </c>
      <c r="H37" s="1" t="s">
        <v>2212</v>
      </c>
      <c r="I37" s="1" t="n">
        <f aca="false">VLOOKUP($A37,Day2!$A$1:$H$400,4,FALSE())</f>
        <v>0</v>
      </c>
      <c r="J37" s="1" t="n">
        <f aca="false">VLOOKUP($A37,Day2!$A$1:$H$400,5,FALSE())</f>
        <v>0</v>
      </c>
      <c r="K37" s="1" t="n">
        <f aca="false">VLOOKUP($A37,Day2!$A$1:$H$400,6,FALSE())</f>
        <v>0</v>
      </c>
      <c r="L37" s="15" t="n">
        <f aca="false">SUM(I37:K37)</f>
        <v>0</v>
      </c>
      <c r="M37" s="15" t="str">
        <f aca="false">ROMAN(RANK(L37,$L$3:$L$25,0))</f>
        <v>VIII</v>
      </c>
    </row>
    <row r="38" customFormat="false" ht="15.75" hidden="false" customHeight="false" outlineLevel="0" collapsed="false">
      <c r="A38" s="1" t="n">
        <v>181570</v>
      </c>
      <c r="B38" s="1" t="s">
        <v>2420</v>
      </c>
      <c r="C38" s="1" t="s">
        <v>2432</v>
      </c>
      <c r="D38" s="1" t="s">
        <v>546</v>
      </c>
      <c r="E38" s="1" t="s">
        <v>25</v>
      </c>
      <c r="F38" s="1" t="n">
        <v>181570</v>
      </c>
      <c r="G38" s="1" t="s">
        <v>2421</v>
      </c>
      <c r="H38" s="1" t="s">
        <v>2209</v>
      </c>
      <c r="I38" s="1" t="n">
        <f aca="false">VLOOKUP($A38,Day2!$A$1:$H$400,4,FALSE())</f>
        <v>1</v>
      </c>
      <c r="J38" s="1" t="n">
        <f aca="false">VLOOKUP($A38,Day2!$A$1:$H$400,5,FALSE())</f>
        <v>0</v>
      </c>
      <c r="K38" s="1" t="n">
        <f aca="false">VLOOKUP($A38,Day2!$A$1:$H$400,6,FALSE())</f>
        <v>0</v>
      </c>
      <c r="L38" s="15" t="n">
        <f aca="false">SUM(I38:K38)</f>
        <v>1</v>
      </c>
      <c r="M38" s="15" t="str">
        <f aca="false">ROMAN(RANK(L38,$L$3:$L$25,0))</f>
        <v>V</v>
      </c>
    </row>
    <row r="39" customFormat="false" ht="15.75" hidden="false" customHeight="false" outlineLevel="0" collapsed="false">
      <c r="A39" s="1" t="n">
        <v>204719</v>
      </c>
      <c r="B39" s="1" t="s">
        <v>2420</v>
      </c>
      <c r="C39" s="1" t="s">
        <v>2222</v>
      </c>
      <c r="D39" s="1" t="s">
        <v>360</v>
      </c>
      <c r="E39" s="1" t="s">
        <v>2444</v>
      </c>
      <c r="F39" s="1" t="n">
        <v>204719</v>
      </c>
      <c r="G39" s="1" t="s">
        <v>2421</v>
      </c>
      <c r="H39" s="1" t="s">
        <v>2212</v>
      </c>
      <c r="I39" s="1" t="n">
        <f aca="false">VLOOKUP($A39,Day2!$A$1:$H$400,4,FALSE())</f>
        <v>0</v>
      </c>
      <c r="J39" s="1" t="n">
        <f aca="false">VLOOKUP($A39,Day2!$A$1:$H$400,5,FALSE())</f>
        <v>0</v>
      </c>
      <c r="K39" s="1" t="n">
        <f aca="false">VLOOKUP($A39,Day2!$A$1:$H$400,6,FALSE())</f>
        <v>0</v>
      </c>
      <c r="L39" s="15" t="n">
        <f aca="false">SUM(I39:K39)</f>
        <v>0</v>
      </c>
      <c r="M39" s="15" t="str">
        <f aca="false">ROMAN(RANK(L39,$L$3:$L$25,0))</f>
        <v>VIII</v>
      </c>
    </row>
    <row r="40" customFormat="false" ht="15.75" hidden="false" customHeight="false" outlineLevel="0" collapsed="false">
      <c r="A40" s="1" t="n">
        <v>109300</v>
      </c>
      <c r="B40" s="1" t="s">
        <v>2420</v>
      </c>
      <c r="C40" s="1" t="s">
        <v>2221</v>
      </c>
      <c r="D40" s="1" t="s">
        <v>25</v>
      </c>
      <c r="E40" s="1" t="s">
        <v>2427</v>
      </c>
      <c r="F40" s="1" t="n">
        <v>109300</v>
      </c>
      <c r="G40" s="1" t="s">
        <v>2421</v>
      </c>
      <c r="H40" s="1" t="s">
        <v>2206</v>
      </c>
      <c r="I40" s="1" t="n">
        <f aca="false">VLOOKUP($A40,Day2!$A$1:$H$400,4,FALSE())</f>
        <v>0</v>
      </c>
      <c r="J40" s="1" t="n">
        <f aca="false">VLOOKUP($A40,Day2!$A$1:$H$400,5,FALSE())</f>
        <v>0</v>
      </c>
      <c r="K40" s="1" t="n">
        <f aca="false">VLOOKUP($A40,Day2!$A$1:$H$400,6,FALSE())</f>
        <v>0</v>
      </c>
      <c r="L40" s="15" t="n">
        <f aca="false">SUM(I40:K40)</f>
        <v>0</v>
      </c>
      <c r="M40" s="15" t="str">
        <f aca="false">ROMAN(RANK(L40,$L$3:$L$25,0))</f>
        <v>VIII</v>
      </c>
    </row>
    <row r="41" customFormat="false" ht="15.75" hidden="false" customHeight="false" outlineLevel="0" collapsed="false">
      <c r="A41" s="1" t="n">
        <v>183220</v>
      </c>
      <c r="B41" s="1" t="s">
        <v>2420</v>
      </c>
      <c r="C41" s="1" t="s">
        <v>2295</v>
      </c>
      <c r="D41" s="1" t="s">
        <v>467</v>
      </c>
      <c r="E41" s="1" t="s">
        <v>1766</v>
      </c>
      <c r="F41" s="1" t="n">
        <v>183220</v>
      </c>
      <c r="G41" s="1" t="s">
        <v>2421</v>
      </c>
      <c r="H41" s="1" t="s">
        <v>2225</v>
      </c>
      <c r="I41" s="1" t="n">
        <f aca="false">VLOOKUP($A41,Day2!$A$1:$H$400,4,FALSE())</f>
        <v>1</v>
      </c>
      <c r="J41" s="1" t="n">
        <f aca="false">VLOOKUP($A41,Day2!$A$1:$H$400,5,FALSE())</f>
        <v>0</v>
      </c>
      <c r="K41" s="1" t="n">
        <f aca="false">VLOOKUP($A41,Day2!$A$1:$H$400,6,FALSE())</f>
        <v>0</v>
      </c>
      <c r="L41" s="15" t="n">
        <f aca="false">SUM(I41:K41)</f>
        <v>1</v>
      </c>
      <c r="M41" s="15" t="str">
        <f aca="false">ROMAN(RANK(L41,$L$3:$L$25,0))</f>
        <v>V</v>
      </c>
    </row>
    <row r="42" customFormat="false" ht="15.75" hidden="false" customHeight="false" outlineLevel="0" collapsed="false">
      <c r="A42" s="1" t="n">
        <v>81414</v>
      </c>
      <c r="B42" s="1" t="s">
        <v>2420</v>
      </c>
      <c r="C42" s="1" t="s">
        <v>2207</v>
      </c>
      <c r="D42" s="1" t="s">
        <v>598</v>
      </c>
      <c r="E42" s="1" t="s">
        <v>2428</v>
      </c>
      <c r="F42" s="1" t="n">
        <v>81414</v>
      </c>
      <c r="G42" s="1" t="s">
        <v>2421</v>
      </c>
      <c r="H42" s="1" t="s">
        <v>2225</v>
      </c>
      <c r="I42" s="1" t="n">
        <f aca="false">VLOOKUP($A42,Day2!$A$1:$H$400,4,FALSE())</f>
        <v>0</v>
      </c>
      <c r="J42" s="1" t="n">
        <f aca="false">VLOOKUP($A42,Day2!$A$1:$H$400,5,FALSE())</f>
        <v>0</v>
      </c>
      <c r="K42" s="1" t="n">
        <f aca="false">VLOOKUP($A42,Day2!$A$1:$H$400,6,FALSE())</f>
        <v>0</v>
      </c>
      <c r="L42" s="15" t="n">
        <f aca="false">SUM(I42:K42)</f>
        <v>0</v>
      </c>
      <c r="M42" s="15" t="str">
        <f aca="false">ROMAN(RANK(L42,$L$3:$L$25,0))</f>
        <v>VIII</v>
      </c>
    </row>
    <row r="43" customFormat="false" ht="15.75" hidden="false" customHeight="false" outlineLevel="0" collapsed="false">
      <c r="A43" s="1" t="n">
        <v>110925</v>
      </c>
      <c r="B43" s="1" t="s">
        <v>2420</v>
      </c>
      <c r="C43" s="1" t="s">
        <v>2219</v>
      </c>
      <c r="D43" s="1" t="s">
        <v>572</v>
      </c>
      <c r="E43" s="1" t="s">
        <v>2306</v>
      </c>
      <c r="F43" s="1" t="n">
        <v>110925</v>
      </c>
      <c r="G43" s="1" t="s">
        <v>2421</v>
      </c>
      <c r="H43" s="1" t="s">
        <v>2209</v>
      </c>
      <c r="I43" s="1" t="n">
        <f aca="false">VLOOKUP($A43,Day2!$A$1:$H$400,4,FALSE())</f>
        <v>0</v>
      </c>
      <c r="J43" s="1" t="n">
        <f aca="false">VLOOKUP($A43,Day2!$A$1:$H$400,5,FALSE())</f>
        <v>0</v>
      </c>
      <c r="K43" s="1" t="n">
        <f aca="false">VLOOKUP($A43,Day2!$A$1:$H$400,6,FALSE())</f>
        <v>0</v>
      </c>
      <c r="L43" s="15" t="n">
        <f aca="false">SUM(I43:K43)</f>
        <v>0</v>
      </c>
      <c r="M43" s="15" t="str">
        <f aca="false">ROMAN(RANK(L43,$L$3:$L$25,0))</f>
        <v>VIII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2" customFormat="false" ht="15.75" hidden="false" customHeight="false" outlineLevel="0" collapsed="false">
      <c r="A2" s="1" t="s">
        <v>2189</v>
      </c>
      <c r="B2" s="1" t="s">
        <v>2190</v>
      </c>
      <c r="C2" s="1" t="s">
        <v>2191</v>
      </c>
      <c r="D2" s="1" t="s">
        <v>2192</v>
      </c>
      <c r="E2" s="1" t="s">
        <v>2193</v>
      </c>
      <c r="F2" s="1" t="s">
        <v>2189</v>
      </c>
      <c r="G2" s="1" t="s">
        <v>2539</v>
      </c>
      <c r="H2" s="1" t="s">
        <v>2540</v>
      </c>
      <c r="I2" s="1" t="s">
        <v>2196</v>
      </c>
      <c r="J2" s="1" t="s">
        <v>2197</v>
      </c>
      <c r="K2" s="1" t="s">
        <v>2198</v>
      </c>
      <c r="L2" s="1" t="s">
        <v>2199</v>
      </c>
      <c r="M2" s="1" t="s">
        <v>2200</v>
      </c>
      <c r="N2" s="1" t="s">
        <v>2201</v>
      </c>
    </row>
    <row r="3" customFormat="false" ht="15.75" hidden="false" customHeight="false" outlineLevel="0" collapsed="false">
      <c r="A3" s="1" t="n">
        <v>118283</v>
      </c>
      <c r="B3" s="1" t="s">
        <v>2446</v>
      </c>
      <c r="C3" s="1" t="s">
        <v>2253</v>
      </c>
      <c r="D3" s="1" t="s">
        <v>765</v>
      </c>
      <c r="E3" s="1" t="s">
        <v>2450</v>
      </c>
      <c r="F3" s="1" t="n">
        <v>118283</v>
      </c>
      <c r="G3" s="1" t="s">
        <v>2448</v>
      </c>
      <c r="H3" s="1" t="s">
        <v>2212</v>
      </c>
      <c r="I3" s="1" t="n">
        <f aca="false">VLOOKUP($A3,Day1!$A$1:$H$394,4,FALSE())</f>
        <v>7</v>
      </c>
      <c r="J3" s="1" t="n">
        <f aca="false">VLOOKUP($A3,Day1!$A$1:$H$394,5,FALSE())</f>
        <v>2</v>
      </c>
      <c r="K3" s="1" t="n">
        <f aca="false">VLOOKUP($A3,Day1!$A$1:$H$394,6,FALSE())</f>
        <v>0</v>
      </c>
      <c r="L3" s="1" t="n">
        <f aca="false">VLOOKUP($A3,Day1!$A$1:$H$394,7,FALSE())</f>
        <v>0</v>
      </c>
      <c r="M3" s="15" t="n">
        <f aca="false">SUM(I3:L3)</f>
        <v>9</v>
      </c>
      <c r="N3" s="15" t="str">
        <f aca="false">ROMAN(RANK(M3,$M$3:$M$28,0))</f>
        <v>III</v>
      </c>
    </row>
    <row r="4" customFormat="false" ht="15.75" hidden="false" customHeight="false" outlineLevel="0" collapsed="false">
      <c r="A4" s="1" t="n">
        <v>133671</v>
      </c>
      <c r="B4" s="1" t="s">
        <v>2446</v>
      </c>
      <c r="C4" s="1" t="s">
        <v>2227</v>
      </c>
      <c r="D4" s="1" t="s">
        <v>427</v>
      </c>
      <c r="E4" s="1" t="s">
        <v>2456</v>
      </c>
      <c r="F4" s="1" t="n">
        <v>133671</v>
      </c>
      <c r="G4" s="1" t="s">
        <v>2448</v>
      </c>
      <c r="H4" s="1" t="s">
        <v>2212</v>
      </c>
      <c r="I4" s="1" t="n">
        <f aca="false">VLOOKUP($A4,Day1!$A$1:$H$394,4,FALSE())</f>
        <v>0</v>
      </c>
      <c r="J4" s="1" t="n">
        <f aca="false">VLOOKUP($A4,Day1!$A$1:$H$394,5,FALSE())</f>
        <v>2</v>
      </c>
      <c r="K4" s="1" t="n">
        <f aca="false">VLOOKUP($A4,Day1!$A$1:$H$394,6,FALSE())</f>
        <v>0</v>
      </c>
      <c r="L4" s="1" t="n">
        <f aca="false">VLOOKUP($A4,Day1!$A$1:$H$394,7,FALSE())</f>
        <v>0</v>
      </c>
      <c r="M4" s="15" t="n">
        <f aca="false">SUM(I4:L4)</f>
        <v>2</v>
      </c>
      <c r="N4" s="15" t="str">
        <f aca="false">ROMAN(RANK(M4,$M$3:$M$28,0))</f>
        <v>XI</v>
      </c>
    </row>
    <row r="5" customFormat="false" ht="15.75" hidden="false" customHeight="false" outlineLevel="0" collapsed="false">
      <c r="A5" s="1" t="n">
        <v>139314</v>
      </c>
      <c r="B5" s="1" t="s">
        <v>2446</v>
      </c>
      <c r="C5" s="1" t="s">
        <v>2263</v>
      </c>
      <c r="D5" s="1" t="s">
        <v>764</v>
      </c>
      <c r="E5" s="1" t="s">
        <v>2459</v>
      </c>
      <c r="F5" s="1" t="n">
        <v>139314</v>
      </c>
      <c r="G5" s="1" t="s">
        <v>2448</v>
      </c>
      <c r="H5" s="1" t="s">
        <v>2212</v>
      </c>
      <c r="I5" s="1" t="n">
        <f aca="false">VLOOKUP($A5,Day1!$A$1:$H$394,4,FALSE())</f>
        <v>0</v>
      </c>
      <c r="J5" s="1" t="n">
        <f aca="false">VLOOKUP($A5,Day1!$A$1:$H$394,5,FALSE())</f>
        <v>0</v>
      </c>
      <c r="K5" s="1" t="n">
        <f aca="false">VLOOKUP($A5,Day1!$A$1:$H$394,6,FALSE())</f>
        <v>0</v>
      </c>
      <c r="L5" s="1" t="n">
        <f aca="false">VLOOKUP($A5,Day1!$A$1:$H$394,7,FALSE())</f>
        <v>0</v>
      </c>
      <c r="M5" s="15" t="n">
        <f aca="false">SUM(I5:L5)</f>
        <v>0</v>
      </c>
      <c r="N5" s="15" t="str">
        <f aca="false">ROMAN(RANK(M5,$M$3:$M$28,0))</f>
        <v>XVI</v>
      </c>
    </row>
    <row r="6" customFormat="false" ht="15.75" hidden="false" customHeight="false" outlineLevel="0" collapsed="false">
      <c r="A6" s="1" t="n">
        <v>74613</v>
      </c>
      <c r="B6" s="1" t="s">
        <v>2446</v>
      </c>
      <c r="C6" s="1" t="s">
        <v>2265</v>
      </c>
      <c r="D6" s="1" t="s">
        <v>738</v>
      </c>
      <c r="E6" s="1" t="s">
        <v>2410</v>
      </c>
      <c r="F6" s="1" t="n">
        <v>74613</v>
      </c>
      <c r="G6" s="1" t="s">
        <v>2448</v>
      </c>
      <c r="H6" s="1" t="s">
        <v>2212</v>
      </c>
      <c r="I6" s="1" t="n">
        <f aca="false">VLOOKUP($A6,Day1!$A$1:$H$394,4,FALSE())</f>
        <v>0</v>
      </c>
      <c r="J6" s="1" t="n">
        <f aca="false">VLOOKUP($A6,Day1!$A$1:$H$394,5,FALSE())</f>
        <v>0</v>
      </c>
      <c r="K6" s="1" t="n">
        <f aca="false">VLOOKUP($A6,Day1!$A$1:$H$394,6,FALSE())</f>
        <v>0</v>
      </c>
      <c r="L6" s="1" t="n">
        <f aca="false">VLOOKUP($A6,Day1!$A$1:$H$394,7,FALSE())</f>
        <v>0</v>
      </c>
      <c r="M6" s="15" t="n">
        <f aca="false">SUM(I6:L6)</f>
        <v>0</v>
      </c>
      <c r="N6" s="15" t="str">
        <f aca="false">ROMAN(RANK(M6,$M$3:$M$28,0))</f>
        <v>XVI</v>
      </c>
    </row>
    <row r="7" customFormat="false" ht="15.75" hidden="false" customHeight="false" outlineLevel="0" collapsed="false">
      <c r="A7" s="1" t="n">
        <v>118012</v>
      </c>
      <c r="B7" s="1" t="s">
        <v>2446</v>
      </c>
      <c r="C7" s="1" t="s">
        <v>2277</v>
      </c>
      <c r="D7" s="1" t="s">
        <v>725</v>
      </c>
      <c r="E7" s="1" t="s">
        <v>2460</v>
      </c>
      <c r="F7" s="1" t="n">
        <v>118012</v>
      </c>
      <c r="G7" s="1" t="s">
        <v>2448</v>
      </c>
      <c r="H7" s="1" t="s">
        <v>2212</v>
      </c>
      <c r="I7" s="1" t="n">
        <f aca="false">VLOOKUP($A7,Day1!$A$1:$H$394,4,FALSE())</f>
        <v>0</v>
      </c>
      <c r="J7" s="1" t="n">
        <f aca="false">VLOOKUP($A7,Day1!$A$1:$H$394,5,FALSE())</f>
        <v>0</v>
      </c>
      <c r="K7" s="1" t="n">
        <f aca="false">VLOOKUP($A7,Day1!$A$1:$H$394,6,FALSE())</f>
        <v>0</v>
      </c>
      <c r="L7" s="1" t="n">
        <f aca="false">VLOOKUP($A7,Day1!$A$1:$H$394,7,FALSE())</f>
        <v>0</v>
      </c>
      <c r="M7" s="15" t="n">
        <f aca="false">SUM(I7:L7)</f>
        <v>0</v>
      </c>
      <c r="N7" s="15" t="str">
        <f aca="false">ROMAN(RANK(M7,$M$3:$M$28,0))</f>
        <v>XVI</v>
      </c>
    </row>
    <row r="8" customFormat="false" ht="15.75" hidden="false" customHeight="false" outlineLevel="0" collapsed="false">
      <c r="A8" s="1" t="n">
        <v>186195</v>
      </c>
      <c r="B8" s="1" t="s">
        <v>2446</v>
      </c>
      <c r="C8" s="1" t="s">
        <v>2290</v>
      </c>
      <c r="D8" s="1" t="s">
        <v>696</v>
      </c>
      <c r="E8" s="1" t="s">
        <v>2457</v>
      </c>
      <c r="F8" s="1" t="n">
        <v>186195</v>
      </c>
      <c r="G8" s="1" t="s">
        <v>2448</v>
      </c>
      <c r="H8" s="1" t="s">
        <v>2212</v>
      </c>
      <c r="I8" s="1" t="n">
        <f aca="false">VLOOKUP($A8,Day1!$A$1:$H$394,4,FALSE())</f>
        <v>0</v>
      </c>
      <c r="J8" s="1" t="n">
        <f aca="false">VLOOKUP($A8,Day1!$A$1:$H$394,5,FALSE())</f>
        <v>0</v>
      </c>
      <c r="K8" s="1" t="n">
        <f aca="false">VLOOKUP($A8,Day1!$A$1:$H$394,6,FALSE())</f>
        <v>0</v>
      </c>
      <c r="L8" s="1" t="n">
        <f aca="false">VLOOKUP($A8,Day1!$A$1:$H$394,7,FALSE())</f>
        <v>0</v>
      </c>
      <c r="M8" s="15" t="n">
        <f aca="false">SUM(I8:L8)</f>
        <v>0</v>
      </c>
      <c r="N8" s="15" t="str">
        <f aca="false">ROMAN(RANK(M8,$M$3:$M$28,0))</f>
        <v>XVI</v>
      </c>
    </row>
    <row r="9" customFormat="false" ht="15.75" hidden="false" customHeight="false" outlineLevel="0" collapsed="false">
      <c r="A9" s="1" t="n">
        <v>115856</v>
      </c>
      <c r="B9" s="1" t="s">
        <v>2446</v>
      </c>
      <c r="C9" s="1" t="s">
        <v>2255</v>
      </c>
      <c r="D9" s="1" t="s">
        <v>40</v>
      </c>
      <c r="E9" s="1" t="s">
        <v>2451</v>
      </c>
      <c r="F9" s="1" t="n">
        <v>115856</v>
      </c>
      <c r="G9" s="1" t="s">
        <v>2448</v>
      </c>
      <c r="H9" s="1" t="s">
        <v>2212</v>
      </c>
      <c r="I9" s="1" t="n">
        <f aca="false">VLOOKUP($A9,Day1!$A$1:$H$394,4,FALSE())</f>
        <v>7</v>
      </c>
      <c r="J9" s="1" t="n">
        <f aca="false">VLOOKUP($A9,Day1!$A$1:$H$394,5,FALSE())</f>
        <v>2</v>
      </c>
      <c r="K9" s="1" t="n">
        <f aca="false">VLOOKUP($A9,Day1!$A$1:$H$394,6,FALSE())</f>
        <v>0</v>
      </c>
      <c r="L9" s="1" t="n">
        <f aca="false">VLOOKUP($A9,Day1!$A$1:$H$394,7,FALSE())</f>
        <v>0</v>
      </c>
      <c r="M9" s="15" t="n">
        <f aca="false">SUM(I9:L9)</f>
        <v>9</v>
      </c>
      <c r="N9" s="15" t="str">
        <f aca="false">ROMAN(RANK(M9,$M$3:$M$28,0))</f>
        <v>III</v>
      </c>
    </row>
    <row r="10" customFormat="false" ht="15.75" hidden="false" customHeight="false" outlineLevel="0" collapsed="false">
      <c r="A10" s="1" t="n">
        <v>196087</v>
      </c>
      <c r="B10" s="1" t="s">
        <v>2446</v>
      </c>
      <c r="C10" s="1" t="s">
        <v>2203</v>
      </c>
      <c r="D10" s="1" t="s">
        <v>745</v>
      </c>
      <c r="E10" s="1" t="s">
        <v>2373</v>
      </c>
      <c r="F10" s="1" t="n">
        <v>196087</v>
      </c>
      <c r="G10" s="1" t="s">
        <v>2448</v>
      </c>
      <c r="H10" s="1" t="s">
        <v>2212</v>
      </c>
      <c r="I10" s="1" t="n">
        <f aca="false">VLOOKUP($A10,Day1!$A$1:$H$394,4,FALSE())</f>
        <v>0</v>
      </c>
      <c r="J10" s="1" t="n">
        <f aca="false">VLOOKUP($A10,Day1!$A$1:$H$394,5,FALSE())</f>
        <v>0</v>
      </c>
      <c r="K10" s="1" t="n">
        <f aca="false">VLOOKUP($A10,Day1!$A$1:$H$394,6,FALSE())</f>
        <v>0</v>
      </c>
      <c r="L10" s="1" t="n">
        <f aca="false">VLOOKUP($A10,Day1!$A$1:$H$394,7,FALSE())</f>
        <v>0</v>
      </c>
      <c r="M10" s="15" t="n">
        <f aca="false">SUM(I10:L10)</f>
        <v>0</v>
      </c>
      <c r="N10" s="15" t="str">
        <f aca="false">ROMAN(RANK(M10,$M$3:$M$28,0))</f>
        <v>XVI</v>
      </c>
    </row>
    <row r="11" customFormat="false" ht="15.75" hidden="false" customHeight="false" outlineLevel="0" collapsed="false">
      <c r="A11" s="1" t="n">
        <v>124032</v>
      </c>
      <c r="B11" s="1" t="s">
        <v>2446</v>
      </c>
      <c r="C11" s="1" t="s">
        <v>2310</v>
      </c>
      <c r="D11" s="1" t="s">
        <v>757</v>
      </c>
      <c r="E11" s="1" t="s">
        <v>2452</v>
      </c>
      <c r="F11" s="1" t="n">
        <v>124032</v>
      </c>
      <c r="G11" s="1" t="s">
        <v>2448</v>
      </c>
      <c r="H11" s="1" t="s">
        <v>2212</v>
      </c>
      <c r="I11" s="1" t="n">
        <f aca="false">VLOOKUP($A11,Day1!$A$1:$H$394,4,FALSE())</f>
        <v>7</v>
      </c>
      <c r="J11" s="1" t="n">
        <f aca="false">VLOOKUP($A11,Day1!$A$1:$H$394,5,FALSE())</f>
        <v>2</v>
      </c>
      <c r="K11" s="1" t="n">
        <f aca="false">VLOOKUP($A11,Day1!$A$1:$H$394,6,FALSE())</f>
        <v>0</v>
      </c>
      <c r="L11" s="1" t="n">
        <f aca="false">VLOOKUP($A11,Day1!$A$1:$H$394,7,FALSE())</f>
        <v>0</v>
      </c>
      <c r="M11" s="15" t="n">
        <f aca="false">SUM(I11:L11)</f>
        <v>9</v>
      </c>
      <c r="N11" s="15" t="str">
        <f aca="false">ROMAN(RANK(M11,$M$3:$M$28,0))</f>
        <v>III</v>
      </c>
    </row>
    <row r="12" customFormat="false" ht="15.75" hidden="false" customHeight="false" outlineLevel="0" collapsed="false">
      <c r="A12" s="1" t="n">
        <v>99196</v>
      </c>
      <c r="B12" s="1" t="s">
        <v>2446</v>
      </c>
      <c r="C12" s="1" t="s">
        <v>2210</v>
      </c>
      <c r="D12" s="1" t="s">
        <v>109</v>
      </c>
      <c r="E12" s="1" t="s">
        <v>2453</v>
      </c>
      <c r="F12" s="1" t="n">
        <v>99196</v>
      </c>
      <c r="G12" s="1" t="s">
        <v>2448</v>
      </c>
      <c r="H12" s="1" t="s">
        <v>2212</v>
      </c>
      <c r="I12" s="1" t="n">
        <f aca="false">VLOOKUP($A12,Day1!$A$1:$H$394,4,FALSE())</f>
        <v>7</v>
      </c>
      <c r="J12" s="1" t="n">
        <f aca="false">VLOOKUP($A12,Day1!$A$1:$H$394,5,FALSE())</f>
        <v>2</v>
      </c>
      <c r="K12" s="1" t="n">
        <f aca="false">VLOOKUP($A12,Day1!$A$1:$H$394,6,FALSE())</f>
        <v>0</v>
      </c>
      <c r="L12" s="1" t="n">
        <f aca="false">VLOOKUP($A12,Day1!$A$1:$H$394,7,FALSE())</f>
        <v>0</v>
      </c>
      <c r="M12" s="15" t="n">
        <f aca="false">SUM(I12:L12)</f>
        <v>9</v>
      </c>
      <c r="N12" s="15" t="str">
        <f aca="false">ROMAN(RANK(M12,$M$3:$M$28,0))</f>
        <v>III</v>
      </c>
    </row>
    <row r="13" customFormat="false" ht="15.75" hidden="false" customHeight="false" outlineLevel="0" collapsed="false">
      <c r="A13" s="1" t="n">
        <v>110020</v>
      </c>
      <c r="B13" s="1" t="s">
        <v>2446</v>
      </c>
      <c r="C13" s="1" t="s">
        <v>2432</v>
      </c>
      <c r="D13" s="1" t="s">
        <v>711</v>
      </c>
      <c r="E13" s="1" t="s">
        <v>2458</v>
      </c>
      <c r="F13" s="1" t="n">
        <v>110020</v>
      </c>
      <c r="G13" s="1" t="s">
        <v>2448</v>
      </c>
      <c r="H13" s="1" t="s">
        <v>2212</v>
      </c>
      <c r="I13" s="1" t="n">
        <f aca="false">VLOOKUP($A13,Day1!$A$1:$H$394,4,FALSE())</f>
        <v>0</v>
      </c>
      <c r="J13" s="1" t="n">
        <f aca="false">VLOOKUP($A13,Day1!$A$1:$H$394,5,FALSE())</f>
        <v>2</v>
      </c>
      <c r="K13" s="1" t="n">
        <f aca="false">VLOOKUP($A13,Day1!$A$1:$H$394,6,FALSE())</f>
        <v>0</v>
      </c>
      <c r="L13" s="1" t="n">
        <f aca="false">VLOOKUP($A13,Day1!$A$1:$H$394,7,FALSE())</f>
        <v>0</v>
      </c>
      <c r="M13" s="15" t="n">
        <f aca="false">SUM(I13:L13)</f>
        <v>2</v>
      </c>
      <c r="N13" s="15" t="str">
        <f aca="false">ROMAN(RANK(M13,$M$3:$M$28,0))</f>
        <v>XI</v>
      </c>
    </row>
    <row r="14" customFormat="false" ht="15.75" hidden="false" customHeight="false" outlineLevel="0" collapsed="false">
      <c r="A14" s="1" t="n">
        <v>3881</v>
      </c>
      <c r="B14" s="1" t="s">
        <v>2446</v>
      </c>
      <c r="C14" s="1" t="s">
        <v>2295</v>
      </c>
      <c r="D14" s="1" t="s">
        <v>761</v>
      </c>
      <c r="E14" s="1" t="s">
        <v>2357</v>
      </c>
      <c r="F14" s="1" t="n">
        <v>3881</v>
      </c>
      <c r="G14" s="1" t="s">
        <v>2448</v>
      </c>
      <c r="H14" s="1" t="s">
        <v>2206</v>
      </c>
      <c r="I14" s="1" t="n">
        <f aca="false">VLOOKUP($A14,Day1!$A$1:$H$394,4,FALSE())</f>
        <v>0</v>
      </c>
      <c r="J14" s="1" t="n">
        <f aca="false">VLOOKUP($A14,Day1!$A$1:$H$394,5,FALSE())</f>
        <v>0</v>
      </c>
      <c r="K14" s="1" t="n">
        <f aca="false">VLOOKUP($A14,Day1!$A$1:$H$394,6,FALSE())</f>
        <v>0</v>
      </c>
      <c r="L14" s="1" t="n">
        <f aca="false">VLOOKUP($A14,Day1!$A$1:$H$394,7,FALSE())</f>
        <v>0</v>
      </c>
      <c r="M14" s="15" t="n">
        <f aca="false">SUM(I14:L14)</f>
        <v>0</v>
      </c>
      <c r="N14" s="15" t="str">
        <f aca="false">ROMAN(RANK(M14,$M$3:$M$28,0))</f>
        <v>XVI</v>
      </c>
    </row>
    <row r="15" customFormat="false" ht="15.75" hidden="false" customHeight="false" outlineLevel="0" collapsed="false">
      <c r="A15" s="1" t="n">
        <v>56735</v>
      </c>
      <c r="B15" s="1" t="s">
        <v>2446</v>
      </c>
      <c r="C15" s="1" t="s">
        <v>2222</v>
      </c>
      <c r="D15" s="1" t="s">
        <v>707</v>
      </c>
      <c r="E15" s="1" t="s">
        <v>2449</v>
      </c>
      <c r="F15" s="1" t="n">
        <v>56735</v>
      </c>
      <c r="G15" s="1" t="s">
        <v>2448</v>
      </c>
      <c r="H15" s="1" t="s">
        <v>2209</v>
      </c>
      <c r="I15" s="1" t="n">
        <f aca="false">VLOOKUP($A15,Day1!$A$1:$H$394,4,FALSE())</f>
        <v>7</v>
      </c>
      <c r="J15" s="1" t="n">
        <f aca="false">VLOOKUP($A15,Day1!$A$1:$H$394,5,FALSE())</f>
        <v>3</v>
      </c>
      <c r="K15" s="1" t="n">
        <f aca="false">VLOOKUP($A15,Day1!$A$1:$H$394,6,FALSE())</f>
        <v>0</v>
      </c>
      <c r="L15" s="1" t="n">
        <f aca="false">VLOOKUP($A15,Day1!$A$1:$H$394,7,FALSE())</f>
        <v>0</v>
      </c>
      <c r="M15" s="15" t="n">
        <f aca="false">SUM(I15:L15)</f>
        <v>10</v>
      </c>
      <c r="N15" s="15" t="str">
        <f aca="false">ROMAN(RANK(M15,$M$3:$M$28,0))</f>
        <v>II</v>
      </c>
    </row>
    <row r="16" customFormat="false" ht="15.75" hidden="false" customHeight="false" outlineLevel="0" collapsed="false">
      <c r="A16" s="1" t="n">
        <v>185512</v>
      </c>
      <c r="B16" s="1" t="s">
        <v>2446</v>
      </c>
      <c r="C16" s="1" t="s">
        <v>2218</v>
      </c>
      <c r="D16" s="1" t="s">
        <v>1437</v>
      </c>
      <c r="E16" s="1" t="s">
        <v>2463</v>
      </c>
      <c r="F16" s="1" t="n">
        <v>185512</v>
      </c>
      <c r="G16" s="1" t="s">
        <v>2448</v>
      </c>
      <c r="H16" s="1" t="s">
        <v>2212</v>
      </c>
      <c r="I16" s="1" t="n">
        <f aca="false">VLOOKUP($A16,Day1!$A$1:$H$394,4,FALSE())</f>
        <v>0</v>
      </c>
      <c r="J16" s="1" t="n">
        <f aca="false">VLOOKUP($A16,Day1!$A$1:$H$394,5,FALSE())</f>
        <v>0</v>
      </c>
      <c r="K16" s="1" t="n">
        <f aca="false">VLOOKUP($A16,Day1!$A$1:$H$394,6,FALSE())</f>
        <v>0</v>
      </c>
      <c r="L16" s="1" t="n">
        <f aca="false">VLOOKUP($A16,Day1!$A$1:$H$394,7,FALSE())</f>
        <v>0</v>
      </c>
      <c r="M16" s="15" t="n">
        <f aca="false">SUM(I16:L16)</f>
        <v>0</v>
      </c>
      <c r="N16" s="15" t="str">
        <f aca="false">ROMAN(RANK(M16,$M$3:$M$28,0))</f>
        <v>XVI</v>
      </c>
    </row>
    <row r="17" customFormat="false" ht="15.75" hidden="false" customHeight="false" outlineLevel="0" collapsed="false">
      <c r="A17" s="1" t="n">
        <v>119763</v>
      </c>
      <c r="B17" s="1" t="s">
        <v>2446</v>
      </c>
      <c r="C17" s="1" t="s">
        <v>2257</v>
      </c>
      <c r="D17" s="1" t="s">
        <v>716</v>
      </c>
      <c r="E17" s="1" t="s">
        <v>2233</v>
      </c>
      <c r="F17" s="1" t="n">
        <v>119763</v>
      </c>
      <c r="G17" s="1" t="s">
        <v>2448</v>
      </c>
      <c r="H17" s="1" t="s">
        <v>2212</v>
      </c>
      <c r="I17" s="1" t="n">
        <f aca="false">VLOOKUP($A17,Day1!$A$1:$H$394,4,FALSE())</f>
        <v>0</v>
      </c>
      <c r="J17" s="1" t="n">
        <f aca="false">VLOOKUP($A17,Day1!$A$1:$H$394,5,FALSE())</f>
        <v>2</v>
      </c>
      <c r="K17" s="1" t="n">
        <f aca="false">VLOOKUP($A17,Day1!$A$1:$H$394,6,FALSE())</f>
        <v>0</v>
      </c>
      <c r="L17" s="1" t="n">
        <f aca="false">VLOOKUP($A17,Day1!$A$1:$H$394,7,FALSE())</f>
        <v>0</v>
      </c>
      <c r="M17" s="15" t="n">
        <f aca="false">SUM(I17:L17)</f>
        <v>2</v>
      </c>
      <c r="N17" s="15" t="str">
        <f aca="false">ROMAN(RANK(M17,$M$3:$M$28,0))</f>
        <v>XI</v>
      </c>
    </row>
    <row r="18" customFormat="false" ht="15.75" hidden="false" customHeight="false" outlineLevel="0" collapsed="false">
      <c r="A18" s="1" t="n">
        <v>110841</v>
      </c>
      <c r="B18" s="1" t="s">
        <v>2446</v>
      </c>
      <c r="C18" s="1" t="s">
        <v>2215</v>
      </c>
      <c r="D18" s="1" t="s">
        <v>727</v>
      </c>
      <c r="E18" s="1" t="s">
        <v>2461</v>
      </c>
      <c r="F18" s="1" t="n">
        <v>110841</v>
      </c>
      <c r="G18" s="1" t="s">
        <v>2448</v>
      </c>
      <c r="H18" s="1" t="s">
        <v>2212</v>
      </c>
      <c r="I18" s="1" t="n">
        <f aca="false">VLOOKUP($A18,Day1!$A$1:$H$394,4,FALSE())</f>
        <v>0</v>
      </c>
      <c r="J18" s="1" t="n">
        <f aca="false">VLOOKUP($A18,Day1!$A$1:$H$394,5,FALSE())</f>
        <v>0</v>
      </c>
      <c r="K18" s="1" t="n">
        <f aca="false">VLOOKUP($A18,Day1!$A$1:$H$394,6,FALSE())</f>
        <v>0</v>
      </c>
      <c r="L18" s="1" t="n">
        <f aca="false">VLOOKUP($A18,Day1!$A$1:$H$394,7,FALSE())</f>
        <v>0</v>
      </c>
      <c r="M18" s="15" t="n">
        <f aca="false">SUM(I18:L18)</f>
        <v>0</v>
      </c>
      <c r="N18" s="15" t="str">
        <f aca="false">ROMAN(RANK(M18,$M$3:$M$28,0))</f>
        <v>XVI</v>
      </c>
    </row>
    <row r="19" customFormat="false" ht="15.75" hidden="false" customHeight="false" outlineLevel="0" collapsed="false">
      <c r="A19" s="1" t="n">
        <v>117902</v>
      </c>
      <c r="B19" s="1" t="s">
        <v>2446</v>
      </c>
      <c r="C19" s="1" t="s">
        <v>2259</v>
      </c>
      <c r="D19" s="1" t="s">
        <v>719</v>
      </c>
      <c r="E19" s="1" t="s">
        <v>2455</v>
      </c>
      <c r="F19" s="1" t="n">
        <v>117902</v>
      </c>
      <c r="G19" s="1" t="s">
        <v>2448</v>
      </c>
      <c r="H19" s="1" t="s">
        <v>2212</v>
      </c>
      <c r="I19" s="1" t="n">
        <f aca="false">VLOOKUP($A19,Day1!$A$1:$H$394,4,FALSE())</f>
        <v>3</v>
      </c>
      <c r="J19" s="1" t="n">
        <f aca="false">VLOOKUP($A19,Day1!$A$1:$H$394,5,FALSE())</f>
        <v>0</v>
      </c>
      <c r="K19" s="1" t="n">
        <f aca="false">VLOOKUP($A19,Day1!$A$1:$H$394,6,FALSE())</f>
        <v>0</v>
      </c>
      <c r="L19" s="1" t="n">
        <f aca="false">VLOOKUP($A19,Day1!$A$1:$H$394,7,FALSE())</f>
        <v>0</v>
      </c>
      <c r="M19" s="15" t="n">
        <f aca="false">SUM(I19:L19)</f>
        <v>3</v>
      </c>
      <c r="N19" s="15" t="str">
        <f aca="false">ROMAN(RANK(M19,$M$3:$M$28,0))</f>
        <v>X</v>
      </c>
    </row>
    <row r="20" customFormat="false" ht="15.75" hidden="false" customHeight="false" outlineLevel="0" collapsed="false">
      <c r="A20" s="1" t="n">
        <v>83273</v>
      </c>
      <c r="B20" s="1" t="s">
        <v>2446</v>
      </c>
      <c r="C20" s="1" t="s">
        <v>2261</v>
      </c>
      <c r="D20" s="1" t="s">
        <v>1430</v>
      </c>
      <c r="E20" s="1" t="s">
        <v>2464</v>
      </c>
      <c r="F20" s="1" t="n">
        <v>83273</v>
      </c>
      <c r="G20" s="1" t="s">
        <v>2448</v>
      </c>
      <c r="H20" s="1" t="s">
        <v>2225</v>
      </c>
      <c r="I20" s="1" t="n">
        <f aca="false">VLOOKUP($A20,Day1!$A$1:$H$394,4,FALSE())</f>
        <v>0</v>
      </c>
      <c r="J20" s="1" t="n">
        <f aca="false">VLOOKUP($A20,Day1!$A$1:$H$394,5,FALSE())</f>
        <v>0</v>
      </c>
      <c r="K20" s="1" t="n">
        <f aca="false">VLOOKUP($A20,Day1!$A$1:$H$394,6,FALSE())</f>
        <v>0</v>
      </c>
      <c r="L20" s="1" t="n">
        <f aca="false">VLOOKUP($A20,Day1!$A$1:$H$394,7,FALSE())</f>
        <v>0</v>
      </c>
      <c r="M20" s="15" t="n">
        <f aca="false">SUM(I20:L20)</f>
        <v>0</v>
      </c>
      <c r="N20" s="15" t="str">
        <f aca="false">ROMAN(RANK(M20,$M$3:$M$28,0))</f>
        <v>XVI</v>
      </c>
    </row>
    <row r="21" customFormat="false" ht="15.75" hidden="false" customHeight="false" outlineLevel="0" collapsed="false">
      <c r="A21" s="1" t="n">
        <v>117431</v>
      </c>
      <c r="B21" s="1" t="s">
        <v>2446</v>
      </c>
      <c r="C21" s="1" t="s">
        <v>2302</v>
      </c>
      <c r="D21" s="1" t="s">
        <v>705</v>
      </c>
      <c r="E21" s="1" t="s">
        <v>1160</v>
      </c>
      <c r="F21" s="1" t="n">
        <v>117431</v>
      </c>
      <c r="G21" s="1" t="s">
        <v>2448</v>
      </c>
      <c r="H21" s="1" t="s">
        <v>2212</v>
      </c>
      <c r="I21" s="1" t="n">
        <f aca="false">VLOOKUP($A21,Day1!$A$1:$H$394,4,FALSE())</f>
        <v>0</v>
      </c>
      <c r="J21" s="1" t="n">
        <f aca="false">VLOOKUP($A21,Day1!$A$1:$H$394,5,FALSE())</f>
        <v>2</v>
      </c>
      <c r="K21" s="1" t="n">
        <f aca="false">VLOOKUP($A21,Day1!$A$1:$H$394,6,FALSE())</f>
        <v>0</v>
      </c>
      <c r="L21" s="1" t="n">
        <f aca="false">VLOOKUP($A21,Day1!$A$1:$H$394,7,FALSE())</f>
        <v>0</v>
      </c>
      <c r="M21" s="15" t="n">
        <f aca="false">SUM(I21:L21)</f>
        <v>2</v>
      </c>
      <c r="N21" s="15" t="str">
        <f aca="false">ROMAN(RANK(M21,$M$3:$M$28,0))</f>
        <v>XI</v>
      </c>
    </row>
    <row r="22" customFormat="false" ht="15.75" hidden="false" customHeight="false" outlineLevel="0" collapsed="false">
      <c r="A22" s="1" t="n">
        <v>7896</v>
      </c>
      <c r="B22" s="1" t="s">
        <v>2446</v>
      </c>
      <c r="C22" s="1" t="s">
        <v>2207</v>
      </c>
      <c r="D22" s="1" t="s">
        <v>731</v>
      </c>
      <c r="E22" s="1" t="s">
        <v>2447</v>
      </c>
      <c r="F22" s="1" t="n">
        <v>7896</v>
      </c>
      <c r="G22" s="1" t="s">
        <v>2448</v>
      </c>
      <c r="H22" s="1" t="s">
        <v>2209</v>
      </c>
      <c r="I22" s="1" t="n">
        <f aca="false">VLOOKUP($A22,Day1!$A$1:$H$394,4,FALSE())</f>
        <v>7</v>
      </c>
      <c r="J22" s="1" t="n">
        <f aca="false">VLOOKUP($A22,Day1!$A$1:$H$394,5,FALSE())</f>
        <v>2</v>
      </c>
      <c r="K22" s="1" t="n">
        <f aca="false">VLOOKUP($A22,Day1!$A$1:$H$394,6,FALSE())</f>
        <v>2</v>
      </c>
      <c r="L22" s="1" t="n">
        <f aca="false">VLOOKUP($A22,Day1!$A$1:$H$394,7,FALSE())</f>
        <v>0</v>
      </c>
      <c r="M22" s="15" t="n">
        <f aca="false">SUM(I22:L22)</f>
        <v>11</v>
      </c>
      <c r="N22" s="15" t="str">
        <f aca="false">ROMAN(RANK(M22,$M$3:$M$28,0))</f>
        <v>I</v>
      </c>
    </row>
    <row r="23" customFormat="false" ht="15.75" hidden="false" customHeight="false" outlineLevel="0" collapsed="false">
      <c r="A23" s="1" t="n">
        <v>109151</v>
      </c>
      <c r="B23" s="1" t="s">
        <v>2446</v>
      </c>
      <c r="C23" s="1" t="s">
        <v>2221</v>
      </c>
      <c r="D23" s="1" t="s">
        <v>698</v>
      </c>
      <c r="E23" s="1" t="s">
        <v>25</v>
      </c>
      <c r="F23" s="1" t="n">
        <v>109151</v>
      </c>
      <c r="G23" s="1" t="s">
        <v>2448</v>
      </c>
      <c r="H23" s="1" t="s">
        <v>2212</v>
      </c>
      <c r="I23" s="1" t="n">
        <f aca="false">VLOOKUP($A23,Day1!$A$1:$H$394,4,FALSE())</f>
        <v>7</v>
      </c>
      <c r="J23" s="1" t="n">
        <f aca="false">VLOOKUP($A23,Day1!$A$1:$H$394,5,FALSE())</f>
        <v>0</v>
      </c>
      <c r="K23" s="1" t="n">
        <f aca="false">VLOOKUP($A23,Day1!$A$1:$H$394,6,FALSE())</f>
        <v>0</v>
      </c>
      <c r="L23" s="1" t="n">
        <f aca="false">VLOOKUP($A23,Day1!$A$1:$H$394,7,FALSE())</f>
        <v>0</v>
      </c>
      <c r="M23" s="15" t="n">
        <f aca="false">SUM(I23:L23)</f>
        <v>7</v>
      </c>
      <c r="N23" s="15" t="str">
        <f aca="false">ROMAN(RANK(M23,$M$3:$M$28,0))</f>
        <v>IX</v>
      </c>
    </row>
    <row r="24" customFormat="false" ht="15.75" hidden="false" customHeight="false" outlineLevel="0" collapsed="false">
      <c r="A24" s="1" t="n">
        <v>3885</v>
      </c>
      <c r="B24" s="1" t="s">
        <v>2446</v>
      </c>
      <c r="C24" s="1" t="s">
        <v>2295</v>
      </c>
      <c r="D24" s="1" t="s">
        <v>753</v>
      </c>
      <c r="E24" s="1" t="s">
        <v>989</v>
      </c>
      <c r="F24" s="1" t="n">
        <v>3885</v>
      </c>
      <c r="G24" s="1" t="s">
        <v>2448</v>
      </c>
      <c r="H24" s="1" t="s">
        <v>2206</v>
      </c>
      <c r="I24" s="1" t="n">
        <f aca="false">VLOOKUP($A24,Day1!$A$1:$H$394,4,FALSE())</f>
        <v>0</v>
      </c>
      <c r="J24" s="1" t="n">
        <f aca="false">VLOOKUP($A24,Day1!$A$1:$H$394,5,FALSE())</f>
        <v>0</v>
      </c>
      <c r="K24" s="1" t="n">
        <f aca="false">VLOOKUP($A24,Day1!$A$1:$H$394,6,FALSE())</f>
        <v>0</v>
      </c>
      <c r="L24" s="1" t="n">
        <f aca="false">VLOOKUP($A24,Day1!$A$1:$H$394,7,FALSE())</f>
        <v>0</v>
      </c>
      <c r="M24" s="15" t="n">
        <f aca="false">SUM(I24:L24)</f>
        <v>0</v>
      </c>
      <c r="N24" s="15" t="str">
        <f aca="false">ROMAN(RANK(M24,$M$3:$M$28,0))</f>
        <v>XVI</v>
      </c>
    </row>
    <row r="25" customFormat="false" ht="15.75" hidden="false" customHeight="false" outlineLevel="0" collapsed="false">
      <c r="A25" s="1" t="n">
        <v>18550</v>
      </c>
      <c r="B25" s="1" t="s">
        <v>2446</v>
      </c>
      <c r="C25" s="1" t="s">
        <v>2207</v>
      </c>
      <c r="D25" s="1" t="s">
        <v>703</v>
      </c>
      <c r="E25" s="1" t="s">
        <v>2454</v>
      </c>
      <c r="F25" s="1" t="n">
        <v>18550</v>
      </c>
      <c r="G25" s="1" t="s">
        <v>2448</v>
      </c>
      <c r="H25" s="1" t="s">
        <v>2206</v>
      </c>
      <c r="I25" s="1" t="n">
        <f aca="false">VLOOKUP($A25,Day1!$A$1:$H$394,4,FALSE())</f>
        <v>7</v>
      </c>
      <c r="J25" s="1" t="n">
        <f aca="false">VLOOKUP($A25,Day1!$A$1:$H$394,5,FALSE())</f>
        <v>2</v>
      </c>
      <c r="K25" s="1" t="n">
        <f aca="false">VLOOKUP($A25,Day1!$A$1:$H$394,6,FALSE())</f>
        <v>0</v>
      </c>
      <c r="L25" s="1" t="n">
        <f aca="false">VLOOKUP($A25,Day1!$A$1:$H$394,7,FALSE())</f>
        <v>0</v>
      </c>
      <c r="M25" s="15" t="n">
        <f aca="false">SUM(I25:L25)</f>
        <v>9</v>
      </c>
      <c r="N25" s="15" t="str">
        <f aca="false">ROMAN(RANK(M25,$M$3:$M$28,0))</f>
        <v>III</v>
      </c>
    </row>
    <row r="26" customFormat="false" ht="15.75" hidden="false" customHeight="false" outlineLevel="0" collapsed="false">
      <c r="A26" s="1" t="n">
        <v>185795</v>
      </c>
      <c r="B26" s="1" t="s">
        <v>2446</v>
      </c>
      <c r="C26" s="1" t="s">
        <v>2221</v>
      </c>
      <c r="D26" s="1" t="s">
        <v>723</v>
      </c>
      <c r="E26" s="1" t="s">
        <v>2462</v>
      </c>
      <c r="F26" s="1" t="n">
        <v>185795</v>
      </c>
      <c r="G26" s="1" t="s">
        <v>2448</v>
      </c>
      <c r="H26" s="1" t="s">
        <v>2229</v>
      </c>
      <c r="I26" s="1" t="n">
        <f aca="false">VLOOKUP($A26,Day1!$A$1:$H$394,4,FALSE())</f>
        <v>0</v>
      </c>
      <c r="J26" s="1" t="n">
        <f aca="false">VLOOKUP($A26,Day1!$A$1:$H$394,5,FALSE())</f>
        <v>0</v>
      </c>
      <c r="K26" s="1" t="n">
        <f aca="false">VLOOKUP($A26,Day1!$A$1:$H$394,6,FALSE())</f>
        <v>0</v>
      </c>
      <c r="L26" s="1" t="n">
        <f aca="false">VLOOKUP($A26,Day1!$A$1:$H$394,7,FALSE())</f>
        <v>0</v>
      </c>
      <c r="M26" s="15" t="n">
        <f aca="false">SUM(I26:L26)</f>
        <v>0</v>
      </c>
      <c r="N26" s="15" t="str">
        <f aca="false">ROMAN(RANK(M26,$M$3:$M$28,0))</f>
        <v>XVI</v>
      </c>
    </row>
    <row r="27" customFormat="false" ht="15.75" hidden="false" customHeight="false" outlineLevel="0" collapsed="false">
      <c r="A27" s="1" t="n">
        <v>185275</v>
      </c>
      <c r="B27" s="1" t="s">
        <v>2446</v>
      </c>
      <c r="C27" s="1" t="s">
        <v>2253</v>
      </c>
      <c r="D27" s="1" t="s">
        <v>749</v>
      </c>
      <c r="E27" s="1" t="s">
        <v>2384</v>
      </c>
      <c r="F27" s="1" t="n">
        <v>185275</v>
      </c>
      <c r="G27" s="1" t="s">
        <v>2448</v>
      </c>
      <c r="H27" s="1" t="s">
        <v>2209</v>
      </c>
      <c r="I27" s="1" t="n">
        <f aca="false">VLOOKUP($A27,Day1!$A$1:$H$394,4,FALSE())</f>
        <v>0</v>
      </c>
      <c r="J27" s="1" t="n">
        <f aca="false">VLOOKUP($A27,Day1!$A$1:$H$394,5,FALSE())</f>
        <v>2</v>
      </c>
      <c r="K27" s="1" t="n">
        <f aca="false">VLOOKUP($A27,Day1!$A$1:$H$394,6,FALSE())</f>
        <v>0</v>
      </c>
      <c r="L27" s="1" t="n">
        <f aca="false">VLOOKUP($A27,Day1!$A$1:$H$394,7,FALSE())</f>
        <v>0</v>
      </c>
      <c r="M27" s="15" t="n">
        <f aca="false">SUM(I27:L27)</f>
        <v>2</v>
      </c>
      <c r="N27" s="15" t="str">
        <f aca="false">ROMAN(RANK(M27,$M$3:$M$28,0))</f>
        <v>XI</v>
      </c>
    </row>
    <row r="28" customFormat="false" ht="15.75" hidden="false" customHeight="false" outlineLevel="0" collapsed="false">
      <c r="A28" s="1" t="n">
        <v>110930</v>
      </c>
      <c r="B28" s="1" t="s">
        <v>2446</v>
      </c>
      <c r="C28" s="1" t="s">
        <v>2219</v>
      </c>
      <c r="D28" s="1" t="s">
        <v>692</v>
      </c>
      <c r="E28" s="1" t="s">
        <v>1610</v>
      </c>
      <c r="F28" s="1" t="n">
        <v>110930</v>
      </c>
      <c r="G28" s="1" t="s">
        <v>2448</v>
      </c>
      <c r="H28" s="1" t="s">
        <v>2209</v>
      </c>
      <c r="I28" s="1" t="n">
        <f aca="false">VLOOKUP($A28,Day1!$A$1:$H$394,4,FALSE())</f>
        <v>7</v>
      </c>
      <c r="J28" s="1" t="n">
        <f aca="false">VLOOKUP($A28,Day1!$A$1:$H$394,5,FALSE())</f>
        <v>2</v>
      </c>
      <c r="K28" s="1" t="n">
        <f aca="false">VLOOKUP($A28,Day1!$A$1:$H$394,6,FALSE())</f>
        <v>0</v>
      </c>
      <c r="L28" s="1" t="n">
        <f aca="false">VLOOKUP($A28,Day1!$A$1:$H$394,7,FALSE())</f>
        <v>0</v>
      </c>
      <c r="M28" s="15" t="n">
        <f aca="false">SUM(I28:L28)</f>
        <v>9</v>
      </c>
      <c r="N28" s="15" t="str">
        <f aca="false">ROMAN(RANK(M28,$M$3:$M$28,0))</f>
        <v>III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75"/>
    <col collapsed="false" customWidth="true" hidden="false" outlineLevel="0" max="2" min="2" style="0" width="14.38"/>
    <col collapsed="false" customWidth="true" hidden="false" outlineLevel="0" max="3" min="3" style="0" width="24.75"/>
  </cols>
  <sheetData>
    <row r="2" customFormat="false" ht="15.75" hidden="false" customHeight="false" outlineLevel="0" collapsed="false">
      <c r="A2" s="1" t="s">
        <v>2189</v>
      </c>
      <c r="B2" s="1" t="s">
        <v>2190</v>
      </c>
      <c r="C2" s="1" t="s">
        <v>2191</v>
      </c>
      <c r="D2" s="1" t="s">
        <v>2192</v>
      </c>
      <c r="E2" s="1" t="s">
        <v>2193</v>
      </c>
      <c r="F2" s="1" t="s">
        <v>2189</v>
      </c>
      <c r="G2" s="1" t="s">
        <v>2539</v>
      </c>
      <c r="H2" s="1" t="s">
        <v>2540</v>
      </c>
      <c r="I2" s="1" t="s">
        <v>2196</v>
      </c>
      <c r="J2" s="1" t="s">
        <v>2197</v>
      </c>
      <c r="K2" s="1" t="s">
        <v>2198</v>
      </c>
      <c r="L2" s="1" t="s">
        <v>2199</v>
      </c>
      <c r="M2" s="1" t="s">
        <v>2200</v>
      </c>
      <c r="N2" s="1" t="s">
        <v>2201</v>
      </c>
    </row>
    <row r="3" customFormat="false" ht="15.75" hidden="false" customHeight="false" outlineLevel="0" collapsed="false">
      <c r="A3" s="1" t="n">
        <v>142740</v>
      </c>
      <c r="B3" s="1" t="s">
        <v>2468</v>
      </c>
      <c r="C3" s="1" t="s">
        <v>2222</v>
      </c>
      <c r="D3" s="1" t="s">
        <v>841</v>
      </c>
      <c r="E3" s="1" t="s">
        <v>2470</v>
      </c>
      <c r="F3" s="1" t="n">
        <v>142740</v>
      </c>
      <c r="G3" s="1" t="s">
        <v>2469</v>
      </c>
      <c r="H3" s="1" t="s">
        <v>2206</v>
      </c>
      <c r="I3" s="1" t="n">
        <f aca="false">VLOOKUP($A3,Day1!$A$1:$H$394,4,FALSE())</f>
        <v>7</v>
      </c>
      <c r="J3" s="1" t="n">
        <f aca="false">VLOOKUP($A3,Day1!$A$1:$H$394,5,FALSE())</f>
        <v>2.5</v>
      </c>
      <c r="K3" s="1" t="n">
        <f aca="false">VLOOKUP($A3,Day1!$A$1:$H$394,6,FALSE())</f>
        <v>0</v>
      </c>
      <c r="L3" s="1" t="n">
        <f aca="false">VLOOKUP($A3,Day1!$A$1:$H$394,7,FALSE())</f>
        <v>0</v>
      </c>
      <c r="M3" s="15" t="n">
        <f aca="false">SUM(I3:L3)</f>
        <v>9.5</v>
      </c>
      <c r="N3" s="15" t="str">
        <f aca="false">ROMAN(RANK(M3,$M$3:$M$30,0))</f>
        <v>II</v>
      </c>
    </row>
    <row r="4" customFormat="false" ht="15.75" hidden="false" customHeight="false" outlineLevel="0" collapsed="false">
      <c r="A4" s="1" t="n">
        <v>82535</v>
      </c>
      <c r="B4" s="1" t="s">
        <v>2468</v>
      </c>
      <c r="C4" s="1" t="s">
        <v>2207</v>
      </c>
      <c r="D4" s="1" t="s">
        <v>822</v>
      </c>
      <c r="E4" s="1" t="s">
        <v>615</v>
      </c>
      <c r="F4" s="1" t="n">
        <v>82535</v>
      </c>
      <c r="G4" s="1" t="s">
        <v>2469</v>
      </c>
      <c r="H4" s="1" t="s">
        <v>2212</v>
      </c>
      <c r="I4" s="1" t="n">
        <f aca="false">VLOOKUP($A4,Day1!$A$1:$H$394,4,FALSE())</f>
        <v>7</v>
      </c>
      <c r="J4" s="1" t="n">
        <f aca="false">VLOOKUP($A4,Day1!$A$1:$H$394,5,FALSE())</f>
        <v>3</v>
      </c>
      <c r="K4" s="1" t="n">
        <f aca="false">VLOOKUP($A4,Day1!$A$1:$H$394,6,FALSE())</f>
        <v>0</v>
      </c>
      <c r="L4" s="1" t="n">
        <f aca="false">VLOOKUP($A4,Day1!$A$1:$H$394,7,FALSE())</f>
        <v>0</v>
      </c>
      <c r="M4" s="15" t="n">
        <f aca="false">SUM(I4:L4)</f>
        <v>10</v>
      </c>
      <c r="N4" s="15" t="str">
        <f aca="false">ROMAN(RANK(M4,$M$3:$M$30,0))</f>
        <v>I</v>
      </c>
    </row>
    <row r="5" customFormat="false" ht="15.75" hidden="false" customHeight="false" outlineLevel="0" collapsed="false">
      <c r="A5" s="1" t="n">
        <v>82456</v>
      </c>
      <c r="B5" s="1" t="s">
        <v>2468</v>
      </c>
      <c r="C5" s="1" t="s">
        <v>2207</v>
      </c>
      <c r="D5" s="1" t="s">
        <v>802</v>
      </c>
      <c r="E5" s="1" t="s">
        <v>2424</v>
      </c>
      <c r="F5" s="1" t="n">
        <v>82456</v>
      </c>
      <c r="G5" s="1" t="s">
        <v>2469</v>
      </c>
      <c r="H5" s="1" t="s">
        <v>2212</v>
      </c>
      <c r="I5" s="1" t="n">
        <f aca="false">VLOOKUP($A5,Day1!$A$1:$H$394,4,FALSE())</f>
        <v>7</v>
      </c>
      <c r="J5" s="1" t="n">
        <f aca="false">VLOOKUP($A5,Day1!$A$1:$H$394,5,FALSE())</f>
        <v>2</v>
      </c>
      <c r="K5" s="1" t="n">
        <f aca="false">VLOOKUP($A5,Day1!$A$1:$H$394,6,FALSE())</f>
        <v>0</v>
      </c>
      <c r="L5" s="1" t="n">
        <f aca="false">VLOOKUP($A5,Day1!$A$1:$H$394,7,FALSE())</f>
        <v>0</v>
      </c>
      <c r="M5" s="15" t="n">
        <f aca="false">SUM(I5:L5)</f>
        <v>9</v>
      </c>
      <c r="N5" s="15" t="str">
        <f aca="false">ROMAN(RANK(M5,$M$3:$M$30,0))</f>
        <v>III</v>
      </c>
    </row>
    <row r="6" customFormat="false" ht="15.75" hidden="false" customHeight="false" outlineLevel="0" collapsed="false">
      <c r="A6" s="1" t="n">
        <v>59433</v>
      </c>
      <c r="B6" s="1" t="s">
        <v>2468</v>
      </c>
      <c r="C6" s="1" t="s">
        <v>2290</v>
      </c>
      <c r="D6" s="1" t="s">
        <v>827</v>
      </c>
      <c r="E6" s="1" t="s">
        <v>868</v>
      </c>
      <c r="F6" s="1" t="n">
        <v>59433</v>
      </c>
      <c r="G6" s="1" t="s">
        <v>2469</v>
      </c>
      <c r="H6" s="1" t="s">
        <v>2209</v>
      </c>
      <c r="I6" s="1" t="n">
        <f aca="false">VLOOKUP($A6,Day1!$A$1:$H$394,4,FALSE())</f>
        <v>7</v>
      </c>
      <c r="J6" s="1" t="n">
        <f aca="false">VLOOKUP($A6,Day1!$A$1:$H$394,5,FALSE())</f>
        <v>2</v>
      </c>
      <c r="K6" s="1" t="n">
        <f aca="false">VLOOKUP($A6,Day1!$A$1:$H$394,6,FALSE())</f>
        <v>0</v>
      </c>
      <c r="L6" s="1" t="n">
        <f aca="false">VLOOKUP($A6,Day1!$A$1:$H$394,7,FALSE())</f>
        <v>0</v>
      </c>
      <c r="M6" s="15" t="n">
        <f aca="false">SUM(I6:L6)</f>
        <v>9</v>
      </c>
      <c r="N6" s="15" t="str">
        <f aca="false">ROMAN(RANK(M6,$M$3:$M$30,0))</f>
        <v>III</v>
      </c>
    </row>
    <row r="7" customFormat="false" ht="15.75" hidden="false" customHeight="false" outlineLevel="0" collapsed="false">
      <c r="A7" s="1" t="n">
        <v>82453</v>
      </c>
      <c r="B7" s="1" t="s">
        <v>2468</v>
      </c>
      <c r="C7" s="1" t="s">
        <v>2207</v>
      </c>
      <c r="D7" s="1" t="s">
        <v>786</v>
      </c>
      <c r="E7" s="1" t="s">
        <v>2471</v>
      </c>
      <c r="F7" s="1" t="n">
        <v>82453</v>
      </c>
      <c r="G7" s="1" t="s">
        <v>2469</v>
      </c>
      <c r="H7" s="1" t="s">
        <v>2212</v>
      </c>
      <c r="I7" s="1" t="n">
        <f aca="false">VLOOKUP($A7,Day1!$A$1:$H$394,4,FALSE())</f>
        <v>7</v>
      </c>
      <c r="J7" s="1" t="n">
        <f aca="false">VLOOKUP($A7,Day1!$A$1:$H$394,5,FALSE())</f>
        <v>2</v>
      </c>
      <c r="K7" s="1" t="n">
        <f aca="false">VLOOKUP($A7,Day1!$A$1:$H$394,6,FALSE())</f>
        <v>0</v>
      </c>
      <c r="L7" s="1" t="n">
        <f aca="false">VLOOKUP($A7,Day1!$A$1:$H$394,7,FALSE())</f>
        <v>0</v>
      </c>
      <c r="M7" s="15" t="n">
        <f aca="false">SUM(I7:L7)</f>
        <v>9</v>
      </c>
      <c r="N7" s="15" t="str">
        <f aca="false">ROMAN(RANK(M7,$M$3:$M$30,0))</f>
        <v>III</v>
      </c>
    </row>
    <row r="8" customFormat="false" ht="15.75" hidden="false" customHeight="false" outlineLevel="0" collapsed="false">
      <c r="A8" s="1" t="n">
        <v>110661</v>
      </c>
      <c r="B8" s="1" t="s">
        <v>2468</v>
      </c>
      <c r="C8" s="1" t="s">
        <v>2210</v>
      </c>
      <c r="D8" s="1" t="s">
        <v>845</v>
      </c>
      <c r="E8" s="1" t="s">
        <v>2355</v>
      </c>
      <c r="F8" s="1" t="n">
        <v>110661</v>
      </c>
      <c r="G8" s="1" t="s">
        <v>2469</v>
      </c>
      <c r="H8" s="1" t="s">
        <v>2209</v>
      </c>
      <c r="I8" s="1" t="n">
        <f aca="false">VLOOKUP($A8,Day1!$A$1:$H$394,4,FALSE())</f>
        <v>7</v>
      </c>
      <c r="J8" s="1" t="n">
        <f aca="false">VLOOKUP($A8,Day1!$A$1:$H$394,5,FALSE())</f>
        <v>2</v>
      </c>
      <c r="K8" s="1" t="n">
        <f aca="false">VLOOKUP($A8,Day1!$A$1:$H$394,6,FALSE())</f>
        <v>0</v>
      </c>
      <c r="L8" s="1" t="n">
        <f aca="false">VLOOKUP($A8,Day1!$A$1:$H$394,7,FALSE())</f>
        <v>0</v>
      </c>
      <c r="M8" s="15" t="n">
        <f aca="false">SUM(I8:L8)</f>
        <v>9</v>
      </c>
      <c r="N8" s="15" t="str">
        <f aca="false">ROMAN(RANK(M8,$M$3:$M$30,0))</f>
        <v>III</v>
      </c>
    </row>
    <row r="9" customFormat="false" ht="15.75" hidden="false" customHeight="false" outlineLevel="0" collapsed="false">
      <c r="A9" s="1" t="n">
        <v>122031</v>
      </c>
      <c r="B9" s="1" t="s">
        <v>2468</v>
      </c>
      <c r="C9" s="1" t="s">
        <v>2203</v>
      </c>
      <c r="D9" s="1" t="s">
        <v>851</v>
      </c>
      <c r="E9" s="1" t="s">
        <v>2472</v>
      </c>
      <c r="F9" s="1" t="n">
        <v>122031</v>
      </c>
      <c r="G9" s="1" t="s">
        <v>2469</v>
      </c>
      <c r="H9" s="1" t="s">
        <v>2212</v>
      </c>
      <c r="I9" s="1" t="n">
        <f aca="false">VLOOKUP($A9,Day1!$A$1:$H$394,4,FALSE())</f>
        <v>7</v>
      </c>
      <c r="J9" s="1" t="n">
        <f aca="false">VLOOKUP($A9,Day1!$A$1:$H$394,5,FALSE())</f>
        <v>2</v>
      </c>
      <c r="K9" s="1" t="n">
        <f aca="false">VLOOKUP($A9,Day1!$A$1:$H$394,6,FALSE())</f>
        <v>0</v>
      </c>
      <c r="L9" s="1" t="n">
        <f aca="false">VLOOKUP($A9,Day1!$A$1:$H$394,7,FALSE())</f>
        <v>0</v>
      </c>
      <c r="M9" s="15" t="n">
        <f aca="false">SUM(I9:L9)</f>
        <v>9</v>
      </c>
      <c r="N9" s="15" t="str">
        <f aca="false">ROMAN(RANK(M9,$M$3:$M$30,0))</f>
        <v>III</v>
      </c>
    </row>
    <row r="10" customFormat="false" ht="15.75" hidden="false" customHeight="false" outlineLevel="0" collapsed="false">
      <c r="A10" s="1" t="n">
        <v>129372</v>
      </c>
      <c r="B10" s="1" t="s">
        <v>2468</v>
      </c>
      <c r="C10" s="1" t="s">
        <v>2310</v>
      </c>
      <c r="D10" s="1" t="s">
        <v>774</v>
      </c>
      <c r="E10" s="1" t="s">
        <v>2473</v>
      </c>
      <c r="F10" s="1" t="n">
        <v>129372</v>
      </c>
      <c r="G10" s="1" t="s">
        <v>2469</v>
      </c>
      <c r="H10" s="1" t="s">
        <v>2206</v>
      </c>
      <c r="I10" s="1" t="n">
        <f aca="false">VLOOKUP($A10,Day1!$A$1:$H$394,4,FALSE())</f>
        <v>6</v>
      </c>
      <c r="J10" s="1" t="n">
        <f aca="false">VLOOKUP($A10,Day1!$A$1:$H$394,5,FALSE())</f>
        <v>0</v>
      </c>
      <c r="K10" s="1" t="n">
        <f aca="false">VLOOKUP($A10,Day1!$A$1:$H$394,6,FALSE())</f>
        <v>0</v>
      </c>
      <c r="L10" s="1" t="n">
        <f aca="false">VLOOKUP($A10,Day1!$A$1:$H$394,7,FALSE())</f>
        <v>0</v>
      </c>
      <c r="M10" s="15" t="n">
        <f aca="false">SUM(I10:L10)</f>
        <v>6</v>
      </c>
      <c r="N10" s="15" t="str">
        <f aca="false">ROMAN(RANK(M10,$M$3:$M$30,0))</f>
        <v>IX</v>
      </c>
    </row>
    <row r="11" customFormat="false" ht="15.75" hidden="false" customHeight="false" outlineLevel="0" collapsed="false">
      <c r="A11" s="1" t="n">
        <v>109503</v>
      </c>
      <c r="B11" s="1" t="s">
        <v>2468</v>
      </c>
      <c r="C11" s="1" t="s">
        <v>2221</v>
      </c>
      <c r="D11" s="1" t="s">
        <v>857</v>
      </c>
      <c r="E11" s="1" t="s">
        <v>35</v>
      </c>
      <c r="F11" s="1" t="n">
        <v>109503</v>
      </c>
      <c r="G11" s="1" t="s">
        <v>2469</v>
      </c>
      <c r="H11" s="1" t="s">
        <v>2225</v>
      </c>
      <c r="I11" s="1" t="n">
        <f aca="false">VLOOKUP($A11,Day1!$A$1:$H$394,4,FALSE())</f>
        <v>3</v>
      </c>
      <c r="J11" s="1" t="n">
        <f aca="false">VLOOKUP($A11,Day1!$A$1:$H$394,5,FALSE())</f>
        <v>2</v>
      </c>
      <c r="K11" s="1" t="n">
        <f aca="false">VLOOKUP($A11,Day1!$A$1:$H$394,6,FALSE())</f>
        <v>0</v>
      </c>
      <c r="L11" s="1" t="n">
        <f aca="false">VLOOKUP($A11,Day1!$A$1:$H$394,7,FALSE())</f>
        <v>0</v>
      </c>
      <c r="M11" s="15" t="n">
        <f aca="false">SUM(I11:L11)</f>
        <v>5</v>
      </c>
      <c r="N11" s="15" t="str">
        <f aca="false">ROMAN(RANK(M11,$M$3:$M$30,0))</f>
        <v>X</v>
      </c>
    </row>
    <row r="12" customFormat="false" ht="15.75" hidden="false" customHeight="false" outlineLevel="0" collapsed="false">
      <c r="A12" s="1" t="n">
        <v>178304</v>
      </c>
      <c r="B12" s="1" t="s">
        <v>2468</v>
      </c>
      <c r="C12" s="1" t="s">
        <v>2207</v>
      </c>
      <c r="D12" s="1" t="s">
        <v>212</v>
      </c>
      <c r="E12" s="1" t="s">
        <v>1088</v>
      </c>
      <c r="F12" s="1" t="n">
        <v>178304</v>
      </c>
      <c r="G12" s="1" t="s">
        <v>2469</v>
      </c>
      <c r="H12" s="1" t="s">
        <v>2212</v>
      </c>
      <c r="I12" s="1" t="n">
        <f aca="false">VLOOKUP($A12,Day1!$A$1:$H$394,4,FALSE())</f>
        <v>3</v>
      </c>
      <c r="J12" s="1" t="n">
        <f aca="false">VLOOKUP($A12,Day1!$A$1:$H$394,5,FALSE())</f>
        <v>2</v>
      </c>
      <c r="K12" s="1" t="n">
        <f aca="false">VLOOKUP($A12,Day1!$A$1:$H$394,6,FALSE())</f>
        <v>0</v>
      </c>
      <c r="L12" s="1" t="n">
        <f aca="false">VLOOKUP($A12,Day1!$A$1:$H$394,7,FALSE())</f>
        <v>0</v>
      </c>
      <c r="M12" s="15" t="n">
        <f aca="false">SUM(I12:L12)</f>
        <v>5</v>
      </c>
      <c r="N12" s="15" t="str">
        <f aca="false">ROMAN(RANK(M12,$M$3:$M$30,0))</f>
        <v>X</v>
      </c>
    </row>
    <row r="13" customFormat="false" ht="15.75" hidden="false" customHeight="false" outlineLevel="0" collapsed="false">
      <c r="A13" s="1" t="n">
        <v>203256</v>
      </c>
      <c r="B13" s="1" t="s">
        <v>2468</v>
      </c>
      <c r="C13" s="1" t="s">
        <v>2222</v>
      </c>
      <c r="D13" s="1" t="s">
        <v>793</v>
      </c>
      <c r="E13" s="1" t="s">
        <v>749</v>
      </c>
      <c r="F13" s="1" t="n">
        <v>203256</v>
      </c>
      <c r="G13" s="1" t="s">
        <v>2469</v>
      </c>
      <c r="H13" s="1" t="s">
        <v>2225</v>
      </c>
      <c r="I13" s="1" t="n">
        <f aca="false">VLOOKUP($A13,Day1!$A$1:$H$394,4,FALSE())</f>
        <v>0</v>
      </c>
      <c r="J13" s="1" t="n">
        <f aca="false">VLOOKUP($A13,Day1!$A$1:$H$394,5,FALSE())</f>
        <v>2</v>
      </c>
      <c r="K13" s="1" t="n">
        <f aca="false">VLOOKUP($A13,Day1!$A$1:$H$394,6,FALSE())</f>
        <v>0</v>
      </c>
      <c r="L13" s="1" t="n">
        <f aca="false">VLOOKUP($A13,Day1!$A$1:$H$394,7,FALSE())</f>
        <v>0</v>
      </c>
      <c r="M13" s="15" t="n">
        <f aca="false">SUM(I13:L13)</f>
        <v>2</v>
      </c>
      <c r="N13" s="15" t="str">
        <f aca="false">ROMAN(RANK(M13,$M$3:$M$30,0))</f>
        <v>XII</v>
      </c>
    </row>
    <row r="14" customFormat="false" ht="15.75" hidden="false" customHeight="false" outlineLevel="0" collapsed="false">
      <c r="A14" s="1" t="n">
        <v>118442</v>
      </c>
      <c r="B14" s="1" t="s">
        <v>2468</v>
      </c>
      <c r="C14" s="1" t="s">
        <v>2253</v>
      </c>
      <c r="D14" s="1" t="s">
        <v>876</v>
      </c>
      <c r="E14" s="1" t="s">
        <v>2429</v>
      </c>
      <c r="F14" s="1" t="n">
        <v>118442</v>
      </c>
      <c r="G14" s="1" t="s">
        <v>2469</v>
      </c>
      <c r="H14" s="1" t="s">
        <v>2212</v>
      </c>
      <c r="I14" s="1" t="n">
        <f aca="false">VLOOKUP($A14,Day1!$A$1:$H$394,4,FALSE())</f>
        <v>0</v>
      </c>
      <c r="J14" s="1" t="n">
        <f aca="false">VLOOKUP($A14,Day1!$A$1:$H$394,5,FALSE())</f>
        <v>2</v>
      </c>
      <c r="K14" s="1" t="n">
        <f aca="false">VLOOKUP($A14,Day1!$A$1:$H$394,6,FALSE())</f>
        <v>0</v>
      </c>
      <c r="L14" s="1" t="n">
        <f aca="false">VLOOKUP($A14,Day1!$A$1:$H$394,7,FALSE())</f>
        <v>0</v>
      </c>
      <c r="M14" s="15" t="n">
        <f aca="false">SUM(I14:L14)</f>
        <v>2</v>
      </c>
      <c r="N14" s="15" t="str">
        <f aca="false">ROMAN(RANK(M14,$M$3:$M$30,0))</f>
        <v>XII</v>
      </c>
    </row>
    <row r="15" customFormat="false" ht="15.75" hidden="false" customHeight="false" outlineLevel="0" collapsed="false">
      <c r="A15" s="1" t="n">
        <v>194729</v>
      </c>
      <c r="B15" s="1" t="s">
        <v>2468</v>
      </c>
      <c r="C15" s="1" t="s">
        <v>2227</v>
      </c>
      <c r="D15" s="1" t="s">
        <v>835</v>
      </c>
      <c r="E15" s="1" t="s">
        <v>2296</v>
      </c>
      <c r="F15" s="1" t="n">
        <v>194729</v>
      </c>
      <c r="G15" s="1" t="s">
        <v>2469</v>
      </c>
      <c r="H15" s="1" t="s">
        <v>2212</v>
      </c>
      <c r="I15" s="1" t="n">
        <f aca="false">VLOOKUP($A15,Day1!$A$1:$H$394,4,FALSE())</f>
        <v>0</v>
      </c>
      <c r="J15" s="1" t="n">
        <f aca="false">VLOOKUP($A15,Day1!$A$1:$H$394,5,FALSE())</f>
        <v>2</v>
      </c>
      <c r="K15" s="1" t="n">
        <f aca="false">VLOOKUP($A15,Day1!$A$1:$H$394,6,FALSE())</f>
        <v>0</v>
      </c>
      <c r="L15" s="1" t="n">
        <f aca="false">VLOOKUP($A15,Day1!$A$1:$H$394,7,FALSE())</f>
        <v>0</v>
      </c>
      <c r="M15" s="15" t="n">
        <f aca="false">SUM(I15:L15)</f>
        <v>2</v>
      </c>
      <c r="N15" s="15" t="str">
        <f aca="false">ROMAN(RANK(M15,$M$3:$M$30,0))</f>
        <v>XII</v>
      </c>
    </row>
    <row r="16" customFormat="false" ht="15.75" hidden="false" customHeight="false" outlineLevel="0" collapsed="false">
      <c r="A16" s="1" t="n">
        <v>59211</v>
      </c>
      <c r="B16" s="1" t="s">
        <v>2468</v>
      </c>
      <c r="C16" s="1" t="s">
        <v>2221</v>
      </c>
      <c r="D16" s="1" t="s">
        <v>868</v>
      </c>
      <c r="E16" s="1" t="s">
        <v>2475</v>
      </c>
      <c r="F16" s="1" t="n">
        <v>59211</v>
      </c>
      <c r="G16" s="1" t="s">
        <v>2469</v>
      </c>
      <c r="H16" s="1" t="s">
        <v>2206</v>
      </c>
      <c r="I16" s="1" t="n">
        <f aca="false">VLOOKUP($A16,Day1!$A$1:$H$394,4,FALSE())</f>
        <v>0</v>
      </c>
      <c r="J16" s="1" t="n">
        <f aca="false">VLOOKUP($A16,Day1!$A$1:$H$394,5,FALSE())</f>
        <v>2</v>
      </c>
      <c r="K16" s="1" t="n">
        <f aca="false">VLOOKUP($A16,Day1!$A$1:$H$394,6,FALSE())</f>
        <v>0</v>
      </c>
      <c r="L16" s="1" t="n">
        <f aca="false">VLOOKUP($A16,Day1!$A$1:$H$394,7,FALSE())</f>
        <v>0</v>
      </c>
      <c r="M16" s="15" t="n">
        <f aca="false">SUM(I16:L16)</f>
        <v>2</v>
      </c>
      <c r="N16" s="15" t="str">
        <f aca="false">ROMAN(RANK(M16,$M$3:$M$30,0))</f>
        <v>XII</v>
      </c>
    </row>
    <row r="17" customFormat="false" ht="15.75" hidden="false" customHeight="false" outlineLevel="0" collapsed="false">
      <c r="A17" s="1" t="n">
        <v>139239</v>
      </c>
      <c r="B17" s="1" t="s">
        <v>2468</v>
      </c>
      <c r="C17" s="1" t="s">
        <v>2295</v>
      </c>
      <c r="D17" s="1" t="s">
        <v>861</v>
      </c>
      <c r="E17" s="1" t="s">
        <v>35</v>
      </c>
      <c r="F17" s="1" t="n">
        <v>139239</v>
      </c>
      <c r="G17" s="1" t="s">
        <v>2469</v>
      </c>
      <c r="H17" s="1" t="s">
        <v>2206</v>
      </c>
      <c r="I17" s="1" t="n">
        <f aca="false">VLOOKUP($A17,Day1!$A$1:$H$394,4,FALSE())</f>
        <v>0</v>
      </c>
      <c r="J17" s="1" t="n">
        <f aca="false">VLOOKUP($A17,Day1!$A$1:$H$394,5,FALSE())</f>
        <v>2</v>
      </c>
      <c r="K17" s="1" t="n">
        <f aca="false">VLOOKUP($A17,Day1!$A$1:$H$394,6,FALSE())</f>
        <v>0</v>
      </c>
      <c r="L17" s="1" t="n">
        <f aca="false">VLOOKUP($A17,Day1!$A$1:$H$394,7,FALSE())</f>
        <v>0</v>
      </c>
      <c r="M17" s="15" t="n">
        <f aca="false">SUM(I17:L17)</f>
        <v>2</v>
      </c>
      <c r="N17" s="15" t="str">
        <f aca="false">ROMAN(RANK(M17,$M$3:$M$30,0))</f>
        <v>XII</v>
      </c>
    </row>
    <row r="18" customFormat="false" ht="15.75" hidden="false" customHeight="false" outlineLevel="0" collapsed="false">
      <c r="A18" s="1" t="n">
        <v>53495</v>
      </c>
      <c r="B18" s="1" t="s">
        <v>2468</v>
      </c>
      <c r="C18" s="1" t="s">
        <v>2265</v>
      </c>
      <c r="D18" s="1" t="s">
        <v>797</v>
      </c>
      <c r="E18" s="1" t="s">
        <v>2395</v>
      </c>
      <c r="F18" s="1" t="n">
        <v>53495</v>
      </c>
      <c r="G18" s="1" t="s">
        <v>2469</v>
      </c>
      <c r="H18" s="1" t="s">
        <v>2209</v>
      </c>
      <c r="I18" s="1" t="n">
        <f aca="false">VLOOKUP($A18,Day1!$A$1:$H$394,4,FALSE())</f>
        <v>0</v>
      </c>
      <c r="J18" s="1" t="n">
        <f aca="false">VLOOKUP($A18,Day1!$A$1:$H$394,5,FALSE())</f>
        <v>2</v>
      </c>
      <c r="K18" s="1" t="n">
        <f aca="false">VLOOKUP($A18,Day1!$A$1:$H$394,6,FALSE())</f>
        <v>0</v>
      </c>
      <c r="L18" s="1" t="n">
        <f aca="false">VLOOKUP($A18,Day1!$A$1:$H$394,7,FALSE())</f>
        <v>0</v>
      </c>
      <c r="M18" s="15" t="n">
        <f aca="false">SUM(I18:L18)</f>
        <v>2</v>
      </c>
      <c r="N18" s="15" t="str">
        <f aca="false">ROMAN(RANK(M18,$M$3:$M$30,0))</f>
        <v>XII</v>
      </c>
    </row>
    <row r="19" customFormat="false" ht="15.75" hidden="false" customHeight="false" outlineLevel="0" collapsed="false">
      <c r="A19" s="1" t="n">
        <v>16020</v>
      </c>
      <c r="B19" s="1" t="s">
        <v>2468</v>
      </c>
      <c r="C19" s="1" t="s">
        <v>2215</v>
      </c>
      <c r="D19" s="1" t="s">
        <v>780</v>
      </c>
      <c r="E19" s="1" t="s">
        <v>25</v>
      </c>
      <c r="F19" s="1" t="n">
        <v>16020</v>
      </c>
      <c r="G19" s="1" t="s">
        <v>2469</v>
      </c>
      <c r="H19" s="1" t="s">
        <v>2212</v>
      </c>
      <c r="I19" s="1" t="n">
        <f aca="false">VLOOKUP($A19,Day1!$A$1:$H$394,4,FALSE())</f>
        <v>0</v>
      </c>
      <c r="J19" s="1" t="n">
        <f aca="false">VLOOKUP($A19,Day1!$A$1:$H$394,5,FALSE())</f>
        <v>2</v>
      </c>
      <c r="K19" s="1" t="n">
        <f aca="false">VLOOKUP($A19,Day1!$A$1:$H$394,6,FALSE())</f>
        <v>0</v>
      </c>
      <c r="L19" s="1" t="n">
        <f aca="false">VLOOKUP($A19,Day1!$A$1:$H$394,7,FALSE())</f>
        <v>0</v>
      </c>
      <c r="M19" s="15" t="n">
        <f aca="false">SUM(I19:L19)</f>
        <v>2</v>
      </c>
      <c r="N19" s="15" t="str">
        <f aca="false">ROMAN(RANK(M19,$M$3:$M$30,0))</f>
        <v>XII</v>
      </c>
    </row>
    <row r="20" customFormat="false" ht="15.75" hidden="false" customHeight="false" outlineLevel="0" collapsed="false">
      <c r="A20" s="1" t="n">
        <v>117778</v>
      </c>
      <c r="B20" s="1" t="s">
        <v>2468</v>
      </c>
      <c r="C20" s="1" t="s">
        <v>2277</v>
      </c>
      <c r="D20" s="1" t="s">
        <v>816</v>
      </c>
      <c r="E20" s="1" t="s">
        <v>2476</v>
      </c>
      <c r="F20" s="1" t="n">
        <v>117778</v>
      </c>
      <c r="G20" s="1" t="s">
        <v>2469</v>
      </c>
      <c r="H20" s="1" t="s">
        <v>2212</v>
      </c>
      <c r="I20" s="1" t="n">
        <f aca="false">VLOOKUP($A20,Day1!$A$1:$H$394,4,FALSE())</f>
        <v>0</v>
      </c>
      <c r="J20" s="1" t="n">
        <f aca="false">VLOOKUP($A20,Day1!$A$1:$H$394,5,FALSE())</f>
        <v>2</v>
      </c>
      <c r="K20" s="1" t="n">
        <f aca="false">VLOOKUP($A20,Day1!$A$1:$H$394,6,FALSE())</f>
        <v>0</v>
      </c>
      <c r="L20" s="1" t="n">
        <f aca="false">VLOOKUP($A20,Day1!$A$1:$H$394,7,FALSE())</f>
        <v>0</v>
      </c>
      <c r="M20" s="15" t="n">
        <f aca="false">SUM(I20:L20)</f>
        <v>2</v>
      </c>
      <c r="N20" s="15" t="str">
        <f aca="false">ROMAN(RANK(M20,$M$3:$M$30,0))</f>
        <v>XII</v>
      </c>
    </row>
    <row r="21" customFormat="false" ht="15.75" hidden="false" customHeight="false" outlineLevel="0" collapsed="false">
      <c r="A21" s="1" t="n">
        <v>109392</v>
      </c>
      <c r="B21" s="1" t="s">
        <v>2468</v>
      </c>
      <c r="C21" s="1" t="s">
        <v>2218</v>
      </c>
      <c r="D21" s="1" t="s">
        <v>873</v>
      </c>
      <c r="E21" s="1" t="s">
        <v>2477</v>
      </c>
      <c r="F21" s="1" t="n">
        <v>109392</v>
      </c>
      <c r="G21" s="1" t="s">
        <v>2469</v>
      </c>
      <c r="H21" s="1" t="s">
        <v>2212</v>
      </c>
      <c r="I21" s="1" t="n">
        <f aca="false">VLOOKUP($A21,Day1!$A$1:$H$394,4,FALSE())</f>
        <v>0</v>
      </c>
      <c r="J21" s="1" t="n">
        <f aca="false">VLOOKUP($A21,Day1!$A$1:$H$394,5,FALSE())</f>
        <v>2</v>
      </c>
      <c r="K21" s="1" t="n">
        <f aca="false">VLOOKUP($A21,Day1!$A$1:$H$394,6,FALSE())</f>
        <v>0</v>
      </c>
      <c r="L21" s="1" t="n">
        <f aca="false">VLOOKUP($A21,Day1!$A$1:$H$394,7,FALSE())</f>
        <v>0</v>
      </c>
      <c r="M21" s="15" t="n">
        <f aca="false">SUM(I21:L21)</f>
        <v>2</v>
      </c>
      <c r="N21" s="15" t="str">
        <f aca="false">ROMAN(RANK(M21,$M$3:$M$30,0))</f>
        <v>XII</v>
      </c>
    </row>
    <row r="22" customFormat="false" ht="15.75" hidden="false" customHeight="false" outlineLevel="0" collapsed="false">
      <c r="A22" s="1" t="n">
        <v>139279</v>
      </c>
      <c r="B22" s="1" t="s">
        <v>2468</v>
      </c>
      <c r="C22" s="1" t="s">
        <v>2295</v>
      </c>
      <c r="D22" s="1" t="s">
        <v>855</v>
      </c>
      <c r="E22" s="1" t="s">
        <v>2250</v>
      </c>
      <c r="F22" s="1" t="n">
        <v>139279</v>
      </c>
      <c r="G22" s="1" t="s">
        <v>2469</v>
      </c>
      <c r="H22" s="1" t="s">
        <v>2206</v>
      </c>
      <c r="I22" s="1" t="n">
        <f aca="false">VLOOKUP($A22,Day1!$A$1:$H$394,4,FALSE())</f>
        <v>0</v>
      </c>
      <c r="J22" s="1" t="n">
        <f aca="false">VLOOKUP($A22,Day1!$A$1:$H$394,5,FALSE())</f>
        <v>0</v>
      </c>
      <c r="K22" s="1" t="n">
        <f aca="false">VLOOKUP($A22,Day1!$A$1:$H$394,6,FALSE())</f>
        <v>0</v>
      </c>
      <c r="L22" s="1" t="n">
        <f aca="false">VLOOKUP($A22,Day1!$A$1:$H$394,7,FALSE())</f>
        <v>0</v>
      </c>
      <c r="M22" s="15" t="n">
        <f aca="false">SUM(I22:L22)</f>
        <v>0</v>
      </c>
      <c r="N22" s="15" t="str">
        <f aca="false">ROMAN(RANK(M22,$M$3:$M$30,0))</f>
        <v>XXI</v>
      </c>
    </row>
    <row r="23" customFormat="false" ht="15.75" hidden="false" customHeight="false" outlineLevel="0" collapsed="false">
      <c r="A23" s="1" t="n">
        <v>110088</v>
      </c>
      <c r="B23" s="1" t="s">
        <v>2468</v>
      </c>
      <c r="C23" s="1" t="s">
        <v>2290</v>
      </c>
      <c r="D23" s="1" t="s">
        <v>831</v>
      </c>
      <c r="E23" s="1" t="s">
        <v>1011</v>
      </c>
      <c r="F23" s="1" t="n">
        <v>110088</v>
      </c>
      <c r="G23" s="1" t="s">
        <v>2469</v>
      </c>
      <c r="H23" s="1" t="s">
        <v>2212</v>
      </c>
      <c r="I23" s="1" t="n">
        <f aca="false">VLOOKUP($A23,Day1!$A$1:$H$394,4,FALSE())</f>
        <v>0</v>
      </c>
      <c r="J23" s="1" t="n">
        <f aca="false">VLOOKUP($A23,Day1!$A$1:$H$394,5,FALSE())</f>
        <v>0</v>
      </c>
      <c r="K23" s="1" t="n">
        <f aca="false">VLOOKUP($A23,Day1!$A$1:$H$394,6,FALSE())</f>
        <v>0</v>
      </c>
      <c r="L23" s="1" t="n">
        <f aca="false">VLOOKUP($A23,Day1!$A$1:$H$394,7,FALSE())</f>
        <v>0</v>
      </c>
      <c r="M23" s="15" t="n">
        <f aca="false">SUM(I23:L23)</f>
        <v>0</v>
      </c>
      <c r="N23" s="15" t="str">
        <f aca="false">ROMAN(RANK(M23,$M$3:$M$30,0))</f>
        <v>XXI</v>
      </c>
    </row>
    <row r="24" customFormat="false" ht="15.75" hidden="false" customHeight="false" outlineLevel="0" collapsed="false">
      <c r="A24" s="1" t="n">
        <v>212553</v>
      </c>
      <c r="B24" s="1" t="s">
        <v>2468</v>
      </c>
      <c r="C24" s="1" t="s">
        <v>2219</v>
      </c>
      <c r="D24" s="1" t="s">
        <v>820</v>
      </c>
      <c r="E24" s="1" t="s">
        <v>2241</v>
      </c>
      <c r="F24" s="1" t="n">
        <v>212553</v>
      </c>
      <c r="G24" s="1" t="s">
        <v>2469</v>
      </c>
      <c r="H24" s="1" t="s">
        <v>2209</v>
      </c>
      <c r="I24" s="1" t="n">
        <f aca="false">VLOOKUP($A24,Day1!$A$1:$H$394,4,FALSE())</f>
        <v>0</v>
      </c>
      <c r="J24" s="1" t="n">
        <f aca="false">VLOOKUP($A24,Day1!$A$1:$H$394,5,FALSE())</f>
        <v>0</v>
      </c>
      <c r="K24" s="1" t="n">
        <f aca="false">VLOOKUP($A24,Day1!$A$1:$H$394,6,FALSE())</f>
        <v>0</v>
      </c>
      <c r="L24" s="1" t="n">
        <f aca="false">VLOOKUP($A24,Day1!$A$1:$H$394,7,FALSE())</f>
        <v>0</v>
      </c>
      <c r="M24" s="15" t="n">
        <f aca="false">SUM(I24:L24)</f>
        <v>0</v>
      </c>
      <c r="N24" s="15" t="str">
        <f aca="false">ROMAN(RANK(M24,$M$3:$M$30,0))</f>
        <v>XXI</v>
      </c>
    </row>
    <row r="25" customFormat="false" ht="15.75" hidden="false" customHeight="false" outlineLevel="0" collapsed="false">
      <c r="A25" s="1" t="n">
        <v>118418</v>
      </c>
      <c r="B25" s="1" t="s">
        <v>2468</v>
      </c>
      <c r="C25" s="1" t="s">
        <v>2253</v>
      </c>
      <c r="D25" s="1" t="s">
        <v>789</v>
      </c>
      <c r="E25" s="1" t="s">
        <v>2371</v>
      </c>
      <c r="F25" s="1" t="n">
        <v>118418</v>
      </c>
      <c r="G25" s="1" t="s">
        <v>2469</v>
      </c>
      <c r="H25" s="1" t="s">
        <v>2212</v>
      </c>
      <c r="I25" s="1" t="n">
        <f aca="false">VLOOKUP($A25,Day1!$A$1:$H$394,4,FALSE())</f>
        <v>0</v>
      </c>
      <c r="J25" s="1" t="n">
        <f aca="false">VLOOKUP($A25,Day1!$A$1:$H$394,5,FALSE())</f>
        <v>0</v>
      </c>
      <c r="K25" s="1" t="n">
        <f aca="false">VLOOKUP($A25,Day1!$A$1:$H$394,6,FALSE())</f>
        <v>0</v>
      </c>
      <c r="L25" s="1" t="n">
        <f aca="false">VLOOKUP($A25,Day1!$A$1:$H$394,7,FALSE())</f>
        <v>0</v>
      </c>
      <c r="M25" s="15" t="n">
        <f aca="false">SUM(I25:L25)</f>
        <v>0</v>
      </c>
      <c r="N25" s="15" t="str">
        <f aca="false">ROMAN(RANK(M25,$M$3:$M$30,0))</f>
        <v>XXI</v>
      </c>
    </row>
    <row r="26" customFormat="false" ht="15.75" hidden="false" customHeight="false" outlineLevel="0" collapsed="false">
      <c r="A26" s="1" t="n">
        <v>122405</v>
      </c>
      <c r="B26" s="1" t="s">
        <v>2468</v>
      </c>
      <c r="C26" s="1" t="s">
        <v>2310</v>
      </c>
      <c r="D26" s="1" t="s">
        <v>805</v>
      </c>
      <c r="E26" s="1" t="s">
        <v>2478</v>
      </c>
      <c r="F26" s="1" t="n">
        <v>122405</v>
      </c>
      <c r="G26" s="1" t="s">
        <v>2469</v>
      </c>
      <c r="H26" s="1" t="s">
        <v>2206</v>
      </c>
      <c r="I26" s="1" t="n">
        <f aca="false">VLOOKUP($A26,Day1!$A$1:$H$394,4,FALSE())</f>
        <v>0</v>
      </c>
      <c r="J26" s="1" t="n">
        <f aca="false">VLOOKUP($A26,Day1!$A$1:$H$394,5,FALSE())</f>
        <v>0</v>
      </c>
      <c r="K26" s="1" t="n">
        <f aca="false">VLOOKUP($A26,Day1!$A$1:$H$394,6,FALSE())</f>
        <v>0</v>
      </c>
      <c r="L26" s="1" t="n">
        <f aca="false">VLOOKUP($A26,Day1!$A$1:$H$394,7,FALSE())</f>
        <v>0</v>
      </c>
      <c r="M26" s="15" t="n">
        <f aca="false">SUM(I26:L26)</f>
        <v>0</v>
      </c>
      <c r="N26" s="15" t="str">
        <f aca="false">ROMAN(RANK(M26,$M$3:$M$30,0))</f>
        <v>XXI</v>
      </c>
    </row>
    <row r="27" customFormat="false" ht="15.75" hidden="false" customHeight="false" outlineLevel="0" collapsed="false">
      <c r="A27" s="1" t="n">
        <v>111890</v>
      </c>
      <c r="B27" s="1" t="s">
        <v>2468</v>
      </c>
      <c r="C27" s="1" t="s">
        <v>2257</v>
      </c>
      <c r="D27" s="1" t="s">
        <v>808</v>
      </c>
      <c r="E27" s="1" t="s">
        <v>868</v>
      </c>
      <c r="F27" s="1" t="n">
        <v>111890</v>
      </c>
      <c r="G27" s="1" t="s">
        <v>2469</v>
      </c>
      <c r="H27" s="1" t="s">
        <v>2212</v>
      </c>
      <c r="I27" s="1" t="n">
        <f aca="false">VLOOKUP($A27,Day1!$A$1:$H$394,4,FALSE())</f>
        <v>0</v>
      </c>
      <c r="J27" s="1" t="n">
        <f aca="false">VLOOKUP($A27,Day1!$A$1:$H$394,5,FALSE())</f>
        <v>0</v>
      </c>
      <c r="K27" s="1" t="n">
        <f aca="false">VLOOKUP($A27,Day1!$A$1:$H$394,6,FALSE())</f>
        <v>0</v>
      </c>
      <c r="L27" s="1" t="n">
        <f aca="false">VLOOKUP($A27,Day1!$A$1:$H$394,7,FALSE())</f>
        <v>0</v>
      </c>
      <c r="M27" s="15" t="n">
        <f aca="false">SUM(I27:L27)</f>
        <v>0</v>
      </c>
      <c r="N27" s="15" t="str">
        <f aca="false">ROMAN(RANK(M27,$M$3:$M$30,0))</f>
        <v>XXI</v>
      </c>
    </row>
    <row r="28" customFormat="false" ht="15.75" hidden="false" customHeight="false" outlineLevel="0" collapsed="false">
      <c r="A28" s="1" t="n">
        <v>182905</v>
      </c>
      <c r="B28" s="1" t="s">
        <v>2468</v>
      </c>
      <c r="C28" s="1" t="s">
        <v>2432</v>
      </c>
      <c r="D28" s="1" t="s">
        <v>839</v>
      </c>
      <c r="E28" s="1" t="s">
        <v>2479</v>
      </c>
      <c r="F28" s="1" t="n">
        <v>182905</v>
      </c>
      <c r="G28" s="1" t="s">
        <v>2469</v>
      </c>
      <c r="H28" s="1" t="s">
        <v>2212</v>
      </c>
      <c r="I28" s="1" t="n">
        <f aca="false">VLOOKUP($A28,Day1!$A$1:$H$394,4,FALSE())</f>
        <v>0</v>
      </c>
      <c r="J28" s="1" t="n">
        <f aca="false">VLOOKUP($A28,Day1!$A$1:$H$394,5,FALSE())</f>
        <v>0</v>
      </c>
      <c r="K28" s="1" t="n">
        <f aca="false">VLOOKUP($A28,Day1!$A$1:$H$394,6,FALSE())</f>
        <v>0</v>
      </c>
      <c r="L28" s="1" t="n">
        <f aca="false">VLOOKUP($A28,Day1!$A$1:$H$394,7,FALSE())</f>
        <v>0</v>
      </c>
      <c r="M28" s="15" t="n">
        <f aca="false">SUM(I28:L28)</f>
        <v>0</v>
      </c>
      <c r="N28" s="15" t="str">
        <f aca="false">ROMAN(RANK(M28,$M$3:$M$30,0))</f>
        <v>XXI</v>
      </c>
    </row>
    <row r="29" customFormat="false" ht="15.75" hidden="false" customHeight="false" outlineLevel="0" collapsed="false">
      <c r="A29" s="1" t="n">
        <v>115785</v>
      </c>
      <c r="B29" s="1" t="s">
        <v>2468</v>
      </c>
      <c r="C29" s="1" t="s">
        <v>2255</v>
      </c>
      <c r="D29" s="1" t="s">
        <v>863</v>
      </c>
      <c r="E29" s="1" t="s">
        <v>2457</v>
      </c>
      <c r="F29" s="1" t="n">
        <v>115785</v>
      </c>
      <c r="G29" s="1" t="s">
        <v>2469</v>
      </c>
      <c r="H29" s="1" t="s">
        <v>2212</v>
      </c>
      <c r="I29" s="1" t="n">
        <f aca="false">VLOOKUP($A29,Day1!$A$1:$H$394,4,FALSE())</f>
        <v>0</v>
      </c>
      <c r="J29" s="1" t="n">
        <f aca="false">VLOOKUP($A29,Day1!$A$1:$H$394,5,FALSE())</f>
        <v>0</v>
      </c>
      <c r="K29" s="1" t="n">
        <f aca="false">VLOOKUP($A29,Day1!$A$1:$H$394,6,FALSE())</f>
        <v>0</v>
      </c>
      <c r="L29" s="1" t="n">
        <f aca="false">VLOOKUP($A29,Day1!$A$1:$H$394,7,FALSE())</f>
        <v>0</v>
      </c>
      <c r="M29" s="15" t="n">
        <f aca="false">SUM(I29:L29)</f>
        <v>0</v>
      </c>
      <c r="N29" s="15" t="str">
        <f aca="false">ROMAN(RANK(M29,$M$3:$M$30,0))</f>
        <v>XXI</v>
      </c>
    </row>
    <row r="30" customFormat="false" ht="15.75" hidden="false" customHeight="false" outlineLevel="0" collapsed="false">
      <c r="A30" s="1" t="n">
        <v>87436</v>
      </c>
      <c r="B30" s="1" t="s">
        <v>2468</v>
      </c>
      <c r="C30" s="1" t="s">
        <v>2261</v>
      </c>
      <c r="D30" s="1" t="s">
        <v>849</v>
      </c>
      <c r="E30" s="1" t="s">
        <v>2474</v>
      </c>
      <c r="F30" s="1" t="n">
        <v>87436</v>
      </c>
      <c r="G30" s="1" t="s">
        <v>2469</v>
      </c>
      <c r="H30" s="1" t="s">
        <v>2209</v>
      </c>
      <c r="I30" s="1" t="n">
        <f aca="false">VLOOKUP($A30,Day1!$A$1:$H$394,4,FALSE())</f>
        <v>7</v>
      </c>
      <c r="J30" s="1" t="n">
        <f aca="false">VLOOKUP($A30,Day1!$A$1:$H$394,5,FALSE())</f>
        <v>0</v>
      </c>
      <c r="K30" s="1" t="n">
        <f aca="false">VLOOKUP($A30,Day1!$A$1:$H$394,6,FALSE())</f>
        <v>0</v>
      </c>
      <c r="L30" s="1" t="n">
        <f aca="false">VLOOKUP($A30,Day1!$A$1:$H$394,7,FALSE())</f>
        <v>0</v>
      </c>
      <c r="M30" s="15" t="n">
        <f aca="false">SUM(I30:L30)</f>
        <v>7</v>
      </c>
      <c r="N30" s="15" t="str">
        <f aca="false">ROMAN(RANK(M30,$M$3:$M$30,0))</f>
        <v>VIII</v>
      </c>
    </row>
  </sheetData>
  <autoFilter ref="A2:N30">
    <sortState ref="A3:N30">
      <sortCondition ref="A3:A30" descending="1" customList=""/>
    </sortState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75"/>
    <col collapsed="false" customWidth="true" hidden="false" outlineLevel="0" max="2" min="2" style="0" width="14.38"/>
    <col collapsed="false" customWidth="true" hidden="false" outlineLevel="0" max="3" min="3" style="0" width="24.75"/>
  </cols>
  <sheetData>
    <row r="2" customFormat="false" ht="15.75" hidden="false" customHeight="false" outlineLevel="0" collapsed="false">
      <c r="A2" s="1" t="s">
        <v>2189</v>
      </c>
      <c r="B2" s="1" t="s">
        <v>2190</v>
      </c>
      <c r="C2" s="1" t="s">
        <v>2191</v>
      </c>
      <c r="D2" s="1" t="s">
        <v>2192</v>
      </c>
      <c r="E2" s="1" t="s">
        <v>2193</v>
      </c>
      <c r="F2" s="1" t="s">
        <v>2189</v>
      </c>
      <c r="G2" s="1" t="s">
        <v>2539</v>
      </c>
      <c r="H2" s="1" t="s">
        <v>2540</v>
      </c>
      <c r="I2" s="1" t="s">
        <v>2196</v>
      </c>
      <c r="J2" s="1" t="s">
        <v>2197</v>
      </c>
      <c r="K2" s="1" t="s">
        <v>2198</v>
      </c>
      <c r="L2" s="1" t="s">
        <v>2199</v>
      </c>
      <c r="M2" s="1" t="s">
        <v>2200</v>
      </c>
      <c r="N2" s="1" t="s">
        <v>2201</v>
      </c>
    </row>
    <row r="3" customFormat="false" ht="15.75" hidden="false" customHeight="false" outlineLevel="0" collapsed="false">
      <c r="A3" s="1" t="n">
        <v>142740</v>
      </c>
      <c r="B3" s="1" t="s">
        <v>2468</v>
      </c>
      <c r="C3" s="1" t="s">
        <v>2222</v>
      </c>
      <c r="D3" s="1" t="s">
        <v>841</v>
      </c>
      <c r="E3" s="1" t="s">
        <v>2470</v>
      </c>
      <c r="F3" s="1" t="n">
        <v>142740</v>
      </c>
      <c r="G3" s="1" t="s">
        <v>2469</v>
      </c>
      <c r="H3" s="1" t="s">
        <v>2206</v>
      </c>
      <c r="I3" s="1" t="n">
        <f aca="false">VLOOKUP($A3,Day2!$A$1:$H$400,4,FALSE())</f>
        <v>0</v>
      </c>
      <c r="J3" s="1" t="n">
        <f aca="false">VLOOKUP($A3,Day2!$A$1:$H$400,5,FALSE())</f>
        <v>0</v>
      </c>
      <c r="K3" s="1" t="n">
        <f aca="false">VLOOKUP($A3,Day2!$A$1:$H$400,6,FALSE())</f>
        <v>0</v>
      </c>
      <c r="L3" s="1" t="n">
        <f aca="false">VLOOKUP($A3,Day2!$A$1:$H$400,7,FALSE())</f>
        <v>0</v>
      </c>
      <c r="M3" s="15" t="n">
        <f aca="false">SUM(I3:L3)</f>
        <v>0</v>
      </c>
      <c r="N3" s="15" t="str">
        <f aca="false">ROMAN(RANK(M3,$M$3:$M$30,0))</f>
        <v>VI</v>
      </c>
    </row>
    <row r="4" customFormat="false" ht="15.75" hidden="false" customHeight="false" outlineLevel="0" collapsed="false">
      <c r="A4" s="1" t="n">
        <v>82535</v>
      </c>
      <c r="B4" s="1" t="s">
        <v>2468</v>
      </c>
      <c r="C4" s="1" t="s">
        <v>2207</v>
      </c>
      <c r="D4" s="1" t="s">
        <v>822</v>
      </c>
      <c r="E4" s="1" t="s">
        <v>615</v>
      </c>
      <c r="F4" s="1" t="n">
        <v>82535</v>
      </c>
      <c r="G4" s="1" t="s">
        <v>2469</v>
      </c>
      <c r="H4" s="1" t="s">
        <v>2212</v>
      </c>
      <c r="I4" s="1" t="n">
        <f aca="false">VLOOKUP($A4,Day2!$A$1:$H$400,4,FALSE())</f>
        <v>0</v>
      </c>
      <c r="J4" s="1" t="n">
        <f aca="false">VLOOKUP($A4,Day2!$A$1:$H$400,5,FALSE())</f>
        <v>0</v>
      </c>
      <c r="K4" s="1" t="n">
        <f aca="false">VLOOKUP($A4,Day2!$A$1:$H$400,6,FALSE())</f>
        <v>0</v>
      </c>
      <c r="L4" s="1" t="n">
        <f aca="false">VLOOKUP($A4,Day2!$A$1:$H$400,7,FALSE())</f>
        <v>0</v>
      </c>
      <c r="M4" s="15" t="n">
        <f aca="false">SUM(I4:L4)</f>
        <v>0</v>
      </c>
      <c r="N4" s="15" t="str">
        <f aca="false">ROMAN(RANK(M4,$M$3:$M$30,0))</f>
        <v>VI</v>
      </c>
    </row>
    <row r="5" customFormat="false" ht="15.75" hidden="false" customHeight="false" outlineLevel="0" collapsed="false">
      <c r="A5" s="1" t="n">
        <v>82456</v>
      </c>
      <c r="B5" s="1" t="s">
        <v>2468</v>
      </c>
      <c r="C5" s="1" t="s">
        <v>2207</v>
      </c>
      <c r="D5" s="1" t="s">
        <v>802</v>
      </c>
      <c r="E5" s="1" t="s">
        <v>2424</v>
      </c>
      <c r="F5" s="1" t="n">
        <v>82456</v>
      </c>
      <c r="G5" s="1" t="s">
        <v>2469</v>
      </c>
      <c r="H5" s="1" t="s">
        <v>2212</v>
      </c>
      <c r="I5" s="1" t="n">
        <f aca="false">VLOOKUP($A5,Day2!$A$1:$H$400,4,FALSE())</f>
        <v>2</v>
      </c>
      <c r="J5" s="1" t="n">
        <f aca="false">VLOOKUP($A5,Day2!$A$1:$H$400,5,FALSE())</f>
        <v>0</v>
      </c>
      <c r="K5" s="1" t="n">
        <f aca="false">VLOOKUP($A5,Day2!$A$1:$H$400,6,FALSE())</f>
        <v>0</v>
      </c>
      <c r="L5" s="1" t="n">
        <f aca="false">VLOOKUP($A5,Day2!$A$1:$H$400,7,FALSE())</f>
        <v>0</v>
      </c>
      <c r="M5" s="15" t="n">
        <f aca="false">SUM(I5:L5)</f>
        <v>2</v>
      </c>
      <c r="N5" s="15" t="str">
        <f aca="false">ROMAN(RANK(M5,$M$3:$M$30,0))</f>
        <v>III</v>
      </c>
    </row>
    <row r="6" customFormat="false" ht="15.75" hidden="false" customHeight="false" outlineLevel="0" collapsed="false">
      <c r="A6" s="1" t="n">
        <v>59433</v>
      </c>
      <c r="B6" s="1" t="s">
        <v>2468</v>
      </c>
      <c r="C6" s="1" t="s">
        <v>2290</v>
      </c>
      <c r="D6" s="1" t="s">
        <v>827</v>
      </c>
      <c r="E6" s="1" t="s">
        <v>868</v>
      </c>
      <c r="F6" s="1" t="n">
        <v>59433</v>
      </c>
      <c r="G6" s="1" t="s">
        <v>2469</v>
      </c>
      <c r="H6" s="1" t="s">
        <v>2209</v>
      </c>
      <c r="I6" s="1" t="n">
        <f aca="false">VLOOKUP($A6,Day2!$A$1:$H$400,4,FALSE())</f>
        <v>0</v>
      </c>
      <c r="J6" s="1" t="n">
        <f aca="false">VLOOKUP($A6,Day2!$A$1:$H$400,5,FALSE())</f>
        <v>0</v>
      </c>
      <c r="K6" s="1" t="n">
        <f aca="false">VLOOKUP($A6,Day2!$A$1:$H$400,6,FALSE())</f>
        <v>0</v>
      </c>
      <c r="L6" s="1" t="n">
        <f aca="false">VLOOKUP($A6,Day2!$A$1:$H$400,7,FALSE())</f>
        <v>0</v>
      </c>
      <c r="M6" s="15" t="n">
        <f aca="false">SUM(I6:L6)</f>
        <v>0</v>
      </c>
      <c r="N6" s="15" t="str">
        <f aca="false">ROMAN(RANK(M6,$M$3:$M$30,0))</f>
        <v>VI</v>
      </c>
    </row>
    <row r="7" customFormat="false" ht="15.75" hidden="false" customHeight="false" outlineLevel="0" collapsed="false">
      <c r="A7" s="1" t="n">
        <v>82453</v>
      </c>
      <c r="B7" s="1" t="s">
        <v>2468</v>
      </c>
      <c r="C7" s="1" t="s">
        <v>2207</v>
      </c>
      <c r="D7" s="1" t="s">
        <v>786</v>
      </c>
      <c r="E7" s="1" t="s">
        <v>2471</v>
      </c>
      <c r="F7" s="1" t="n">
        <v>82453</v>
      </c>
      <c r="G7" s="1" t="s">
        <v>2469</v>
      </c>
      <c r="H7" s="1" t="s">
        <v>2212</v>
      </c>
      <c r="I7" s="1" t="n">
        <f aca="false">VLOOKUP($A7,Day2!$A$1:$H$400,4,FALSE())</f>
        <v>0</v>
      </c>
      <c r="J7" s="1" t="n">
        <f aca="false">VLOOKUP($A7,Day2!$A$1:$H$400,5,FALSE())</f>
        <v>0</v>
      </c>
      <c r="K7" s="1" t="n">
        <f aca="false">VLOOKUP($A7,Day2!$A$1:$H$400,6,FALSE())</f>
        <v>0</v>
      </c>
      <c r="L7" s="1" t="n">
        <f aca="false">VLOOKUP($A7,Day2!$A$1:$H$400,7,FALSE())</f>
        <v>0</v>
      </c>
      <c r="M7" s="15" t="n">
        <f aca="false">SUM(I7:L7)</f>
        <v>0</v>
      </c>
      <c r="N7" s="15" t="str">
        <f aca="false">ROMAN(RANK(M7,$M$3:$M$30,0))</f>
        <v>VI</v>
      </c>
    </row>
    <row r="8" customFormat="false" ht="15.75" hidden="false" customHeight="false" outlineLevel="0" collapsed="false">
      <c r="A8" s="1" t="n">
        <v>110661</v>
      </c>
      <c r="B8" s="1" t="s">
        <v>2468</v>
      </c>
      <c r="C8" s="1" t="s">
        <v>2210</v>
      </c>
      <c r="D8" s="1" t="s">
        <v>845</v>
      </c>
      <c r="E8" s="1" t="s">
        <v>2355</v>
      </c>
      <c r="F8" s="1" t="n">
        <v>110661</v>
      </c>
      <c r="G8" s="1" t="s">
        <v>2469</v>
      </c>
      <c r="H8" s="1" t="s">
        <v>2209</v>
      </c>
      <c r="I8" s="1" t="n">
        <f aca="false">VLOOKUP($A8,Day2!$A$1:$H$400,4,FALSE())</f>
        <v>0</v>
      </c>
      <c r="J8" s="1" t="n">
        <f aca="false">VLOOKUP($A8,Day2!$A$1:$H$400,5,FALSE())</f>
        <v>0</v>
      </c>
      <c r="K8" s="1" t="n">
        <f aca="false">VLOOKUP($A8,Day2!$A$1:$H$400,6,FALSE())</f>
        <v>0</v>
      </c>
      <c r="L8" s="1" t="n">
        <f aca="false">VLOOKUP($A8,Day2!$A$1:$H$400,7,FALSE())</f>
        <v>0</v>
      </c>
      <c r="M8" s="15" t="n">
        <f aca="false">SUM(I8:L8)</f>
        <v>0</v>
      </c>
      <c r="N8" s="15" t="str">
        <f aca="false">ROMAN(RANK(M8,$M$3:$M$30,0))</f>
        <v>VI</v>
      </c>
    </row>
    <row r="9" customFormat="false" ht="15.75" hidden="false" customHeight="false" outlineLevel="0" collapsed="false">
      <c r="A9" s="1" t="n">
        <v>122031</v>
      </c>
      <c r="B9" s="1" t="s">
        <v>2468</v>
      </c>
      <c r="C9" s="1" t="s">
        <v>2203</v>
      </c>
      <c r="D9" s="1" t="s">
        <v>851</v>
      </c>
      <c r="E9" s="1" t="s">
        <v>2472</v>
      </c>
      <c r="F9" s="1" t="n">
        <v>122031</v>
      </c>
      <c r="G9" s="1" t="s">
        <v>2469</v>
      </c>
      <c r="H9" s="1" t="s">
        <v>2212</v>
      </c>
      <c r="I9" s="1" t="n">
        <f aca="false">VLOOKUP($A9,Day2!$A$1:$H$400,4,FALSE())</f>
        <v>0</v>
      </c>
      <c r="J9" s="1" t="n">
        <f aca="false">VLOOKUP($A9,Day2!$A$1:$H$400,5,FALSE())</f>
        <v>0</v>
      </c>
      <c r="K9" s="1" t="n">
        <f aca="false">VLOOKUP($A9,Day2!$A$1:$H$400,6,FALSE())</f>
        <v>0</v>
      </c>
      <c r="L9" s="1" t="n">
        <f aca="false">VLOOKUP($A9,Day2!$A$1:$H$400,7,FALSE())</f>
        <v>0</v>
      </c>
      <c r="M9" s="15" t="n">
        <f aca="false">SUM(I9:L9)</f>
        <v>0</v>
      </c>
      <c r="N9" s="15" t="str">
        <f aca="false">ROMAN(RANK(M9,$M$3:$M$30,0))</f>
        <v>VI</v>
      </c>
    </row>
    <row r="10" customFormat="false" ht="15.75" hidden="false" customHeight="false" outlineLevel="0" collapsed="false">
      <c r="A10" s="1" t="n">
        <v>129372</v>
      </c>
      <c r="B10" s="1" t="s">
        <v>2468</v>
      </c>
      <c r="C10" s="1" t="s">
        <v>2310</v>
      </c>
      <c r="D10" s="1" t="s">
        <v>774</v>
      </c>
      <c r="E10" s="1" t="s">
        <v>2473</v>
      </c>
      <c r="F10" s="1" t="n">
        <v>129372</v>
      </c>
      <c r="G10" s="1" t="s">
        <v>2469</v>
      </c>
      <c r="H10" s="1" t="s">
        <v>2206</v>
      </c>
      <c r="I10" s="1" t="n">
        <f aca="false">VLOOKUP($A10,Day2!$A$1:$H$400,4,FALSE())</f>
        <v>3</v>
      </c>
      <c r="J10" s="1" t="n">
        <f aca="false">VLOOKUP($A10,Day2!$A$1:$H$400,5,FALSE())</f>
        <v>0</v>
      </c>
      <c r="K10" s="1" t="n">
        <f aca="false">VLOOKUP($A10,Day2!$A$1:$H$400,6,FALSE())</f>
        <v>0</v>
      </c>
      <c r="L10" s="1" t="n">
        <f aca="false">VLOOKUP($A10,Day2!$A$1:$H$400,7,FALSE())</f>
        <v>0</v>
      </c>
      <c r="M10" s="15" t="n">
        <f aca="false">SUM(I10:L10)</f>
        <v>3</v>
      </c>
      <c r="N10" s="15" t="str">
        <f aca="false">ROMAN(RANK(M10,$M$3:$M$30,0))</f>
        <v>I</v>
      </c>
    </row>
    <row r="11" customFormat="false" ht="15.75" hidden="false" customHeight="false" outlineLevel="0" collapsed="false">
      <c r="A11" s="1" t="n">
        <v>109503</v>
      </c>
      <c r="B11" s="1" t="s">
        <v>2468</v>
      </c>
      <c r="C11" s="1" t="s">
        <v>2221</v>
      </c>
      <c r="D11" s="1" t="s">
        <v>857</v>
      </c>
      <c r="E11" s="1" t="s">
        <v>35</v>
      </c>
      <c r="F11" s="1" t="n">
        <v>109503</v>
      </c>
      <c r="G11" s="1" t="s">
        <v>2469</v>
      </c>
      <c r="H11" s="1" t="s">
        <v>2225</v>
      </c>
      <c r="I11" s="1" t="n">
        <f aca="false">VLOOKUP($A11,Day2!$A$1:$H$400,4,FALSE())</f>
        <v>2</v>
      </c>
      <c r="J11" s="1" t="n">
        <f aca="false">VLOOKUP($A11,Day2!$A$1:$H$400,5,FALSE())</f>
        <v>0</v>
      </c>
      <c r="K11" s="1" t="n">
        <f aca="false">VLOOKUP($A11,Day2!$A$1:$H$400,6,FALSE())</f>
        <v>0</v>
      </c>
      <c r="L11" s="1" t="n">
        <f aca="false">VLOOKUP($A11,Day2!$A$1:$H$400,7,FALSE())</f>
        <v>0</v>
      </c>
      <c r="M11" s="15" t="n">
        <f aca="false">SUM(I11:L11)</f>
        <v>2</v>
      </c>
      <c r="N11" s="15" t="str">
        <f aca="false">ROMAN(RANK(M11,$M$3:$M$30,0))</f>
        <v>III</v>
      </c>
    </row>
    <row r="12" customFormat="false" ht="15.75" hidden="false" customHeight="false" outlineLevel="0" collapsed="false">
      <c r="A12" s="1" t="n">
        <v>178304</v>
      </c>
      <c r="B12" s="1" t="s">
        <v>2468</v>
      </c>
      <c r="C12" s="1" t="s">
        <v>2207</v>
      </c>
      <c r="D12" s="1" t="s">
        <v>212</v>
      </c>
      <c r="E12" s="1" t="s">
        <v>1088</v>
      </c>
      <c r="F12" s="1" t="n">
        <v>178304</v>
      </c>
      <c r="G12" s="1" t="s">
        <v>2469</v>
      </c>
      <c r="H12" s="1" t="s">
        <v>2212</v>
      </c>
      <c r="I12" s="1" t="n">
        <f aca="false">VLOOKUP($A12,Day2!$A$1:$H$400,4,FALSE())</f>
        <v>0</v>
      </c>
      <c r="J12" s="1" t="n">
        <f aca="false">VLOOKUP($A12,Day2!$A$1:$H$400,5,FALSE())</f>
        <v>0</v>
      </c>
      <c r="K12" s="1" t="n">
        <f aca="false">VLOOKUP($A12,Day2!$A$1:$H$400,6,FALSE())</f>
        <v>0</v>
      </c>
      <c r="L12" s="1" t="n">
        <f aca="false">VLOOKUP($A12,Day2!$A$1:$H$400,7,FALSE())</f>
        <v>0</v>
      </c>
      <c r="M12" s="15" t="n">
        <f aca="false">SUM(I12:L12)</f>
        <v>0</v>
      </c>
      <c r="N12" s="15" t="str">
        <f aca="false">ROMAN(RANK(M12,$M$3:$M$30,0))</f>
        <v>VI</v>
      </c>
    </row>
    <row r="13" customFormat="false" ht="15.75" hidden="false" customHeight="false" outlineLevel="0" collapsed="false">
      <c r="A13" s="1" t="n">
        <v>203256</v>
      </c>
      <c r="B13" s="1" t="s">
        <v>2468</v>
      </c>
      <c r="C13" s="1" t="s">
        <v>2222</v>
      </c>
      <c r="D13" s="1" t="s">
        <v>793</v>
      </c>
      <c r="E13" s="1" t="s">
        <v>749</v>
      </c>
      <c r="F13" s="1" t="n">
        <v>203256</v>
      </c>
      <c r="G13" s="1" t="s">
        <v>2469</v>
      </c>
      <c r="H13" s="1" t="s">
        <v>2225</v>
      </c>
      <c r="I13" s="1" t="n">
        <f aca="false">VLOOKUP($A13,Day2!$A$1:$H$400,4,FALSE())</f>
        <v>0</v>
      </c>
      <c r="J13" s="1" t="n">
        <f aca="false">VLOOKUP($A13,Day2!$A$1:$H$400,5,FALSE())</f>
        <v>0</v>
      </c>
      <c r="K13" s="1" t="n">
        <f aca="false">VLOOKUP($A13,Day2!$A$1:$H$400,6,FALSE())</f>
        <v>0</v>
      </c>
      <c r="L13" s="1" t="n">
        <f aca="false">VLOOKUP($A13,Day2!$A$1:$H$400,7,FALSE())</f>
        <v>0</v>
      </c>
      <c r="M13" s="15" t="n">
        <f aca="false">SUM(I13:L13)</f>
        <v>0</v>
      </c>
      <c r="N13" s="15" t="str">
        <f aca="false">ROMAN(RANK(M13,$M$3:$M$30,0))</f>
        <v>VI</v>
      </c>
    </row>
    <row r="14" customFormat="false" ht="15.75" hidden="false" customHeight="false" outlineLevel="0" collapsed="false">
      <c r="A14" s="1" t="n">
        <v>118442</v>
      </c>
      <c r="B14" s="1" t="s">
        <v>2468</v>
      </c>
      <c r="C14" s="1" t="s">
        <v>2253</v>
      </c>
      <c r="D14" s="1" t="s">
        <v>876</v>
      </c>
      <c r="E14" s="1" t="s">
        <v>2429</v>
      </c>
      <c r="F14" s="1" t="n">
        <v>118442</v>
      </c>
      <c r="G14" s="1" t="s">
        <v>2469</v>
      </c>
      <c r="H14" s="1" t="s">
        <v>2212</v>
      </c>
      <c r="I14" s="1" t="n">
        <f aca="false">VLOOKUP($A14,Day2!$A$1:$H$400,4,FALSE())</f>
        <v>0</v>
      </c>
      <c r="J14" s="1" t="n">
        <f aca="false">VLOOKUP($A14,Day2!$A$1:$H$400,5,FALSE())</f>
        <v>0</v>
      </c>
      <c r="K14" s="1" t="n">
        <f aca="false">VLOOKUP($A14,Day2!$A$1:$H$400,6,FALSE())</f>
        <v>0</v>
      </c>
      <c r="L14" s="1" t="n">
        <f aca="false">VLOOKUP($A14,Day2!$A$1:$H$400,7,FALSE())</f>
        <v>0</v>
      </c>
      <c r="M14" s="15" t="n">
        <f aca="false">SUM(I14:L14)</f>
        <v>0</v>
      </c>
      <c r="N14" s="15" t="str">
        <f aca="false">ROMAN(RANK(M14,$M$3:$M$30,0))</f>
        <v>VI</v>
      </c>
    </row>
    <row r="15" customFormat="false" ht="15.75" hidden="false" customHeight="false" outlineLevel="0" collapsed="false">
      <c r="A15" s="1" t="n">
        <v>194729</v>
      </c>
      <c r="B15" s="1" t="s">
        <v>2468</v>
      </c>
      <c r="C15" s="1" t="s">
        <v>2227</v>
      </c>
      <c r="D15" s="1" t="s">
        <v>835</v>
      </c>
      <c r="E15" s="1" t="s">
        <v>2296</v>
      </c>
      <c r="F15" s="1" t="n">
        <v>194729</v>
      </c>
      <c r="G15" s="1" t="s">
        <v>2469</v>
      </c>
      <c r="H15" s="1" t="s">
        <v>2212</v>
      </c>
      <c r="I15" s="1" t="n">
        <f aca="false">VLOOKUP($A15,Day2!$A$1:$H$400,4,FALSE())</f>
        <v>0</v>
      </c>
      <c r="J15" s="1" t="n">
        <f aca="false">VLOOKUP($A15,Day2!$A$1:$H$400,5,FALSE())</f>
        <v>0</v>
      </c>
      <c r="K15" s="1" t="n">
        <f aca="false">VLOOKUP($A15,Day2!$A$1:$H$400,6,FALSE())</f>
        <v>0</v>
      </c>
      <c r="L15" s="1" t="n">
        <f aca="false">VLOOKUP($A15,Day2!$A$1:$H$400,7,FALSE())</f>
        <v>0</v>
      </c>
      <c r="M15" s="15" t="n">
        <f aca="false">SUM(I15:L15)</f>
        <v>0</v>
      </c>
      <c r="N15" s="15" t="str">
        <f aca="false">ROMAN(RANK(M15,$M$3:$M$30,0))</f>
        <v>VI</v>
      </c>
    </row>
    <row r="16" customFormat="false" ht="15.75" hidden="false" customHeight="false" outlineLevel="0" collapsed="false">
      <c r="A16" s="1" t="n">
        <v>59211</v>
      </c>
      <c r="B16" s="1" t="s">
        <v>2468</v>
      </c>
      <c r="C16" s="1" t="s">
        <v>2221</v>
      </c>
      <c r="D16" s="1" t="s">
        <v>868</v>
      </c>
      <c r="E16" s="1" t="s">
        <v>2475</v>
      </c>
      <c r="F16" s="1" t="n">
        <v>59211</v>
      </c>
      <c r="G16" s="1" t="s">
        <v>2469</v>
      </c>
      <c r="H16" s="1" t="s">
        <v>2206</v>
      </c>
      <c r="I16" s="1" t="n">
        <f aca="false">VLOOKUP($A16,Day2!$A$1:$H$400,4,FALSE())</f>
        <v>3</v>
      </c>
      <c r="J16" s="1" t="n">
        <f aca="false">VLOOKUP($A16,Day2!$A$1:$H$400,5,FALSE())</f>
        <v>0</v>
      </c>
      <c r="K16" s="1" t="n">
        <f aca="false">VLOOKUP($A16,Day2!$A$1:$H$400,6,FALSE())</f>
        <v>0</v>
      </c>
      <c r="L16" s="1" t="n">
        <f aca="false">VLOOKUP($A16,Day2!$A$1:$H$400,7,FALSE())</f>
        <v>0</v>
      </c>
      <c r="M16" s="15" t="n">
        <f aca="false">SUM(I16:L16)</f>
        <v>3</v>
      </c>
      <c r="N16" s="15" t="str">
        <f aca="false">ROMAN(RANK(M16,$M$3:$M$30,0))</f>
        <v>I</v>
      </c>
    </row>
    <row r="17" customFormat="false" ht="15.75" hidden="false" customHeight="false" outlineLevel="0" collapsed="false">
      <c r="A17" s="1" t="n">
        <v>139239</v>
      </c>
      <c r="B17" s="1" t="s">
        <v>2468</v>
      </c>
      <c r="C17" s="1" t="s">
        <v>2295</v>
      </c>
      <c r="D17" s="1" t="s">
        <v>861</v>
      </c>
      <c r="E17" s="1" t="s">
        <v>35</v>
      </c>
      <c r="F17" s="1" t="n">
        <v>139239</v>
      </c>
      <c r="G17" s="1" t="s">
        <v>2469</v>
      </c>
      <c r="H17" s="1" t="s">
        <v>2206</v>
      </c>
      <c r="I17" s="1" t="n">
        <f aca="false">VLOOKUP($A17,Day2!$A$1:$H$400,4,FALSE())</f>
        <v>0</v>
      </c>
      <c r="J17" s="1" t="n">
        <f aca="false">VLOOKUP($A17,Day2!$A$1:$H$400,5,FALSE())</f>
        <v>0</v>
      </c>
      <c r="K17" s="1" t="n">
        <f aca="false">VLOOKUP($A17,Day2!$A$1:$H$400,6,FALSE())</f>
        <v>0</v>
      </c>
      <c r="L17" s="1" t="n">
        <f aca="false">VLOOKUP($A17,Day2!$A$1:$H$400,7,FALSE())</f>
        <v>0</v>
      </c>
      <c r="M17" s="15" t="n">
        <f aca="false">SUM(I17:L17)</f>
        <v>0</v>
      </c>
      <c r="N17" s="15" t="str">
        <f aca="false">ROMAN(RANK(M17,$M$3:$M$30,0))</f>
        <v>VI</v>
      </c>
    </row>
    <row r="18" customFormat="false" ht="15.75" hidden="false" customHeight="false" outlineLevel="0" collapsed="false">
      <c r="A18" s="1" t="n">
        <v>53495</v>
      </c>
      <c r="B18" s="1" t="s">
        <v>2468</v>
      </c>
      <c r="C18" s="1" t="s">
        <v>2265</v>
      </c>
      <c r="D18" s="1" t="s">
        <v>797</v>
      </c>
      <c r="E18" s="1" t="s">
        <v>2395</v>
      </c>
      <c r="F18" s="1" t="n">
        <v>53495</v>
      </c>
      <c r="G18" s="1" t="s">
        <v>2469</v>
      </c>
      <c r="H18" s="1" t="s">
        <v>2209</v>
      </c>
      <c r="I18" s="1" t="n">
        <f aca="false">VLOOKUP($A18,Day2!$A$1:$H$400,4,FALSE())</f>
        <v>0</v>
      </c>
      <c r="J18" s="1" t="n">
        <f aca="false">VLOOKUP($A18,Day2!$A$1:$H$400,5,FALSE())</f>
        <v>0</v>
      </c>
      <c r="K18" s="1" t="n">
        <f aca="false">VLOOKUP($A18,Day2!$A$1:$H$400,6,FALSE())</f>
        <v>0</v>
      </c>
      <c r="L18" s="1" t="n">
        <f aca="false">VLOOKUP($A18,Day2!$A$1:$H$400,7,FALSE())</f>
        <v>0</v>
      </c>
      <c r="M18" s="15" t="n">
        <f aca="false">SUM(I18:L18)</f>
        <v>0</v>
      </c>
      <c r="N18" s="15" t="str">
        <f aca="false">ROMAN(RANK(M18,$M$3:$M$30,0))</f>
        <v>VI</v>
      </c>
    </row>
    <row r="19" customFormat="false" ht="15.75" hidden="false" customHeight="false" outlineLevel="0" collapsed="false">
      <c r="A19" s="1" t="n">
        <v>16020</v>
      </c>
      <c r="B19" s="1" t="s">
        <v>2468</v>
      </c>
      <c r="C19" s="1" t="s">
        <v>2215</v>
      </c>
      <c r="D19" s="1" t="s">
        <v>780</v>
      </c>
      <c r="E19" s="1" t="s">
        <v>25</v>
      </c>
      <c r="F19" s="1" t="n">
        <v>16020</v>
      </c>
      <c r="G19" s="1" t="s">
        <v>2469</v>
      </c>
      <c r="H19" s="1" t="s">
        <v>2212</v>
      </c>
      <c r="I19" s="1" t="n">
        <f aca="false">VLOOKUP($A19,Day2!$A$1:$H$400,4,FALSE())</f>
        <v>2</v>
      </c>
      <c r="J19" s="1" t="n">
        <f aca="false">VLOOKUP($A19,Day2!$A$1:$H$400,5,FALSE())</f>
        <v>0</v>
      </c>
      <c r="K19" s="1" t="n">
        <f aca="false">VLOOKUP($A19,Day2!$A$1:$H$400,6,FALSE())</f>
        <v>0</v>
      </c>
      <c r="L19" s="1" t="n">
        <f aca="false">VLOOKUP($A19,Day2!$A$1:$H$400,7,FALSE())</f>
        <v>0</v>
      </c>
      <c r="M19" s="15" t="n">
        <f aca="false">SUM(I19:L19)</f>
        <v>2</v>
      </c>
      <c r="N19" s="15" t="str">
        <f aca="false">ROMAN(RANK(M19,$M$3:$M$30,0))</f>
        <v>III</v>
      </c>
    </row>
    <row r="20" customFormat="false" ht="15.75" hidden="false" customHeight="false" outlineLevel="0" collapsed="false">
      <c r="A20" s="1" t="n">
        <v>117778</v>
      </c>
      <c r="B20" s="1" t="s">
        <v>2468</v>
      </c>
      <c r="C20" s="1" t="s">
        <v>2277</v>
      </c>
      <c r="D20" s="1" t="s">
        <v>816</v>
      </c>
      <c r="E20" s="1" t="s">
        <v>2476</v>
      </c>
      <c r="F20" s="1" t="n">
        <v>117778</v>
      </c>
      <c r="G20" s="1" t="s">
        <v>2469</v>
      </c>
      <c r="H20" s="1" t="s">
        <v>2212</v>
      </c>
      <c r="I20" s="1" t="n">
        <f aca="false">VLOOKUP($A20,Day2!$A$1:$H$400,4,FALSE())</f>
        <v>0</v>
      </c>
      <c r="J20" s="1" t="n">
        <f aca="false">VLOOKUP($A20,Day2!$A$1:$H$400,5,FALSE())</f>
        <v>0</v>
      </c>
      <c r="K20" s="1" t="n">
        <f aca="false">VLOOKUP($A20,Day2!$A$1:$H$400,6,FALSE())</f>
        <v>0</v>
      </c>
      <c r="L20" s="1" t="n">
        <f aca="false">VLOOKUP($A20,Day2!$A$1:$H$400,7,FALSE())</f>
        <v>0</v>
      </c>
      <c r="M20" s="15" t="n">
        <f aca="false">SUM(I20:L20)</f>
        <v>0</v>
      </c>
      <c r="N20" s="15" t="str">
        <f aca="false">ROMAN(RANK(M20,$M$3:$M$30,0))</f>
        <v>VI</v>
      </c>
    </row>
    <row r="21" customFormat="false" ht="15.75" hidden="false" customHeight="false" outlineLevel="0" collapsed="false">
      <c r="A21" s="1" t="n">
        <v>109392</v>
      </c>
      <c r="B21" s="1" t="s">
        <v>2468</v>
      </c>
      <c r="C21" s="1" t="s">
        <v>2218</v>
      </c>
      <c r="D21" s="1" t="s">
        <v>873</v>
      </c>
      <c r="E21" s="1" t="s">
        <v>2477</v>
      </c>
      <c r="F21" s="1" t="n">
        <v>109392</v>
      </c>
      <c r="G21" s="1" t="s">
        <v>2469</v>
      </c>
      <c r="H21" s="1" t="s">
        <v>2212</v>
      </c>
      <c r="I21" s="1" t="n">
        <f aca="false">VLOOKUP($A21,Day2!$A$1:$H$400,4,FALSE())</f>
        <v>0</v>
      </c>
      <c r="J21" s="1" t="n">
        <f aca="false">VLOOKUP($A21,Day2!$A$1:$H$400,5,FALSE())</f>
        <v>0</v>
      </c>
      <c r="K21" s="1" t="n">
        <f aca="false">VLOOKUP($A21,Day2!$A$1:$H$400,6,FALSE())</f>
        <v>0</v>
      </c>
      <c r="L21" s="1" t="n">
        <f aca="false">VLOOKUP($A21,Day2!$A$1:$H$400,7,FALSE())</f>
        <v>0</v>
      </c>
      <c r="M21" s="15" t="n">
        <f aca="false">SUM(I21:L21)</f>
        <v>0</v>
      </c>
      <c r="N21" s="15" t="str">
        <f aca="false">ROMAN(RANK(M21,$M$3:$M$30,0))</f>
        <v>VI</v>
      </c>
    </row>
    <row r="22" customFormat="false" ht="15.75" hidden="false" customHeight="false" outlineLevel="0" collapsed="false">
      <c r="A22" s="1" t="n">
        <v>139279</v>
      </c>
      <c r="B22" s="1" t="s">
        <v>2468</v>
      </c>
      <c r="C22" s="1" t="s">
        <v>2295</v>
      </c>
      <c r="D22" s="1" t="s">
        <v>855</v>
      </c>
      <c r="E22" s="1" t="s">
        <v>2250</v>
      </c>
      <c r="F22" s="1" t="n">
        <v>139279</v>
      </c>
      <c r="G22" s="1" t="s">
        <v>2469</v>
      </c>
      <c r="H22" s="1" t="s">
        <v>2206</v>
      </c>
      <c r="I22" s="1" t="n">
        <f aca="false">VLOOKUP($A22,Day2!$A$1:$H$400,4,FALSE())</f>
        <v>0</v>
      </c>
      <c r="J22" s="1" t="n">
        <f aca="false">VLOOKUP($A22,Day2!$A$1:$H$400,5,FALSE())</f>
        <v>0</v>
      </c>
      <c r="K22" s="1" t="n">
        <f aca="false">VLOOKUP($A22,Day2!$A$1:$H$400,6,FALSE())</f>
        <v>0</v>
      </c>
      <c r="L22" s="1" t="n">
        <f aca="false">VLOOKUP($A22,Day2!$A$1:$H$400,7,FALSE())</f>
        <v>0</v>
      </c>
      <c r="M22" s="15" t="n">
        <f aca="false">SUM(I22:L22)</f>
        <v>0</v>
      </c>
      <c r="N22" s="15" t="str">
        <f aca="false">ROMAN(RANK(M22,$M$3:$M$30,0))</f>
        <v>VI</v>
      </c>
    </row>
    <row r="23" customFormat="false" ht="15.75" hidden="false" customHeight="false" outlineLevel="0" collapsed="false">
      <c r="A23" s="1" t="n">
        <v>110088</v>
      </c>
      <c r="B23" s="1" t="s">
        <v>2468</v>
      </c>
      <c r="C23" s="1" t="s">
        <v>2290</v>
      </c>
      <c r="D23" s="1" t="s">
        <v>831</v>
      </c>
      <c r="E23" s="1" t="s">
        <v>1011</v>
      </c>
      <c r="F23" s="1" t="n">
        <v>110088</v>
      </c>
      <c r="G23" s="1" t="s">
        <v>2469</v>
      </c>
      <c r="H23" s="1" t="s">
        <v>2212</v>
      </c>
      <c r="I23" s="1" t="n">
        <f aca="false">VLOOKUP($A23,Day2!$A$1:$H$400,4,FALSE())</f>
        <v>0</v>
      </c>
      <c r="J23" s="1" t="n">
        <f aca="false">VLOOKUP($A23,Day2!$A$1:$H$400,5,FALSE())</f>
        <v>0</v>
      </c>
      <c r="K23" s="1" t="n">
        <f aca="false">VLOOKUP($A23,Day2!$A$1:$H$400,6,FALSE())</f>
        <v>0</v>
      </c>
      <c r="L23" s="1" t="n">
        <f aca="false">VLOOKUP($A23,Day2!$A$1:$H$400,7,FALSE())</f>
        <v>0</v>
      </c>
      <c r="M23" s="15" t="n">
        <f aca="false">SUM(I23:L23)</f>
        <v>0</v>
      </c>
      <c r="N23" s="15" t="str">
        <f aca="false">ROMAN(RANK(M23,$M$3:$M$30,0))</f>
        <v>VI</v>
      </c>
    </row>
    <row r="24" customFormat="false" ht="15.75" hidden="false" customHeight="false" outlineLevel="0" collapsed="false">
      <c r="A24" s="1" t="n">
        <v>212553</v>
      </c>
      <c r="B24" s="1" t="s">
        <v>2468</v>
      </c>
      <c r="C24" s="1" t="s">
        <v>2219</v>
      </c>
      <c r="D24" s="1" t="s">
        <v>820</v>
      </c>
      <c r="E24" s="1" t="s">
        <v>2241</v>
      </c>
      <c r="F24" s="1" t="n">
        <v>212553</v>
      </c>
      <c r="G24" s="1" t="s">
        <v>2469</v>
      </c>
      <c r="H24" s="1" t="s">
        <v>2209</v>
      </c>
      <c r="I24" s="1" t="n">
        <f aca="false">VLOOKUP($A24,Day2!$A$1:$H$400,4,FALSE())</f>
        <v>0</v>
      </c>
      <c r="J24" s="1" t="n">
        <f aca="false">VLOOKUP($A24,Day2!$A$1:$H$400,5,FALSE())</f>
        <v>0</v>
      </c>
      <c r="K24" s="1" t="n">
        <f aca="false">VLOOKUP($A24,Day2!$A$1:$H$400,6,FALSE())</f>
        <v>0</v>
      </c>
      <c r="L24" s="1" t="n">
        <f aca="false">VLOOKUP($A24,Day2!$A$1:$H$400,7,FALSE())</f>
        <v>0</v>
      </c>
      <c r="M24" s="15" t="n">
        <f aca="false">SUM(I24:L24)</f>
        <v>0</v>
      </c>
      <c r="N24" s="15" t="str">
        <f aca="false">ROMAN(RANK(M24,$M$3:$M$30,0))</f>
        <v>VI</v>
      </c>
    </row>
    <row r="25" customFormat="false" ht="15.75" hidden="false" customHeight="false" outlineLevel="0" collapsed="false">
      <c r="A25" s="1" t="n">
        <v>118418</v>
      </c>
      <c r="B25" s="1" t="s">
        <v>2468</v>
      </c>
      <c r="C25" s="1" t="s">
        <v>2253</v>
      </c>
      <c r="D25" s="1" t="s">
        <v>789</v>
      </c>
      <c r="E25" s="1" t="s">
        <v>2371</v>
      </c>
      <c r="F25" s="1" t="n">
        <v>118418</v>
      </c>
      <c r="G25" s="1" t="s">
        <v>2469</v>
      </c>
      <c r="H25" s="1" t="s">
        <v>2212</v>
      </c>
      <c r="I25" s="1" t="n">
        <f aca="false">VLOOKUP($A25,Day2!$A$1:$H$400,4,FALSE())</f>
        <v>0</v>
      </c>
      <c r="J25" s="1" t="n">
        <f aca="false">VLOOKUP($A25,Day2!$A$1:$H$400,5,FALSE())</f>
        <v>0</v>
      </c>
      <c r="K25" s="1" t="n">
        <f aca="false">VLOOKUP($A25,Day2!$A$1:$H$400,6,FALSE())</f>
        <v>0</v>
      </c>
      <c r="L25" s="1" t="n">
        <f aca="false">VLOOKUP($A25,Day2!$A$1:$H$400,7,FALSE())</f>
        <v>0</v>
      </c>
      <c r="M25" s="15" t="n">
        <f aca="false">SUM(I25:L25)</f>
        <v>0</v>
      </c>
      <c r="N25" s="15" t="str">
        <f aca="false">ROMAN(RANK(M25,$M$3:$M$30,0))</f>
        <v>VI</v>
      </c>
    </row>
    <row r="26" customFormat="false" ht="15.75" hidden="false" customHeight="false" outlineLevel="0" collapsed="false">
      <c r="A26" s="1" t="n">
        <v>122405</v>
      </c>
      <c r="B26" s="1" t="s">
        <v>2468</v>
      </c>
      <c r="C26" s="1" t="s">
        <v>2310</v>
      </c>
      <c r="D26" s="1" t="s">
        <v>805</v>
      </c>
      <c r="E26" s="1" t="s">
        <v>2478</v>
      </c>
      <c r="F26" s="1" t="n">
        <v>122405</v>
      </c>
      <c r="G26" s="1" t="s">
        <v>2469</v>
      </c>
      <c r="H26" s="1" t="s">
        <v>2206</v>
      </c>
      <c r="I26" s="1" t="n">
        <f aca="false">VLOOKUP($A26,Day2!$A$1:$H$400,4,FALSE())</f>
        <v>0</v>
      </c>
      <c r="J26" s="1" t="n">
        <f aca="false">VLOOKUP($A26,Day2!$A$1:$H$400,5,FALSE())</f>
        <v>0</v>
      </c>
      <c r="K26" s="1" t="n">
        <f aca="false">VLOOKUP($A26,Day2!$A$1:$H$400,6,FALSE())</f>
        <v>0</v>
      </c>
      <c r="L26" s="1" t="n">
        <f aca="false">VLOOKUP($A26,Day2!$A$1:$H$400,7,FALSE())</f>
        <v>0</v>
      </c>
      <c r="M26" s="15" t="n">
        <f aca="false">SUM(I26:L26)</f>
        <v>0</v>
      </c>
      <c r="N26" s="15" t="str">
        <f aca="false">ROMAN(RANK(M26,$M$3:$M$30,0))</f>
        <v>VI</v>
      </c>
    </row>
    <row r="27" customFormat="false" ht="15.75" hidden="false" customHeight="false" outlineLevel="0" collapsed="false">
      <c r="A27" s="1" t="n">
        <v>111890</v>
      </c>
      <c r="B27" s="1" t="s">
        <v>2468</v>
      </c>
      <c r="C27" s="1" t="s">
        <v>2257</v>
      </c>
      <c r="D27" s="1" t="s">
        <v>808</v>
      </c>
      <c r="E27" s="1" t="s">
        <v>868</v>
      </c>
      <c r="F27" s="1" t="n">
        <v>111890</v>
      </c>
      <c r="G27" s="1" t="s">
        <v>2469</v>
      </c>
      <c r="H27" s="1" t="s">
        <v>2212</v>
      </c>
      <c r="I27" s="1" t="n">
        <f aca="false">VLOOKUP($A27,Day2!$A$1:$H$400,4,FALSE())</f>
        <v>0</v>
      </c>
      <c r="J27" s="1" t="n">
        <f aca="false">VLOOKUP($A27,Day2!$A$1:$H$400,5,FALSE())</f>
        <v>0</v>
      </c>
      <c r="K27" s="1" t="n">
        <f aca="false">VLOOKUP($A27,Day2!$A$1:$H$400,6,FALSE())</f>
        <v>0</v>
      </c>
      <c r="L27" s="1" t="n">
        <f aca="false">VLOOKUP($A27,Day2!$A$1:$H$400,7,FALSE())</f>
        <v>0</v>
      </c>
      <c r="M27" s="15" t="n">
        <f aca="false">SUM(I27:L27)</f>
        <v>0</v>
      </c>
      <c r="N27" s="15" t="str">
        <f aca="false">ROMAN(RANK(M27,$M$3:$M$30,0))</f>
        <v>VI</v>
      </c>
    </row>
    <row r="28" customFormat="false" ht="15.75" hidden="false" customHeight="false" outlineLevel="0" collapsed="false">
      <c r="A28" s="1" t="n">
        <v>182905</v>
      </c>
      <c r="B28" s="1" t="s">
        <v>2468</v>
      </c>
      <c r="C28" s="1" t="s">
        <v>2432</v>
      </c>
      <c r="D28" s="1" t="s">
        <v>839</v>
      </c>
      <c r="E28" s="1" t="s">
        <v>2479</v>
      </c>
      <c r="F28" s="1" t="n">
        <v>182905</v>
      </c>
      <c r="G28" s="1" t="s">
        <v>2469</v>
      </c>
      <c r="H28" s="1" t="s">
        <v>2212</v>
      </c>
      <c r="I28" s="1" t="n">
        <f aca="false">VLOOKUP($A28,Day2!$A$1:$H$400,4,FALSE())</f>
        <v>0</v>
      </c>
      <c r="J28" s="1" t="n">
        <f aca="false">VLOOKUP($A28,Day2!$A$1:$H$400,5,FALSE())</f>
        <v>0</v>
      </c>
      <c r="K28" s="1" t="n">
        <f aca="false">VLOOKUP($A28,Day2!$A$1:$H$400,6,FALSE())</f>
        <v>0</v>
      </c>
      <c r="L28" s="1" t="n">
        <f aca="false">VLOOKUP($A28,Day2!$A$1:$H$400,7,FALSE())</f>
        <v>0</v>
      </c>
      <c r="M28" s="15" t="n">
        <f aca="false">SUM(I28:L28)</f>
        <v>0</v>
      </c>
      <c r="N28" s="15" t="str">
        <f aca="false">ROMAN(RANK(M28,$M$3:$M$30,0))</f>
        <v>VI</v>
      </c>
    </row>
    <row r="29" customFormat="false" ht="15.75" hidden="false" customHeight="false" outlineLevel="0" collapsed="false">
      <c r="A29" s="1" t="n">
        <v>115785</v>
      </c>
      <c r="B29" s="1" t="s">
        <v>2468</v>
      </c>
      <c r="C29" s="1" t="s">
        <v>2255</v>
      </c>
      <c r="D29" s="1" t="s">
        <v>863</v>
      </c>
      <c r="E29" s="1" t="s">
        <v>2457</v>
      </c>
      <c r="F29" s="1" t="n">
        <v>115785</v>
      </c>
      <c r="G29" s="1" t="s">
        <v>2469</v>
      </c>
      <c r="H29" s="1" t="s">
        <v>2212</v>
      </c>
      <c r="I29" s="1" t="n">
        <f aca="false">VLOOKUP($A29,Day2!$A$1:$H$400,4,FALSE())</f>
        <v>0</v>
      </c>
      <c r="J29" s="1" t="n">
        <f aca="false">VLOOKUP($A29,Day2!$A$1:$H$400,5,FALSE())</f>
        <v>0</v>
      </c>
      <c r="K29" s="1" t="n">
        <f aca="false">VLOOKUP($A29,Day2!$A$1:$H$400,6,FALSE())</f>
        <v>0</v>
      </c>
      <c r="L29" s="1" t="n">
        <f aca="false">VLOOKUP($A29,Day2!$A$1:$H$400,7,FALSE())</f>
        <v>0</v>
      </c>
      <c r="M29" s="15" t="n">
        <f aca="false">SUM(I29:L29)</f>
        <v>0</v>
      </c>
      <c r="N29" s="15" t="str">
        <f aca="false">ROMAN(RANK(M29,$M$3:$M$30,0))</f>
        <v>VI</v>
      </c>
    </row>
    <row r="30" customFormat="false" ht="15.75" hidden="false" customHeight="false" outlineLevel="0" collapsed="false">
      <c r="A30" s="1" t="n">
        <v>87436</v>
      </c>
      <c r="B30" s="1" t="s">
        <v>2468</v>
      </c>
      <c r="C30" s="1" t="s">
        <v>2261</v>
      </c>
      <c r="D30" s="1" t="s">
        <v>849</v>
      </c>
      <c r="E30" s="1" t="s">
        <v>2474</v>
      </c>
      <c r="F30" s="1" t="n">
        <v>87436</v>
      </c>
      <c r="G30" s="1" t="s">
        <v>2469</v>
      </c>
      <c r="H30" s="1" t="s">
        <v>2209</v>
      </c>
      <c r="I30" s="1" t="n">
        <f aca="false">VLOOKUP($A30,Day2!$A$1:$H$400,4,FALSE())</f>
        <v>0</v>
      </c>
      <c r="J30" s="1" t="n">
        <f aca="false">VLOOKUP($A30,Day2!$A$1:$H$400,5,FALSE())</f>
        <v>0</v>
      </c>
      <c r="K30" s="1" t="n">
        <f aca="false">VLOOKUP($A30,Day2!$A$1:$H$400,6,FALSE())</f>
        <v>0</v>
      </c>
      <c r="L30" s="1" t="n">
        <f aca="false">VLOOKUP($A30,Day2!$A$1:$H$400,7,FALSE())</f>
        <v>0</v>
      </c>
      <c r="M30" s="15" t="n">
        <f aca="false">SUM(I30:L30)</f>
        <v>0</v>
      </c>
      <c r="N30" s="15" t="str">
        <f aca="false">ROMAN(RANK(M30,$M$3:$M$30,0))</f>
        <v>VI</v>
      </c>
    </row>
  </sheetData>
  <autoFilter ref="A2:N30">
    <sortState ref="A3:N30">
      <sortCondition ref="A3:A30" descending="1" customList=""/>
    </sortState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2541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2025-12-20T11:47:49Z</dcterms:modified>
  <cp:revision>1</cp:revision>
  <dc:subject/>
  <dc:title/>
</cp:coreProperties>
</file>