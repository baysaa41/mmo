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cuments\naraa\2025-2026\ZAN\olimpiad\duureg\mmo\"/>
    </mc:Choice>
  </mc:AlternateContent>
  <xr:revisionPtr revIDLastSave="0" documentId="13_ncr:1_{4DA74B27-1E20-4403-9E00-E89C8954814B}" xr6:coauthVersionLast="47" xr6:coauthVersionMax="47" xr10:uidLastSave="{00000000-0000-0000-0000-000000000000}"/>
  <bookViews>
    <workbookView xWindow="-110" yWindow="-110" windowWidth="19420" windowHeight="10300" activeTab="4" xr2:uid="{B20465A6-D81E-4268-A0A6-11A92AD71298}"/>
  </bookViews>
  <sheets>
    <sheet name="C (5-6)" sheetId="7" r:id="rId1"/>
    <sheet name="D (7-8)" sheetId="2" r:id="rId2"/>
    <sheet name="E(9-10)" sheetId="3" r:id="rId3"/>
    <sheet name="F(11-12)" sheetId="4" r:id="rId4"/>
    <sheet name="T (ДБ)" sheetId="5" r:id="rId5"/>
    <sheet name="S(ББ)" sheetId="6" r:id="rId6"/>
  </sheets>
  <definedNames>
    <definedName name="_xlnm._FilterDatabase" localSheetId="0" hidden="1">'C (5-6)'!$D$3:$D$37</definedName>
    <definedName name="_xlnm._FilterDatabase" localSheetId="1" hidden="1">'D (7-8)'!$A$4:$H$123</definedName>
    <definedName name="_xlnm._FilterDatabase" localSheetId="2" hidden="1">'E(9-10)'!$A$3:$N$146</definedName>
    <definedName name="_xlnm._FilterDatabase" localSheetId="3" hidden="1">'F(11-12)'!$E$1:$E$215</definedName>
    <definedName name="_xlnm._FilterDatabase" localSheetId="5" hidden="1">'S(ББ)'!$A$4:$G$27</definedName>
    <definedName name="_xlnm._FilterDatabase" localSheetId="4" hidden="1">'T (ДБ)'!$A$5:$J$30</definedName>
    <definedName name="_xlnm.Print_Area" localSheetId="0">'C (5-6)'!$A$1:$K$184</definedName>
    <definedName name="_xlnm.Print_Area" localSheetId="2">'E(9-10)'!$A$1:$N$146</definedName>
    <definedName name="_xlnm.Print_Area" localSheetId="3">'F(11-12)'!$A$2:$N$215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7" l="1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143" i="3"/>
  <c r="M142" i="3"/>
  <c r="M141" i="3"/>
  <c r="M140" i="3"/>
  <c r="M139" i="3"/>
  <c r="M138" i="3"/>
  <c r="M137" i="3"/>
  <c r="M136" i="3"/>
  <c r="M135" i="3"/>
  <c r="M134" i="3"/>
  <c r="M133" i="3"/>
  <c r="M132" i="3"/>
  <c r="M130" i="3"/>
  <c r="M129" i="3"/>
  <c r="M128" i="3"/>
  <c r="M127" i="3"/>
  <c r="M126" i="3"/>
  <c r="M125" i="3"/>
  <c r="M124" i="3"/>
  <c r="M123" i="3"/>
  <c r="M122" i="3"/>
  <c r="M121" i="3"/>
  <c r="M120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</calcChain>
</file>

<file path=xl/sharedStrings.xml><?xml version="1.0" encoding="utf-8"?>
<sst xmlns="http://schemas.openxmlformats.org/spreadsheetml/2006/main" count="2402" uniqueCount="1027">
  <si>
    <t>БГД-ийн математикийн олимпиадын C(5-6) ангилалын дүн</t>
  </si>
  <si>
    <t>2025.12.14</t>
  </si>
  <si>
    <t>№</t>
  </si>
  <si>
    <t>ID</t>
  </si>
  <si>
    <t>Овог</t>
  </si>
  <si>
    <t>Нэр</t>
  </si>
  <si>
    <t>Сургууль</t>
  </si>
  <si>
    <t>Анги</t>
  </si>
  <si>
    <t>Даалгавар</t>
  </si>
  <si>
    <t>Оноо</t>
  </si>
  <si>
    <t>Эрдэнэ-Очир</t>
  </si>
  <si>
    <t>Билигтөгс</t>
  </si>
  <si>
    <t>Шинэ эрин</t>
  </si>
  <si>
    <t>Эрдэнэбаатар</t>
  </si>
  <si>
    <t>Цэгц</t>
  </si>
  <si>
    <t>Энхбаатар</t>
  </si>
  <si>
    <t>Мөнхбилэг</t>
  </si>
  <si>
    <t>Лхагвасүрэн</t>
  </si>
  <si>
    <t>Ухаанмөнх</t>
  </si>
  <si>
    <t>Mөнхжаргал</t>
  </si>
  <si>
    <t>Учрал</t>
  </si>
  <si>
    <t>Соёмбо сургууль</t>
  </si>
  <si>
    <t>Бялхамбилэг</t>
  </si>
  <si>
    <t>Зүмбэрлэн</t>
  </si>
  <si>
    <t>Гэрэлхуяг</t>
  </si>
  <si>
    <t>Наран-Эрдэнэ</t>
  </si>
  <si>
    <t>Шинэ эхлэл</t>
  </si>
  <si>
    <t>Байгалмаа</t>
  </si>
  <si>
    <t>Маргад</t>
  </si>
  <si>
    <t>Сүхбаатар</t>
  </si>
  <si>
    <t>Цэлмэг</t>
  </si>
  <si>
    <t>Баянмөнх</t>
  </si>
  <si>
    <t>Соёмбо</t>
  </si>
  <si>
    <t>Доржхорлоо</t>
  </si>
  <si>
    <t>Нэмүүлэн</t>
  </si>
  <si>
    <t>Эрхэт эрдэм</t>
  </si>
  <si>
    <t>Отгонбишрэлт</t>
  </si>
  <si>
    <t>Нандин</t>
  </si>
  <si>
    <t>Эрдмийн жигүүр</t>
  </si>
  <si>
    <t>Мөнхбаатар</t>
  </si>
  <si>
    <t>Баттүшиг</t>
  </si>
  <si>
    <t>51-р сургууль</t>
  </si>
  <si>
    <t>Лхагвдорж</t>
  </si>
  <si>
    <t>Аригбэх</t>
  </si>
  <si>
    <t>Манлайбаяр</t>
  </si>
  <si>
    <t>Мөнхсүлд</t>
  </si>
  <si>
    <t>141-р сургууль</t>
  </si>
  <si>
    <t>Мөнхтогтох</t>
  </si>
  <si>
    <t>Өлзийдаш</t>
  </si>
  <si>
    <t>Баярсайхан</t>
  </si>
  <si>
    <t>Тулга</t>
  </si>
  <si>
    <t>Эрдэнэбаяр</t>
  </si>
  <si>
    <t>Баяр</t>
  </si>
  <si>
    <t>Дөлгөөн</t>
  </si>
  <si>
    <t>Сэргэлэн</t>
  </si>
  <si>
    <t>Гүндарь</t>
  </si>
  <si>
    <t>Батзориг</t>
  </si>
  <si>
    <t>Ивээл</t>
  </si>
  <si>
    <t>Батжаргал</t>
  </si>
  <si>
    <t>Түвшинтулга</t>
  </si>
  <si>
    <t>Гантулга</t>
  </si>
  <si>
    <t>Төрбаяр</t>
  </si>
  <si>
    <t>Монгени</t>
  </si>
  <si>
    <t>Пүрэвсүрэн</t>
  </si>
  <si>
    <t>Бат-Ирээдүй</t>
  </si>
  <si>
    <t>Баясгалан</t>
  </si>
  <si>
    <t>Галбадрах</t>
  </si>
  <si>
    <t>Эрдмийн Өргөө</t>
  </si>
  <si>
    <t>Баттөр</t>
  </si>
  <si>
    <t>Эрхэмбаяр</t>
  </si>
  <si>
    <t>20-р сургууль</t>
  </si>
  <si>
    <t>Пүрэвхүү</t>
  </si>
  <si>
    <t>Чинзолбоо</t>
  </si>
  <si>
    <t>Эрдмийн Ундраа</t>
  </si>
  <si>
    <t>Баяржаргал</t>
  </si>
  <si>
    <t>Амархүү</t>
  </si>
  <si>
    <t>Мөнхлөн</t>
  </si>
  <si>
    <t>Элбэрэл</t>
  </si>
  <si>
    <t>Хасар</t>
  </si>
  <si>
    <t>Ням</t>
  </si>
  <si>
    <t>Батсайхан</t>
  </si>
  <si>
    <t>Билгүүнжамц</t>
  </si>
  <si>
    <t>Намсайнанжид</t>
  </si>
  <si>
    <t>38-р сургууль</t>
  </si>
  <si>
    <t>Алтанбагана</t>
  </si>
  <si>
    <t>Буянт</t>
  </si>
  <si>
    <t>Идэрбат</t>
  </si>
  <si>
    <t>Доржпалам</t>
  </si>
  <si>
    <t>Энхжин</t>
  </si>
  <si>
    <t>Золбоо</t>
  </si>
  <si>
    <t>Ананд</t>
  </si>
  <si>
    <t>Сувд-Эрдэнэ</t>
  </si>
  <si>
    <t>Болорхүү</t>
  </si>
  <si>
    <t>Ирээдүй</t>
  </si>
  <si>
    <t>Наран нэг</t>
  </si>
  <si>
    <t>Отгонжаргал</t>
  </si>
  <si>
    <t>Эзэнмөнх</t>
  </si>
  <si>
    <t>Оюуны Ундраа</t>
  </si>
  <si>
    <t>Хэрлэн</t>
  </si>
  <si>
    <t>Баясал</t>
  </si>
  <si>
    <t>Эрдмийн хишиг</t>
  </si>
  <si>
    <t>Баттулга</t>
  </si>
  <si>
    <t>Цэрэнпүрэв</t>
  </si>
  <si>
    <t>Тэшин</t>
  </si>
  <si>
    <t>Батчулуун</t>
  </si>
  <si>
    <t>Ананд-Очир</t>
  </si>
  <si>
    <t>Баярболд</t>
  </si>
  <si>
    <t>Бэлгүтэй</t>
  </si>
  <si>
    <t>Номинчулуун</t>
  </si>
  <si>
    <t>Хөлөгөн</t>
  </si>
  <si>
    <t>Мөнх-Оргил</t>
  </si>
  <si>
    <t>Амарболд</t>
  </si>
  <si>
    <t>Эрхэт эрдэм бага</t>
  </si>
  <si>
    <t>Чинбат</t>
  </si>
  <si>
    <t>Мөнхтөгөлдөр</t>
  </si>
  <si>
    <t>Оюут сургууль</t>
  </si>
  <si>
    <t>Дамдин</t>
  </si>
  <si>
    <t>Энхбат</t>
  </si>
  <si>
    <t>Болор-Эрдэнэ</t>
  </si>
  <si>
    <t>Ганзориг</t>
  </si>
  <si>
    <t>Ивээлин</t>
  </si>
  <si>
    <t>Оджаргал</t>
  </si>
  <si>
    <t>Сэтгэмж</t>
  </si>
  <si>
    <t>Баатарсүрэн</t>
  </si>
  <si>
    <t>Чингүн</t>
  </si>
  <si>
    <t>Нямдорж</t>
  </si>
  <si>
    <t>Асури</t>
  </si>
  <si>
    <t>Түмэн-Өлзий</t>
  </si>
  <si>
    <t>Цэцэнбилиг</t>
  </si>
  <si>
    <t>Шинэбаяр</t>
  </si>
  <si>
    <t>Хүсэлбаатар</t>
  </si>
  <si>
    <t>73-р сургууль</t>
  </si>
  <si>
    <t>Батмөнх</t>
  </si>
  <si>
    <t>Уранмөнх</t>
  </si>
  <si>
    <t>Отгонбаатар</t>
  </si>
  <si>
    <t>Эгшиглэн</t>
  </si>
  <si>
    <t>Баасансүрэн</t>
  </si>
  <si>
    <t>Амарбал</t>
  </si>
  <si>
    <t>Сүрэнжав</t>
  </si>
  <si>
    <t>Энхтэмдэглэлт</t>
  </si>
  <si>
    <t>Мандахнаран</t>
  </si>
  <si>
    <t>Ахыт</t>
  </si>
  <si>
    <t>Асхат</t>
  </si>
  <si>
    <t>Эхлэл</t>
  </si>
  <si>
    <t>Алтангэрэл</t>
  </si>
  <si>
    <t>Бямбазориг</t>
  </si>
  <si>
    <t>Батбилгүүн</t>
  </si>
  <si>
    <t>Энхжаргал</t>
  </si>
  <si>
    <t>Хүслэн</t>
  </si>
  <si>
    <t>Оюуны тулга</t>
  </si>
  <si>
    <t>Тэмүүлэн</t>
  </si>
  <si>
    <t>Цогт</t>
  </si>
  <si>
    <t>Агьбилэг</t>
  </si>
  <si>
    <t>40-р сургууль</t>
  </si>
  <si>
    <t>Бат-Өлзий</t>
  </si>
  <si>
    <t>Батмягмар</t>
  </si>
  <si>
    <t>Төгөлдөр</t>
  </si>
  <si>
    <t>Хүрэлбаатар</t>
  </si>
  <si>
    <t>Мөнхтуяа</t>
  </si>
  <si>
    <t>Баярбат</t>
  </si>
  <si>
    <t>Уянга</t>
  </si>
  <si>
    <t>Мөнхбат</t>
  </si>
  <si>
    <t>Нандин Эрдэнэ</t>
  </si>
  <si>
    <t>Жавхлан</t>
  </si>
  <si>
    <t>Буянхишиг</t>
  </si>
  <si>
    <t>Ганболд</t>
  </si>
  <si>
    <t>Өнөхүслэн</t>
  </si>
  <si>
    <t>Эрхэмсүлд</t>
  </si>
  <si>
    <t>Энхсоёл</t>
  </si>
  <si>
    <t>Цогт-Очир</t>
  </si>
  <si>
    <t>Эрдэм-Алтай</t>
  </si>
  <si>
    <t>Отгонбаяр</t>
  </si>
  <si>
    <t>Орчлон</t>
  </si>
  <si>
    <t>Бүүвэйбаатар</t>
  </si>
  <si>
    <t>Анхбаяр</t>
  </si>
  <si>
    <t>Ану-Үжин</t>
  </si>
  <si>
    <t>Булгантогтох</t>
  </si>
  <si>
    <t>Даваажаргал</t>
  </si>
  <si>
    <t>Октябрь</t>
  </si>
  <si>
    <t>Мэргэн</t>
  </si>
  <si>
    <t>Өнөболд</t>
  </si>
  <si>
    <t>Энхмэнд</t>
  </si>
  <si>
    <t>Цэнгэл</t>
  </si>
  <si>
    <t>Ананда</t>
  </si>
  <si>
    <t>Бадрал</t>
  </si>
  <si>
    <t>Аригун</t>
  </si>
  <si>
    <t>ЭРдмийн ундраа</t>
  </si>
  <si>
    <t>Мөнхбаяр</t>
  </si>
  <si>
    <t>Эсэнжин</t>
  </si>
  <si>
    <t>Ган-Эрдэнэ</t>
  </si>
  <si>
    <t>Төгсбилэг</t>
  </si>
  <si>
    <t>Жаргалан ОУС</t>
  </si>
  <si>
    <t>Амгаланбаатар</t>
  </si>
  <si>
    <t>Биндэръяа</t>
  </si>
  <si>
    <t>Чингис</t>
  </si>
  <si>
    <t>Одгийв</t>
  </si>
  <si>
    <t>Тодрол</t>
  </si>
  <si>
    <t>Од-Эрдэнэ</t>
  </si>
  <si>
    <t>Баярцэцэг</t>
  </si>
  <si>
    <t>Насандэлгэр</t>
  </si>
  <si>
    <t>Бүрэнжаргал</t>
  </si>
  <si>
    <t>Түмэнбаяр</t>
  </si>
  <si>
    <t>Тэмүүн</t>
  </si>
  <si>
    <t>Батсүх</t>
  </si>
  <si>
    <t>Цэлмүүн</t>
  </si>
  <si>
    <t>Энэрэл</t>
  </si>
  <si>
    <t>Дарханбаатар</t>
  </si>
  <si>
    <t>Өлзийбаяр</t>
  </si>
  <si>
    <t>Батнайрамдал</t>
  </si>
  <si>
    <t>Энх-Ананд</t>
  </si>
  <si>
    <t>Даваасүрэн</t>
  </si>
  <si>
    <t>Түшиг</t>
  </si>
  <si>
    <t>Ган-Очир</t>
  </si>
  <si>
    <t>Чин-Үйлс</t>
  </si>
  <si>
    <t>28 сургууль</t>
  </si>
  <si>
    <t>Эрдэнэмөнх</t>
  </si>
  <si>
    <t>Дөлгөөнтэнгис</t>
  </si>
  <si>
    <t>Ганхуяг</t>
  </si>
  <si>
    <t>Тэгш-Эрдэнэ</t>
  </si>
  <si>
    <t>Элбэгбаяр</t>
  </si>
  <si>
    <t>13-р сургууль</t>
  </si>
  <si>
    <t>Цэцэнбилэг</t>
  </si>
  <si>
    <t>40 сургууль</t>
  </si>
  <si>
    <t>Сүлд-Эрдэнэ</t>
  </si>
  <si>
    <t>Санчирболд</t>
  </si>
  <si>
    <t>Одхишиг</t>
  </si>
  <si>
    <t>Монгол Од</t>
  </si>
  <si>
    <t>Амарсайхан</t>
  </si>
  <si>
    <t>Бүжинлхам</t>
  </si>
  <si>
    <t>Хулан</t>
  </si>
  <si>
    <t>Болор</t>
  </si>
  <si>
    <t>Сайнбаяр</t>
  </si>
  <si>
    <t>Баярдэлгэр</t>
  </si>
  <si>
    <t>Цэнгэлжаргал</t>
  </si>
  <si>
    <t>Чинболд</t>
  </si>
  <si>
    <t>Галбаатар</t>
  </si>
  <si>
    <t>Төгсбилгүүн</t>
  </si>
  <si>
    <t>Нармандах</t>
  </si>
  <si>
    <t>Ариунбулаг</t>
  </si>
  <si>
    <t>184 СУРГУУЛЬ</t>
  </si>
  <si>
    <t>Нандинбаатар</t>
  </si>
  <si>
    <t>113 сургууль</t>
  </si>
  <si>
    <t>Нямсүрэн</t>
  </si>
  <si>
    <t>Мишээл</t>
  </si>
  <si>
    <t>Батбаяр</t>
  </si>
  <si>
    <t>Эрдэмсайхан</t>
  </si>
  <si>
    <t>28 дсургууль</t>
  </si>
  <si>
    <t>Төмөрсүх</t>
  </si>
  <si>
    <t>Содном-Эрдэнэ</t>
  </si>
  <si>
    <t>Батболд</t>
  </si>
  <si>
    <t>Доржрэнчин</t>
  </si>
  <si>
    <t>Төмөрбаатар</t>
  </si>
  <si>
    <t>Аялгуу</t>
  </si>
  <si>
    <t>Бямбажав</t>
  </si>
  <si>
    <t>Авирмэд</t>
  </si>
  <si>
    <t>Бат-Эрдэнэ</t>
  </si>
  <si>
    <t>Билэгт</t>
  </si>
  <si>
    <t>Мөнхдөл</t>
  </si>
  <si>
    <t>Энхбулган</t>
  </si>
  <si>
    <t>93-р сургууль</t>
  </si>
  <si>
    <t>Дүгэржав</t>
  </si>
  <si>
    <t>Бэлгүдэй</t>
  </si>
  <si>
    <t>Болд</t>
  </si>
  <si>
    <t>Эрдэнэболд</t>
  </si>
  <si>
    <t>Бүрэнцэгц</t>
  </si>
  <si>
    <t>Одбилэг</t>
  </si>
  <si>
    <t>Мөнхнаран</t>
  </si>
  <si>
    <t>Эрдэмтөгөлдөр</t>
  </si>
  <si>
    <t>47-р сургууль</t>
  </si>
  <si>
    <t>Батцоож</t>
  </si>
  <si>
    <t>Оюундарь</t>
  </si>
  <si>
    <t>Содномпил</t>
  </si>
  <si>
    <t>Амин-Эрдэнэ</t>
  </si>
  <si>
    <t>Цэенхорол</t>
  </si>
  <si>
    <t>Марал</t>
  </si>
  <si>
    <t>Билгүүнтөгс</t>
  </si>
  <si>
    <t>Ууганбаяр</t>
  </si>
  <si>
    <t>Эрдмийн ундраа</t>
  </si>
  <si>
    <t>Жамбалжав</t>
  </si>
  <si>
    <t>Сарнай</t>
  </si>
  <si>
    <t>Чинзориг</t>
  </si>
  <si>
    <t>Бамбар-Эрдэнэ</t>
  </si>
  <si>
    <t>Батзул</t>
  </si>
  <si>
    <t>Очмаралхан</t>
  </si>
  <si>
    <t>Золжбаяр</t>
  </si>
  <si>
    <t>Азбилиг</t>
  </si>
  <si>
    <t>Цолмон</t>
  </si>
  <si>
    <t>Нямбаяр</t>
  </si>
  <si>
    <t>Оюумаа</t>
  </si>
  <si>
    <t>Гэгээнзаяа</t>
  </si>
  <si>
    <t>Басхүү</t>
  </si>
  <si>
    <t>Тэргэл</t>
  </si>
  <si>
    <t>Лхагвадорж</t>
  </si>
  <si>
    <t>Цээсүрэн</t>
  </si>
  <si>
    <t>Мөнхжин</t>
  </si>
  <si>
    <t>Электрон жаал</t>
  </si>
  <si>
    <t>Г</t>
  </si>
  <si>
    <t>Аззаяа</t>
  </si>
  <si>
    <t>19-р сургууль</t>
  </si>
  <si>
    <t>Тогтохбаяр</t>
  </si>
  <si>
    <t>Эрхэс</t>
  </si>
  <si>
    <t>Мягмарсүрэн</t>
  </si>
  <si>
    <t>Тэнгис</t>
  </si>
  <si>
    <t>У</t>
  </si>
  <si>
    <t>Хангарьд</t>
  </si>
  <si>
    <t>Мөнххүслэн</t>
  </si>
  <si>
    <t>Баасандорж</t>
  </si>
  <si>
    <t>Өнөржаргал</t>
  </si>
  <si>
    <t>Элбэгдорж</t>
  </si>
  <si>
    <t>Т</t>
  </si>
  <si>
    <t>Насанбуян</t>
  </si>
  <si>
    <t>Мөнхтөр</t>
  </si>
  <si>
    <t>Батцэнгэл</t>
  </si>
  <si>
    <t>Гантигмаа</t>
  </si>
  <si>
    <t>Гэнэндармаа</t>
  </si>
  <si>
    <t>Цэрэннадмид</t>
  </si>
  <si>
    <t>Эрдэнэбат</t>
  </si>
  <si>
    <t>Хос-Эрдэнэ</t>
  </si>
  <si>
    <t>Амгаланбилэг</t>
  </si>
  <si>
    <t>Цацрал</t>
  </si>
  <si>
    <t>Гэгээнхүслэн</t>
  </si>
  <si>
    <t>Золбаяр</t>
  </si>
  <si>
    <t>Тайван</t>
  </si>
  <si>
    <t>Мөнхжаргал</t>
  </si>
  <si>
    <t>Зоригтбаатар</t>
  </si>
  <si>
    <t>Батцогт</t>
  </si>
  <si>
    <t>Зүмбэрэл</t>
  </si>
  <si>
    <t>Энхбилиг</t>
  </si>
  <si>
    <t>Даваа</t>
  </si>
  <si>
    <t>Саруул</t>
  </si>
  <si>
    <t>Цогтсайхан</t>
  </si>
  <si>
    <t>Хосбаяр</t>
  </si>
  <si>
    <t>Содонтэнгис</t>
  </si>
  <si>
    <t>Золжаргал</t>
  </si>
  <si>
    <t>Сийлэн</t>
  </si>
  <si>
    <t>Номч сургууль</t>
  </si>
  <si>
    <t>Мөнхжих</t>
  </si>
  <si>
    <t>Анар</t>
  </si>
  <si>
    <t>Содбаяр</t>
  </si>
  <si>
    <t>Хантүшиг</t>
  </si>
  <si>
    <t>Гэрэлт-Од</t>
  </si>
  <si>
    <t>Бат-Оргил</t>
  </si>
  <si>
    <t>Ганбаатар</t>
  </si>
  <si>
    <t>Гэгээн</t>
  </si>
  <si>
    <t>Энхбаяр</t>
  </si>
  <si>
    <t>Эрболд</t>
  </si>
  <si>
    <t>Оюунбат</t>
  </si>
  <si>
    <t>Анир</t>
  </si>
  <si>
    <t>Азбилэг</t>
  </si>
  <si>
    <t>Лувсанбалдан</t>
  </si>
  <si>
    <t>Жамбалжамц</t>
  </si>
  <si>
    <t>112-р сургууль</t>
  </si>
  <si>
    <t>Батзаяа</t>
  </si>
  <si>
    <t>Энхмөнх</t>
  </si>
  <si>
    <t>Дэлгэрмаа</t>
  </si>
  <si>
    <t>Одмандах</t>
  </si>
  <si>
    <t>Дэлгэрням</t>
  </si>
  <si>
    <t>Жавхлантөгс</t>
  </si>
  <si>
    <t>Тэнүүн</t>
  </si>
  <si>
    <t>Пүрэвдорж</t>
  </si>
  <si>
    <t>Ц.</t>
  </si>
  <si>
    <t>Энхзаяа</t>
  </si>
  <si>
    <t>Эмүжин</t>
  </si>
  <si>
    <t>Угтахбаяр</t>
  </si>
  <si>
    <t>Энхсайхан</t>
  </si>
  <si>
    <t>Бадамцэнд</t>
  </si>
  <si>
    <t>Түвшинтөр</t>
  </si>
  <si>
    <t>М</t>
  </si>
  <si>
    <t>Есүй-Үжин</t>
  </si>
  <si>
    <t>114 сургууль</t>
  </si>
  <si>
    <t>118 сургууль</t>
  </si>
  <si>
    <t>Отгонпүрэв</t>
  </si>
  <si>
    <t>Отгонбилэг</t>
  </si>
  <si>
    <t>БГД-ийн математикийн олимпиадын D(7-8) ангилалын дүн</t>
  </si>
  <si>
    <t>Байр</t>
  </si>
  <si>
    <t>Хотын эрх</t>
  </si>
  <si>
    <t>Гансүх</t>
  </si>
  <si>
    <t>Ариунсайхан</t>
  </si>
  <si>
    <t>Вандандорж</t>
  </si>
  <si>
    <t>Тэлүгэн</t>
  </si>
  <si>
    <t>Эрхис</t>
  </si>
  <si>
    <t>Амартүвшин</t>
  </si>
  <si>
    <t>Бүрэнтөгс</t>
  </si>
  <si>
    <t>Мөнгөнхүү</t>
  </si>
  <si>
    <t>Алтансүх</t>
  </si>
  <si>
    <t>Хангай</t>
  </si>
  <si>
    <t>Наранбаатар</t>
  </si>
  <si>
    <t>Батухан</t>
  </si>
  <si>
    <t>Өнөбилэг</t>
  </si>
  <si>
    <t>Эрдэнэбадрах</t>
  </si>
  <si>
    <t>Есүйлэн</t>
  </si>
  <si>
    <t>Гантөгс</t>
  </si>
  <si>
    <t>Төрболд</t>
  </si>
  <si>
    <t>Ганчимэг</t>
  </si>
  <si>
    <t>Мандарваа</t>
  </si>
  <si>
    <t>Амирлан</t>
  </si>
  <si>
    <t>Дамдинцогт</t>
  </si>
  <si>
    <t>Эрдэнээ</t>
  </si>
  <si>
    <t>Нямцогт</t>
  </si>
  <si>
    <t>Сэцэнгоо</t>
  </si>
  <si>
    <t>Нямдаваа</t>
  </si>
  <si>
    <t>Энхбилгүүн</t>
  </si>
  <si>
    <t>Ариунбилэг</t>
  </si>
  <si>
    <t>Чингүүн</t>
  </si>
  <si>
    <t>Тамир</t>
  </si>
  <si>
    <t>Лхагвадэлгэр</t>
  </si>
  <si>
    <t>Төгс-Ухаан</t>
  </si>
  <si>
    <t>Цэгмид</t>
  </si>
  <si>
    <t>Ган-Од</t>
  </si>
  <si>
    <t>Ундрах</t>
  </si>
  <si>
    <t>Сайн-Оюут</t>
  </si>
  <si>
    <t>Энхтайван</t>
  </si>
  <si>
    <t>Ирмүүн-Ундрал</t>
  </si>
  <si>
    <t>Мөнх-Эрдэнэ</t>
  </si>
  <si>
    <t>Жаргалан</t>
  </si>
  <si>
    <t>38 сургууль</t>
  </si>
  <si>
    <t>Мэнд</t>
  </si>
  <si>
    <t>Амартогтох</t>
  </si>
  <si>
    <t>Батбаатар</t>
  </si>
  <si>
    <t>28-р сургууль</t>
  </si>
  <si>
    <t>Лхагва-Очир</t>
  </si>
  <si>
    <t>Хадбаатар</t>
  </si>
  <si>
    <t>Цасчихэр</t>
  </si>
  <si>
    <t>Идэрсайхан</t>
  </si>
  <si>
    <t>Сондор</t>
  </si>
  <si>
    <t>Түмэндэлгэр</t>
  </si>
  <si>
    <t>Гэрэлтзул</t>
  </si>
  <si>
    <t>Сараана</t>
  </si>
  <si>
    <t>Молор</t>
  </si>
  <si>
    <t>Пүрэвбаяр</t>
  </si>
  <si>
    <t>Анхилуун</t>
  </si>
  <si>
    <t>Баярнэмэх</t>
  </si>
  <si>
    <t>Ориглон</t>
  </si>
  <si>
    <t>Мөнх-Алдар</t>
  </si>
  <si>
    <t>Сайханбилэг</t>
  </si>
  <si>
    <t>Бэхбаяр</t>
  </si>
  <si>
    <t>Энх-Эхлэл</t>
  </si>
  <si>
    <t>Гэрэлт-Эхлэл</t>
  </si>
  <si>
    <t>Цэлүгэн</t>
  </si>
  <si>
    <t>Сэр-Од</t>
  </si>
  <si>
    <t>Түвшинтүшиг</t>
  </si>
  <si>
    <t>Энхцэсэм</t>
  </si>
  <si>
    <t>Энх-Амгалан</t>
  </si>
  <si>
    <t>Оюунжаргал</t>
  </si>
  <si>
    <t>Энх-Од</t>
  </si>
  <si>
    <t>Цэнгүүн</t>
  </si>
  <si>
    <t>Цэрэнбат</t>
  </si>
  <si>
    <t>Хаштулга</t>
  </si>
  <si>
    <t>Болортөгс</t>
  </si>
  <si>
    <t>Буянзаяа</t>
  </si>
  <si>
    <t>Азжаргал</t>
  </si>
  <si>
    <t>Ариунболд</t>
  </si>
  <si>
    <t>Тогтуун</t>
  </si>
  <si>
    <t>Хашбаатар</t>
  </si>
  <si>
    <t>Базарваань</t>
  </si>
  <si>
    <t>Оюуномин</t>
  </si>
  <si>
    <t>Нагашыбай</t>
  </si>
  <si>
    <t>Асыл</t>
  </si>
  <si>
    <t>Нандингоо</t>
  </si>
  <si>
    <t>Рэнцэнлхүндэв</t>
  </si>
  <si>
    <t>Уудам</t>
  </si>
  <si>
    <t>Цэндпүрэв</t>
  </si>
  <si>
    <t>Батцэцэг</t>
  </si>
  <si>
    <t>Энхтүвшин</t>
  </si>
  <si>
    <t>Гийгүүлэн</t>
  </si>
  <si>
    <t>Түвшинсайхан</t>
  </si>
  <si>
    <t>Эрхэмбилэг</t>
  </si>
  <si>
    <t>Гоомарал</t>
  </si>
  <si>
    <t>Бадрах</t>
  </si>
  <si>
    <t>Монгол -Од</t>
  </si>
  <si>
    <t>Үүрцайх</t>
  </si>
  <si>
    <t>Анх-Очир</t>
  </si>
  <si>
    <t>184 дүгээр сургууль</t>
  </si>
  <si>
    <t>Өлзийхүү</t>
  </si>
  <si>
    <t>Мөнхзул</t>
  </si>
  <si>
    <t>Батжавхлан</t>
  </si>
  <si>
    <t>113-р сургууль</t>
  </si>
  <si>
    <t>Анирбэхи</t>
  </si>
  <si>
    <t>Эрдэнэбулга</t>
  </si>
  <si>
    <t>Цэцэнтулгуур</t>
  </si>
  <si>
    <t>Төгс-Ялалт</t>
  </si>
  <si>
    <t>Оюунбилэг</t>
  </si>
  <si>
    <t>19-р cургууль</t>
  </si>
  <si>
    <t>Сүндэр</t>
  </si>
  <si>
    <t>Дуламсүрэн</t>
  </si>
  <si>
    <t>Сонор</t>
  </si>
  <si>
    <t>Эрхбаяр</t>
  </si>
  <si>
    <t>Одболд</t>
  </si>
  <si>
    <t>Гэгээрэл</t>
  </si>
  <si>
    <t>Жанчивдорж</t>
  </si>
  <si>
    <t>146-р сургууль</t>
  </si>
  <si>
    <t>Энхцэцэг</t>
  </si>
  <si>
    <t>Тэнүүнтамир</t>
  </si>
  <si>
    <t>Хас-Эрдэнэ</t>
  </si>
  <si>
    <t>Шинэ-Эрдэнэ</t>
  </si>
  <si>
    <t>Энх-Эрдэнэ</t>
  </si>
  <si>
    <t>Ганхүү</t>
  </si>
  <si>
    <t>Аминзул</t>
  </si>
  <si>
    <t>Билгүүн</t>
  </si>
  <si>
    <t>Мөнх-Учрал</t>
  </si>
  <si>
    <t>Дүүрэнжаргал</t>
  </si>
  <si>
    <t>Батгэрэл</t>
  </si>
  <si>
    <t>Гэрэлчимэг</t>
  </si>
  <si>
    <t>Мандах</t>
  </si>
  <si>
    <t>Уран</t>
  </si>
  <si>
    <t>Гэрэлбат</t>
  </si>
  <si>
    <t>Солонго</t>
  </si>
  <si>
    <t>Гүрбазар</t>
  </si>
  <si>
    <t>Анхбаатар</t>
  </si>
  <si>
    <t>Мэргэнбилэг</t>
  </si>
  <si>
    <t>Тэлмүүн</t>
  </si>
  <si>
    <t>мэргэн</t>
  </si>
  <si>
    <t>Гантөмөр</t>
  </si>
  <si>
    <t>Одонжавхлан</t>
  </si>
  <si>
    <t>Одгариг</t>
  </si>
  <si>
    <t>Анударь</t>
  </si>
  <si>
    <t>Ханбүргэдэй</t>
  </si>
  <si>
    <t>Эрдэнэцогт</t>
  </si>
  <si>
    <t>Номин-Эрдэнэ</t>
  </si>
  <si>
    <t>Санчир</t>
  </si>
  <si>
    <t>Шүр</t>
  </si>
  <si>
    <t>Гомбо</t>
  </si>
  <si>
    <t>Үнэнбат</t>
  </si>
  <si>
    <t>Одбаяр</t>
  </si>
  <si>
    <t>Мөнхнар</t>
  </si>
  <si>
    <t>Сандагжав</t>
  </si>
  <si>
    <t>Суубилэг</t>
  </si>
  <si>
    <t>Лхамноржин</t>
  </si>
  <si>
    <t>Загдзүсэм</t>
  </si>
  <si>
    <t>Сарантуяа</t>
  </si>
  <si>
    <t>Эрдэмтөгс</t>
  </si>
  <si>
    <t>Амгалан</t>
  </si>
  <si>
    <t>Булган-Эрдэнэ</t>
  </si>
  <si>
    <t>Асами</t>
  </si>
  <si>
    <t>Мицутака</t>
  </si>
  <si>
    <t>Намхайнямбуу</t>
  </si>
  <si>
    <t>Маргад-Эрдэнэ</t>
  </si>
  <si>
    <t>Баярмагнай</t>
  </si>
  <si>
    <t>Хонгорзул</t>
  </si>
  <si>
    <t>Эрмек</t>
  </si>
  <si>
    <t>Бархас</t>
  </si>
  <si>
    <t>Галдансодням</t>
  </si>
  <si>
    <t>Ганхөлөг</t>
  </si>
  <si>
    <t>Ганбат</t>
  </si>
  <si>
    <t>Есөн-Ухаан</t>
  </si>
  <si>
    <t>Цэндээ</t>
  </si>
  <si>
    <t>Сумхүү</t>
  </si>
  <si>
    <t>Хаянхярваа</t>
  </si>
  <si>
    <t>Шийравринчин</t>
  </si>
  <si>
    <t>Биндэр</t>
  </si>
  <si>
    <t>Төгс-амгалан</t>
  </si>
  <si>
    <t>Ууганбаатар</t>
  </si>
  <si>
    <t>Баттөвшин</t>
  </si>
  <si>
    <t>Дэлгэр</t>
  </si>
  <si>
    <t>Азжаргалан</t>
  </si>
  <si>
    <t>Азбаяр</t>
  </si>
  <si>
    <t>Ойзон</t>
  </si>
  <si>
    <t>Төгсбаяр</t>
  </si>
  <si>
    <t>Тодгэрэл</t>
  </si>
  <si>
    <t>Анхжин</t>
  </si>
  <si>
    <t>Соёмбо-Эрдэнэ</t>
  </si>
  <si>
    <t>Ялгуун</t>
  </si>
  <si>
    <t>Отгонсүрэн</t>
  </si>
  <si>
    <t>Амингоо</t>
  </si>
  <si>
    <t>Бодь-Амар</t>
  </si>
  <si>
    <t>Өнө-Эрдэнэ</t>
  </si>
  <si>
    <t>Доржпүрэв</t>
  </si>
  <si>
    <t>Шүүдэрцэцэг</t>
  </si>
  <si>
    <t>Заяамандах</t>
  </si>
  <si>
    <t>Содончимэг</t>
  </si>
  <si>
    <t>Өлзийбат</t>
  </si>
  <si>
    <t>Баянзул</t>
  </si>
  <si>
    <t>Бямба-Эрдэнэ</t>
  </si>
  <si>
    <t>Зандан</t>
  </si>
  <si>
    <t>Ундармаа</t>
  </si>
  <si>
    <t>Алтанцог</t>
  </si>
  <si>
    <t>Ариун-Итгэл</t>
  </si>
  <si>
    <t>Энхсолонго</t>
  </si>
  <si>
    <t>Өлзийсайхан</t>
  </si>
  <si>
    <t>Хантулга</t>
  </si>
  <si>
    <t>Насанжаргал</t>
  </si>
  <si>
    <t>Дөлгөөнмөрөн</t>
  </si>
  <si>
    <t>Элбэг</t>
  </si>
  <si>
    <t>Балдорж</t>
  </si>
  <si>
    <t>Түвшинжаргал</t>
  </si>
  <si>
    <t>Зулбаяр</t>
  </si>
  <si>
    <t>Нямбаатар</t>
  </si>
  <si>
    <t>Чимэдбалжир</t>
  </si>
  <si>
    <t>Амаржаргал</t>
  </si>
  <si>
    <t>Энгүүн</t>
  </si>
  <si>
    <t>Алтанбаяр</t>
  </si>
  <si>
    <t>Барсүрэн</t>
  </si>
  <si>
    <t>Болдбаатар</t>
  </si>
  <si>
    <t>Тэмүүжин</t>
  </si>
  <si>
    <t>Оргилмаа</t>
  </si>
  <si>
    <t>113 дугаар сургууль</t>
  </si>
  <si>
    <t>БГД-ийн математикийн олимпиадын E(9-10) ангилалын дүн</t>
  </si>
  <si>
    <r>
      <t>2025.12.1</t>
    </r>
    <r>
      <rPr>
        <u/>
        <sz val="12"/>
        <color theme="1"/>
        <rFont val="Times New Roman"/>
        <family val="1"/>
      </rPr>
      <t>4</t>
    </r>
  </si>
  <si>
    <t>Мөнхмандах</t>
  </si>
  <si>
    <t>Цогт-Эрдэнэ</t>
  </si>
  <si>
    <t>Отгонтэнгэр</t>
  </si>
  <si>
    <t xml:space="preserve">51-р сургууль </t>
  </si>
  <si>
    <t>Даваацэрэн</t>
  </si>
  <si>
    <t>Мөнхсайхан</t>
  </si>
  <si>
    <t>Номинжин</t>
  </si>
  <si>
    <t>Нэгүүн</t>
  </si>
  <si>
    <t>Х</t>
  </si>
  <si>
    <t>Бишрэл</t>
  </si>
  <si>
    <t>Саруулбилиг</t>
  </si>
  <si>
    <t xml:space="preserve">Мичидсамдан </t>
  </si>
  <si>
    <t xml:space="preserve">Тэргэл </t>
  </si>
  <si>
    <t xml:space="preserve">Монгол -Од </t>
  </si>
  <si>
    <t>Сумьяаболд</t>
  </si>
  <si>
    <t>Сэлэнгэ</t>
  </si>
  <si>
    <t>Зоригт</t>
  </si>
  <si>
    <t>Аргабилэг</t>
  </si>
  <si>
    <t>Цогжавхлан</t>
  </si>
  <si>
    <t>Ялалт</t>
  </si>
  <si>
    <t xml:space="preserve">Давааням </t>
  </si>
  <si>
    <t>Маралгоо</t>
  </si>
  <si>
    <t xml:space="preserve">Монгени </t>
  </si>
  <si>
    <t>Лхагва</t>
  </si>
  <si>
    <t>Цогнэмэх</t>
  </si>
  <si>
    <t>141-Р сургууль</t>
  </si>
  <si>
    <t>Төгсжаргал</t>
  </si>
  <si>
    <t>Итгэл</t>
  </si>
  <si>
    <t>Ганди</t>
  </si>
  <si>
    <t>Сүх-Очир</t>
  </si>
  <si>
    <t>золмандах</t>
  </si>
  <si>
    <t>Энхсүх</t>
  </si>
  <si>
    <t>Энхгэрэл</t>
  </si>
  <si>
    <t>Бямбадорж</t>
  </si>
  <si>
    <t>Марал-Эрдэнэ</t>
  </si>
  <si>
    <t>Баярбаатар</t>
  </si>
  <si>
    <t>Мөнх-Үжин</t>
  </si>
  <si>
    <t>Эрмүүн</t>
  </si>
  <si>
    <t>Түвшинбаяр</t>
  </si>
  <si>
    <t>Ганшонхор</t>
  </si>
  <si>
    <t>Даваанинж</t>
  </si>
  <si>
    <t>Ану</t>
  </si>
  <si>
    <t>Батхолбоо</t>
  </si>
  <si>
    <t>Энхтуул</t>
  </si>
  <si>
    <t>Мөнх-Өлзий</t>
  </si>
  <si>
    <t>Бат-Амгалан</t>
  </si>
  <si>
    <t>Батчимэг</t>
  </si>
  <si>
    <t>Батхүү</t>
  </si>
  <si>
    <t>Түмэнхүслэн</t>
  </si>
  <si>
    <t>Мөнхзориг</t>
  </si>
  <si>
    <t>Тогтох-Эрдэнэ</t>
  </si>
  <si>
    <t>Мандах лицей</t>
  </si>
  <si>
    <t>Мэндбаяр</t>
  </si>
  <si>
    <t>Шинэбаатар</t>
  </si>
  <si>
    <t>Оюу</t>
  </si>
  <si>
    <t>Болорцэцэг</t>
  </si>
  <si>
    <t>Сувд</t>
  </si>
  <si>
    <t xml:space="preserve">Жавхлан </t>
  </si>
  <si>
    <t>Түмэн-Эрдэнэ</t>
  </si>
  <si>
    <t>Идэрзолбоо</t>
  </si>
  <si>
    <t xml:space="preserve">Мандах лицей </t>
  </si>
  <si>
    <t>Чулуунбат</t>
  </si>
  <si>
    <t>Өсөх-Ирээдүй</t>
  </si>
  <si>
    <t>Ёндонжамц</t>
  </si>
  <si>
    <t>Цогбадрах</t>
  </si>
  <si>
    <t>Гал</t>
  </si>
  <si>
    <t>Сүлд</t>
  </si>
  <si>
    <t>Пунцаггүсүм</t>
  </si>
  <si>
    <t>Даваасүмба</t>
  </si>
  <si>
    <t>Дамдинсүрэн</t>
  </si>
  <si>
    <t>Амарсанаа</t>
  </si>
  <si>
    <t>Хишиг-Ундрах</t>
  </si>
  <si>
    <t>38 р сургууль</t>
  </si>
  <si>
    <t>Сугар</t>
  </si>
  <si>
    <t>Уулсанаа</t>
  </si>
  <si>
    <t>Ариунболор</t>
  </si>
  <si>
    <t>Пүрэвдагва</t>
  </si>
  <si>
    <t>Ойдов</t>
  </si>
  <si>
    <t>Шинэ санаа боловсрол</t>
  </si>
  <si>
    <t>Долгорсүрэн</t>
  </si>
  <si>
    <t>Ихзаяа</t>
  </si>
  <si>
    <t>Путонхуй</t>
  </si>
  <si>
    <t>Энхболд</t>
  </si>
  <si>
    <t>Намуун</t>
  </si>
  <si>
    <t xml:space="preserve">Бат-Өлзий </t>
  </si>
  <si>
    <t>Далайбаатар</t>
  </si>
  <si>
    <t>Цэнд-Очир</t>
  </si>
  <si>
    <t>Энх-Очир</t>
  </si>
  <si>
    <t>40 дүгээр сургууль</t>
  </si>
  <si>
    <t>Анар-Эрдэнэ</t>
  </si>
  <si>
    <t>Уламбаяр</t>
  </si>
  <si>
    <t>Сод-уянга</t>
  </si>
  <si>
    <t>Тайванжаргал</t>
  </si>
  <si>
    <t>А</t>
  </si>
  <si>
    <t>Монгол-Од</t>
  </si>
  <si>
    <t>Идэрбаяр</t>
  </si>
  <si>
    <t>Ичинноров</t>
  </si>
  <si>
    <t>Сэнгэдорж</t>
  </si>
  <si>
    <t>Оюунтүлхүүр</t>
  </si>
  <si>
    <t>Бямбацогт-system</t>
  </si>
  <si>
    <t>Мөнх-од</t>
  </si>
  <si>
    <t>Баттөмөр</t>
  </si>
  <si>
    <t>Есү</t>
  </si>
  <si>
    <t xml:space="preserve">Хулан </t>
  </si>
  <si>
    <t>Одгэрэл</t>
  </si>
  <si>
    <t>Гансүлд</t>
  </si>
  <si>
    <t>Мандахбаяр</t>
  </si>
  <si>
    <t>Баянжаргал</t>
  </si>
  <si>
    <t xml:space="preserve">Амарбаясгалан </t>
  </si>
  <si>
    <t xml:space="preserve">Путонхуа инноваци </t>
  </si>
  <si>
    <t>Энхлэн</t>
  </si>
  <si>
    <t>Баасанзориг</t>
  </si>
  <si>
    <t>Оюундэлгэр</t>
  </si>
  <si>
    <t>Наранмандах</t>
  </si>
  <si>
    <t>Бадрахзул</t>
  </si>
  <si>
    <t>Нямренчин</t>
  </si>
  <si>
    <t>Номин</t>
  </si>
  <si>
    <t>Өрнөхбилэг</t>
  </si>
  <si>
    <t>Ганцоож</t>
  </si>
  <si>
    <t>Будмаа</t>
  </si>
  <si>
    <t>Бадамцэцэг</t>
  </si>
  <si>
    <t>Батсуурь</t>
  </si>
  <si>
    <t>Биндэрьяа</t>
  </si>
  <si>
    <t>Ариунзаяа</t>
  </si>
  <si>
    <t>Зоригоо</t>
  </si>
  <si>
    <t>Цээлээсүрэн</t>
  </si>
  <si>
    <t>Лхаммандухай</t>
  </si>
  <si>
    <t>Наранжаргал</t>
  </si>
  <si>
    <t>Гончигрэнцэн</t>
  </si>
  <si>
    <t>Хишиг-Эрдэнэ</t>
  </si>
  <si>
    <t>Гомбосүрэн</t>
  </si>
  <si>
    <t>Амарбат</t>
  </si>
  <si>
    <t>Бөхбилэг</t>
  </si>
  <si>
    <t>47 дугаар сургууль</t>
  </si>
  <si>
    <t xml:space="preserve">Нямцэрэн </t>
  </si>
  <si>
    <t>Эрдэнэ</t>
  </si>
  <si>
    <t>Очирбат</t>
  </si>
  <si>
    <t>Есүй</t>
  </si>
  <si>
    <t>Д</t>
  </si>
  <si>
    <t xml:space="preserve">Борхүү </t>
  </si>
  <si>
    <t>Янжиндулам</t>
  </si>
  <si>
    <t>Агьнаран</t>
  </si>
  <si>
    <t>Ганчулуун</t>
  </si>
  <si>
    <t>Батбилэг</t>
  </si>
  <si>
    <t>Шинэ санаа</t>
  </si>
  <si>
    <t>Биндиряа</t>
  </si>
  <si>
    <t>Бүжин</t>
  </si>
  <si>
    <t>Гэрэлтбаатар</t>
  </si>
  <si>
    <t>Санжаадорж</t>
  </si>
  <si>
    <t>Б</t>
  </si>
  <si>
    <t>Мөнхтамир</t>
  </si>
  <si>
    <t>Буянтогтох</t>
  </si>
  <si>
    <t>Мөнгөншагай</t>
  </si>
  <si>
    <t>Оргил</t>
  </si>
  <si>
    <t>Нандин-Эрдэнэ</t>
  </si>
  <si>
    <t>БГД-ийн математикийн олимпиадын F(11-12) ангилалын дүн</t>
  </si>
  <si>
    <t xml:space="preserve">Анги </t>
  </si>
  <si>
    <t>Билгүүнгэрэлт</t>
  </si>
  <si>
    <t>Түвшинбаатар</t>
  </si>
  <si>
    <t>Гансүмбэрэл</t>
  </si>
  <si>
    <t>Гандаваа</t>
  </si>
  <si>
    <t>Тэн-Мэргэн</t>
  </si>
  <si>
    <t>Ермек</t>
  </si>
  <si>
    <t>Нуртас</t>
  </si>
  <si>
    <t>Шагдар</t>
  </si>
  <si>
    <t>Амгаланбаяр</t>
  </si>
  <si>
    <t>Эрдэнэбилэг</t>
  </si>
  <si>
    <t>Цахирмаа</t>
  </si>
  <si>
    <t>Нямдэлгэр</t>
  </si>
  <si>
    <t>Тавилан</t>
  </si>
  <si>
    <t>Нямсүх</t>
  </si>
  <si>
    <t>Цэнгэг</t>
  </si>
  <si>
    <t>Адъяадорж</t>
  </si>
  <si>
    <t>Энэбиш</t>
  </si>
  <si>
    <t>Амармөнх</t>
  </si>
  <si>
    <t>Баасанжав</t>
  </si>
  <si>
    <t>Gantulga</t>
  </si>
  <si>
    <t>Tuguldur</t>
  </si>
  <si>
    <t>Сайнчулуун</t>
  </si>
  <si>
    <t>Гэрэлсайхан</t>
  </si>
  <si>
    <t>Аюурзана</t>
  </si>
  <si>
    <t>Бөхбат</t>
  </si>
  <si>
    <t>38р сургууль</t>
  </si>
  <si>
    <t>Энхболор</t>
  </si>
  <si>
    <t>Баяржавхлан</t>
  </si>
  <si>
    <t>Сайнболд</t>
  </si>
  <si>
    <t>Анирлан</t>
  </si>
  <si>
    <t>Содбилэг</t>
  </si>
  <si>
    <t>Орхон</t>
  </si>
  <si>
    <t>Мөнхэрдэнэ</t>
  </si>
  <si>
    <t>Цэрэндорж</t>
  </si>
  <si>
    <t>Пүрэвдаваа</t>
  </si>
  <si>
    <t>Уртнасан</t>
  </si>
  <si>
    <t>Маргад - Эрдэнэ</t>
  </si>
  <si>
    <t>Билэгсайхан</t>
  </si>
  <si>
    <t>Лувсан-Очир</t>
  </si>
  <si>
    <t>Эрхэм-Очир</t>
  </si>
  <si>
    <t>Цагаандарь</t>
  </si>
  <si>
    <t>Бамбадорж</t>
  </si>
  <si>
    <t xml:space="preserve">Баттулга </t>
  </si>
  <si>
    <t xml:space="preserve">Хэрлэн </t>
  </si>
  <si>
    <t xml:space="preserve">19 р сургууль </t>
  </si>
  <si>
    <t>Заяабаатар</t>
  </si>
  <si>
    <t>Баасанцэрэн</t>
  </si>
  <si>
    <t>Сүхбат</t>
  </si>
  <si>
    <t>Мөнх-Очир</t>
  </si>
  <si>
    <t>Оюунтуяа</t>
  </si>
  <si>
    <t>Жанчив</t>
  </si>
  <si>
    <t>Нурбол</t>
  </si>
  <si>
    <t>Айбарс</t>
  </si>
  <si>
    <t>Сочигэрэл</t>
  </si>
  <si>
    <t>Лхагважанцан</t>
  </si>
  <si>
    <t>Төгс-Амгалан</t>
  </si>
  <si>
    <t>Төртүвшин</t>
  </si>
  <si>
    <t>Түвшиншагай</t>
  </si>
  <si>
    <t>Дүгэргарав</t>
  </si>
  <si>
    <t>Басцогт</t>
  </si>
  <si>
    <t>Энххишиг</t>
  </si>
  <si>
    <t>Ойнцэцэг</t>
  </si>
  <si>
    <t>Халиун</t>
  </si>
  <si>
    <t>Эрдэнэсүх</t>
  </si>
  <si>
    <t>Бэсүдэй</t>
  </si>
  <si>
    <t>Булгантамир</t>
  </si>
  <si>
    <t>Жигүүр</t>
  </si>
  <si>
    <t>Шагжаасүрэн</t>
  </si>
  <si>
    <t>Алтанбаатар</t>
  </si>
  <si>
    <t>Аймшиггүй</t>
  </si>
  <si>
    <t>Очирсан</t>
  </si>
  <si>
    <t>Баярцогт</t>
  </si>
  <si>
    <t>Бөхчулуун</t>
  </si>
  <si>
    <t>Эрдэмбаяр</t>
  </si>
  <si>
    <t>Чулуунбаатар</t>
  </si>
  <si>
    <t>Сугарсүрэн</t>
  </si>
  <si>
    <t>Урантогтох</t>
  </si>
  <si>
    <t xml:space="preserve">Отгондэлгэр </t>
  </si>
  <si>
    <t xml:space="preserve">19-р сургууль </t>
  </si>
  <si>
    <t>Сарангэрэл</t>
  </si>
  <si>
    <t>184-р сургууль</t>
  </si>
  <si>
    <t>Батцагаан</t>
  </si>
  <si>
    <t>Хүрэлчулуун</t>
  </si>
  <si>
    <t>Бат-Итгэл</t>
  </si>
  <si>
    <t>Наранбаяр</t>
  </si>
  <si>
    <t>Чингэс</t>
  </si>
  <si>
    <t>Чин-Эрдэнэ</t>
  </si>
  <si>
    <t>Болд- Эрдэнэ</t>
  </si>
  <si>
    <t>Алтан- Од</t>
  </si>
  <si>
    <t>Бямбажаргал</t>
  </si>
  <si>
    <t>Насанбаяр</t>
  </si>
  <si>
    <t>Азнэмэх</t>
  </si>
  <si>
    <t>Амарбаяр</t>
  </si>
  <si>
    <t>Өсөхбаяр</t>
  </si>
  <si>
    <t>Соронзонболд</t>
  </si>
  <si>
    <t>Ариун - Эрдэнэ</t>
  </si>
  <si>
    <t>Түвшинтөгс</t>
  </si>
  <si>
    <t>Очбадрах</t>
  </si>
  <si>
    <t>Анусайхан</t>
  </si>
  <si>
    <t xml:space="preserve">Батболд </t>
  </si>
  <si>
    <t>Билгээ</t>
  </si>
  <si>
    <t>Энхцацрал</t>
  </si>
  <si>
    <t>Мөнхтэмүүлэн</t>
  </si>
  <si>
    <t>Эрхсаран</t>
  </si>
  <si>
    <t>Бат - Өлзий</t>
  </si>
  <si>
    <t>Нансалмаа</t>
  </si>
  <si>
    <t>Б.</t>
  </si>
  <si>
    <t>Далайсүмбэр</t>
  </si>
  <si>
    <t>Энхмаа</t>
  </si>
  <si>
    <t>Олдохсүрэн</t>
  </si>
  <si>
    <t>Дэвшил</t>
  </si>
  <si>
    <t>Энхсаруул</t>
  </si>
  <si>
    <t>Жүгдэрнагва</t>
  </si>
  <si>
    <t xml:space="preserve">Нямбилэг </t>
  </si>
  <si>
    <t>Цэлмүүнбилэг</t>
  </si>
  <si>
    <t>Оюунтунгалаг</t>
  </si>
  <si>
    <t>Мандах лицей ахлах сургууль</t>
  </si>
  <si>
    <t xml:space="preserve">Монгол Од сургууль </t>
  </si>
  <si>
    <t>Дашцэрэн</t>
  </si>
  <si>
    <t>Энхлүүн</t>
  </si>
  <si>
    <t>Баяраа</t>
  </si>
  <si>
    <t>Буянтөр</t>
  </si>
  <si>
    <t xml:space="preserve">Энхбаяр </t>
  </si>
  <si>
    <t>Өлзийнасан</t>
  </si>
  <si>
    <t>Намчинпүрэв</t>
  </si>
  <si>
    <t>Авид</t>
  </si>
  <si>
    <t>Өсөх-ирээдүй</t>
  </si>
  <si>
    <t>Олзбаяр</t>
  </si>
  <si>
    <t>Анужин</t>
  </si>
  <si>
    <t>Аюушжав</t>
  </si>
  <si>
    <t>Пүрэв</t>
  </si>
  <si>
    <t>Хашчингэл</t>
  </si>
  <si>
    <t>Даваажав</t>
  </si>
  <si>
    <t>Жавхлант</t>
  </si>
  <si>
    <t>Жаргалмаа</t>
  </si>
  <si>
    <t>Чакержан</t>
  </si>
  <si>
    <t>Мадине</t>
  </si>
  <si>
    <t>Номинхишиг</t>
  </si>
  <si>
    <t>Амарбаясгалан</t>
  </si>
  <si>
    <t>Даваадорж</t>
  </si>
  <si>
    <t>Амармэнд</t>
  </si>
  <si>
    <t>Долгион</t>
  </si>
  <si>
    <t>Бямбасүрэн</t>
  </si>
  <si>
    <t>Хандсүрэн</t>
  </si>
  <si>
    <t>Бархас-Эрдэнэ</t>
  </si>
  <si>
    <t>Шижиртуяа</t>
  </si>
  <si>
    <t>Мөнх - Эрдэнэ</t>
  </si>
  <si>
    <t>Нансал</t>
  </si>
  <si>
    <t>Бумангэрэл</t>
  </si>
  <si>
    <t>Урангоо</t>
  </si>
  <si>
    <t xml:space="preserve">Шагдарсүрэн </t>
  </si>
  <si>
    <t xml:space="preserve">Сүхбаатар </t>
  </si>
  <si>
    <t xml:space="preserve">Батцэгц </t>
  </si>
  <si>
    <t xml:space="preserve">Монгол Од </t>
  </si>
  <si>
    <t>Ангараг</t>
  </si>
  <si>
    <t>Баатар</t>
  </si>
  <si>
    <t>Данзанжав</t>
  </si>
  <si>
    <t>Оюун-Эрдэнэ</t>
  </si>
  <si>
    <t>Соёмбоо</t>
  </si>
  <si>
    <t xml:space="preserve">Пунцаг </t>
  </si>
  <si>
    <t xml:space="preserve">Энэрэлт </t>
  </si>
  <si>
    <t>Энхтөр</t>
  </si>
  <si>
    <t>Амар</t>
  </si>
  <si>
    <t>Эрдэнэдалай</t>
  </si>
  <si>
    <t>Болортуяа</t>
  </si>
  <si>
    <t>184 сургууль</t>
  </si>
  <si>
    <t xml:space="preserve">Тэмүүжин </t>
  </si>
  <si>
    <t>Батбэх</t>
  </si>
  <si>
    <t>Оюунболор</t>
  </si>
  <si>
    <t>Отгончимэг</t>
  </si>
  <si>
    <t>Мичидмаа</t>
  </si>
  <si>
    <t>Очирхүү</t>
  </si>
  <si>
    <t>Тэгшбаяр</t>
  </si>
  <si>
    <t>Цэндсүрэн</t>
  </si>
  <si>
    <t>Дүүрэнбуурал</t>
  </si>
  <si>
    <t>Данаасүрэн</t>
  </si>
  <si>
    <t>Уранбайгаль</t>
  </si>
  <si>
    <t>Хүрэлтулга</t>
  </si>
  <si>
    <t>Хүрэлгинж</t>
  </si>
  <si>
    <t>Савыдолдай</t>
  </si>
  <si>
    <t>Жансаяа</t>
  </si>
  <si>
    <t>Алтанхуяг</t>
  </si>
  <si>
    <t>Лодойсамбуу</t>
  </si>
  <si>
    <t>Очирмөнх</t>
  </si>
  <si>
    <t>Нэмэхбаяр</t>
  </si>
  <si>
    <t>Номундарь</t>
  </si>
  <si>
    <t>Доржсүрэн</t>
  </si>
  <si>
    <t>Ш</t>
  </si>
  <si>
    <t>Хишигбаяр</t>
  </si>
  <si>
    <t>Sukhbaatar</t>
  </si>
  <si>
    <t>Altai</t>
  </si>
  <si>
    <t>Батирээдүй</t>
  </si>
  <si>
    <t>Бианка</t>
  </si>
  <si>
    <t>Дашдаваа</t>
  </si>
  <si>
    <t>Билэгдэмбэрэл</t>
  </si>
  <si>
    <t>Чинхүслэн</t>
  </si>
  <si>
    <t>БГД-ийн математикийн олимпиадын Т(ДБ) ангилалын дүн</t>
  </si>
  <si>
    <t>I</t>
  </si>
  <si>
    <t>Лхагвадаш</t>
  </si>
  <si>
    <t>Самбуужод</t>
  </si>
  <si>
    <t>II</t>
  </si>
  <si>
    <t>Дэмчигдорж</t>
  </si>
  <si>
    <t>Алтанхүү</t>
  </si>
  <si>
    <t>Удвал</t>
  </si>
  <si>
    <t>III</t>
  </si>
  <si>
    <t>Дондовсамбуу</t>
  </si>
  <si>
    <t>Тунгалаг</t>
  </si>
  <si>
    <t>Очирпүрэв</t>
  </si>
  <si>
    <t>Юндэн</t>
  </si>
  <si>
    <t>Намсрай</t>
  </si>
  <si>
    <t>Самбуу</t>
  </si>
  <si>
    <t>Бямбаа</t>
  </si>
  <si>
    <t>Жамбалгарав</t>
  </si>
  <si>
    <t>Очирваань</t>
  </si>
  <si>
    <t>Мөнхтүм</t>
  </si>
  <si>
    <t>Шинэ Эрин</t>
  </si>
  <si>
    <t xml:space="preserve">Төмөрхуяг </t>
  </si>
  <si>
    <t>Хүсэлзаяа</t>
  </si>
  <si>
    <t>Э.</t>
  </si>
  <si>
    <t>Гэсэр</t>
  </si>
  <si>
    <t>Эмээл</t>
  </si>
  <si>
    <t>Сэвжидмаа</t>
  </si>
  <si>
    <t xml:space="preserve">Гүр </t>
  </si>
  <si>
    <t xml:space="preserve">Сандагсүрэн </t>
  </si>
  <si>
    <t>Март</t>
  </si>
  <si>
    <t>Эрдмийн өргөө</t>
  </si>
  <si>
    <t>Жамъян</t>
  </si>
  <si>
    <t>Орхонбаатар</t>
  </si>
  <si>
    <t>Нарантунгалаг</t>
  </si>
  <si>
    <t>Чингүнбаяр</t>
  </si>
  <si>
    <t>Түмэндэмбэрэл</t>
  </si>
  <si>
    <t xml:space="preserve"> Дашдондог</t>
  </si>
  <si>
    <t>Идэрбаясгалан</t>
  </si>
  <si>
    <t>БГД-ийн математикийн олимпиадын S(ББ) ангилалын дүн</t>
  </si>
  <si>
    <t>Нандинцэцэг</t>
  </si>
  <si>
    <t xml:space="preserve">40-р сургууль </t>
  </si>
  <si>
    <t xml:space="preserve">Мягмар </t>
  </si>
  <si>
    <t>Цогзолмаа</t>
  </si>
  <si>
    <t>Бямба</t>
  </si>
  <si>
    <t xml:space="preserve">Шоовдор </t>
  </si>
  <si>
    <t xml:space="preserve">Наран нэг </t>
  </si>
  <si>
    <t>Тусгай</t>
  </si>
  <si>
    <t xml:space="preserve">Сүрэндорж </t>
  </si>
  <si>
    <t xml:space="preserve">Өлзийдулам </t>
  </si>
  <si>
    <t xml:space="preserve">Оюуны тулга </t>
  </si>
  <si>
    <t>Гэлэг-Ёндон</t>
  </si>
  <si>
    <t>Норжмаа</t>
  </si>
  <si>
    <t>Дэмчиг</t>
  </si>
  <si>
    <t>Даринчулуун</t>
  </si>
  <si>
    <t>Батдэлгэр</t>
  </si>
  <si>
    <t>Сугарцэцэг</t>
  </si>
  <si>
    <t xml:space="preserve">Батсүх </t>
  </si>
  <si>
    <t>Маралмаа</t>
  </si>
  <si>
    <t xml:space="preserve">Цэдэндамба </t>
  </si>
  <si>
    <t xml:space="preserve">Баасанжаргал </t>
  </si>
  <si>
    <t xml:space="preserve">141-р сургууль </t>
  </si>
  <si>
    <t xml:space="preserve">Болдбаатар </t>
  </si>
  <si>
    <t xml:space="preserve">Сарангэрэл </t>
  </si>
  <si>
    <t>Цэрэнжаргал</t>
  </si>
  <si>
    <t xml:space="preserve">Цэнд-Аюуш </t>
  </si>
  <si>
    <t xml:space="preserve">Банзрагч </t>
  </si>
  <si>
    <t xml:space="preserve">Түмэнбаяр </t>
  </si>
  <si>
    <t xml:space="preserve">Үүрцайх </t>
  </si>
  <si>
    <t xml:space="preserve">Тарва </t>
  </si>
  <si>
    <t xml:space="preserve">Оюунжаргал </t>
  </si>
  <si>
    <t>Дагвасүмбэрэл</t>
  </si>
  <si>
    <t>Хишигжаргал</t>
  </si>
  <si>
    <t>Хүүхэнжав</t>
  </si>
  <si>
    <t>Сайханцэцэг</t>
  </si>
  <si>
    <t>Гончиг</t>
  </si>
  <si>
    <t xml:space="preserve">Бямбадорж </t>
  </si>
  <si>
    <t xml:space="preserve">Хонгорзул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</si>
</sst>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Times New Roman"/>
      <family val="1"/>
    </font>
    <font>
      <sz val="10"/>
      <color rgb="FF000000"/>
      <name val="Aptos Narrow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212529"/>
      <name val="Times New Roman"/>
      <family val="1"/>
    </font>
    <font>
      <b/>
      <sz val="12"/>
      <color theme="1"/>
      <name val="Times New Roman"/>
      <family val="1"/>
    </font>
    <font>
      <sz val="12"/>
      <color rgb="FF212529"/>
      <name val="Times New Roman"/>
      <family val="1"/>
    </font>
    <font>
      <b/>
      <sz val="14"/>
      <color rgb="FF212529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212529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u/>
      <sz val="12"/>
      <color theme="1"/>
      <name val="Times New Roman"/>
      <family val="1"/>
    </font>
    <font>
      <sz val="12"/>
      <name val="Times New Roman"/>
      <family val="1"/>
    </font>
    <font>
      <i/>
      <sz val="11"/>
      <color rgb="FF212529"/>
      <name val="Times New Roman"/>
      <family val="1"/>
    </font>
    <font>
      <i/>
      <sz val="12"/>
      <color theme="1"/>
      <name val="Times New Roman"/>
      <family val="1"/>
    </font>
    <font>
      <i/>
      <sz val="12"/>
      <color rgb="FF212529"/>
      <name val="Times New Roman"/>
      <family val="1"/>
    </font>
    <font>
      <b/>
      <i/>
      <sz val="11"/>
      <color theme="1"/>
      <name val="Times New Roman"/>
      <family val="1"/>
    </font>
    <font>
      <sz val="12"/>
      <color rgb="FF212529"/>
      <name val="Arial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85">
    <xf numFmtId="0" fontId="0" fillId="0" borderId="0" xfId="0"/>
    <xf numFmtId="0" fontId="4" fillId="0" borderId="0" xfId="2" applyFont="1"/>
    <xf numFmtId="0" fontId="5" fillId="0" borderId="0" xfId="2" applyFont="1"/>
    <xf numFmtId="49" fontId="6" fillId="0" borderId="0" xfId="0" applyNumberFormat="1" applyFont="1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1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6" fillId="0" borderId="0" xfId="1" applyFont="1" applyFill="1" applyBorder="1" applyAlignment="1">
      <alignment horizontal="left" wrapText="1"/>
    </xf>
    <xf numFmtId="0" fontId="6" fillId="0" borderId="1" xfId="0" applyFont="1" applyBorder="1" applyAlignment="1">
      <alignment horizontal="left" vertical="top" wrapText="1"/>
    </xf>
    <xf numFmtId="0" fontId="6" fillId="0" borderId="1" xfId="1" applyFont="1" applyFill="1" applyBorder="1" applyAlignment="1">
      <alignment horizontal="left" vertical="top" wrapText="1"/>
    </xf>
    <xf numFmtId="0" fontId="6" fillId="0" borderId="0" xfId="0" applyFont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9" fillId="3" borderId="1" xfId="2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 wrapText="1"/>
    </xf>
    <xf numFmtId="0" fontId="6" fillId="3" borderId="1" xfId="2" applyFont="1" applyFill="1" applyBorder="1" applyAlignment="1">
      <alignment horizontal="left"/>
    </xf>
    <xf numFmtId="0" fontId="5" fillId="3" borderId="1" xfId="2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4" fillId="0" borderId="0" xfId="2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 wrapText="1"/>
    </xf>
    <xf numFmtId="0" fontId="14" fillId="3" borderId="1" xfId="2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/>
    </xf>
    <xf numFmtId="0" fontId="13" fillId="3" borderId="1" xfId="1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3" borderId="2" xfId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 vertical="center"/>
    </xf>
    <xf numFmtId="0" fontId="13" fillId="0" borderId="1" xfId="1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1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4" fillId="0" borderId="1" xfId="2" applyFont="1" applyBorder="1" applyAlignment="1">
      <alignment horizontal="center"/>
    </xf>
    <xf numFmtId="0" fontId="13" fillId="0" borderId="2" xfId="1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3" xfId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wrapText="1"/>
    </xf>
    <xf numFmtId="0" fontId="6" fillId="3" borderId="1" xfId="1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5" fillId="0" borderId="5" xfId="0" applyFont="1" applyBorder="1" applyAlignment="1">
      <alignment vertical="center" textRotation="90"/>
    </xf>
    <xf numFmtId="0" fontId="6" fillId="0" borderId="1" xfId="1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5" fillId="0" borderId="3" xfId="0" applyFont="1" applyBorder="1" applyAlignment="1">
      <alignment vertical="center" textRotation="90"/>
    </xf>
    <xf numFmtId="0" fontId="14" fillId="4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/>
    </xf>
    <xf numFmtId="0" fontId="9" fillId="4" borderId="1" xfId="2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0" fontId="5" fillId="0" borderId="1" xfId="2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9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2" applyFont="1" applyAlignment="1">
      <alignment horizontal="center" vertical="center"/>
    </xf>
    <xf numFmtId="0" fontId="18" fillId="3" borderId="1" xfId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5" fillId="0" borderId="1" xfId="2" applyFont="1" applyBorder="1"/>
    <xf numFmtId="0" fontId="6" fillId="0" borderId="0" xfId="0" applyFont="1" applyAlignment="1">
      <alignment horizontal="center" vertical="center"/>
    </xf>
    <xf numFmtId="0" fontId="5" fillId="0" borderId="0" xfId="2" applyFont="1" applyAlignment="1">
      <alignment horizontal="center"/>
    </xf>
    <xf numFmtId="0" fontId="9" fillId="3" borderId="11" xfId="2" applyFont="1" applyFill="1" applyBorder="1" applyAlignment="1">
      <alignment horizontal="center"/>
    </xf>
    <xf numFmtId="0" fontId="6" fillId="3" borderId="11" xfId="2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9" fillId="3" borderId="11" xfId="2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9" fillId="7" borderId="1" xfId="2" applyFont="1" applyFill="1" applyBorder="1" applyAlignment="1">
      <alignment horizontal="center" vertical="center" wrapText="1"/>
    </xf>
    <xf numFmtId="0" fontId="6" fillId="7" borderId="11" xfId="2" applyFont="1" applyFill="1" applyBorder="1" applyAlignment="1">
      <alignment horizontal="center"/>
    </xf>
    <xf numFmtId="0" fontId="9" fillId="7" borderId="11" xfId="2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5" fillId="7" borderId="1" xfId="2" applyFont="1" applyFill="1" applyBorder="1" applyAlignment="1">
      <alignment horizontal="center"/>
    </xf>
    <xf numFmtId="0" fontId="9" fillId="7" borderId="1" xfId="2" applyFont="1" applyFill="1" applyBorder="1" applyAlignment="1">
      <alignment horizontal="center"/>
    </xf>
    <xf numFmtId="0" fontId="9" fillId="7" borderId="12" xfId="2" applyFont="1" applyFill="1" applyBorder="1" applyAlignment="1">
      <alignment horizontal="center"/>
    </xf>
    <xf numFmtId="0" fontId="6" fillId="7" borderId="1" xfId="2" applyFont="1" applyFill="1" applyBorder="1" applyAlignment="1">
      <alignment horizontal="center"/>
    </xf>
    <xf numFmtId="0" fontId="6" fillId="0" borderId="1" xfId="2" applyFont="1" applyBorder="1" applyAlignment="1">
      <alignment horizontal="center"/>
    </xf>
    <xf numFmtId="0" fontId="9" fillId="0" borderId="12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0" fontId="6" fillId="0" borderId="11" xfId="2" applyFont="1" applyBorder="1" applyAlignment="1">
      <alignment horizontal="center"/>
    </xf>
    <xf numFmtId="0" fontId="9" fillId="5" borderId="1" xfId="2" applyFont="1" applyFill="1" applyBorder="1" applyAlignment="1">
      <alignment horizontal="center"/>
    </xf>
    <xf numFmtId="0" fontId="5" fillId="0" borderId="12" xfId="2" applyFont="1" applyBorder="1" applyAlignment="1">
      <alignment horizontal="center"/>
    </xf>
    <xf numFmtId="0" fontId="9" fillId="5" borderId="11" xfId="2" applyFont="1" applyFill="1" applyBorder="1" applyAlignment="1">
      <alignment horizontal="center"/>
    </xf>
    <xf numFmtId="0" fontId="9" fillId="0" borderId="11" xfId="2" applyFont="1" applyBorder="1" applyAlignment="1">
      <alignment horizontal="center"/>
    </xf>
    <xf numFmtId="0" fontId="5" fillId="0" borderId="11" xfId="2" applyFont="1" applyBorder="1" applyAlignment="1">
      <alignment horizontal="center"/>
    </xf>
    <xf numFmtId="0" fontId="5" fillId="0" borderId="13" xfId="2" applyFont="1" applyBorder="1" applyAlignment="1">
      <alignment horizontal="center"/>
    </xf>
    <xf numFmtId="0" fontId="5" fillId="0" borderId="14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9" fillId="0" borderId="15" xfId="2" applyFont="1" applyBorder="1" applyAlignment="1">
      <alignment horizontal="center"/>
    </xf>
    <xf numFmtId="0" fontId="9" fillId="0" borderId="16" xfId="2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9" fillId="3" borderId="1" xfId="2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left"/>
    </xf>
    <xf numFmtId="0" fontId="21" fillId="3" borderId="1" xfId="0" applyFont="1" applyFill="1" applyBorder="1" applyAlignment="1">
      <alignment horizontal="left"/>
    </xf>
    <xf numFmtId="0" fontId="20" fillId="3" borderId="1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center" vertical="center"/>
    </xf>
    <xf numFmtId="0" fontId="14" fillId="8" borderId="1" xfId="2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/>
    </xf>
    <xf numFmtId="0" fontId="9" fillId="8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left" vertical="center"/>
    </xf>
    <xf numFmtId="0" fontId="14" fillId="7" borderId="1" xfId="2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textRotation="90" wrapText="1"/>
    </xf>
    <xf numFmtId="0" fontId="7" fillId="2" borderId="3" xfId="0" applyFont="1" applyFill="1" applyBorder="1" applyAlignment="1">
      <alignment horizontal="center" vertical="center" textRotation="90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textRotation="90" wrapText="1"/>
    </xf>
    <xf numFmtId="0" fontId="15" fillId="3" borderId="5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textRotation="90"/>
    </xf>
    <xf numFmtId="0" fontId="15" fillId="3" borderId="5" xfId="0" applyFont="1" applyFill="1" applyBorder="1" applyAlignment="1">
      <alignment horizontal="center" vertical="center" textRotation="90"/>
    </xf>
    <xf numFmtId="0" fontId="15" fillId="0" borderId="0" xfId="0" applyFont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textRotation="90" wrapText="1"/>
    </xf>
    <xf numFmtId="0" fontId="10" fillId="2" borderId="5" xfId="0" applyFont="1" applyFill="1" applyBorder="1" applyAlignment="1">
      <alignment horizontal="center" vertical="center" textRotation="90" wrapText="1"/>
    </xf>
    <xf numFmtId="0" fontId="10" fillId="2" borderId="3" xfId="0" applyFont="1" applyFill="1" applyBorder="1" applyAlignment="1">
      <alignment horizontal="center" vertical="center" textRotation="90" wrapText="1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 textRotation="90"/>
    </xf>
    <xf numFmtId="0" fontId="15" fillId="0" borderId="0" xfId="0" applyFont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textRotation="90" wrapText="1"/>
    </xf>
    <xf numFmtId="0" fontId="8" fillId="7" borderId="5" xfId="0" applyFont="1" applyFill="1" applyBorder="1" applyAlignment="1">
      <alignment horizontal="center" vertical="center" textRotation="90"/>
    </xf>
    <xf numFmtId="0" fontId="8" fillId="7" borderId="3" xfId="0" applyFont="1" applyFill="1" applyBorder="1" applyAlignment="1">
      <alignment horizontal="center" vertical="center" textRotation="90"/>
    </xf>
    <xf numFmtId="0" fontId="16" fillId="8" borderId="2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textRotation="90"/>
    </xf>
    <xf numFmtId="0" fontId="23" fillId="11" borderId="0" xfId="0" applyFont="1" applyFill="1"/>
    <xf numFmtId="0" fontId="18" fillId="12" borderId="1" xfId="0" applyFont="1" applyFill="1" applyBorder="1" applyAlignment="1">
      <alignment horizontal="center" vertical="center"/>
    </xf>
    <xf numFmtId="0" fontId="24" fillId="0" borderId="17" xfId="0" applyFont="1" applyBorder="1" applyAlignment="1">
      <alignment wrapText="1"/>
    </xf>
  </cellXfs>
  <cellStyles count="3">
    <cellStyle name="Hyperlink" xfId="1" builtinId="8"/>
    <cellStyle name="Normal" xfId="0" builtinId="0"/>
    <cellStyle name="Normal 2" xfId="2" xr:uid="{E5C7E4AE-8419-4FAB-AF24-A4D4F64BC8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mo.mn/olympiads/answers/191/?s=292" TargetMode="External"/><Relationship Id="rId21" Type="http://schemas.openxmlformats.org/officeDocument/2006/relationships/hyperlink" Target="https://mmo.mn/olympiads/achievements/207120/" TargetMode="External"/><Relationship Id="rId42" Type="http://schemas.openxmlformats.org/officeDocument/2006/relationships/hyperlink" Target="https://mmo.mn/olympiads/achievements/149250/" TargetMode="External"/><Relationship Id="rId63" Type="http://schemas.openxmlformats.org/officeDocument/2006/relationships/hyperlink" Target="https://mmo.mn/olympiads/answers/191/?s=279" TargetMode="External"/><Relationship Id="rId84" Type="http://schemas.openxmlformats.org/officeDocument/2006/relationships/hyperlink" Target="https://mmo.mn/olympiads/answers/191/?s=280" TargetMode="External"/><Relationship Id="rId138" Type="http://schemas.openxmlformats.org/officeDocument/2006/relationships/hyperlink" Target="https://mmo.mn/olympiads/achievements/183981/" TargetMode="External"/><Relationship Id="rId159" Type="http://schemas.openxmlformats.org/officeDocument/2006/relationships/hyperlink" Target="https://mmo.mn/olympiads/answers/191/?s=299" TargetMode="External"/><Relationship Id="rId170" Type="http://schemas.openxmlformats.org/officeDocument/2006/relationships/hyperlink" Target="https://mmo.mn/olympiads/achievements/167312/" TargetMode="External"/><Relationship Id="rId191" Type="http://schemas.openxmlformats.org/officeDocument/2006/relationships/hyperlink" Target="https://mmo.mn/olympiads/achievements/210152/" TargetMode="External"/><Relationship Id="rId107" Type="http://schemas.openxmlformats.org/officeDocument/2006/relationships/hyperlink" Target="https://mmo.mn/olympiads/answers/191/?s=286" TargetMode="External"/><Relationship Id="rId11" Type="http://schemas.openxmlformats.org/officeDocument/2006/relationships/hyperlink" Target="https://mmo.mn/olympiads/answers/191/?s=291" TargetMode="External"/><Relationship Id="rId32" Type="http://schemas.openxmlformats.org/officeDocument/2006/relationships/hyperlink" Target="https://mmo.mn/olympiads/answers/191/?s=291" TargetMode="External"/><Relationship Id="rId53" Type="http://schemas.openxmlformats.org/officeDocument/2006/relationships/hyperlink" Target="https://mmo.mn/olympiads/achievements/204456/" TargetMode="External"/><Relationship Id="rId74" Type="http://schemas.openxmlformats.org/officeDocument/2006/relationships/hyperlink" Target="https://mmo.mn/olympiads/achievements/183613/" TargetMode="External"/><Relationship Id="rId128" Type="http://schemas.openxmlformats.org/officeDocument/2006/relationships/hyperlink" Target="https://mmo.mn/olympiads/achievements/183852/" TargetMode="External"/><Relationship Id="rId149" Type="http://schemas.openxmlformats.org/officeDocument/2006/relationships/hyperlink" Target="https://mmo.mn/olympiads/achievements/194642/" TargetMode="External"/><Relationship Id="rId5" Type="http://schemas.openxmlformats.org/officeDocument/2006/relationships/hyperlink" Target="https://mmo.mn/olympiads/achievements/226863/" TargetMode="External"/><Relationship Id="rId95" Type="http://schemas.openxmlformats.org/officeDocument/2006/relationships/hyperlink" Target="https://www.mmo.mn/olympiads/answers/191/?s=279" TargetMode="External"/><Relationship Id="rId160" Type="http://schemas.openxmlformats.org/officeDocument/2006/relationships/hyperlink" Target="https://mmo.mn/olympiads/achievements/189299/" TargetMode="External"/><Relationship Id="rId181" Type="http://schemas.openxmlformats.org/officeDocument/2006/relationships/hyperlink" Target="https://mmo.mn/olympiads/answers/191/?s=301" TargetMode="External"/><Relationship Id="rId22" Type="http://schemas.openxmlformats.org/officeDocument/2006/relationships/hyperlink" Target="https://mmo.mn/olympiads/achievements/217604/" TargetMode="External"/><Relationship Id="rId43" Type="http://schemas.openxmlformats.org/officeDocument/2006/relationships/hyperlink" Target="https://mmo.mn/olympiads/achievements/126116/" TargetMode="External"/><Relationship Id="rId64" Type="http://schemas.openxmlformats.org/officeDocument/2006/relationships/hyperlink" Target="https://mmo.mn/olympiads/answers/191/?s=280" TargetMode="External"/><Relationship Id="rId118" Type="http://schemas.openxmlformats.org/officeDocument/2006/relationships/hyperlink" Target="https://mmo.mn/olympiads/answers/191/?s=293" TargetMode="External"/><Relationship Id="rId139" Type="http://schemas.openxmlformats.org/officeDocument/2006/relationships/hyperlink" Target="https://mmo.mn/olympiads/achievements/195775/" TargetMode="External"/><Relationship Id="rId85" Type="http://schemas.openxmlformats.org/officeDocument/2006/relationships/hyperlink" Target="https://mmo.mn/olympiads/answers/191/?s=289" TargetMode="External"/><Relationship Id="rId150" Type="http://schemas.openxmlformats.org/officeDocument/2006/relationships/hyperlink" Target="https://mmo.mn/olympiads/answers/191/?s=286" TargetMode="External"/><Relationship Id="rId171" Type="http://schemas.openxmlformats.org/officeDocument/2006/relationships/hyperlink" Target="https://mmo.mn/olympiads/achievements/193369/" TargetMode="External"/><Relationship Id="rId192" Type="http://schemas.openxmlformats.org/officeDocument/2006/relationships/printerSettings" Target="../printerSettings/printerSettings1.bin"/><Relationship Id="rId12" Type="http://schemas.openxmlformats.org/officeDocument/2006/relationships/hyperlink" Target="https://mmo.mn/olympiads/answers/191/?s=291" TargetMode="External"/><Relationship Id="rId33" Type="http://schemas.openxmlformats.org/officeDocument/2006/relationships/hyperlink" Target="https://mmo.mn/olympiads/answers/191/?s=299" TargetMode="External"/><Relationship Id="rId108" Type="http://schemas.openxmlformats.org/officeDocument/2006/relationships/hyperlink" Target="https://www.mmo.mn/olympiads/answers/191/?s=279" TargetMode="External"/><Relationship Id="rId129" Type="http://schemas.openxmlformats.org/officeDocument/2006/relationships/hyperlink" Target="https://mmo.mn/olympiads/achievements/128348/" TargetMode="External"/><Relationship Id="rId54" Type="http://schemas.openxmlformats.org/officeDocument/2006/relationships/hyperlink" Target="https://mmo.mn/olympiads/achievements/207120/" TargetMode="External"/><Relationship Id="rId75" Type="http://schemas.openxmlformats.org/officeDocument/2006/relationships/hyperlink" Target="https://mmo.mn/olympiads/achievements/183515/" TargetMode="External"/><Relationship Id="rId96" Type="http://schemas.openxmlformats.org/officeDocument/2006/relationships/hyperlink" Target="https://mmo.mn/olympiads/answers/191/?s=289" TargetMode="External"/><Relationship Id="rId140" Type="http://schemas.openxmlformats.org/officeDocument/2006/relationships/hyperlink" Target="https://mmo.mn/olympiads/achievements/194637/" TargetMode="External"/><Relationship Id="rId161" Type="http://schemas.openxmlformats.org/officeDocument/2006/relationships/hyperlink" Target="https://mmo.mn/olympiads/achievements/116388/" TargetMode="External"/><Relationship Id="rId182" Type="http://schemas.openxmlformats.org/officeDocument/2006/relationships/hyperlink" Target="https://mmo.mn/olympiads/answers/191/?s=299" TargetMode="External"/><Relationship Id="rId6" Type="http://schemas.openxmlformats.org/officeDocument/2006/relationships/hyperlink" Target="https://mmo.mn/olympiads/achievements/212980/" TargetMode="External"/><Relationship Id="rId23" Type="http://schemas.openxmlformats.org/officeDocument/2006/relationships/hyperlink" Target="https://mmo.mn/olympiads/achievements/212234/" TargetMode="External"/><Relationship Id="rId119" Type="http://schemas.openxmlformats.org/officeDocument/2006/relationships/hyperlink" Target="https://mmo.mn/olympiads/achievements/183972/" TargetMode="External"/><Relationship Id="rId44" Type="http://schemas.openxmlformats.org/officeDocument/2006/relationships/hyperlink" Target="https://mmo.mn/olympiads/answers/191/?s=292" TargetMode="External"/><Relationship Id="rId65" Type="http://schemas.openxmlformats.org/officeDocument/2006/relationships/hyperlink" Target="https://mmo.mn/olympiads/answers/191/?s=281" TargetMode="External"/><Relationship Id="rId86" Type="http://schemas.openxmlformats.org/officeDocument/2006/relationships/hyperlink" Target="https://mmo.mn/olympiads/answers/191/?s=292" TargetMode="External"/><Relationship Id="rId130" Type="http://schemas.openxmlformats.org/officeDocument/2006/relationships/hyperlink" Target="https://mmo.mn/olympiads/achievements/201986/" TargetMode="External"/><Relationship Id="rId151" Type="http://schemas.openxmlformats.org/officeDocument/2006/relationships/hyperlink" Target="https://mmo.mn/olympiads/achievements/143236/" TargetMode="External"/><Relationship Id="rId172" Type="http://schemas.openxmlformats.org/officeDocument/2006/relationships/hyperlink" Target="https://mmo.mn/olympiads/achievements/133458/" TargetMode="External"/><Relationship Id="rId13" Type="http://schemas.openxmlformats.org/officeDocument/2006/relationships/hyperlink" Target="https://mmo.mn/olympiads/answers/191/?s=276" TargetMode="External"/><Relationship Id="rId18" Type="http://schemas.openxmlformats.org/officeDocument/2006/relationships/hyperlink" Target="https://mmo.mn/olympiads/answers/191/?s=288" TargetMode="External"/><Relationship Id="rId39" Type="http://schemas.openxmlformats.org/officeDocument/2006/relationships/hyperlink" Target="https://mmo.mn/olympiads/achievements/183684/" TargetMode="External"/><Relationship Id="rId109" Type="http://schemas.openxmlformats.org/officeDocument/2006/relationships/hyperlink" Target="https://mmo.mn/olympiads/answers/191/?s=280" TargetMode="External"/><Relationship Id="rId34" Type="http://schemas.openxmlformats.org/officeDocument/2006/relationships/hyperlink" Target="https://mmo.mn/olympiads/answers/191/?s=573" TargetMode="External"/><Relationship Id="rId50" Type="http://schemas.openxmlformats.org/officeDocument/2006/relationships/hyperlink" Target="https://mmo.mn/olympiads/achievements/122052/" TargetMode="External"/><Relationship Id="rId55" Type="http://schemas.openxmlformats.org/officeDocument/2006/relationships/hyperlink" Target="https://mmo.mn/olympiads/achievements/149154/" TargetMode="External"/><Relationship Id="rId76" Type="http://schemas.openxmlformats.org/officeDocument/2006/relationships/hyperlink" Target="https://www.mmo.mn/olympiads/achievements/194639/" TargetMode="External"/><Relationship Id="rId97" Type="http://schemas.openxmlformats.org/officeDocument/2006/relationships/hyperlink" Target="https://mmo.mn/olympiads/achievements/198730/" TargetMode="External"/><Relationship Id="rId104" Type="http://schemas.openxmlformats.org/officeDocument/2006/relationships/hyperlink" Target="https://mmo.mn/olympiads/answers/191/?s=293" TargetMode="External"/><Relationship Id="rId120" Type="http://schemas.openxmlformats.org/officeDocument/2006/relationships/hyperlink" Target="https://mmo.mn/olympiads/achievements/215661/" TargetMode="External"/><Relationship Id="rId125" Type="http://schemas.openxmlformats.org/officeDocument/2006/relationships/hyperlink" Target="https://mmo.mn/olympiads/answers/191/?s=292" TargetMode="External"/><Relationship Id="rId141" Type="http://schemas.openxmlformats.org/officeDocument/2006/relationships/hyperlink" Target="https://mmo.mn/olympiads/answers/191/?s=292" TargetMode="External"/><Relationship Id="rId146" Type="http://schemas.openxmlformats.org/officeDocument/2006/relationships/hyperlink" Target="https://mmo.mn/olympiads/answers/191/?s=289" TargetMode="External"/><Relationship Id="rId167" Type="http://schemas.openxmlformats.org/officeDocument/2006/relationships/hyperlink" Target="https://mmo.mn/olympiads/achievements/183830/" TargetMode="External"/><Relationship Id="rId188" Type="http://schemas.openxmlformats.org/officeDocument/2006/relationships/hyperlink" Target="https://mmo.mn/olympiads/answers/191/?s=301" TargetMode="External"/><Relationship Id="rId7" Type="http://schemas.openxmlformats.org/officeDocument/2006/relationships/hyperlink" Target="https://mmo.mn/olympiads/achievements/213055/" TargetMode="External"/><Relationship Id="rId71" Type="http://schemas.openxmlformats.org/officeDocument/2006/relationships/hyperlink" Target="https://mmo.mn/olympiads/answers/191/?s=280" TargetMode="External"/><Relationship Id="rId92" Type="http://schemas.openxmlformats.org/officeDocument/2006/relationships/hyperlink" Target="https://mmo.mn/olympiads/answers/191/?s=292" TargetMode="External"/><Relationship Id="rId162" Type="http://schemas.openxmlformats.org/officeDocument/2006/relationships/hyperlink" Target="https://mmo.mn/olympiads/achievements/220012/" TargetMode="External"/><Relationship Id="rId183" Type="http://schemas.openxmlformats.org/officeDocument/2006/relationships/hyperlink" Target="https://mmo.mn/olympiads/answers/191/?s=301" TargetMode="External"/><Relationship Id="rId2" Type="http://schemas.openxmlformats.org/officeDocument/2006/relationships/hyperlink" Target="https://mmo.mn/olympiads/achievements/207120/" TargetMode="External"/><Relationship Id="rId29" Type="http://schemas.openxmlformats.org/officeDocument/2006/relationships/hyperlink" Target="https://mmo.mn/olympiads/achievements/184071/" TargetMode="External"/><Relationship Id="rId24" Type="http://schemas.openxmlformats.org/officeDocument/2006/relationships/hyperlink" Target="https://mmo.mn/olympiads/achievements/205249/" TargetMode="External"/><Relationship Id="rId40" Type="http://schemas.openxmlformats.org/officeDocument/2006/relationships/hyperlink" Target="https://mmo.mn/olympiads/achievements/184012/" TargetMode="External"/><Relationship Id="rId45" Type="http://schemas.openxmlformats.org/officeDocument/2006/relationships/hyperlink" Target="https://mmo.mn/olympiads/answers/191/?s=292" TargetMode="External"/><Relationship Id="rId66" Type="http://schemas.openxmlformats.org/officeDocument/2006/relationships/hyperlink" Target="https://mmo.mn/olympiads/answers/191/?s=293" TargetMode="External"/><Relationship Id="rId87" Type="http://schemas.openxmlformats.org/officeDocument/2006/relationships/hyperlink" Target="https://mmo.mn/olympiads/achievements/183612/" TargetMode="External"/><Relationship Id="rId110" Type="http://schemas.openxmlformats.org/officeDocument/2006/relationships/hyperlink" Target="https://mmo.mn/olympiads/answers/191/?s=291" TargetMode="External"/><Relationship Id="rId115" Type="http://schemas.openxmlformats.org/officeDocument/2006/relationships/hyperlink" Target="https://mmo.mn/olympiads/answers/191/?s=292" TargetMode="External"/><Relationship Id="rId131" Type="http://schemas.openxmlformats.org/officeDocument/2006/relationships/hyperlink" Target="https://mmo.mn/olympiads/achievements/213686/" TargetMode="External"/><Relationship Id="rId136" Type="http://schemas.openxmlformats.org/officeDocument/2006/relationships/hyperlink" Target="https://mmo.mn/olympiads/answers/191/?s=301" TargetMode="External"/><Relationship Id="rId157" Type="http://schemas.openxmlformats.org/officeDocument/2006/relationships/hyperlink" Target="https://mmo.mn/olympiads/answers/191/?s=289" TargetMode="External"/><Relationship Id="rId178" Type="http://schemas.openxmlformats.org/officeDocument/2006/relationships/hyperlink" Target="https://mmo.mn/olympiads/achievements/221133/" TargetMode="External"/><Relationship Id="rId61" Type="http://schemas.openxmlformats.org/officeDocument/2006/relationships/hyperlink" Target="https://mmo.mn/olympiads/answers/191/?s=293" TargetMode="External"/><Relationship Id="rId82" Type="http://schemas.openxmlformats.org/officeDocument/2006/relationships/hyperlink" Target="https://mmo.mn/olympiads/answers/191/?s=292" TargetMode="External"/><Relationship Id="rId152" Type="http://schemas.openxmlformats.org/officeDocument/2006/relationships/hyperlink" Target="https://mmo.mn/olympiads/achievements/207956/" TargetMode="External"/><Relationship Id="rId173" Type="http://schemas.openxmlformats.org/officeDocument/2006/relationships/hyperlink" Target="https://mmo.mn/olympiads/achievements/184030/" TargetMode="External"/><Relationship Id="rId19" Type="http://schemas.openxmlformats.org/officeDocument/2006/relationships/hyperlink" Target="https://mmo.mn/olympiads/answers/191/?s=279" TargetMode="External"/><Relationship Id="rId14" Type="http://schemas.openxmlformats.org/officeDocument/2006/relationships/hyperlink" Target="https://mmo.mn/olympiads/answers/191/?s=286" TargetMode="External"/><Relationship Id="rId30" Type="http://schemas.openxmlformats.org/officeDocument/2006/relationships/hyperlink" Target="https://mmo.mn/olympiads/answers/191/?s=646" TargetMode="External"/><Relationship Id="rId35" Type="http://schemas.openxmlformats.org/officeDocument/2006/relationships/hyperlink" Target="https://mmo.mn/olympiads/answers/191/?s=301" TargetMode="External"/><Relationship Id="rId56" Type="http://schemas.openxmlformats.org/officeDocument/2006/relationships/hyperlink" Target="https://mmo.mn/olympiads/achievements/182789/" TargetMode="External"/><Relationship Id="rId77" Type="http://schemas.openxmlformats.org/officeDocument/2006/relationships/hyperlink" Target="https://mmo.mn/olympiads/achievements/210144/" TargetMode="External"/><Relationship Id="rId100" Type="http://schemas.openxmlformats.org/officeDocument/2006/relationships/hyperlink" Target="https://mmo.mn/olympiads/achievements/215049/" TargetMode="External"/><Relationship Id="rId105" Type="http://schemas.openxmlformats.org/officeDocument/2006/relationships/hyperlink" Target="https://mmo.mn/olympiads/answers/191/?s=292" TargetMode="External"/><Relationship Id="rId126" Type="http://schemas.openxmlformats.org/officeDocument/2006/relationships/hyperlink" Target="https://mmo.mn/olympiads/answers/191/?s=292" TargetMode="External"/><Relationship Id="rId147" Type="http://schemas.openxmlformats.org/officeDocument/2006/relationships/hyperlink" Target="https://mmo.mn/olympiads/achievements/222656/" TargetMode="External"/><Relationship Id="rId168" Type="http://schemas.openxmlformats.org/officeDocument/2006/relationships/hyperlink" Target="https://mmo.mn/olympiads/answers/191/?s=296" TargetMode="External"/><Relationship Id="rId8" Type="http://schemas.openxmlformats.org/officeDocument/2006/relationships/hyperlink" Target="https://mmo.mn/olympiads/achievements/226867/" TargetMode="External"/><Relationship Id="rId51" Type="http://schemas.openxmlformats.org/officeDocument/2006/relationships/hyperlink" Target="https://mmo.mn/olympiads/achievements/126342/" TargetMode="External"/><Relationship Id="rId72" Type="http://schemas.openxmlformats.org/officeDocument/2006/relationships/hyperlink" Target="https://mmo.mn/olympiads/answers/191/?s=281" TargetMode="External"/><Relationship Id="rId93" Type="http://schemas.openxmlformats.org/officeDocument/2006/relationships/hyperlink" Target="https://mmo.mn/olympiads/answers/191/?s=292" TargetMode="External"/><Relationship Id="rId98" Type="http://schemas.openxmlformats.org/officeDocument/2006/relationships/hyperlink" Target="https://mmo.mn/olympiads/achievements/183917/" TargetMode="External"/><Relationship Id="rId121" Type="http://schemas.openxmlformats.org/officeDocument/2006/relationships/hyperlink" Target="https://mmo.mn/olympiads/answers/191/?s=292" TargetMode="External"/><Relationship Id="rId142" Type="http://schemas.openxmlformats.org/officeDocument/2006/relationships/hyperlink" Target="https://mmo.mn/olympiads/answers/191/?s=292" TargetMode="External"/><Relationship Id="rId163" Type="http://schemas.openxmlformats.org/officeDocument/2006/relationships/hyperlink" Target="https://mmo.mn/olympiads/answers/191/?s=296" TargetMode="External"/><Relationship Id="rId184" Type="http://schemas.openxmlformats.org/officeDocument/2006/relationships/hyperlink" Target="https://mmo.mn/olympiads/achievements/144875/" TargetMode="External"/><Relationship Id="rId189" Type="http://schemas.openxmlformats.org/officeDocument/2006/relationships/hyperlink" Target="https://mmo.mn/olympiads/answers/191/?s=301" TargetMode="External"/><Relationship Id="rId3" Type="http://schemas.openxmlformats.org/officeDocument/2006/relationships/hyperlink" Target="https://mmo.mn/olympiads/achievements/206997/" TargetMode="External"/><Relationship Id="rId25" Type="http://schemas.openxmlformats.org/officeDocument/2006/relationships/hyperlink" Target="https://mmo.mn/olympiads/achievements/218423/" TargetMode="External"/><Relationship Id="rId46" Type="http://schemas.openxmlformats.org/officeDocument/2006/relationships/hyperlink" Target="https://mmo.mn/olympiads/answers/191/?s=276" TargetMode="External"/><Relationship Id="rId67" Type="http://schemas.openxmlformats.org/officeDocument/2006/relationships/hyperlink" Target="https://mmo.mn/olympiads/answers/191/?s=293" TargetMode="External"/><Relationship Id="rId116" Type="http://schemas.openxmlformats.org/officeDocument/2006/relationships/hyperlink" Target="https://mmo.mn/olympiads/answers/191/?s=292" TargetMode="External"/><Relationship Id="rId137" Type="http://schemas.openxmlformats.org/officeDocument/2006/relationships/hyperlink" Target="https://mmo.mn/olympiads/answers/191/?s=284" TargetMode="External"/><Relationship Id="rId158" Type="http://schemas.openxmlformats.org/officeDocument/2006/relationships/hyperlink" Target="https://mmo.mn/olympiads/answers/191/?s=301" TargetMode="External"/><Relationship Id="rId20" Type="http://schemas.openxmlformats.org/officeDocument/2006/relationships/hyperlink" Target="https://mmo.mn/olympiads/answers/191/?s=286" TargetMode="External"/><Relationship Id="rId41" Type="http://schemas.openxmlformats.org/officeDocument/2006/relationships/hyperlink" Target="https://mmo.mn/olympiads/achievements/203808/" TargetMode="External"/><Relationship Id="rId62" Type="http://schemas.openxmlformats.org/officeDocument/2006/relationships/hyperlink" Target="https://mmo.mn/olympiads/answers/191/?s=276" TargetMode="External"/><Relationship Id="rId83" Type="http://schemas.openxmlformats.org/officeDocument/2006/relationships/hyperlink" Target="https://www.mmo.mn/olympiads/answers/191/?s=279" TargetMode="External"/><Relationship Id="rId88" Type="http://schemas.openxmlformats.org/officeDocument/2006/relationships/hyperlink" Target="https://mmo.mn/olympiads/achievements/183486/" TargetMode="External"/><Relationship Id="rId111" Type="http://schemas.openxmlformats.org/officeDocument/2006/relationships/hyperlink" Target="https://mmo.mn/olympiads/achievements/183711/" TargetMode="External"/><Relationship Id="rId132" Type="http://schemas.openxmlformats.org/officeDocument/2006/relationships/hyperlink" Target="https://mmo.mn/olympiads/answers/191/?s=292" TargetMode="External"/><Relationship Id="rId153" Type="http://schemas.openxmlformats.org/officeDocument/2006/relationships/hyperlink" Target="https://mmo.mn/olympiads/answers/191/?s=301" TargetMode="External"/><Relationship Id="rId174" Type="http://schemas.openxmlformats.org/officeDocument/2006/relationships/hyperlink" Target="https://mmo.mn/olympiads/answers/191/?s=296" TargetMode="External"/><Relationship Id="rId179" Type="http://schemas.openxmlformats.org/officeDocument/2006/relationships/hyperlink" Target="https://mmo.mn/olympiads/achievements/145761/" TargetMode="External"/><Relationship Id="rId190" Type="http://schemas.openxmlformats.org/officeDocument/2006/relationships/hyperlink" Target="https://mmo.mn/olympiads/answers/191/?s=280" TargetMode="External"/><Relationship Id="rId15" Type="http://schemas.openxmlformats.org/officeDocument/2006/relationships/hyperlink" Target="https://mmo.mn/olympiads/answers/191/?s=286" TargetMode="External"/><Relationship Id="rId36" Type="http://schemas.openxmlformats.org/officeDocument/2006/relationships/hyperlink" Target="https://mmo.mn/olympiads/answers/191/?s=286" TargetMode="External"/><Relationship Id="rId57" Type="http://schemas.openxmlformats.org/officeDocument/2006/relationships/hyperlink" Target="https://mmo.mn/olympiads/achievements/183230/" TargetMode="External"/><Relationship Id="rId106" Type="http://schemas.openxmlformats.org/officeDocument/2006/relationships/hyperlink" Target="https://mmo.mn/olympiads/answers/191/?s=292" TargetMode="External"/><Relationship Id="rId127" Type="http://schemas.openxmlformats.org/officeDocument/2006/relationships/hyperlink" Target="https://mmo.mn/olympiads/achievements/183454/" TargetMode="External"/><Relationship Id="rId10" Type="http://schemas.openxmlformats.org/officeDocument/2006/relationships/hyperlink" Target="https://mmo.mn/olympiads/achievements/215467/" TargetMode="External"/><Relationship Id="rId31" Type="http://schemas.openxmlformats.org/officeDocument/2006/relationships/hyperlink" Target="https://mmo.mn/olympiads/answers/191/?s=646" TargetMode="External"/><Relationship Id="rId52" Type="http://schemas.openxmlformats.org/officeDocument/2006/relationships/hyperlink" Target="https://mmo.mn/olympiads/achievements/183122/" TargetMode="External"/><Relationship Id="rId73" Type="http://schemas.openxmlformats.org/officeDocument/2006/relationships/hyperlink" Target="https://mmo.mn/olympiads/achievements/183570/" TargetMode="External"/><Relationship Id="rId78" Type="http://schemas.openxmlformats.org/officeDocument/2006/relationships/hyperlink" Target="https://mmo.mn/olympiads/achievements/222688/" TargetMode="External"/><Relationship Id="rId94" Type="http://schemas.openxmlformats.org/officeDocument/2006/relationships/hyperlink" Target="https://mmo.mn/olympiads/answers/191/?s=292" TargetMode="External"/><Relationship Id="rId99" Type="http://schemas.openxmlformats.org/officeDocument/2006/relationships/hyperlink" Target="https://mmo.mn/olympiads/achievements/183395/" TargetMode="External"/><Relationship Id="rId101" Type="http://schemas.openxmlformats.org/officeDocument/2006/relationships/hyperlink" Target="https://www.mmo.mn/olympiads/achievements/194647/" TargetMode="External"/><Relationship Id="rId122" Type="http://schemas.openxmlformats.org/officeDocument/2006/relationships/hyperlink" Target="https://mmo.mn/olympiads/answers/191/?s=291" TargetMode="External"/><Relationship Id="rId143" Type="http://schemas.openxmlformats.org/officeDocument/2006/relationships/hyperlink" Target="https://mmo.mn/olympiads/answers/191/?s=279" TargetMode="External"/><Relationship Id="rId148" Type="http://schemas.openxmlformats.org/officeDocument/2006/relationships/hyperlink" Target="https://mmo.mn/olympiads/answers/191/?s=279" TargetMode="External"/><Relationship Id="rId164" Type="http://schemas.openxmlformats.org/officeDocument/2006/relationships/hyperlink" Target="https://mmo.mn/olympiads/answers/191/?s=301" TargetMode="External"/><Relationship Id="rId169" Type="http://schemas.openxmlformats.org/officeDocument/2006/relationships/hyperlink" Target="https://mmo.mn/olympiads/answers/191/?s=299" TargetMode="External"/><Relationship Id="rId185" Type="http://schemas.openxmlformats.org/officeDocument/2006/relationships/hyperlink" Target="https://mmo.mn/olympiads/answers/191/?s=299" TargetMode="External"/><Relationship Id="rId4" Type="http://schemas.openxmlformats.org/officeDocument/2006/relationships/hyperlink" Target="https://mmo.mn/olympiads/achievements/212234/" TargetMode="External"/><Relationship Id="rId9" Type="http://schemas.openxmlformats.org/officeDocument/2006/relationships/hyperlink" Target="https://mmo.mn/olympiads/achievements/215875/" TargetMode="External"/><Relationship Id="rId180" Type="http://schemas.openxmlformats.org/officeDocument/2006/relationships/hyperlink" Target="https://mmo.mn/olympiads/achievements/192906/" TargetMode="External"/><Relationship Id="rId26" Type="http://schemas.openxmlformats.org/officeDocument/2006/relationships/hyperlink" Target="https://mmo.mn/olympiads/achievements/221891/" TargetMode="External"/><Relationship Id="rId47" Type="http://schemas.openxmlformats.org/officeDocument/2006/relationships/hyperlink" Target="https://mmo.mn/olympiads/answers/191/?s=281" TargetMode="External"/><Relationship Id="rId68" Type="http://schemas.openxmlformats.org/officeDocument/2006/relationships/hyperlink" Target="https://mmo.mn/olympiads/achievements/113825/" TargetMode="External"/><Relationship Id="rId89" Type="http://schemas.openxmlformats.org/officeDocument/2006/relationships/hyperlink" Target="https://mmo.mn/olympiads/achievements/183494/" TargetMode="External"/><Relationship Id="rId112" Type="http://schemas.openxmlformats.org/officeDocument/2006/relationships/hyperlink" Target="https://mmo.mn/olympiads/achievements/183979/" TargetMode="External"/><Relationship Id="rId133" Type="http://schemas.openxmlformats.org/officeDocument/2006/relationships/hyperlink" Target="https://mmo.mn/olympiads/answers/191/?s=292" TargetMode="External"/><Relationship Id="rId154" Type="http://schemas.openxmlformats.org/officeDocument/2006/relationships/hyperlink" Target="https://mmo.mn/olympiads/achievements/222688/" TargetMode="External"/><Relationship Id="rId175" Type="http://schemas.openxmlformats.org/officeDocument/2006/relationships/hyperlink" Target="https://mmo.mn/olympiads/answers/191/?s=301" TargetMode="External"/><Relationship Id="rId16" Type="http://schemas.openxmlformats.org/officeDocument/2006/relationships/hyperlink" Target="https://mmo.mn/olympiads/answers/191/?s=276" TargetMode="External"/><Relationship Id="rId37" Type="http://schemas.openxmlformats.org/officeDocument/2006/relationships/hyperlink" Target="https://mmo.mn/olympiads/answers/191/?s=300" TargetMode="External"/><Relationship Id="rId58" Type="http://schemas.openxmlformats.org/officeDocument/2006/relationships/hyperlink" Target="https://mmo.mn/olympiads/answers/191/?s=292" TargetMode="External"/><Relationship Id="rId79" Type="http://schemas.openxmlformats.org/officeDocument/2006/relationships/hyperlink" Target="https://mmo.mn/olympiads/achievements/184082/" TargetMode="External"/><Relationship Id="rId102" Type="http://schemas.openxmlformats.org/officeDocument/2006/relationships/hyperlink" Target="https://mmo.mn/olympiads/achievements/210157/" TargetMode="External"/><Relationship Id="rId123" Type="http://schemas.openxmlformats.org/officeDocument/2006/relationships/hyperlink" Target="https://mmo.mn/olympiads/achievements/183490/" TargetMode="External"/><Relationship Id="rId144" Type="http://schemas.openxmlformats.org/officeDocument/2006/relationships/hyperlink" Target="https://mmo.mn/olympiads/answers/191/?s=292" TargetMode="External"/><Relationship Id="rId90" Type="http://schemas.openxmlformats.org/officeDocument/2006/relationships/hyperlink" Target="https://www.mmo.mn/olympiads/achievements/194648/" TargetMode="External"/><Relationship Id="rId165" Type="http://schemas.openxmlformats.org/officeDocument/2006/relationships/hyperlink" Target="https://mmo.mn/olympiads/answers/191/?s=299" TargetMode="External"/><Relationship Id="rId186" Type="http://schemas.openxmlformats.org/officeDocument/2006/relationships/hyperlink" Target="https://mmo.mn/olympiads/achievements/201986/" TargetMode="External"/><Relationship Id="rId27" Type="http://schemas.openxmlformats.org/officeDocument/2006/relationships/hyperlink" Target="https://mmo.mn/olympiads/achievements/216983/" TargetMode="External"/><Relationship Id="rId48" Type="http://schemas.openxmlformats.org/officeDocument/2006/relationships/hyperlink" Target="https://mmo.mn/olympiads/answers/191/?s=293" TargetMode="External"/><Relationship Id="rId69" Type="http://schemas.openxmlformats.org/officeDocument/2006/relationships/hyperlink" Target="https://mmo.mn/olympiads/achievements/210115/" TargetMode="External"/><Relationship Id="rId113" Type="http://schemas.openxmlformats.org/officeDocument/2006/relationships/hyperlink" Target="https://mmo.mn/olympiads/achievements/184009/" TargetMode="External"/><Relationship Id="rId134" Type="http://schemas.openxmlformats.org/officeDocument/2006/relationships/hyperlink" Target="https://mmo.mn/olympiads/answers/191/?s=292" TargetMode="External"/><Relationship Id="rId80" Type="http://schemas.openxmlformats.org/officeDocument/2006/relationships/hyperlink" Target="https://mmo.mn/olympiads/answers/191/?s=292" TargetMode="External"/><Relationship Id="rId155" Type="http://schemas.openxmlformats.org/officeDocument/2006/relationships/hyperlink" Target="https://mmo.mn/olympiads/achievements/204455/" TargetMode="External"/><Relationship Id="rId176" Type="http://schemas.openxmlformats.org/officeDocument/2006/relationships/hyperlink" Target="https://mmo.mn/olympiads/answers/191/?s=299" TargetMode="External"/><Relationship Id="rId17" Type="http://schemas.openxmlformats.org/officeDocument/2006/relationships/hyperlink" Target="https://mmo.mn/olympiads/answers/191/?s=286" TargetMode="External"/><Relationship Id="rId38" Type="http://schemas.openxmlformats.org/officeDocument/2006/relationships/hyperlink" Target="https://mmo.mn/olympiads/answers/191/?s=279" TargetMode="External"/><Relationship Id="rId59" Type="http://schemas.openxmlformats.org/officeDocument/2006/relationships/hyperlink" Target="https://mmo.mn/olympiads/answers/191/?s=292" TargetMode="External"/><Relationship Id="rId103" Type="http://schemas.openxmlformats.org/officeDocument/2006/relationships/hyperlink" Target="https://mmo.mn/olympiads/achievements/216983/" TargetMode="External"/><Relationship Id="rId124" Type="http://schemas.openxmlformats.org/officeDocument/2006/relationships/hyperlink" Target="https://mmo.mn/olympiads/achievements/184465/" TargetMode="External"/><Relationship Id="rId70" Type="http://schemas.openxmlformats.org/officeDocument/2006/relationships/hyperlink" Target="https://mmo.mn/olympiads/answers/191/?s=292" TargetMode="External"/><Relationship Id="rId91" Type="http://schemas.openxmlformats.org/officeDocument/2006/relationships/hyperlink" Target="https://mmo.mn/olympiads/achievements/147593/" TargetMode="External"/><Relationship Id="rId145" Type="http://schemas.openxmlformats.org/officeDocument/2006/relationships/hyperlink" Target="https://mmo.mn/olympiads/achievements/183999/" TargetMode="External"/><Relationship Id="rId166" Type="http://schemas.openxmlformats.org/officeDocument/2006/relationships/hyperlink" Target="https://mmo.mn/olympiads/achievements/20256/" TargetMode="External"/><Relationship Id="rId187" Type="http://schemas.openxmlformats.org/officeDocument/2006/relationships/hyperlink" Target="https://mmo.mn/olympiads/achievements/193416/" TargetMode="External"/><Relationship Id="rId1" Type="http://schemas.openxmlformats.org/officeDocument/2006/relationships/hyperlink" Target="https://mmo.mn/olympiads/achievements/212038/" TargetMode="External"/><Relationship Id="rId28" Type="http://schemas.openxmlformats.org/officeDocument/2006/relationships/hyperlink" Target="https://mmo.mn/olympiads/achievements/186747/" TargetMode="External"/><Relationship Id="rId49" Type="http://schemas.openxmlformats.org/officeDocument/2006/relationships/hyperlink" Target="https://mmo.mn/olympiads/achievements/18885/" TargetMode="External"/><Relationship Id="rId114" Type="http://schemas.openxmlformats.org/officeDocument/2006/relationships/hyperlink" Target="https://mmo.mn/olympiads/achievements/183214/" TargetMode="External"/><Relationship Id="rId60" Type="http://schemas.openxmlformats.org/officeDocument/2006/relationships/hyperlink" Target="https://mmo.mn/olympiads/answers/191/?s=292" TargetMode="External"/><Relationship Id="rId81" Type="http://schemas.openxmlformats.org/officeDocument/2006/relationships/hyperlink" Target="https://mmo.mn/olympiads/answers/191/?s=292" TargetMode="External"/><Relationship Id="rId135" Type="http://schemas.openxmlformats.org/officeDocument/2006/relationships/hyperlink" Target="https://mmo.mn/olympiads/answers/191/?s=291" TargetMode="External"/><Relationship Id="rId156" Type="http://schemas.openxmlformats.org/officeDocument/2006/relationships/hyperlink" Target="https://mmo.mn/olympiads/achievements/221891/" TargetMode="External"/><Relationship Id="rId177" Type="http://schemas.openxmlformats.org/officeDocument/2006/relationships/hyperlink" Target="https://mmo.mn/olympiads/answers/191/?s=299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mmo.mn/olympiads/achievements/127911/" TargetMode="External"/><Relationship Id="rId21" Type="http://schemas.openxmlformats.org/officeDocument/2006/relationships/hyperlink" Target="https://mmo.mn/olympiads/answers/192/?s=299" TargetMode="External"/><Relationship Id="rId42" Type="http://schemas.openxmlformats.org/officeDocument/2006/relationships/hyperlink" Target="https://mmo.mn/olympiads/answers/192/?s=292" TargetMode="External"/><Relationship Id="rId63" Type="http://schemas.openxmlformats.org/officeDocument/2006/relationships/hyperlink" Target="https://mmo.mn/olympiads/answers/192/?s=289" TargetMode="External"/><Relationship Id="rId84" Type="http://schemas.openxmlformats.org/officeDocument/2006/relationships/hyperlink" Target="https://mmo.mn/olympiads/answers/192/?s=292" TargetMode="External"/><Relationship Id="rId138" Type="http://schemas.openxmlformats.org/officeDocument/2006/relationships/hyperlink" Target="https://mmo.mn/olympiads/achievements/85729/" TargetMode="External"/><Relationship Id="rId159" Type="http://schemas.openxmlformats.org/officeDocument/2006/relationships/hyperlink" Target="https://mmo.mn/olympiads/achievements/133026/" TargetMode="External"/><Relationship Id="rId170" Type="http://schemas.openxmlformats.org/officeDocument/2006/relationships/hyperlink" Target="https://mmo.mn/olympiads/achievements/136161/" TargetMode="External"/><Relationship Id="rId107" Type="http://schemas.openxmlformats.org/officeDocument/2006/relationships/hyperlink" Target="https://mmo.mn/olympiads/achievements/29870/" TargetMode="External"/><Relationship Id="rId11" Type="http://schemas.openxmlformats.org/officeDocument/2006/relationships/hyperlink" Target="https://mmo.mn/olympiads/answers/192/?s=292" TargetMode="External"/><Relationship Id="rId32" Type="http://schemas.openxmlformats.org/officeDocument/2006/relationships/hyperlink" Target="https://mmo.mn/olympiads/answers/192/?s=289" TargetMode="External"/><Relationship Id="rId53" Type="http://schemas.openxmlformats.org/officeDocument/2006/relationships/hyperlink" Target="https://mmo.mn/olympiads/answers/192/?s=292" TargetMode="External"/><Relationship Id="rId74" Type="http://schemas.openxmlformats.org/officeDocument/2006/relationships/hyperlink" Target="https://mmo.mn/olympiads/answers/192/?s=299" TargetMode="External"/><Relationship Id="rId128" Type="http://schemas.openxmlformats.org/officeDocument/2006/relationships/hyperlink" Target="https://mmo.mn/olympiads/achievements/12937/" TargetMode="External"/><Relationship Id="rId149" Type="http://schemas.openxmlformats.org/officeDocument/2006/relationships/hyperlink" Target="https://mmo.mn/olympiads/achievements/136714/" TargetMode="External"/><Relationship Id="rId5" Type="http://schemas.openxmlformats.org/officeDocument/2006/relationships/hyperlink" Target="https://mmo.mn/olympiads/answers/192/?s=286" TargetMode="External"/><Relationship Id="rId95" Type="http://schemas.openxmlformats.org/officeDocument/2006/relationships/hyperlink" Target="https://mmo.mn/olympiads/achievements/86290/" TargetMode="External"/><Relationship Id="rId160" Type="http://schemas.openxmlformats.org/officeDocument/2006/relationships/hyperlink" Target="https://mmo.mn/olympiads/achievements/127618/" TargetMode="External"/><Relationship Id="rId22" Type="http://schemas.openxmlformats.org/officeDocument/2006/relationships/hyperlink" Target="https://mmo.mn/olympiads/answers/192/?s=286" TargetMode="External"/><Relationship Id="rId43" Type="http://schemas.openxmlformats.org/officeDocument/2006/relationships/hyperlink" Target="https://mmo.mn/olympiads/answers/192/?s=280" TargetMode="External"/><Relationship Id="rId64" Type="http://schemas.openxmlformats.org/officeDocument/2006/relationships/hyperlink" Target="https://mmo.mn/olympiads/answers/192/?s=276" TargetMode="External"/><Relationship Id="rId118" Type="http://schemas.openxmlformats.org/officeDocument/2006/relationships/hyperlink" Target="https://mmo.mn/olympiads/achievements/136678/" TargetMode="External"/><Relationship Id="rId139" Type="http://schemas.openxmlformats.org/officeDocument/2006/relationships/hyperlink" Target="https://mmo.mn/olympiads/achievements/141786/" TargetMode="External"/><Relationship Id="rId85" Type="http://schemas.openxmlformats.org/officeDocument/2006/relationships/hyperlink" Target="https://mmo.mn/olympiads/answers/192/?s=292" TargetMode="External"/><Relationship Id="rId150" Type="http://schemas.openxmlformats.org/officeDocument/2006/relationships/hyperlink" Target="https://mmo.mn/olympiads/achievements/202343/" TargetMode="External"/><Relationship Id="rId171" Type="http://schemas.openxmlformats.org/officeDocument/2006/relationships/hyperlink" Target="https://mmo.mn/olympiads/achievements/133068/" TargetMode="External"/><Relationship Id="rId12" Type="http://schemas.openxmlformats.org/officeDocument/2006/relationships/hyperlink" Target="https://mmo.mn/olympiads/answers/192/?s=292" TargetMode="External"/><Relationship Id="rId33" Type="http://schemas.openxmlformats.org/officeDocument/2006/relationships/hyperlink" Target="https://mmo.mn/olympiads/answers/192/?s=276" TargetMode="External"/><Relationship Id="rId108" Type="http://schemas.openxmlformats.org/officeDocument/2006/relationships/hyperlink" Target="https://mmo.mn/olympiads/achievements/86572/" TargetMode="External"/><Relationship Id="rId129" Type="http://schemas.openxmlformats.org/officeDocument/2006/relationships/hyperlink" Target="https://mmo.mn/olympiads/achievements/210663/" TargetMode="External"/><Relationship Id="rId54" Type="http://schemas.openxmlformats.org/officeDocument/2006/relationships/hyperlink" Target="https://mmo.mn/olympiads/answers/192/?s=292" TargetMode="External"/><Relationship Id="rId75" Type="http://schemas.openxmlformats.org/officeDocument/2006/relationships/hyperlink" Target="https://mmo.mn/olympiads/answers/192/?s=280" TargetMode="External"/><Relationship Id="rId96" Type="http://schemas.openxmlformats.org/officeDocument/2006/relationships/hyperlink" Target="https://mmo.mn/olympiads/achievements/87975/" TargetMode="External"/><Relationship Id="rId140" Type="http://schemas.openxmlformats.org/officeDocument/2006/relationships/hyperlink" Target="https://mmo.mn/olympiads/achievements/28631/" TargetMode="External"/><Relationship Id="rId161" Type="http://schemas.openxmlformats.org/officeDocument/2006/relationships/hyperlink" Target="https://mmo.mn/olympiads/achievements/68917/" TargetMode="External"/><Relationship Id="rId1" Type="http://schemas.openxmlformats.org/officeDocument/2006/relationships/hyperlink" Target="https://mmo.mn/olympiads/answers/192/?s=301" TargetMode="External"/><Relationship Id="rId6" Type="http://schemas.openxmlformats.org/officeDocument/2006/relationships/hyperlink" Target="https://mmo.mn/olympiads/answers/192/?s=292" TargetMode="External"/><Relationship Id="rId23" Type="http://schemas.openxmlformats.org/officeDocument/2006/relationships/hyperlink" Target="https://mmo.mn/olympiads/answers/192/?s=284" TargetMode="External"/><Relationship Id="rId28" Type="http://schemas.openxmlformats.org/officeDocument/2006/relationships/hyperlink" Target="https://mmo.mn/olympiads/answers/192/?s=293" TargetMode="External"/><Relationship Id="rId49" Type="http://schemas.openxmlformats.org/officeDocument/2006/relationships/hyperlink" Target="https://mmo.mn/olympiads/answers/192/?s=290" TargetMode="External"/><Relationship Id="rId114" Type="http://schemas.openxmlformats.org/officeDocument/2006/relationships/hyperlink" Target="https://www.mmo.mn/olympiads/achievements/129358/" TargetMode="External"/><Relationship Id="rId119" Type="http://schemas.openxmlformats.org/officeDocument/2006/relationships/hyperlink" Target="https://mmo.mn/olympiads/achievements/129471/" TargetMode="External"/><Relationship Id="rId44" Type="http://schemas.openxmlformats.org/officeDocument/2006/relationships/hyperlink" Target="https://mmo.mn/olympiads/answers/192/?s=276" TargetMode="External"/><Relationship Id="rId60" Type="http://schemas.openxmlformats.org/officeDocument/2006/relationships/hyperlink" Target="https://mmo.mn/olympiads/answers/192/?s=292" TargetMode="External"/><Relationship Id="rId65" Type="http://schemas.openxmlformats.org/officeDocument/2006/relationships/hyperlink" Target="https://mmo.mn/olympiads/answers/192/?s=292" TargetMode="External"/><Relationship Id="rId81" Type="http://schemas.openxmlformats.org/officeDocument/2006/relationships/hyperlink" Target="https://mmo.mn/olympiads/answers/192/?s=296" TargetMode="External"/><Relationship Id="rId86" Type="http://schemas.openxmlformats.org/officeDocument/2006/relationships/hyperlink" Target="https://mmo.mn/olympiads/answers/192/?s=291" TargetMode="External"/><Relationship Id="rId130" Type="http://schemas.openxmlformats.org/officeDocument/2006/relationships/hyperlink" Target="https://mmo.mn/olympiads/achievements/202280/" TargetMode="External"/><Relationship Id="rId135" Type="http://schemas.openxmlformats.org/officeDocument/2006/relationships/hyperlink" Target="https://mmo.mn/olympiads/achievements/215643/" TargetMode="External"/><Relationship Id="rId151" Type="http://schemas.openxmlformats.org/officeDocument/2006/relationships/hyperlink" Target="https://mmo.mn/olympiads/achievements/113490/" TargetMode="External"/><Relationship Id="rId156" Type="http://schemas.openxmlformats.org/officeDocument/2006/relationships/hyperlink" Target="https://mmo.mn/olympiads/achievements/86842/" TargetMode="External"/><Relationship Id="rId172" Type="http://schemas.openxmlformats.org/officeDocument/2006/relationships/hyperlink" Target="https://mmo.mn/olympiads/achievements/132707/" TargetMode="External"/><Relationship Id="rId13" Type="http://schemas.openxmlformats.org/officeDocument/2006/relationships/hyperlink" Target="https://mmo.mn/olympiads/answers/192/?s=292" TargetMode="External"/><Relationship Id="rId18" Type="http://schemas.openxmlformats.org/officeDocument/2006/relationships/hyperlink" Target="https://mmo.mn/olympiads/answers/192/?s=296" TargetMode="External"/><Relationship Id="rId39" Type="http://schemas.openxmlformats.org/officeDocument/2006/relationships/hyperlink" Target="https://mmo.mn/olympiads/answers/192/?s=301" TargetMode="External"/><Relationship Id="rId109" Type="http://schemas.openxmlformats.org/officeDocument/2006/relationships/hyperlink" Target="https://mmo.mn/olympiads/achievements/141382/" TargetMode="External"/><Relationship Id="rId34" Type="http://schemas.openxmlformats.org/officeDocument/2006/relationships/hyperlink" Target="https://mmo.mn/olympiads/answers/192/?s=292" TargetMode="External"/><Relationship Id="rId50" Type="http://schemas.openxmlformats.org/officeDocument/2006/relationships/hyperlink" Target="https://mmo.mn/olympiads/answers/192/?s=301" TargetMode="External"/><Relationship Id="rId55" Type="http://schemas.openxmlformats.org/officeDocument/2006/relationships/hyperlink" Target="https://mmo.mn/olympiads/answers/192/?s=296" TargetMode="External"/><Relationship Id="rId76" Type="http://schemas.openxmlformats.org/officeDocument/2006/relationships/hyperlink" Target="https://mmo.mn/olympiads/answers/192/?s=289" TargetMode="External"/><Relationship Id="rId97" Type="http://schemas.openxmlformats.org/officeDocument/2006/relationships/hyperlink" Target="https://mmo.mn/olympiads/achievements/55667/" TargetMode="External"/><Relationship Id="rId104" Type="http://schemas.openxmlformats.org/officeDocument/2006/relationships/hyperlink" Target="https://mmo.mn/olympiads/achievements/202298/" TargetMode="External"/><Relationship Id="rId120" Type="http://schemas.openxmlformats.org/officeDocument/2006/relationships/hyperlink" Target="https://mmo.mn/olympiads/achievements/163250/" TargetMode="External"/><Relationship Id="rId125" Type="http://schemas.openxmlformats.org/officeDocument/2006/relationships/hyperlink" Target="https://mmo.mn/olympiads/achievements/72604/" TargetMode="External"/><Relationship Id="rId141" Type="http://schemas.openxmlformats.org/officeDocument/2006/relationships/hyperlink" Target="https://mmo.mn/olympiads/achievements/210852/" TargetMode="External"/><Relationship Id="rId146" Type="http://schemas.openxmlformats.org/officeDocument/2006/relationships/hyperlink" Target="https://mmo.mn/olympiads/achievements/25927/" TargetMode="External"/><Relationship Id="rId167" Type="http://schemas.openxmlformats.org/officeDocument/2006/relationships/hyperlink" Target="https://mmo.mn/olympiads/achievements/85493/" TargetMode="External"/><Relationship Id="rId7" Type="http://schemas.openxmlformats.org/officeDocument/2006/relationships/hyperlink" Target="https://mmo.mn/olympiads/answers/192/?s=292" TargetMode="External"/><Relationship Id="rId71" Type="http://schemas.openxmlformats.org/officeDocument/2006/relationships/hyperlink" Target="https://mmo.mn/olympiads/answers/192/?s=292" TargetMode="External"/><Relationship Id="rId92" Type="http://schemas.openxmlformats.org/officeDocument/2006/relationships/hyperlink" Target="https://mmo.mn/olympiads/achievements/141470/" TargetMode="External"/><Relationship Id="rId162" Type="http://schemas.openxmlformats.org/officeDocument/2006/relationships/hyperlink" Target="https://mmo.mn/olympiads/achievements/221261/" TargetMode="External"/><Relationship Id="rId2" Type="http://schemas.openxmlformats.org/officeDocument/2006/relationships/hyperlink" Target="https://mmo.mn/olympiads/answers/192/?s=292" TargetMode="External"/><Relationship Id="rId29" Type="http://schemas.openxmlformats.org/officeDocument/2006/relationships/hyperlink" Target="https://mmo.mn/olympiads/answers/192/?s=292" TargetMode="External"/><Relationship Id="rId24" Type="http://schemas.openxmlformats.org/officeDocument/2006/relationships/hyperlink" Target="https://mmo.mn/olympiads/answers/192/?s=292" TargetMode="External"/><Relationship Id="rId40" Type="http://schemas.openxmlformats.org/officeDocument/2006/relationships/hyperlink" Target="https://mmo.mn/olympiads/answers/192/?s=290" TargetMode="External"/><Relationship Id="rId45" Type="http://schemas.openxmlformats.org/officeDocument/2006/relationships/hyperlink" Target="https://mmo.mn/olympiads/answers/192/?s=292" TargetMode="External"/><Relationship Id="rId66" Type="http://schemas.openxmlformats.org/officeDocument/2006/relationships/hyperlink" Target="https://mmo.mn/olympiads/answers/192/?s=299" TargetMode="External"/><Relationship Id="rId87" Type="http://schemas.openxmlformats.org/officeDocument/2006/relationships/hyperlink" Target="https://mmo.mn/olympiads/answers/192/?s=277" TargetMode="External"/><Relationship Id="rId110" Type="http://schemas.openxmlformats.org/officeDocument/2006/relationships/hyperlink" Target="https://mmo.mn/olympiads/achievements/224685/" TargetMode="External"/><Relationship Id="rId115" Type="http://schemas.openxmlformats.org/officeDocument/2006/relationships/hyperlink" Target="https://mmo.mn/olympiads/achievements/112320/" TargetMode="External"/><Relationship Id="rId131" Type="http://schemas.openxmlformats.org/officeDocument/2006/relationships/hyperlink" Target="https://mmo.mn/olympiads/achievements/36798/" TargetMode="External"/><Relationship Id="rId136" Type="http://schemas.openxmlformats.org/officeDocument/2006/relationships/hyperlink" Target="https://mmo.mn/olympiads/achievements/107099/" TargetMode="External"/><Relationship Id="rId157" Type="http://schemas.openxmlformats.org/officeDocument/2006/relationships/hyperlink" Target="https://mmo.mn/olympiads/achievements/36295/" TargetMode="External"/><Relationship Id="rId61" Type="http://schemas.openxmlformats.org/officeDocument/2006/relationships/hyperlink" Target="https://mmo.mn/olympiads/answers/192/?s=280" TargetMode="External"/><Relationship Id="rId82" Type="http://schemas.openxmlformats.org/officeDocument/2006/relationships/hyperlink" Target="https://mmo.mn/olympiads/answers/192/?s=290" TargetMode="External"/><Relationship Id="rId152" Type="http://schemas.openxmlformats.org/officeDocument/2006/relationships/hyperlink" Target="https://mmo.mn/olympiads/achievements/87992/" TargetMode="External"/><Relationship Id="rId173" Type="http://schemas.openxmlformats.org/officeDocument/2006/relationships/hyperlink" Target="https://mmo.mn/olympiads/achievements/219337/" TargetMode="External"/><Relationship Id="rId19" Type="http://schemas.openxmlformats.org/officeDocument/2006/relationships/hyperlink" Target="https://mmo.mn/olympiads/answers/192/?s=276" TargetMode="External"/><Relationship Id="rId14" Type="http://schemas.openxmlformats.org/officeDocument/2006/relationships/hyperlink" Target="https://mmo.mn/olympiads/answers/192/?s=293" TargetMode="External"/><Relationship Id="rId30" Type="http://schemas.openxmlformats.org/officeDocument/2006/relationships/hyperlink" Target="https://mmo.mn/olympiads/answers/192/?s=289" TargetMode="External"/><Relationship Id="rId35" Type="http://schemas.openxmlformats.org/officeDocument/2006/relationships/hyperlink" Target="https://mmo.mn/olympiads/answers/192/?s=281" TargetMode="External"/><Relationship Id="rId56" Type="http://schemas.openxmlformats.org/officeDocument/2006/relationships/hyperlink" Target="https://mmo.mn/olympiads/answers/192/?s=276" TargetMode="External"/><Relationship Id="rId77" Type="http://schemas.openxmlformats.org/officeDocument/2006/relationships/hyperlink" Target="https://mmo.mn/olympiads/answers/192/?s=277" TargetMode="External"/><Relationship Id="rId100" Type="http://schemas.openxmlformats.org/officeDocument/2006/relationships/hyperlink" Target="https://mmo.mn/olympiads/achievements/138580/" TargetMode="External"/><Relationship Id="rId105" Type="http://schemas.openxmlformats.org/officeDocument/2006/relationships/hyperlink" Target="https://mmo.mn/olympiads/achievements/85480/" TargetMode="External"/><Relationship Id="rId126" Type="http://schemas.openxmlformats.org/officeDocument/2006/relationships/hyperlink" Target="https://mmo.mn/olympiads/achievements/215654/" TargetMode="External"/><Relationship Id="rId147" Type="http://schemas.openxmlformats.org/officeDocument/2006/relationships/hyperlink" Target="https://mmo.mn/olympiads/achievements/85713/" TargetMode="External"/><Relationship Id="rId168" Type="http://schemas.openxmlformats.org/officeDocument/2006/relationships/hyperlink" Target="https://mmo.mn/olympiads/achievements/215666/" TargetMode="External"/><Relationship Id="rId8" Type="http://schemas.openxmlformats.org/officeDocument/2006/relationships/hyperlink" Target="https://mmo.mn/olympiads/answers/192/?s=292" TargetMode="External"/><Relationship Id="rId51" Type="http://schemas.openxmlformats.org/officeDocument/2006/relationships/hyperlink" Target="https://mmo.mn/olympiads/answers/192/?s=284" TargetMode="External"/><Relationship Id="rId72" Type="http://schemas.openxmlformats.org/officeDocument/2006/relationships/hyperlink" Target="https://mmo.mn/olympiads/answers/192/?s=280" TargetMode="External"/><Relationship Id="rId93" Type="http://schemas.openxmlformats.org/officeDocument/2006/relationships/hyperlink" Target="https://mmo.mn/olympiads/achievements/113690/" TargetMode="External"/><Relationship Id="rId98" Type="http://schemas.openxmlformats.org/officeDocument/2006/relationships/hyperlink" Target="https://mmo.mn/olympiads/achievements/137631/" TargetMode="External"/><Relationship Id="rId121" Type="http://schemas.openxmlformats.org/officeDocument/2006/relationships/hyperlink" Target="https://mmo.mn/olympiads/achievements/220722/" TargetMode="External"/><Relationship Id="rId142" Type="http://schemas.openxmlformats.org/officeDocument/2006/relationships/hyperlink" Target="https://mmo.mn/olympiads/achievements/136753/" TargetMode="External"/><Relationship Id="rId163" Type="http://schemas.openxmlformats.org/officeDocument/2006/relationships/hyperlink" Target="https://mmo.mn/olympiads/achievements/163661/" TargetMode="External"/><Relationship Id="rId3" Type="http://schemas.openxmlformats.org/officeDocument/2006/relationships/hyperlink" Target="https://mmo.mn/olympiads/answers/192/?s=292" TargetMode="External"/><Relationship Id="rId25" Type="http://schemas.openxmlformats.org/officeDocument/2006/relationships/hyperlink" Target="https://mmo.mn/olympiads/answers/192/?s=292" TargetMode="External"/><Relationship Id="rId46" Type="http://schemas.openxmlformats.org/officeDocument/2006/relationships/hyperlink" Target="https://mmo.mn/olympiads/answers/192/?s=299" TargetMode="External"/><Relationship Id="rId67" Type="http://schemas.openxmlformats.org/officeDocument/2006/relationships/hyperlink" Target="https://mmo.mn/olympiads/answers/192/?s=276" TargetMode="External"/><Relationship Id="rId116" Type="http://schemas.openxmlformats.org/officeDocument/2006/relationships/hyperlink" Target="https://www.mmo.mn/olympiads/achievements/113693/" TargetMode="External"/><Relationship Id="rId137" Type="http://schemas.openxmlformats.org/officeDocument/2006/relationships/hyperlink" Target="https://mmo.mn/olympiads/achievements/224676/" TargetMode="External"/><Relationship Id="rId158" Type="http://schemas.openxmlformats.org/officeDocument/2006/relationships/hyperlink" Target="https://mmo.mn/olympiads/achievements/210696/" TargetMode="External"/><Relationship Id="rId20" Type="http://schemas.openxmlformats.org/officeDocument/2006/relationships/hyperlink" Target="https://mmo.mn/olympiads/answers/192/?s=290" TargetMode="External"/><Relationship Id="rId41" Type="http://schemas.openxmlformats.org/officeDocument/2006/relationships/hyperlink" Target="https://mmo.mn/olympiads/answers/192/?s=276" TargetMode="External"/><Relationship Id="rId62" Type="http://schemas.openxmlformats.org/officeDocument/2006/relationships/hyperlink" Target="https://mmo.mn/olympiads/answers/192/?s=292" TargetMode="External"/><Relationship Id="rId83" Type="http://schemas.openxmlformats.org/officeDocument/2006/relationships/hyperlink" Target="https://mmo.mn/olympiads/answers/192/?s=277" TargetMode="External"/><Relationship Id="rId88" Type="http://schemas.openxmlformats.org/officeDocument/2006/relationships/hyperlink" Target="https://mmo.mn/olympiads/achievements/215317/" TargetMode="External"/><Relationship Id="rId111" Type="http://schemas.openxmlformats.org/officeDocument/2006/relationships/hyperlink" Target="https://mmo.mn/olympiads/achievements/133005/" TargetMode="External"/><Relationship Id="rId132" Type="http://schemas.openxmlformats.org/officeDocument/2006/relationships/hyperlink" Target="https://mmo.mn/olympiads/achievements/86682/" TargetMode="External"/><Relationship Id="rId153" Type="http://schemas.openxmlformats.org/officeDocument/2006/relationships/hyperlink" Target="https://mmo.mn/olympiads/achievements/209358/" TargetMode="External"/><Relationship Id="rId174" Type="http://schemas.openxmlformats.org/officeDocument/2006/relationships/printerSettings" Target="../printerSettings/printerSettings2.bin"/><Relationship Id="rId15" Type="http://schemas.openxmlformats.org/officeDocument/2006/relationships/hyperlink" Target="https://mmo.mn/olympiads/answers/192/?s=280" TargetMode="External"/><Relationship Id="rId36" Type="http://schemas.openxmlformats.org/officeDocument/2006/relationships/hyperlink" Target="https://mmo.mn/olympiads/answers/192/?s=289" TargetMode="External"/><Relationship Id="rId57" Type="http://schemas.openxmlformats.org/officeDocument/2006/relationships/hyperlink" Target="https://mmo.mn/olympiads/answers/192/?s=300" TargetMode="External"/><Relationship Id="rId106" Type="http://schemas.openxmlformats.org/officeDocument/2006/relationships/hyperlink" Target="https://mmo.mn/olympiads/achievements/202308/" TargetMode="External"/><Relationship Id="rId127" Type="http://schemas.openxmlformats.org/officeDocument/2006/relationships/hyperlink" Target="https://mmo.mn/olympiads/achievements/203746/" TargetMode="External"/><Relationship Id="rId10" Type="http://schemas.openxmlformats.org/officeDocument/2006/relationships/hyperlink" Target="https://mmo.mn/olympiads/answers/192/?s=292" TargetMode="External"/><Relationship Id="rId31" Type="http://schemas.openxmlformats.org/officeDocument/2006/relationships/hyperlink" Target="https://mmo.mn/olympiads/answers/192/?s=292" TargetMode="External"/><Relationship Id="rId52" Type="http://schemas.openxmlformats.org/officeDocument/2006/relationships/hyperlink" Target="https://mmo.mn/olympiads/answers/192/?s=280" TargetMode="External"/><Relationship Id="rId73" Type="http://schemas.openxmlformats.org/officeDocument/2006/relationships/hyperlink" Target="https://mmo.mn/olympiads/answers/192/?s=292" TargetMode="External"/><Relationship Id="rId78" Type="http://schemas.openxmlformats.org/officeDocument/2006/relationships/hyperlink" Target="https://mmo.mn/olympiads/answers/192/?s=290" TargetMode="External"/><Relationship Id="rId94" Type="http://schemas.openxmlformats.org/officeDocument/2006/relationships/hyperlink" Target="https://mmo.mn/olympiads/achievements/213697/" TargetMode="External"/><Relationship Id="rId99" Type="http://schemas.openxmlformats.org/officeDocument/2006/relationships/hyperlink" Target="https://mmo.mn/olympiads/achievements/12470/" TargetMode="External"/><Relationship Id="rId101" Type="http://schemas.openxmlformats.org/officeDocument/2006/relationships/hyperlink" Target="https://mmo.mn/olympiads/achievements/198330/" TargetMode="External"/><Relationship Id="rId122" Type="http://schemas.openxmlformats.org/officeDocument/2006/relationships/hyperlink" Target="https://mmo.mn/olympiads/achievements/221255/" TargetMode="External"/><Relationship Id="rId143" Type="http://schemas.openxmlformats.org/officeDocument/2006/relationships/hyperlink" Target="https://mmo.mn/olympiads/achievements/191443/" TargetMode="External"/><Relationship Id="rId148" Type="http://schemas.openxmlformats.org/officeDocument/2006/relationships/hyperlink" Target="https://mmo.mn/olympiads/achievements/213702/" TargetMode="External"/><Relationship Id="rId164" Type="http://schemas.openxmlformats.org/officeDocument/2006/relationships/hyperlink" Target="https://mmo.mn/olympiads/achievements/218442/" TargetMode="External"/><Relationship Id="rId169" Type="http://schemas.openxmlformats.org/officeDocument/2006/relationships/hyperlink" Target="https://mmo.mn/olympiads/achievements/170109/" TargetMode="External"/><Relationship Id="rId4" Type="http://schemas.openxmlformats.org/officeDocument/2006/relationships/hyperlink" Target="https://mmo.mn/olympiads/answers/192/?s=292" TargetMode="External"/><Relationship Id="rId9" Type="http://schemas.openxmlformats.org/officeDocument/2006/relationships/hyperlink" Target="https://mmo.mn/olympiads/answers/192/?s=299" TargetMode="External"/><Relationship Id="rId26" Type="http://schemas.openxmlformats.org/officeDocument/2006/relationships/hyperlink" Target="https://mmo.mn/olympiads/answers/192/?s=293" TargetMode="External"/><Relationship Id="rId47" Type="http://schemas.openxmlformats.org/officeDocument/2006/relationships/hyperlink" Target="https://mmo.mn/olympiads/answers/192/?s=296" TargetMode="External"/><Relationship Id="rId68" Type="http://schemas.openxmlformats.org/officeDocument/2006/relationships/hyperlink" Target="https://mmo.mn/olympiads/answers/192/?s=299" TargetMode="External"/><Relationship Id="rId89" Type="http://schemas.openxmlformats.org/officeDocument/2006/relationships/hyperlink" Target="https://mmo.mn/olympiads/achievements/129844/" TargetMode="External"/><Relationship Id="rId112" Type="http://schemas.openxmlformats.org/officeDocument/2006/relationships/hyperlink" Target="https://mmo.mn/olympiads/achievements/132931/" TargetMode="External"/><Relationship Id="rId133" Type="http://schemas.openxmlformats.org/officeDocument/2006/relationships/hyperlink" Target="https://mmo.mn/olympiads/achievements/166834/" TargetMode="External"/><Relationship Id="rId154" Type="http://schemas.openxmlformats.org/officeDocument/2006/relationships/hyperlink" Target="https://mmo.mn/olympiads/achievements/86860/" TargetMode="External"/><Relationship Id="rId16" Type="http://schemas.openxmlformats.org/officeDocument/2006/relationships/hyperlink" Target="https://mmo.mn/olympiads/answers/192/?s=291" TargetMode="External"/><Relationship Id="rId37" Type="http://schemas.openxmlformats.org/officeDocument/2006/relationships/hyperlink" Target="https://mmo.mn/olympiads/answers/192/?s=284" TargetMode="External"/><Relationship Id="rId58" Type="http://schemas.openxmlformats.org/officeDocument/2006/relationships/hyperlink" Target="https://mmo.mn/olympiads/answers/192/?s=289" TargetMode="External"/><Relationship Id="rId79" Type="http://schemas.openxmlformats.org/officeDocument/2006/relationships/hyperlink" Target="https://mmo.mn/olympiads/answers/192/?s=292" TargetMode="External"/><Relationship Id="rId102" Type="http://schemas.openxmlformats.org/officeDocument/2006/relationships/hyperlink" Target="https://mmo.mn/olympiads/achievements/85720/" TargetMode="External"/><Relationship Id="rId123" Type="http://schemas.openxmlformats.org/officeDocument/2006/relationships/hyperlink" Target="https://mmo.mn/olympiads/achievements/224248/" TargetMode="External"/><Relationship Id="rId144" Type="http://schemas.openxmlformats.org/officeDocument/2006/relationships/hyperlink" Target="https://mmo.mn/olympiads/achievements/202385/" TargetMode="External"/><Relationship Id="rId90" Type="http://schemas.openxmlformats.org/officeDocument/2006/relationships/hyperlink" Target="https://mmo.mn/olympiads/achievements/142213/" TargetMode="External"/><Relationship Id="rId165" Type="http://schemas.openxmlformats.org/officeDocument/2006/relationships/hyperlink" Target="https://mmo.mn/olympiads/achievements/158007/" TargetMode="External"/><Relationship Id="rId27" Type="http://schemas.openxmlformats.org/officeDocument/2006/relationships/hyperlink" Target="https://mmo.mn/olympiads/answers/192/?s=292" TargetMode="External"/><Relationship Id="rId48" Type="http://schemas.openxmlformats.org/officeDocument/2006/relationships/hyperlink" Target="https://mmo.mn/olympiads/answers/192/?s=276" TargetMode="External"/><Relationship Id="rId69" Type="http://schemas.openxmlformats.org/officeDocument/2006/relationships/hyperlink" Target="https://mmo.mn/olympiads/answers/192/?s=276" TargetMode="External"/><Relationship Id="rId113" Type="http://schemas.openxmlformats.org/officeDocument/2006/relationships/hyperlink" Target="https://mmo.mn/olympiads/achievements/127893/" TargetMode="External"/><Relationship Id="rId134" Type="http://schemas.openxmlformats.org/officeDocument/2006/relationships/hyperlink" Target="https://mmo.mn/olympiads/achievements/202257/" TargetMode="External"/><Relationship Id="rId80" Type="http://schemas.openxmlformats.org/officeDocument/2006/relationships/hyperlink" Target="https://mmo.mn/olympiads/answers/192/?s=296" TargetMode="External"/><Relationship Id="rId155" Type="http://schemas.openxmlformats.org/officeDocument/2006/relationships/hyperlink" Target="https://mmo.mn/olympiads/achievements/202270/" TargetMode="External"/><Relationship Id="rId17" Type="http://schemas.openxmlformats.org/officeDocument/2006/relationships/hyperlink" Target="https://mmo.mn/olympiads/answers/192/?s=276" TargetMode="External"/><Relationship Id="rId38" Type="http://schemas.openxmlformats.org/officeDocument/2006/relationships/hyperlink" Target="https://mmo.mn/olympiads/answers/192/?s=276" TargetMode="External"/><Relationship Id="rId59" Type="http://schemas.openxmlformats.org/officeDocument/2006/relationships/hyperlink" Target="https://mmo.mn/olympiads/answers/192/?s=280" TargetMode="External"/><Relationship Id="rId103" Type="http://schemas.openxmlformats.org/officeDocument/2006/relationships/hyperlink" Target="https://mmo.mn/olympiads/achievements/134913/" TargetMode="External"/><Relationship Id="rId124" Type="http://schemas.openxmlformats.org/officeDocument/2006/relationships/hyperlink" Target="https://mmo.mn/olympiads/achievements/209337/" TargetMode="External"/><Relationship Id="rId70" Type="http://schemas.openxmlformats.org/officeDocument/2006/relationships/hyperlink" Target="https://mmo.mn/olympiads/answers/192/?s=299" TargetMode="External"/><Relationship Id="rId91" Type="http://schemas.openxmlformats.org/officeDocument/2006/relationships/hyperlink" Target="https://mmo.mn/olympiads/achievements/42128/" TargetMode="External"/><Relationship Id="rId145" Type="http://schemas.openxmlformats.org/officeDocument/2006/relationships/hyperlink" Target="https://mmo.mn/olympiads/achievements/66518/" TargetMode="External"/><Relationship Id="rId166" Type="http://schemas.openxmlformats.org/officeDocument/2006/relationships/hyperlink" Target="https://mmo.mn/olympiads/achievements/85481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mmo.mn/olympiads/answers/193/?s=277" TargetMode="External"/><Relationship Id="rId21" Type="http://schemas.openxmlformats.org/officeDocument/2006/relationships/hyperlink" Target="https://mmo.mn/olympiads/answers/193/?s=292" TargetMode="External"/><Relationship Id="rId42" Type="http://schemas.openxmlformats.org/officeDocument/2006/relationships/hyperlink" Target="https://mmo.mn/olympiads/answers/193/?s=284" TargetMode="External"/><Relationship Id="rId47" Type="http://schemas.openxmlformats.org/officeDocument/2006/relationships/hyperlink" Target="https://mmo.mn/olympiads/answers/193/?s=293" TargetMode="External"/><Relationship Id="rId63" Type="http://schemas.openxmlformats.org/officeDocument/2006/relationships/hyperlink" Target="https://mmo.mn/olympiads/achievements/193866/" TargetMode="External"/><Relationship Id="rId68" Type="http://schemas.openxmlformats.org/officeDocument/2006/relationships/hyperlink" Target="https://mmo.mn/olympiads/achievements/219242/" TargetMode="External"/><Relationship Id="rId84" Type="http://schemas.openxmlformats.org/officeDocument/2006/relationships/hyperlink" Target="https://mmo.mn/olympiads/achievements/71665/" TargetMode="External"/><Relationship Id="rId16" Type="http://schemas.openxmlformats.org/officeDocument/2006/relationships/hyperlink" Target="https://mmo.mn/olympiads/answers/193/?s=291" TargetMode="External"/><Relationship Id="rId11" Type="http://schemas.openxmlformats.org/officeDocument/2006/relationships/hyperlink" Target="https://mmo.mn/olympiads/answers/193/?s=289" TargetMode="External"/><Relationship Id="rId32" Type="http://schemas.openxmlformats.org/officeDocument/2006/relationships/hyperlink" Target="https://mmo.mn/olympiads/answers/193/?s=292" TargetMode="External"/><Relationship Id="rId37" Type="http://schemas.openxmlformats.org/officeDocument/2006/relationships/hyperlink" Target="https://mmo.mn/olympiads/answers/193/?s=284" TargetMode="External"/><Relationship Id="rId53" Type="http://schemas.openxmlformats.org/officeDocument/2006/relationships/hyperlink" Target="https://mmo.mn/olympiads/answers/193/?s=292" TargetMode="External"/><Relationship Id="rId58" Type="http://schemas.openxmlformats.org/officeDocument/2006/relationships/hyperlink" Target="https://mmo.mn/olympiads/answers/193/?s=301" TargetMode="External"/><Relationship Id="rId74" Type="http://schemas.openxmlformats.org/officeDocument/2006/relationships/hyperlink" Target="https://mmo.mn/olympiads/achievements/169195/" TargetMode="External"/><Relationship Id="rId79" Type="http://schemas.openxmlformats.org/officeDocument/2006/relationships/hyperlink" Target="https://mmo.mn/olympiads/achievements/158985/" TargetMode="External"/><Relationship Id="rId5" Type="http://schemas.openxmlformats.org/officeDocument/2006/relationships/hyperlink" Target="https://mmo.mn/olympiads/answers/193/?s=288" TargetMode="External"/><Relationship Id="rId19" Type="http://schemas.openxmlformats.org/officeDocument/2006/relationships/hyperlink" Target="https://mmo.mn/olympiads/answers/193/?s=289" TargetMode="External"/><Relationship Id="rId14" Type="http://schemas.openxmlformats.org/officeDocument/2006/relationships/hyperlink" Target="https://mmo.mn/olympiads/answers/193/?s=284" TargetMode="External"/><Relationship Id="rId22" Type="http://schemas.openxmlformats.org/officeDocument/2006/relationships/hyperlink" Target="https://mmo.mn/olympiads/answers/193/?s=283" TargetMode="External"/><Relationship Id="rId27" Type="http://schemas.openxmlformats.org/officeDocument/2006/relationships/hyperlink" Target="https://mmo.mn/olympiads/answers/193/?s=293" TargetMode="External"/><Relationship Id="rId30" Type="http://schemas.openxmlformats.org/officeDocument/2006/relationships/hyperlink" Target="https://mmo.mn/olympiads/answers/193/?s=284" TargetMode="External"/><Relationship Id="rId35" Type="http://schemas.openxmlformats.org/officeDocument/2006/relationships/hyperlink" Target="https://mmo.mn/olympiads/answers/193/?s=822" TargetMode="External"/><Relationship Id="rId43" Type="http://schemas.openxmlformats.org/officeDocument/2006/relationships/hyperlink" Target="https://mmo.mn/olympiads/answers/193/?s=291" TargetMode="External"/><Relationship Id="rId48" Type="http://schemas.openxmlformats.org/officeDocument/2006/relationships/hyperlink" Target="https://mmo.mn/olympiads/answers/193/?s=293" TargetMode="External"/><Relationship Id="rId56" Type="http://schemas.openxmlformats.org/officeDocument/2006/relationships/hyperlink" Target="https://mmo.mn/olympiads/answers/193/?s=293" TargetMode="External"/><Relationship Id="rId64" Type="http://schemas.openxmlformats.org/officeDocument/2006/relationships/hyperlink" Target="https://mmo.mn/olympiads/achievements/197268/" TargetMode="External"/><Relationship Id="rId69" Type="http://schemas.openxmlformats.org/officeDocument/2006/relationships/hyperlink" Target="https://mmo.mn/olympiads/achievements/169187/" TargetMode="External"/><Relationship Id="rId77" Type="http://schemas.openxmlformats.org/officeDocument/2006/relationships/hyperlink" Target="https://mmo.mn/olympiads/achievements/197275/" TargetMode="External"/><Relationship Id="rId8" Type="http://schemas.openxmlformats.org/officeDocument/2006/relationships/hyperlink" Target="https://mmo.mn/olympiads/answers/193/?s=276" TargetMode="External"/><Relationship Id="rId51" Type="http://schemas.openxmlformats.org/officeDocument/2006/relationships/hyperlink" Target="https://mmo.mn/olympiads/answers/193/?s=301" TargetMode="External"/><Relationship Id="rId72" Type="http://schemas.openxmlformats.org/officeDocument/2006/relationships/hyperlink" Target="https://mmo.mn/olympiads/achievements/193875/" TargetMode="External"/><Relationship Id="rId80" Type="http://schemas.openxmlformats.org/officeDocument/2006/relationships/hyperlink" Target="https://mmo.mn/olympiads/achievements/72126/" TargetMode="External"/><Relationship Id="rId85" Type="http://schemas.openxmlformats.org/officeDocument/2006/relationships/hyperlink" Target="https://mmo.mn/olympiads/achievements/116199/" TargetMode="External"/><Relationship Id="rId3" Type="http://schemas.openxmlformats.org/officeDocument/2006/relationships/hyperlink" Target="https://mmo.mn/olympiads/answers/193/?s=284" TargetMode="External"/><Relationship Id="rId12" Type="http://schemas.openxmlformats.org/officeDocument/2006/relationships/hyperlink" Target="https://mmo.mn/olympiads/answers/193/?s=291" TargetMode="External"/><Relationship Id="rId17" Type="http://schemas.openxmlformats.org/officeDocument/2006/relationships/hyperlink" Target="https://mmo.mn/olympiads/answers/193/?s=292" TargetMode="External"/><Relationship Id="rId25" Type="http://schemas.openxmlformats.org/officeDocument/2006/relationships/hyperlink" Target="https://mmo.mn/olympiads/answers/193/?s=301" TargetMode="External"/><Relationship Id="rId33" Type="http://schemas.openxmlformats.org/officeDocument/2006/relationships/hyperlink" Target="https://mmo.mn/olympiads/answers/193/?s=277" TargetMode="External"/><Relationship Id="rId38" Type="http://schemas.openxmlformats.org/officeDocument/2006/relationships/hyperlink" Target="https://mmo.mn/olympiads/answers/193/?s=822" TargetMode="External"/><Relationship Id="rId46" Type="http://schemas.openxmlformats.org/officeDocument/2006/relationships/hyperlink" Target="https://mmo.mn/olympiads/answers/193/?s=292" TargetMode="External"/><Relationship Id="rId59" Type="http://schemas.openxmlformats.org/officeDocument/2006/relationships/hyperlink" Target="https://mmo.mn/olympiads/answers/193/?s=301" TargetMode="External"/><Relationship Id="rId67" Type="http://schemas.openxmlformats.org/officeDocument/2006/relationships/hyperlink" Target="https://mmo.mn/olympiads/achievements/193865/" TargetMode="External"/><Relationship Id="rId20" Type="http://schemas.openxmlformats.org/officeDocument/2006/relationships/hyperlink" Target="https://mmo.mn/olympiads/answers/193/?s=292" TargetMode="External"/><Relationship Id="rId41" Type="http://schemas.openxmlformats.org/officeDocument/2006/relationships/hyperlink" Target="https://mmo.mn/olympiads/answers/193/?s=277" TargetMode="External"/><Relationship Id="rId54" Type="http://schemas.openxmlformats.org/officeDocument/2006/relationships/hyperlink" Target="https://mmo.mn/olympiads/answers/193/?s=301" TargetMode="External"/><Relationship Id="rId62" Type="http://schemas.openxmlformats.org/officeDocument/2006/relationships/hyperlink" Target="https://mmo.mn/olympiads/achievements/169168/" TargetMode="External"/><Relationship Id="rId70" Type="http://schemas.openxmlformats.org/officeDocument/2006/relationships/hyperlink" Target="https://mmo.mn/olympiads/achievements/44307/" TargetMode="External"/><Relationship Id="rId75" Type="http://schemas.openxmlformats.org/officeDocument/2006/relationships/hyperlink" Target="https://mmo.mn/olympiads/achievements/211330/" TargetMode="External"/><Relationship Id="rId83" Type="http://schemas.openxmlformats.org/officeDocument/2006/relationships/hyperlink" Target="https://mmo.mn/olympiads/achievements/23955/" TargetMode="External"/><Relationship Id="rId1" Type="http://schemas.openxmlformats.org/officeDocument/2006/relationships/hyperlink" Target="https://mmo.mn/olympiads/answers/193/?s=276" TargetMode="External"/><Relationship Id="rId6" Type="http://schemas.openxmlformats.org/officeDocument/2006/relationships/hyperlink" Target="https://mmo.mn/olympiads/answers/193/?s=822" TargetMode="External"/><Relationship Id="rId15" Type="http://schemas.openxmlformats.org/officeDocument/2006/relationships/hyperlink" Target="https://mmo.mn/olympiads/answers/193/?s=289" TargetMode="External"/><Relationship Id="rId23" Type="http://schemas.openxmlformats.org/officeDocument/2006/relationships/hyperlink" Target="https://mmo.mn/olympiads/answers/193/?s=822" TargetMode="External"/><Relationship Id="rId28" Type="http://schemas.openxmlformats.org/officeDocument/2006/relationships/hyperlink" Target="https://mmo.mn/olympiads/answers/193/?s=292" TargetMode="External"/><Relationship Id="rId36" Type="http://schemas.openxmlformats.org/officeDocument/2006/relationships/hyperlink" Target="https://mmo.mn/olympiads/answers/193/?s=277" TargetMode="External"/><Relationship Id="rId49" Type="http://schemas.openxmlformats.org/officeDocument/2006/relationships/hyperlink" Target="https://mmo.mn/olympiads/answers/193/?s=301" TargetMode="External"/><Relationship Id="rId57" Type="http://schemas.openxmlformats.org/officeDocument/2006/relationships/hyperlink" Target="https://mmo.mn/olympiads/answers/193/?s=301" TargetMode="External"/><Relationship Id="rId10" Type="http://schemas.openxmlformats.org/officeDocument/2006/relationships/hyperlink" Target="https://mmo.mn/olympiads/answers/193/?s=284" TargetMode="External"/><Relationship Id="rId31" Type="http://schemas.openxmlformats.org/officeDocument/2006/relationships/hyperlink" Target="https://mmo.mn/olympiads/answers/193/?s=822" TargetMode="External"/><Relationship Id="rId44" Type="http://schemas.openxmlformats.org/officeDocument/2006/relationships/hyperlink" Target="https://mmo.mn/olympiads/answers/193/?s=301" TargetMode="External"/><Relationship Id="rId52" Type="http://schemas.openxmlformats.org/officeDocument/2006/relationships/hyperlink" Target="https://mmo.mn/olympiads/answers/193/?s=299" TargetMode="External"/><Relationship Id="rId60" Type="http://schemas.openxmlformats.org/officeDocument/2006/relationships/hyperlink" Target="https://mmo.mn/olympiads/achievements/136342/" TargetMode="External"/><Relationship Id="rId65" Type="http://schemas.openxmlformats.org/officeDocument/2006/relationships/hyperlink" Target="https://mmo.mn/olympiads/achievements/94418/" TargetMode="External"/><Relationship Id="rId73" Type="http://schemas.openxmlformats.org/officeDocument/2006/relationships/hyperlink" Target="https://mmo.mn/olympiads/achievements/213886/" TargetMode="External"/><Relationship Id="rId78" Type="http://schemas.openxmlformats.org/officeDocument/2006/relationships/hyperlink" Target="https://mmo.mn/olympiads/achievements/169086/" TargetMode="External"/><Relationship Id="rId81" Type="http://schemas.openxmlformats.org/officeDocument/2006/relationships/hyperlink" Target="https://mmo.mn/olympiads/achievements/20460/" TargetMode="External"/><Relationship Id="rId86" Type="http://schemas.openxmlformats.org/officeDocument/2006/relationships/printerSettings" Target="../printerSettings/printerSettings3.bin"/><Relationship Id="rId4" Type="http://schemas.openxmlformats.org/officeDocument/2006/relationships/hyperlink" Target="https://mmo.mn/olympiads/answers/193/?s=300" TargetMode="External"/><Relationship Id="rId9" Type="http://schemas.openxmlformats.org/officeDocument/2006/relationships/hyperlink" Target="https://mmo.mn/olympiads/answers/193/?s=282" TargetMode="External"/><Relationship Id="rId13" Type="http://schemas.openxmlformats.org/officeDocument/2006/relationships/hyperlink" Target="https://mmo.mn/olympiads/answers/193/?s=276" TargetMode="External"/><Relationship Id="rId18" Type="http://schemas.openxmlformats.org/officeDocument/2006/relationships/hyperlink" Target="https://mmo.mn/olympiads/answers/193/?s=283" TargetMode="External"/><Relationship Id="rId39" Type="http://schemas.openxmlformats.org/officeDocument/2006/relationships/hyperlink" Target="https://mmo.mn/olympiads/answers/193/?s=301" TargetMode="External"/><Relationship Id="rId34" Type="http://schemas.openxmlformats.org/officeDocument/2006/relationships/hyperlink" Target="https://mmo.mn/olympiads/answers/193/?s=284" TargetMode="External"/><Relationship Id="rId50" Type="http://schemas.openxmlformats.org/officeDocument/2006/relationships/hyperlink" Target="https://mmo.mn/olympiads/answers/193/?s=292" TargetMode="External"/><Relationship Id="rId55" Type="http://schemas.openxmlformats.org/officeDocument/2006/relationships/hyperlink" Target="https://mmo.mn/olympiads/answers/193/?s=299" TargetMode="External"/><Relationship Id="rId76" Type="http://schemas.openxmlformats.org/officeDocument/2006/relationships/hyperlink" Target="https://mmo.mn/olympiads/achievements/214530/" TargetMode="External"/><Relationship Id="rId7" Type="http://schemas.openxmlformats.org/officeDocument/2006/relationships/hyperlink" Target="https://mmo.mn/olympiads/answers/193/?s=292" TargetMode="External"/><Relationship Id="rId71" Type="http://schemas.openxmlformats.org/officeDocument/2006/relationships/hyperlink" Target="https://mmo.mn/olympiads/achievements/5508/" TargetMode="External"/><Relationship Id="rId2" Type="http://schemas.openxmlformats.org/officeDocument/2006/relationships/hyperlink" Target="https://mmo.mn/olympiads/answers/193/?s=277" TargetMode="External"/><Relationship Id="rId29" Type="http://schemas.openxmlformats.org/officeDocument/2006/relationships/hyperlink" Target="https://mmo.mn/olympiads/answers/193/?s=277" TargetMode="External"/><Relationship Id="rId24" Type="http://schemas.openxmlformats.org/officeDocument/2006/relationships/hyperlink" Target="https://mmo.mn/olympiads/answers/193/?s=289" TargetMode="External"/><Relationship Id="rId40" Type="http://schemas.openxmlformats.org/officeDocument/2006/relationships/hyperlink" Target="https://mmo.mn/olympiads/answers/193/?s=275" TargetMode="External"/><Relationship Id="rId45" Type="http://schemas.openxmlformats.org/officeDocument/2006/relationships/hyperlink" Target="https://mmo.mn/olympiads/answers/193/?s=292" TargetMode="External"/><Relationship Id="rId66" Type="http://schemas.openxmlformats.org/officeDocument/2006/relationships/hyperlink" Target="https://mmo.mn/olympiads/achievements/44790/" TargetMode="External"/><Relationship Id="rId61" Type="http://schemas.openxmlformats.org/officeDocument/2006/relationships/hyperlink" Target="https://mmo.mn/olympiads/achievements/217597/" TargetMode="External"/><Relationship Id="rId82" Type="http://schemas.openxmlformats.org/officeDocument/2006/relationships/hyperlink" Target="https://mmo.mn/olympiads/achievements/183885/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mmo.mn/olympiads/answers/194/?s=274" TargetMode="External"/><Relationship Id="rId21" Type="http://schemas.openxmlformats.org/officeDocument/2006/relationships/hyperlink" Target="https://mmo.mn/olympiads/answers/194/?s=292" TargetMode="External"/><Relationship Id="rId63" Type="http://schemas.openxmlformats.org/officeDocument/2006/relationships/hyperlink" Target="https://mmo.mn/olympiads/answers/194/?s=293" TargetMode="External"/><Relationship Id="rId159" Type="http://schemas.openxmlformats.org/officeDocument/2006/relationships/hyperlink" Target="https://mmo.mn/olympiads/achievements/204590/" TargetMode="External"/><Relationship Id="rId170" Type="http://schemas.openxmlformats.org/officeDocument/2006/relationships/hyperlink" Target="https://mmo.mn/olympiads/achievements/184358/" TargetMode="External"/><Relationship Id="rId226" Type="http://schemas.openxmlformats.org/officeDocument/2006/relationships/hyperlink" Target="https://mmo.mn/olympiads/achievements/44496/" TargetMode="External"/><Relationship Id="rId268" Type="http://schemas.openxmlformats.org/officeDocument/2006/relationships/hyperlink" Target="https://mmo.mn/olympiads/achievements/203530/" TargetMode="External"/><Relationship Id="rId32" Type="http://schemas.openxmlformats.org/officeDocument/2006/relationships/hyperlink" Target="https://mmo.mn/olympiads/answers/194/?s=286" TargetMode="External"/><Relationship Id="rId74" Type="http://schemas.openxmlformats.org/officeDocument/2006/relationships/hyperlink" Target="https://mmo.mn/olympiads/answers/194/?s=276" TargetMode="External"/><Relationship Id="rId128" Type="http://schemas.openxmlformats.org/officeDocument/2006/relationships/hyperlink" Target="https://mmo.mn/olympiads/answers/194/?s=301" TargetMode="External"/><Relationship Id="rId5" Type="http://schemas.openxmlformats.org/officeDocument/2006/relationships/hyperlink" Target="https://mmo.mn/olympiads/answers/194/?s=274" TargetMode="External"/><Relationship Id="rId95" Type="http://schemas.openxmlformats.org/officeDocument/2006/relationships/hyperlink" Target="https://mmo.mn/olympiads/answers/194/?s=282" TargetMode="External"/><Relationship Id="rId160" Type="http://schemas.openxmlformats.org/officeDocument/2006/relationships/hyperlink" Target="https://mmo.mn/olympiads/achievements/191595/" TargetMode="External"/><Relationship Id="rId181" Type="http://schemas.openxmlformats.org/officeDocument/2006/relationships/hyperlink" Target="https://mmo.mn/olympiads/achievements/142661/" TargetMode="External"/><Relationship Id="rId216" Type="http://schemas.openxmlformats.org/officeDocument/2006/relationships/hyperlink" Target="https://mmo.mn/olympiads/achievements/186365/" TargetMode="External"/><Relationship Id="rId237" Type="http://schemas.openxmlformats.org/officeDocument/2006/relationships/hyperlink" Target="https://mmo.mn/olympiads/achievements/25432/" TargetMode="External"/><Relationship Id="rId258" Type="http://schemas.openxmlformats.org/officeDocument/2006/relationships/hyperlink" Target="https://mmo.mn/olympiads/achievements/115901/" TargetMode="External"/><Relationship Id="rId22" Type="http://schemas.openxmlformats.org/officeDocument/2006/relationships/hyperlink" Target="https://mmo.mn/olympiads/answers/194/?s=300" TargetMode="External"/><Relationship Id="rId43" Type="http://schemas.openxmlformats.org/officeDocument/2006/relationships/hyperlink" Target="https://mmo.mn/olympiads/answers/194/?s=308" TargetMode="External"/><Relationship Id="rId64" Type="http://schemas.openxmlformats.org/officeDocument/2006/relationships/hyperlink" Target="https://mmo.mn/olympiads/answers/194/?s=291" TargetMode="External"/><Relationship Id="rId118" Type="http://schemas.openxmlformats.org/officeDocument/2006/relationships/hyperlink" Target="https://mmo.mn/olympiads/answers/194/?s=301" TargetMode="External"/><Relationship Id="rId139" Type="http://schemas.openxmlformats.org/officeDocument/2006/relationships/hyperlink" Target="https://mmo.mn/olympiads/achievements/184953/" TargetMode="External"/><Relationship Id="rId85" Type="http://schemas.openxmlformats.org/officeDocument/2006/relationships/hyperlink" Target="https://mmo.mn/olympiads/answers/194/?s=282" TargetMode="External"/><Relationship Id="rId150" Type="http://schemas.openxmlformats.org/officeDocument/2006/relationships/hyperlink" Target="https://mmo.mn/olympiads/achievements/15699/" TargetMode="External"/><Relationship Id="rId171" Type="http://schemas.openxmlformats.org/officeDocument/2006/relationships/hyperlink" Target="https://mmo.mn/olympiads/achievements/191589/" TargetMode="External"/><Relationship Id="rId192" Type="http://schemas.openxmlformats.org/officeDocument/2006/relationships/hyperlink" Target="https://mmo.mn/olympiads/achievements/222812/" TargetMode="External"/><Relationship Id="rId206" Type="http://schemas.openxmlformats.org/officeDocument/2006/relationships/hyperlink" Target="https://mmo.mn/olympiads/achievements/23703/" TargetMode="External"/><Relationship Id="rId227" Type="http://schemas.openxmlformats.org/officeDocument/2006/relationships/hyperlink" Target="https://mmo.mn/olympiads/achievements/215065/" TargetMode="External"/><Relationship Id="rId248" Type="http://schemas.openxmlformats.org/officeDocument/2006/relationships/hyperlink" Target="https://mmo.mn/olympiads/achievements/138444/" TargetMode="External"/><Relationship Id="rId269" Type="http://schemas.openxmlformats.org/officeDocument/2006/relationships/hyperlink" Target="https://mmo.mn/olympiads/achievements/125609/" TargetMode="External"/><Relationship Id="rId12" Type="http://schemas.openxmlformats.org/officeDocument/2006/relationships/hyperlink" Target="https://mmo.mn/olympiads/answers/194/?s=276" TargetMode="External"/><Relationship Id="rId33" Type="http://schemas.openxmlformats.org/officeDocument/2006/relationships/hyperlink" Target="https://mmo.mn/olympiads/answers/194/?s=289" TargetMode="External"/><Relationship Id="rId108" Type="http://schemas.openxmlformats.org/officeDocument/2006/relationships/hyperlink" Target="https://mmo.mn/olympiads/answers/194/?s=301" TargetMode="External"/><Relationship Id="rId129" Type="http://schemas.openxmlformats.org/officeDocument/2006/relationships/hyperlink" Target="https://mmo.mn/olympiads/achievements/194891/" TargetMode="External"/><Relationship Id="rId54" Type="http://schemas.openxmlformats.org/officeDocument/2006/relationships/hyperlink" Target="https://mmo.mn/olympiads/answers/194/?s=290" TargetMode="External"/><Relationship Id="rId75" Type="http://schemas.openxmlformats.org/officeDocument/2006/relationships/hyperlink" Target="https://mmo.mn/olympiads/answers/194/?s=274" TargetMode="External"/><Relationship Id="rId96" Type="http://schemas.openxmlformats.org/officeDocument/2006/relationships/hyperlink" Target="https://mmo.mn/olympiads/answers/194/?s=301" TargetMode="External"/><Relationship Id="rId140" Type="http://schemas.openxmlformats.org/officeDocument/2006/relationships/hyperlink" Target="https://mmo.mn/olympiads/answers/194/?s=292" TargetMode="External"/><Relationship Id="rId161" Type="http://schemas.openxmlformats.org/officeDocument/2006/relationships/hyperlink" Target="https://mmo.mn/olympiads/achievements/202709/" TargetMode="External"/><Relationship Id="rId182" Type="http://schemas.openxmlformats.org/officeDocument/2006/relationships/hyperlink" Target="https://mmo.mn/olympiads/achievements/138261/" TargetMode="External"/><Relationship Id="rId217" Type="http://schemas.openxmlformats.org/officeDocument/2006/relationships/hyperlink" Target="https://mmo.mn/olympiads/achievements/6135/" TargetMode="External"/><Relationship Id="rId6" Type="http://schemas.openxmlformats.org/officeDocument/2006/relationships/hyperlink" Target="https://mmo.mn/olympiads/answers/194/?s=284" TargetMode="External"/><Relationship Id="rId238" Type="http://schemas.openxmlformats.org/officeDocument/2006/relationships/hyperlink" Target="https://mmo.mn/olympiads/achievements/184390/" TargetMode="External"/><Relationship Id="rId259" Type="http://schemas.openxmlformats.org/officeDocument/2006/relationships/hyperlink" Target="https://mmo.mn/olympiads/achievements/150570/" TargetMode="External"/><Relationship Id="rId23" Type="http://schemas.openxmlformats.org/officeDocument/2006/relationships/hyperlink" Target="https://mmo.mn/olympiads/answers/194/?s=308" TargetMode="External"/><Relationship Id="rId119" Type="http://schemas.openxmlformats.org/officeDocument/2006/relationships/hyperlink" Target="https://mmo.mn/olympiads/achievements/125212/" TargetMode="External"/><Relationship Id="rId270" Type="http://schemas.openxmlformats.org/officeDocument/2006/relationships/hyperlink" Target="https://mmo.mn/olympiads/achievements/196055/" TargetMode="External"/><Relationship Id="rId44" Type="http://schemas.openxmlformats.org/officeDocument/2006/relationships/hyperlink" Target="https://mmo.mn/olympiads/answers/194/?s=282" TargetMode="External"/><Relationship Id="rId65" Type="http://schemas.openxmlformats.org/officeDocument/2006/relationships/hyperlink" Target="https://mmo.mn/olympiads/answers/194/?s=301" TargetMode="External"/><Relationship Id="rId86" Type="http://schemas.openxmlformats.org/officeDocument/2006/relationships/hyperlink" Target="https://mmo.mn/olympiads/answers/194/?s=301" TargetMode="External"/><Relationship Id="rId130" Type="http://schemas.openxmlformats.org/officeDocument/2006/relationships/hyperlink" Target="https://mmo.mn/olympiads/answers/194/?s=300" TargetMode="External"/><Relationship Id="rId151" Type="http://schemas.openxmlformats.org/officeDocument/2006/relationships/hyperlink" Target="https://mmo.mn/olympiads/achievements/219265/" TargetMode="External"/><Relationship Id="rId172" Type="http://schemas.openxmlformats.org/officeDocument/2006/relationships/hyperlink" Target="https://mmo.mn/olympiads/achievements/225649/" TargetMode="External"/><Relationship Id="rId193" Type="http://schemas.openxmlformats.org/officeDocument/2006/relationships/hyperlink" Target="https://mmo.mn/olympiads/achievements/2380/" TargetMode="External"/><Relationship Id="rId207" Type="http://schemas.openxmlformats.org/officeDocument/2006/relationships/hyperlink" Target="https://mmo.mn/olympiads/achievements/168548/" TargetMode="External"/><Relationship Id="rId228" Type="http://schemas.openxmlformats.org/officeDocument/2006/relationships/hyperlink" Target="https://mmo.mn/olympiads/achievements/203542/" TargetMode="External"/><Relationship Id="rId249" Type="http://schemas.openxmlformats.org/officeDocument/2006/relationships/hyperlink" Target="https://mmo.mn/olympiads/achievements/203843/" TargetMode="External"/><Relationship Id="rId13" Type="http://schemas.openxmlformats.org/officeDocument/2006/relationships/hyperlink" Target="https://mmo.mn/olympiads/answers/194/?s=284" TargetMode="External"/><Relationship Id="rId109" Type="http://schemas.openxmlformats.org/officeDocument/2006/relationships/hyperlink" Target="https://mmo.mn/olympiads/answers/194/?s=291" TargetMode="External"/><Relationship Id="rId260" Type="http://schemas.openxmlformats.org/officeDocument/2006/relationships/hyperlink" Target="https://mmo.mn/olympiads/achievements/148846/" TargetMode="External"/><Relationship Id="rId34" Type="http://schemas.openxmlformats.org/officeDocument/2006/relationships/hyperlink" Target="https://mmo.mn/olympiads/answers/194/?s=301" TargetMode="External"/><Relationship Id="rId55" Type="http://schemas.openxmlformats.org/officeDocument/2006/relationships/hyperlink" Target="https://mmo.mn/olympiads/answers/194/?s=280" TargetMode="External"/><Relationship Id="rId76" Type="http://schemas.openxmlformats.org/officeDocument/2006/relationships/hyperlink" Target="https://mmo.mn/olympiads/answers/194/?s=573" TargetMode="External"/><Relationship Id="rId97" Type="http://schemas.openxmlformats.org/officeDocument/2006/relationships/hyperlink" Target="https://mmo.mn/olympiads/answers/194/?s=292" TargetMode="External"/><Relationship Id="rId120" Type="http://schemas.openxmlformats.org/officeDocument/2006/relationships/hyperlink" Target="https://mmo.mn/olympiads/answers/194/?s=301" TargetMode="External"/><Relationship Id="rId141" Type="http://schemas.openxmlformats.org/officeDocument/2006/relationships/hyperlink" Target="https://mmo.mn/olympiads/answers/194/?s=296" TargetMode="External"/><Relationship Id="rId7" Type="http://schemas.openxmlformats.org/officeDocument/2006/relationships/hyperlink" Target="https://mmo.mn/olympiads/answers/194/?s=292" TargetMode="External"/><Relationship Id="rId162" Type="http://schemas.openxmlformats.org/officeDocument/2006/relationships/hyperlink" Target="https://mmo.mn/olympiads/achievements/226547/" TargetMode="External"/><Relationship Id="rId183" Type="http://schemas.openxmlformats.org/officeDocument/2006/relationships/hyperlink" Target="https://mmo.mn/olympiads/achievements/24127/" TargetMode="External"/><Relationship Id="rId218" Type="http://schemas.openxmlformats.org/officeDocument/2006/relationships/hyperlink" Target="https://mmo.mn/olympiads/achievements/72034/" TargetMode="External"/><Relationship Id="rId239" Type="http://schemas.openxmlformats.org/officeDocument/2006/relationships/hyperlink" Target="https://mmo.mn/olympiads/achievements/224686/" TargetMode="External"/><Relationship Id="rId250" Type="http://schemas.openxmlformats.org/officeDocument/2006/relationships/hyperlink" Target="https://mmo.mn/olympiads/achievements/1242/" TargetMode="External"/><Relationship Id="rId271" Type="http://schemas.openxmlformats.org/officeDocument/2006/relationships/hyperlink" Target="https://mmo.mn/olympiads/achievements/137823/" TargetMode="External"/><Relationship Id="rId24" Type="http://schemas.openxmlformats.org/officeDocument/2006/relationships/hyperlink" Target="https://mmo.mn/olympiads/answers/194/?s=274" TargetMode="External"/><Relationship Id="rId45" Type="http://schemas.openxmlformats.org/officeDocument/2006/relationships/hyperlink" Target="https://mmo.mn/olympiads/answers/194/?s=292" TargetMode="External"/><Relationship Id="rId66" Type="http://schemas.openxmlformats.org/officeDocument/2006/relationships/hyperlink" Target="https://mmo.mn/olympiads/answers/194/?s=282" TargetMode="External"/><Relationship Id="rId87" Type="http://schemas.openxmlformats.org/officeDocument/2006/relationships/hyperlink" Target="https://mmo.mn/olympiads/answers/194/?s=288" TargetMode="External"/><Relationship Id="rId110" Type="http://schemas.openxmlformats.org/officeDocument/2006/relationships/hyperlink" Target="https://mmo.mn/olympiads/answers/194/?s=276" TargetMode="External"/><Relationship Id="rId131" Type="http://schemas.openxmlformats.org/officeDocument/2006/relationships/hyperlink" Target="https://mmo.mn/olympiads/answers/194/?s=279" TargetMode="External"/><Relationship Id="rId152" Type="http://schemas.openxmlformats.org/officeDocument/2006/relationships/hyperlink" Target="https://mmo.mn/olympiads/achievements/35745/" TargetMode="External"/><Relationship Id="rId173" Type="http://schemas.openxmlformats.org/officeDocument/2006/relationships/hyperlink" Target="https://mmo.mn/olympiads/achievements/186368/" TargetMode="External"/><Relationship Id="rId194" Type="http://schemas.openxmlformats.org/officeDocument/2006/relationships/hyperlink" Target="https://mmo.mn/olympiads/achievements/214363/" TargetMode="External"/><Relationship Id="rId208" Type="http://schemas.openxmlformats.org/officeDocument/2006/relationships/hyperlink" Target="https://mmo.mn/olympiads/achievements/130469/" TargetMode="External"/><Relationship Id="rId229" Type="http://schemas.openxmlformats.org/officeDocument/2006/relationships/hyperlink" Target="https://mmo.mn/olympiads/achievements/158855/" TargetMode="External"/><Relationship Id="rId240" Type="http://schemas.openxmlformats.org/officeDocument/2006/relationships/hyperlink" Target="https://mmo.mn/olympiads/achievements/222775/" TargetMode="External"/><Relationship Id="rId261" Type="http://schemas.openxmlformats.org/officeDocument/2006/relationships/hyperlink" Target="https://mmo.mn/olympiads/achievements/191612/" TargetMode="External"/><Relationship Id="rId14" Type="http://schemas.openxmlformats.org/officeDocument/2006/relationships/hyperlink" Target="https://mmo.mn/olympiads/answers/194/?s=308" TargetMode="External"/><Relationship Id="rId35" Type="http://schemas.openxmlformats.org/officeDocument/2006/relationships/hyperlink" Target="https://mmo.mn/olympiads/answers/194/?s=293" TargetMode="External"/><Relationship Id="rId56" Type="http://schemas.openxmlformats.org/officeDocument/2006/relationships/hyperlink" Target="https://mmo.mn/olympiads/answers/194/?s=309" TargetMode="External"/><Relationship Id="rId77" Type="http://schemas.openxmlformats.org/officeDocument/2006/relationships/hyperlink" Target="https://mmo.mn/olympiads/answers/194/?s=301" TargetMode="External"/><Relationship Id="rId100" Type="http://schemas.openxmlformats.org/officeDocument/2006/relationships/hyperlink" Target="https://mmo.mn/olympiads/answers/194/?s=291" TargetMode="External"/><Relationship Id="rId8" Type="http://schemas.openxmlformats.org/officeDocument/2006/relationships/hyperlink" Target="https://mmo.mn/olympiads/answers/194/?s=282" TargetMode="External"/><Relationship Id="rId98" Type="http://schemas.openxmlformats.org/officeDocument/2006/relationships/hyperlink" Target="https://mmo.mn/olympiads/answers/194/?s=276" TargetMode="External"/><Relationship Id="rId121" Type="http://schemas.openxmlformats.org/officeDocument/2006/relationships/hyperlink" Target="https://mmo.mn/olympiads/answers/194/?s=291" TargetMode="External"/><Relationship Id="rId142" Type="http://schemas.openxmlformats.org/officeDocument/2006/relationships/hyperlink" Target="https://mmo.mn/olympiads/answers/194/?s=274" TargetMode="External"/><Relationship Id="rId163" Type="http://schemas.openxmlformats.org/officeDocument/2006/relationships/hyperlink" Target="https://mmo.mn/olympiads/achievements/225675/" TargetMode="External"/><Relationship Id="rId184" Type="http://schemas.openxmlformats.org/officeDocument/2006/relationships/hyperlink" Target="https://mmo.mn/olympiads/achievements/127451/" TargetMode="External"/><Relationship Id="rId219" Type="http://schemas.openxmlformats.org/officeDocument/2006/relationships/hyperlink" Target="https://mmo.mn/olympiads/achievements/213881/" TargetMode="External"/><Relationship Id="rId230" Type="http://schemas.openxmlformats.org/officeDocument/2006/relationships/hyperlink" Target="https://mmo.mn/olympiads/achievements/154862/" TargetMode="External"/><Relationship Id="rId251" Type="http://schemas.openxmlformats.org/officeDocument/2006/relationships/hyperlink" Target="https://mmo.mn/olympiads/achievements/185394/" TargetMode="External"/><Relationship Id="rId25" Type="http://schemas.openxmlformats.org/officeDocument/2006/relationships/hyperlink" Target="https://mmo.mn/olympiads/answers/194/?s=276" TargetMode="External"/><Relationship Id="rId46" Type="http://schemas.openxmlformats.org/officeDocument/2006/relationships/hyperlink" Target="https://mmo.mn/olympiads/answers/194/?s=309" TargetMode="External"/><Relationship Id="rId67" Type="http://schemas.openxmlformats.org/officeDocument/2006/relationships/hyperlink" Target="https://mmo.mn/olympiads/answers/194/?s=292" TargetMode="External"/><Relationship Id="rId272" Type="http://schemas.openxmlformats.org/officeDocument/2006/relationships/hyperlink" Target="https://mmo.mn/olympiads/achievements/137923/" TargetMode="External"/><Relationship Id="rId88" Type="http://schemas.openxmlformats.org/officeDocument/2006/relationships/hyperlink" Target="https://mmo.mn/olympiads/achievements/116640/" TargetMode="External"/><Relationship Id="rId111" Type="http://schemas.openxmlformats.org/officeDocument/2006/relationships/hyperlink" Target="https://mmo.mn/olympiads/answers/194/?s=291" TargetMode="External"/><Relationship Id="rId132" Type="http://schemas.openxmlformats.org/officeDocument/2006/relationships/hyperlink" Target="https://mmo.mn/olympiads/answers/194/?s=308" TargetMode="External"/><Relationship Id="rId153" Type="http://schemas.openxmlformats.org/officeDocument/2006/relationships/hyperlink" Target="https://mmo.mn/olympiads/achievements/108470/" TargetMode="External"/><Relationship Id="rId174" Type="http://schemas.openxmlformats.org/officeDocument/2006/relationships/hyperlink" Target="https://mmo.mn/olympiads/achievements/203568/" TargetMode="External"/><Relationship Id="rId195" Type="http://schemas.openxmlformats.org/officeDocument/2006/relationships/hyperlink" Target="https://mmo.mn/olympiads/achievements/202684/" TargetMode="External"/><Relationship Id="rId209" Type="http://schemas.openxmlformats.org/officeDocument/2006/relationships/hyperlink" Target="https://mmo.mn/olympiads/achievements/125489/" TargetMode="External"/><Relationship Id="rId220" Type="http://schemas.openxmlformats.org/officeDocument/2006/relationships/hyperlink" Target="https://mmo.mn/olympiads/achievements/222032/" TargetMode="External"/><Relationship Id="rId241" Type="http://schemas.openxmlformats.org/officeDocument/2006/relationships/hyperlink" Target="https://mmo.mn/olympiads/achievements/221749/" TargetMode="External"/><Relationship Id="rId15" Type="http://schemas.openxmlformats.org/officeDocument/2006/relationships/hyperlink" Target="https://mmo.mn/olympiads/answers/194/?s=301" TargetMode="External"/><Relationship Id="rId36" Type="http://schemas.openxmlformats.org/officeDocument/2006/relationships/hyperlink" Target="https://mmo.mn/olympiads/answers/194/?s=292" TargetMode="External"/><Relationship Id="rId57" Type="http://schemas.openxmlformats.org/officeDocument/2006/relationships/hyperlink" Target="https://mmo.mn/olympiads/answers/194/?s=292" TargetMode="External"/><Relationship Id="rId262" Type="http://schemas.openxmlformats.org/officeDocument/2006/relationships/hyperlink" Target="https://mmo.mn/olympiads/achievements/194881/" TargetMode="External"/><Relationship Id="rId78" Type="http://schemas.openxmlformats.org/officeDocument/2006/relationships/hyperlink" Target="https://mmo.mn/olympiads/answers/194/?s=291" TargetMode="External"/><Relationship Id="rId99" Type="http://schemas.openxmlformats.org/officeDocument/2006/relationships/hyperlink" Target="https://mmo.mn/olympiads/answers/194/?s=282" TargetMode="External"/><Relationship Id="rId101" Type="http://schemas.openxmlformats.org/officeDocument/2006/relationships/hyperlink" Target="https://mmo.mn/olympiads/answers/194/?s=301" TargetMode="External"/><Relationship Id="rId122" Type="http://schemas.openxmlformats.org/officeDocument/2006/relationships/hyperlink" Target="https://mmo.mn/olympiads/answers/194/?s=292" TargetMode="External"/><Relationship Id="rId143" Type="http://schemas.openxmlformats.org/officeDocument/2006/relationships/hyperlink" Target="https://mmo.mn/olympiads/answers/194/?s=276" TargetMode="External"/><Relationship Id="rId164" Type="http://schemas.openxmlformats.org/officeDocument/2006/relationships/hyperlink" Target="https://mmo.mn/olympiads/achievements/212166/" TargetMode="External"/><Relationship Id="rId185" Type="http://schemas.openxmlformats.org/officeDocument/2006/relationships/hyperlink" Target="https://mmo.mn/olympiads/achievements/184483/" TargetMode="External"/><Relationship Id="rId9" Type="http://schemas.openxmlformats.org/officeDocument/2006/relationships/hyperlink" Target="https://mmo.mn/olympiads/answers/194/?s=296" TargetMode="External"/><Relationship Id="rId210" Type="http://schemas.openxmlformats.org/officeDocument/2006/relationships/hyperlink" Target="https://mmo.mn/olympiads/achievements/15265/" TargetMode="External"/><Relationship Id="rId26" Type="http://schemas.openxmlformats.org/officeDocument/2006/relationships/hyperlink" Target="https://mmo.mn/olympiads/answers/194/?s=291" TargetMode="External"/><Relationship Id="rId231" Type="http://schemas.openxmlformats.org/officeDocument/2006/relationships/hyperlink" Target="https://mmo.mn/olympiads/achievements/151852/" TargetMode="External"/><Relationship Id="rId252" Type="http://schemas.openxmlformats.org/officeDocument/2006/relationships/hyperlink" Target="https://mmo.mn/olympiads/achievements/25376/" TargetMode="External"/><Relationship Id="rId273" Type="http://schemas.openxmlformats.org/officeDocument/2006/relationships/hyperlink" Target="https://mmo.mn/olympiads/achievements/137694/" TargetMode="External"/><Relationship Id="rId47" Type="http://schemas.openxmlformats.org/officeDocument/2006/relationships/hyperlink" Target="https://mmo.mn/olympiads/answers/194/?s=291" TargetMode="External"/><Relationship Id="rId68" Type="http://schemas.openxmlformats.org/officeDocument/2006/relationships/hyperlink" Target="https://mmo.mn/olympiads/answers/194/?s=291" TargetMode="External"/><Relationship Id="rId89" Type="http://schemas.openxmlformats.org/officeDocument/2006/relationships/hyperlink" Target="https://mmo.mn/olympiads/answers/194/?s=292" TargetMode="External"/><Relationship Id="rId112" Type="http://schemas.openxmlformats.org/officeDocument/2006/relationships/hyperlink" Target="https://mmo.mn/olympiads/answers/194/?s=301" TargetMode="External"/><Relationship Id="rId133" Type="http://schemas.openxmlformats.org/officeDocument/2006/relationships/hyperlink" Target="https://mmo.mn/olympiads/answers/194/?s=300" TargetMode="External"/><Relationship Id="rId154" Type="http://schemas.openxmlformats.org/officeDocument/2006/relationships/hyperlink" Target="https://mmo.mn/olympiads/achievements/186407/" TargetMode="External"/><Relationship Id="rId175" Type="http://schemas.openxmlformats.org/officeDocument/2006/relationships/hyperlink" Target="https://mmo.mn/olympiads/achievements/215046/" TargetMode="External"/><Relationship Id="rId196" Type="http://schemas.openxmlformats.org/officeDocument/2006/relationships/hyperlink" Target="https://mmo.mn/olympiads/achievements/194887/" TargetMode="External"/><Relationship Id="rId200" Type="http://schemas.openxmlformats.org/officeDocument/2006/relationships/hyperlink" Target="https://mmo.mn/olympiads/achievements/88530/" TargetMode="External"/><Relationship Id="rId16" Type="http://schemas.openxmlformats.org/officeDocument/2006/relationships/hyperlink" Target="https://mmo.mn/olympiads/answers/194/?s=302" TargetMode="External"/><Relationship Id="rId221" Type="http://schemas.openxmlformats.org/officeDocument/2006/relationships/hyperlink" Target="https://mmo.mn/olympiads/achievements/12627/" TargetMode="External"/><Relationship Id="rId242" Type="http://schemas.openxmlformats.org/officeDocument/2006/relationships/hyperlink" Target="https://mmo.mn/olympiads/achievements/219987/" TargetMode="External"/><Relationship Id="rId263" Type="http://schemas.openxmlformats.org/officeDocument/2006/relationships/hyperlink" Target="https://mmo.mn/olympiads/achievements/225641/" TargetMode="External"/><Relationship Id="rId37" Type="http://schemas.openxmlformats.org/officeDocument/2006/relationships/hyperlink" Target="https://mmo.mn/olympiads/answers/194/?s=276" TargetMode="External"/><Relationship Id="rId58" Type="http://schemas.openxmlformats.org/officeDocument/2006/relationships/hyperlink" Target="https://mmo.mn/olympiads/answers/194/?s=301" TargetMode="External"/><Relationship Id="rId79" Type="http://schemas.openxmlformats.org/officeDocument/2006/relationships/hyperlink" Target="https://mmo.mn/olympiads/answers/194/?s=282" TargetMode="External"/><Relationship Id="rId102" Type="http://schemas.openxmlformats.org/officeDocument/2006/relationships/hyperlink" Target="https://mmo.mn/olympiads/achievements/32854/" TargetMode="External"/><Relationship Id="rId123" Type="http://schemas.openxmlformats.org/officeDocument/2006/relationships/hyperlink" Target="https://mmo.mn/olympiads/answers/194/?s=279" TargetMode="External"/><Relationship Id="rId144" Type="http://schemas.openxmlformats.org/officeDocument/2006/relationships/hyperlink" Target="https://mmo.mn/olympiads/answers/194/?s=291" TargetMode="External"/><Relationship Id="rId90" Type="http://schemas.openxmlformats.org/officeDocument/2006/relationships/hyperlink" Target="https://mmo.mn/olympiads/answers/194/?s=291" TargetMode="External"/><Relationship Id="rId165" Type="http://schemas.openxmlformats.org/officeDocument/2006/relationships/hyperlink" Target="https://mmo.mn/olympiads/achievements/207356/" TargetMode="External"/><Relationship Id="rId186" Type="http://schemas.openxmlformats.org/officeDocument/2006/relationships/hyperlink" Target="https://mmo.mn/olympiads/achievements/202704/" TargetMode="External"/><Relationship Id="rId211" Type="http://schemas.openxmlformats.org/officeDocument/2006/relationships/hyperlink" Target="https://mmo.mn/olympiads/achievements/124815/" TargetMode="External"/><Relationship Id="rId232" Type="http://schemas.openxmlformats.org/officeDocument/2006/relationships/hyperlink" Target="https://mmo.mn/olympiads/achievements/150586/" TargetMode="External"/><Relationship Id="rId253" Type="http://schemas.openxmlformats.org/officeDocument/2006/relationships/hyperlink" Target="https://mmo.mn/olympiads/achievements/13183/" TargetMode="External"/><Relationship Id="rId274" Type="http://schemas.openxmlformats.org/officeDocument/2006/relationships/hyperlink" Target="https://mmo.mn/olympiads/achievements/128851/" TargetMode="External"/><Relationship Id="rId27" Type="http://schemas.openxmlformats.org/officeDocument/2006/relationships/hyperlink" Target="https://mmo.mn/olympiads/answers/194/?s=282" TargetMode="External"/><Relationship Id="rId48" Type="http://schemas.openxmlformats.org/officeDocument/2006/relationships/hyperlink" Target="https://mmo.mn/olympiads/answers/194/?s=276" TargetMode="External"/><Relationship Id="rId69" Type="http://schemas.openxmlformats.org/officeDocument/2006/relationships/hyperlink" Target="https://mmo.mn/olympiads/answers/194/?s=301" TargetMode="External"/><Relationship Id="rId113" Type="http://schemas.openxmlformats.org/officeDocument/2006/relationships/hyperlink" Target="https://mmo.mn/olympiads/answers/194/?s=291" TargetMode="External"/><Relationship Id="rId134" Type="http://schemas.openxmlformats.org/officeDocument/2006/relationships/hyperlink" Target="https://mmo.mn/olympiads/answers/194/?s=282" TargetMode="External"/><Relationship Id="rId80" Type="http://schemas.openxmlformats.org/officeDocument/2006/relationships/hyperlink" Target="https://mmo.mn/olympiads/achievements/214288/" TargetMode="External"/><Relationship Id="rId155" Type="http://schemas.openxmlformats.org/officeDocument/2006/relationships/hyperlink" Target="https://mmo.mn/olympiads/achievements/138495/" TargetMode="External"/><Relationship Id="rId176" Type="http://schemas.openxmlformats.org/officeDocument/2006/relationships/hyperlink" Target="https://mmo.mn/olympiads/achievements/214833/" TargetMode="External"/><Relationship Id="rId197" Type="http://schemas.openxmlformats.org/officeDocument/2006/relationships/hyperlink" Target="https://mmo.mn/olympiads/achievements/125406/" TargetMode="External"/><Relationship Id="rId201" Type="http://schemas.openxmlformats.org/officeDocument/2006/relationships/hyperlink" Target="https://mmo.mn/olympiads/achievements/85751/" TargetMode="External"/><Relationship Id="rId222" Type="http://schemas.openxmlformats.org/officeDocument/2006/relationships/hyperlink" Target="https://mmo.mn/olympiads/achievements/124871/" TargetMode="External"/><Relationship Id="rId243" Type="http://schemas.openxmlformats.org/officeDocument/2006/relationships/hyperlink" Target="https://mmo.mn/olympiads/achievements/215886/" TargetMode="External"/><Relationship Id="rId264" Type="http://schemas.openxmlformats.org/officeDocument/2006/relationships/hyperlink" Target="https://mmo.mn/olympiads/achievements/159944/" TargetMode="External"/><Relationship Id="rId17" Type="http://schemas.openxmlformats.org/officeDocument/2006/relationships/hyperlink" Target="https://mmo.mn/olympiads/answers/194/?s=288" TargetMode="External"/><Relationship Id="rId38" Type="http://schemas.openxmlformats.org/officeDocument/2006/relationships/hyperlink" Target="https://mmo.mn/olympiads/answers/194/?s=282" TargetMode="External"/><Relationship Id="rId59" Type="http://schemas.openxmlformats.org/officeDocument/2006/relationships/hyperlink" Target="https://mmo.mn/olympiads/achievements/225636/" TargetMode="External"/><Relationship Id="rId103" Type="http://schemas.openxmlformats.org/officeDocument/2006/relationships/hyperlink" Target="https://mmo.mn/olympiads/answers/194/?s=292" TargetMode="External"/><Relationship Id="rId124" Type="http://schemas.openxmlformats.org/officeDocument/2006/relationships/hyperlink" Target="https://mmo.mn/olympiads/answers/194/?s=276" TargetMode="External"/><Relationship Id="rId70" Type="http://schemas.openxmlformats.org/officeDocument/2006/relationships/hyperlink" Target="https://mmo.mn/olympiads/answers/194/?s=293" TargetMode="External"/><Relationship Id="rId91" Type="http://schemas.openxmlformats.org/officeDocument/2006/relationships/hyperlink" Target="https://mmo.mn/olympiads/answers/194/?s=276" TargetMode="External"/><Relationship Id="rId145" Type="http://schemas.openxmlformats.org/officeDocument/2006/relationships/hyperlink" Target="https://mmo.mn/olympiads/answers/194/?s=292" TargetMode="External"/><Relationship Id="rId166" Type="http://schemas.openxmlformats.org/officeDocument/2006/relationships/hyperlink" Target="https://mmo.mn/olympiads/achievements/205988/" TargetMode="External"/><Relationship Id="rId187" Type="http://schemas.openxmlformats.org/officeDocument/2006/relationships/hyperlink" Target="https://mmo.mn/olympiads/achievements/214818/" TargetMode="External"/><Relationship Id="rId1" Type="http://schemas.openxmlformats.org/officeDocument/2006/relationships/hyperlink" Target="https://mmo.mn/olympiads/answers/194/?s=301" TargetMode="External"/><Relationship Id="rId212" Type="http://schemas.openxmlformats.org/officeDocument/2006/relationships/hyperlink" Target="https://mmo.mn/olympiads/achievements/218074/" TargetMode="External"/><Relationship Id="rId233" Type="http://schemas.openxmlformats.org/officeDocument/2006/relationships/hyperlink" Target="https://mmo.mn/olympiads/achievements/148687/" TargetMode="External"/><Relationship Id="rId254" Type="http://schemas.openxmlformats.org/officeDocument/2006/relationships/hyperlink" Target="https://mmo.mn/olympiads/achievements/125481/" TargetMode="External"/><Relationship Id="rId28" Type="http://schemas.openxmlformats.org/officeDocument/2006/relationships/hyperlink" Target="https://mmo.mn/olympiads/answers/194/?s=279" TargetMode="External"/><Relationship Id="rId49" Type="http://schemas.openxmlformats.org/officeDocument/2006/relationships/hyperlink" Target="https://mmo.mn/olympiads/answers/194/?s=284" TargetMode="External"/><Relationship Id="rId114" Type="http://schemas.openxmlformats.org/officeDocument/2006/relationships/hyperlink" Target="https://mmo.mn/olympiads/answers/194/?s=284" TargetMode="External"/><Relationship Id="rId275" Type="http://schemas.openxmlformats.org/officeDocument/2006/relationships/printerSettings" Target="../printerSettings/printerSettings4.bin"/><Relationship Id="rId60" Type="http://schemas.openxmlformats.org/officeDocument/2006/relationships/hyperlink" Target="https://mmo.mn/olympiads/achievements/214426/" TargetMode="External"/><Relationship Id="rId81" Type="http://schemas.openxmlformats.org/officeDocument/2006/relationships/hyperlink" Target="https://mmo.mn/olympiads/answers/194/?s=292" TargetMode="External"/><Relationship Id="rId135" Type="http://schemas.openxmlformats.org/officeDocument/2006/relationships/hyperlink" Target="https://mmo.mn/olympiads/answers/194/?s=283" TargetMode="External"/><Relationship Id="rId156" Type="http://schemas.openxmlformats.org/officeDocument/2006/relationships/hyperlink" Target="https://mmo.mn/olympiads/achievements/42632/" TargetMode="External"/><Relationship Id="rId177" Type="http://schemas.openxmlformats.org/officeDocument/2006/relationships/hyperlink" Target="https://mmo.mn/olympiads/achievements/194874/" TargetMode="External"/><Relationship Id="rId198" Type="http://schemas.openxmlformats.org/officeDocument/2006/relationships/hyperlink" Target="https://mmo.mn/olympiads/achievements/108523/" TargetMode="External"/><Relationship Id="rId202" Type="http://schemas.openxmlformats.org/officeDocument/2006/relationships/hyperlink" Target="https://mmo.mn/olympiads/achievements/43164/" TargetMode="External"/><Relationship Id="rId223" Type="http://schemas.openxmlformats.org/officeDocument/2006/relationships/hyperlink" Target="https://mmo.mn/olympiads/achievements/168605/" TargetMode="External"/><Relationship Id="rId244" Type="http://schemas.openxmlformats.org/officeDocument/2006/relationships/hyperlink" Target="https://mmo.mn/olympiads/achievements/215604/" TargetMode="External"/><Relationship Id="rId18" Type="http://schemas.openxmlformats.org/officeDocument/2006/relationships/hyperlink" Target="https://mmo.mn/olympiads/answers/194/?s=301" TargetMode="External"/><Relationship Id="rId39" Type="http://schemas.openxmlformats.org/officeDocument/2006/relationships/hyperlink" Target="https://mmo.mn/olympiads/answers/194/?s=291" TargetMode="External"/><Relationship Id="rId265" Type="http://schemas.openxmlformats.org/officeDocument/2006/relationships/hyperlink" Target="https://mmo.mn/olympiads/achievements/158883/" TargetMode="External"/><Relationship Id="rId50" Type="http://schemas.openxmlformats.org/officeDocument/2006/relationships/hyperlink" Target="https://mmo.mn/olympiads/answers/194/?s=279" TargetMode="External"/><Relationship Id="rId104" Type="http://schemas.openxmlformats.org/officeDocument/2006/relationships/hyperlink" Target="https://mmo.mn/olympiads/answers/194/?s=289" TargetMode="External"/><Relationship Id="rId125" Type="http://schemas.openxmlformats.org/officeDocument/2006/relationships/hyperlink" Target="https://mmo.mn/olympiads/answers/194/?s=291" TargetMode="External"/><Relationship Id="rId146" Type="http://schemas.openxmlformats.org/officeDocument/2006/relationships/hyperlink" Target="https://mmo.mn/olympiads/answers/194/?s=284" TargetMode="External"/><Relationship Id="rId167" Type="http://schemas.openxmlformats.org/officeDocument/2006/relationships/hyperlink" Target="https://mmo.mn/olympiads/achievements/709/" TargetMode="External"/><Relationship Id="rId188" Type="http://schemas.openxmlformats.org/officeDocument/2006/relationships/hyperlink" Target="https://mmo.mn/olympiads/achievements/214712/" TargetMode="External"/><Relationship Id="rId71" Type="http://schemas.openxmlformats.org/officeDocument/2006/relationships/hyperlink" Target="https://mmo.mn/olympiads/answers/194/?s=284" TargetMode="External"/><Relationship Id="rId92" Type="http://schemas.openxmlformats.org/officeDocument/2006/relationships/hyperlink" Target="https://mmo.mn/olympiads/answers/194/?s=283" TargetMode="External"/><Relationship Id="rId213" Type="http://schemas.openxmlformats.org/officeDocument/2006/relationships/hyperlink" Target="https://mmo.mn/olympiads/achievements/215507/" TargetMode="External"/><Relationship Id="rId234" Type="http://schemas.openxmlformats.org/officeDocument/2006/relationships/hyperlink" Target="https://mmo.mn/olympiads/achievements/203819/" TargetMode="External"/><Relationship Id="rId2" Type="http://schemas.openxmlformats.org/officeDocument/2006/relationships/hyperlink" Target="https://mmo.mn/olympiads/answers/194/?s=284" TargetMode="External"/><Relationship Id="rId29" Type="http://schemas.openxmlformats.org/officeDocument/2006/relationships/hyperlink" Target="https://mmo.mn/olympiads/answers/194/?s=301" TargetMode="External"/><Relationship Id="rId255" Type="http://schemas.openxmlformats.org/officeDocument/2006/relationships/hyperlink" Target="https://mmo.mn/olympiads/achievements/44260/" TargetMode="External"/><Relationship Id="rId40" Type="http://schemas.openxmlformats.org/officeDocument/2006/relationships/hyperlink" Target="https://mmo.mn/olympiads/answers/194/?s=300" TargetMode="External"/><Relationship Id="rId115" Type="http://schemas.openxmlformats.org/officeDocument/2006/relationships/hyperlink" Target="https://mmo.mn/olympiads/answers/194/?s=276" TargetMode="External"/><Relationship Id="rId136" Type="http://schemas.openxmlformats.org/officeDocument/2006/relationships/hyperlink" Target="https://mmo.mn/olympiads/answers/194/?s=291" TargetMode="External"/><Relationship Id="rId157" Type="http://schemas.openxmlformats.org/officeDocument/2006/relationships/hyperlink" Target="https://mmo.mn/olympiads/achievements/214157/" TargetMode="External"/><Relationship Id="rId178" Type="http://schemas.openxmlformats.org/officeDocument/2006/relationships/hyperlink" Target="https://mmo.mn/olympiads/achievements/175710/" TargetMode="External"/><Relationship Id="rId61" Type="http://schemas.openxmlformats.org/officeDocument/2006/relationships/hyperlink" Target="https://mmo.mn/olympiads/achievements/195192/" TargetMode="External"/><Relationship Id="rId82" Type="http://schemas.openxmlformats.org/officeDocument/2006/relationships/hyperlink" Target="https://mmo.mn/olympiads/answers/194/?s=277" TargetMode="External"/><Relationship Id="rId199" Type="http://schemas.openxmlformats.org/officeDocument/2006/relationships/hyperlink" Target="https://mmo.mn/olympiads/achievements/97339/" TargetMode="External"/><Relationship Id="rId203" Type="http://schemas.openxmlformats.org/officeDocument/2006/relationships/hyperlink" Target="https://mmo.mn/olympiads/achievements/29904/" TargetMode="External"/><Relationship Id="rId19" Type="http://schemas.openxmlformats.org/officeDocument/2006/relationships/hyperlink" Target="https://mmo.mn/olympiads/answers/194/?s=284" TargetMode="External"/><Relationship Id="rId224" Type="http://schemas.openxmlformats.org/officeDocument/2006/relationships/hyperlink" Target="https://mmo.mn/olympiads/achievements/226924/" TargetMode="External"/><Relationship Id="rId245" Type="http://schemas.openxmlformats.org/officeDocument/2006/relationships/hyperlink" Target="https://mmo.mn/olympiads/achievements/203524/" TargetMode="External"/><Relationship Id="rId266" Type="http://schemas.openxmlformats.org/officeDocument/2006/relationships/hyperlink" Target="https://mmo.mn/olympiads/achievements/125254/" TargetMode="External"/><Relationship Id="rId30" Type="http://schemas.openxmlformats.org/officeDocument/2006/relationships/hyperlink" Target="https://mmo.mn/olympiads/answers/194/?s=275" TargetMode="External"/><Relationship Id="rId105" Type="http://schemas.openxmlformats.org/officeDocument/2006/relationships/hyperlink" Target="https://mmo.mn/olympiads/answers/194/?s=282" TargetMode="External"/><Relationship Id="rId126" Type="http://schemas.openxmlformats.org/officeDocument/2006/relationships/hyperlink" Target="https://mmo.mn/olympiads/answers/194/?s=301" TargetMode="External"/><Relationship Id="rId147" Type="http://schemas.openxmlformats.org/officeDocument/2006/relationships/hyperlink" Target="https://mmo.mn/olympiads/answers/194/?s=289" TargetMode="External"/><Relationship Id="rId168" Type="http://schemas.openxmlformats.org/officeDocument/2006/relationships/hyperlink" Target="https://mmo.mn/olympiads/achievements/138433/" TargetMode="External"/><Relationship Id="rId51" Type="http://schemas.openxmlformats.org/officeDocument/2006/relationships/hyperlink" Target="https://mmo.mn/olympiads/answers/194/?s=291" TargetMode="External"/><Relationship Id="rId72" Type="http://schemas.openxmlformats.org/officeDocument/2006/relationships/hyperlink" Target="https://mmo.mn/olympiads/answers/194/?s=291" TargetMode="External"/><Relationship Id="rId93" Type="http://schemas.openxmlformats.org/officeDocument/2006/relationships/hyperlink" Target="https://mmo.mn/olympiads/answers/194/?s=290" TargetMode="External"/><Relationship Id="rId189" Type="http://schemas.openxmlformats.org/officeDocument/2006/relationships/hyperlink" Target="https://mmo.mn/olympiads/achievements/191605/" TargetMode="External"/><Relationship Id="rId3" Type="http://schemas.openxmlformats.org/officeDocument/2006/relationships/hyperlink" Target="https://mmo.mn/olympiads/answers/194/?s=293" TargetMode="External"/><Relationship Id="rId214" Type="http://schemas.openxmlformats.org/officeDocument/2006/relationships/hyperlink" Target="https://mmo.mn/olympiads/achievements/226410/" TargetMode="External"/><Relationship Id="rId235" Type="http://schemas.openxmlformats.org/officeDocument/2006/relationships/hyperlink" Target="https://mmo.mn/olympiads/achievements/150514/" TargetMode="External"/><Relationship Id="rId256" Type="http://schemas.openxmlformats.org/officeDocument/2006/relationships/hyperlink" Target="https://mmo.mn/olympiads/achievements/203575/" TargetMode="External"/><Relationship Id="rId116" Type="http://schemas.openxmlformats.org/officeDocument/2006/relationships/hyperlink" Target="https://mmo.mn/olympiads/answers/194/?s=292" TargetMode="External"/><Relationship Id="rId137" Type="http://schemas.openxmlformats.org/officeDocument/2006/relationships/hyperlink" Target="https://mmo.mn/olympiads/achievements/191579/" TargetMode="External"/><Relationship Id="rId158" Type="http://schemas.openxmlformats.org/officeDocument/2006/relationships/hyperlink" Target="https://mmo.mn/olympiads/achievements/85534/" TargetMode="External"/><Relationship Id="rId20" Type="http://schemas.openxmlformats.org/officeDocument/2006/relationships/hyperlink" Target="https://mmo.mn/olympiads/answers/194/?s=293" TargetMode="External"/><Relationship Id="rId41" Type="http://schemas.openxmlformats.org/officeDocument/2006/relationships/hyperlink" Target="https://mmo.mn/olympiads/answers/194/?s=301" TargetMode="External"/><Relationship Id="rId62" Type="http://schemas.openxmlformats.org/officeDocument/2006/relationships/hyperlink" Target="https://mmo.mn/olympiads/achievements/33727/" TargetMode="External"/><Relationship Id="rId83" Type="http://schemas.openxmlformats.org/officeDocument/2006/relationships/hyperlink" Target="https://mmo.mn/olympiads/answers/194/?s=290" TargetMode="External"/><Relationship Id="rId179" Type="http://schemas.openxmlformats.org/officeDocument/2006/relationships/hyperlink" Target="https://mmo.mn/olympiads/achievements/162567/" TargetMode="External"/><Relationship Id="rId190" Type="http://schemas.openxmlformats.org/officeDocument/2006/relationships/hyperlink" Target="https://mmo.mn/olympiads/achievements/883/" TargetMode="External"/><Relationship Id="rId204" Type="http://schemas.openxmlformats.org/officeDocument/2006/relationships/hyperlink" Target="https://mmo.mn/olympiads/achievements/182167/" TargetMode="External"/><Relationship Id="rId225" Type="http://schemas.openxmlformats.org/officeDocument/2006/relationships/hyperlink" Target="https://mmo.mn/olympiads/achievements/36027/" TargetMode="External"/><Relationship Id="rId246" Type="http://schemas.openxmlformats.org/officeDocument/2006/relationships/hyperlink" Target="https://mmo.mn/olympiads/achievements/25383/" TargetMode="External"/><Relationship Id="rId267" Type="http://schemas.openxmlformats.org/officeDocument/2006/relationships/hyperlink" Target="https://mmo.mn/olympiads/achievements/85532/" TargetMode="External"/><Relationship Id="rId106" Type="http://schemas.openxmlformats.org/officeDocument/2006/relationships/hyperlink" Target="https://mmo.mn/olympiads/answers/194/?s=277" TargetMode="External"/><Relationship Id="rId127" Type="http://schemas.openxmlformats.org/officeDocument/2006/relationships/hyperlink" Target="https://mmo.mn/olympiads/answers/194/?s=282" TargetMode="External"/><Relationship Id="rId10" Type="http://schemas.openxmlformats.org/officeDocument/2006/relationships/hyperlink" Target="https://mmo.mn/olympiads/answers/194/?s=276" TargetMode="External"/><Relationship Id="rId31" Type="http://schemas.openxmlformats.org/officeDocument/2006/relationships/hyperlink" Target="https://mmo.mn/olympiads/answers/194/?s=277" TargetMode="External"/><Relationship Id="rId52" Type="http://schemas.openxmlformats.org/officeDocument/2006/relationships/hyperlink" Target="https://mmo.mn/olympiads/answers/194/?s=298" TargetMode="External"/><Relationship Id="rId73" Type="http://schemas.openxmlformats.org/officeDocument/2006/relationships/hyperlink" Target="https://mmo.mn/olympiads/answers/194/?s=308" TargetMode="External"/><Relationship Id="rId94" Type="http://schemas.openxmlformats.org/officeDocument/2006/relationships/hyperlink" Target="https://mmo.mn/olympiads/answers/194/?s=280" TargetMode="External"/><Relationship Id="rId148" Type="http://schemas.openxmlformats.org/officeDocument/2006/relationships/hyperlink" Target="https://mmo.mn/olympiads/answers/194/?s=284" TargetMode="External"/><Relationship Id="rId169" Type="http://schemas.openxmlformats.org/officeDocument/2006/relationships/hyperlink" Target="https://mmo.mn/olympiads/achievements/73973/" TargetMode="External"/><Relationship Id="rId4" Type="http://schemas.openxmlformats.org/officeDocument/2006/relationships/hyperlink" Target="https://mmo.mn/olympiads/answers/194/?s=301" TargetMode="External"/><Relationship Id="rId180" Type="http://schemas.openxmlformats.org/officeDocument/2006/relationships/hyperlink" Target="https://mmo.mn/olympiads/achievements/160310/" TargetMode="External"/><Relationship Id="rId215" Type="http://schemas.openxmlformats.org/officeDocument/2006/relationships/hyperlink" Target="https://mmo.mn/olympiads/achievements/202718/" TargetMode="External"/><Relationship Id="rId236" Type="http://schemas.openxmlformats.org/officeDocument/2006/relationships/hyperlink" Target="https://mmo.mn/olympiads/achievements/215056/" TargetMode="External"/><Relationship Id="rId257" Type="http://schemas.openxmlformats.org/officeDocument/2006/relationships/hyperlink" Target="https://mmo.mn/olympiads/achievements/125122/" TargetMode="External"/><Relationship Id="rId42" Type="http://schemas.openxmlformats.org/officeDocument/2006/relationships/hyperlink" Target="https://mmo.mn/olympiads/answers/194/?s=293" TargetMode="External"/><Relationship Id="rId84" Type="http://schemas.openxmlformats.org/officeDocument/2006/relationships/hyperlink" Target="https://mmo.mn/olympiads/answers/194/?s=291" TargetMode="External"/><Relationship Id="rId138" Type="http://schemas.openxmlformats.org/officeDocument/2006/relationships/hyperlink" Target="https://mmo.mn/olympiads/achievements/70742/" TargetMode="External"/><Relationship Id="rId191" Type="http://schemas.openxmlformats.org/officeDocument/2006/relationships/hyperlink" Target="https://mmo.mn/olympiads/achievements/182731/" TargetMode="External"/><Relationship Id="rId205" Type="http://schemas.openxmlformats.org/officeDocument/2006/relationships/hyperlink" Target="https://mmo.mn/olympiads/achievements/125020/" TargetMode="External"/><Relationship Id="rId247" Type="http://schemas.openxmlformats.org/officeDocument/2006/relationships/hyperlink" Target="https://mmo.mn/olympiads/achievements/125964/" TargetMode="External"/><Relationship Id="rId107" Type="http://schemas.openxmlformats.org/officeDocument/2006/relationships/hyperlink" Target="https://mmo.mn/olympiads/answers/194/?s=283" TargetMode="External"/><Relationship Id="rId11" Type="http://schemas.openxmlformats.org/officeDocument/2006/relationships/hyperlink" Target="https://mmo.mn/olympiads/answers/194/?s=300" TargetMode="External"/><Relationship Id="rId53" Type="http://schemas.openxmlformats.org/officeDocument/2006/relationships/hyperlink" Target="https://mmo.mn/olympiads/answers/194/?s=292" TargetMode="External"/><Relationship Id="rId149" Type="http://schemas.openxmlformats.org/officeDocument/2006/relationships/hyperlink" Target="https://mmo.mn/olympiads/answers/194/?s=29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F36C-2CCC-4E83-845B-778FB16CED2E}">
  <sheetPr>
    <tabColor rgb="FF92D050"/>
  </sheetPr>
  <dimension ref="A1:K211"/>
  <sheetViews>
    <sheetView showGridLines="0" showRowColHeaders="0" view="pageLayout" topLeftCell="A3" zoomScale="77" zoomScaleNormal="100" zoomScaleSheetLayoutView="85" zoomScalePageLayoutView="77" workbookViewId="0">
      <selection activeCell="D12" sqref="D12"/>
    </sheetView>
  </sheetViews>
  <sheetFormatPr defaultColWidth="9.1796875" defaultRowHeight="14" x14ac:dyDescent="0.3"/>
  <cols>
    <col min="1" max="1" width="5.26953125" style="1" customWidth="1"/>
    <col min="2" max="2" width="7.26953125" style="1" customWidth="1"/>
    <col min="3" max="4" width="15.453125" style="1" customWidth="1"/>
    <col min="5" max="5" width="17.1796875" style="1" customWidth="1"/>
    <col min="6" max="6" width="4.1796875" style="1" customWidth="1"/>
    <col min="7" max="10" width="3.453125" style="1" customWidth="1"/>
    <col min="11" max="11" width="6.453125" style="1" customWidth="1"/>
    <col min="12" max="16384" width="9.1796875" style="1"/>
  </cols>
  <sheetData>
    <row r="1" spans="1:11" ht="46.5" customHeight="1" x14ac:dyDescent="0.3">
      <c r="A1" s="146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</row>
    <row r="2" spans="1:11" ht="15.5" x14ac:dyDescent="0.35">
      <c r="A2" s="2"/>
      <c r="B2" s="2"/>
      <c r="C2" s="2"/>
      <c r="D2" s="2"/>
      <c r="E2" s="2"/>
      <c r="F2" s="2"/>
      <c r="G2" s="2"/>
      <c r="H2" s="2"/>
      <c r="J2" s="3" t="s">
        <v>1</v>
      </c>
      <c r="K2" s="2"/>
    </row>
    <row r="3" spans="1:11" ht="18.649999999999999" customHeight="1" x14ac:dyDescent="0.3">
      <c r="A3" s="147" t="s">
        <v>2</v>
      </c>
      <c r="B3" s="147" t="s">
        <v>3</v>
      </c>
      <c r="C3" s="147" t="s">
        <v>4</v>
      </c>
      <c r="D3" s="147" t="s">
        <v>5</v>
      </c>
      <c r="E3" s="148" t="s">
        <v>6</v>
      </c>
      <c r="F3" s="150" t="s">
        <v>7</v>
      </c>
      <c r="G3" s="152" t="s">
        <v>8</v>
      </c>
      <c r="H3" s="152"/>
      <c r="I3" s="152"/>
      <c r="J3" s="152"/>
      <c r="K3" s="153" t="s">
        <v>9</v>
      </c>
    </row>
    <row r="4" spans="1:11" s="6" customFormat="1" ht="15" x14ac:dyDescent="0.35">
      <c r="A4" s="147"/>
      <c r="B4" s="147"/>
      <c r="C4" s="147"/>
      <c r="D4" s="147"/>
      <c r="E4" s="149"/>
      <c r="F4" s="151"/>
      <c r="G4" s="4">
        <v>1</v>
      </c>
      <c r="H4" s="5">
        <v>2</v>
      </c>
      <c r="I4" s="5">
        <v>3</v>
      </c>
      <c r="J4" s="5">
        <v>4</v>
      </c>
      <c r="K4" s="154"/>
    </row>
    <row r="5" spans="1:11" s="6" customFormat="1" ht="14.15" customHeight="1" x14ac:dyDescent="0.35">
      <c r="A5" s="20">
        <v>1</v>
      </c>
      <c r="B5" s="21">
        <v>184009</v>
      </c>
      <c r="C5" s="22" t="s">
        <v>10</v>
      </c>
      <c r="D5" s="22" t="s">
        <v>11</v>
      </c>
      <c r="E5" s="21" t="s">
        <v>12</v>
      </c>
      <c r="F5" s="21">
        <v>6</v>
      </c>
      <c r="G5" s="23">
        <v>7</v>
      </c>
      <c r="H5" s="23">
        <v>7</v>
      </c>
      <c r="I5" s="24">
        <v>4</v>
      </c>
      <c r="J5" s="24">
        <v>0</v>
      </c>
      <c r="K5" s="25">
        <f>SUM(G5:J5)</f>
        <v>18</v>
      </c>
    </row>
    <row r="6" spans="1:11" s="6" customFormat="1" ht="14.15" customHeight="1" x14ac:dyDescent="0.35">
      <c r="A6" s="20">
        <v>2</v>
      </c>
      <c r="B6" s="21">
        <v>183547</v>
      </c>
      <c r="C6" s="22" t="s">
        <v>13</v>
      </c>
      <c r="D6" s="22" t="s">
        <v>14</v>
      </c>
      <c r="E6" s="21" t="s">
        <v>12</v>
      </c>
      <c r="F6" s="21">
        <v>6</v>
      </c>
      <c r="G6" s="25">
        <v>7</v>
      </c>
      <c r="H6" s="25">
        <v>2</v>
      </c>
      <c r="I6" s="25">
        <v>7</v>
      </c>
      <c r="J6" s="25">
        <v>2</v>
      </c>
      <c r="K6" s="25">
        <f>SUM(G6:J6)</f>
        <v>18</v>
      </c>
    </row>
    <row r="7" spans="1:11" s="6" customFormat="1" ht="14.15" customHeight="1" x14ac:dyDescent="0.35">
      <c r="A7" s="20">
        <v>3</v>
      </c>
      <c r="B7" s="21">
        <v>183613</v>
      </c>
      <c r="C7" s="22" t="s">
        <v>15</v>
      </c>
      <c r="D7" s="22" t="s">
        <v>16</v>
      </c>
      <c r="E7" s="21" t="s">
        <v>12</v>
      </c>
      <c r="F7" s="21">
        <v>6</v>
      </c>
      <c r="G7" s="25">
        <v>7</v>
      </c>
      <c r="H7" s="25">
        <v>5</v>
      </c>
      <c r="I7" s="25">
        <v>5</v>
      </c>
      <c r="J7" s="25">
        <v>0</v>
      </c>
      <c r="K7" s="25">
        <f>SUM(G7:J7)</f>
        <v>17</v>
      </c>
    </row>
    <row r="8" spans="1:11" s="6" customFormat="1" ht="14.15" customHeight="1" x14ac:dyDescent="0.35">
      <c r="A8" s="20">
        <v>4</v>
      </c>
      <c r="B8" s="21">
        <v>183979</v>
      </c>
      <c r="C8" s="22" t="s">
        <v>17</v>
      </c>
      <c r="D8" s="22" t="s">
        <v>18</v>
      </c>
      <c r="E8" s="21" t="s">
        <v>12</v>
      </c>
      <c r="F8" s="21">
        <v>6</v>
      </c>
      <c r="G8" s="25">
        <v>7</v>
      </c>
      <c r="H8" s="25">
        <v>6</v>
      </c>
      <c r="I8" s="25">
        <v>4</v>
      </c>
      <c r="J8" s="25">
        <v>0</v>
      </c>
      <c r="K8" s="25">
        <f>SUM(G8:J8)</f>
        <v>17</v>
      </c>
    </row>
    <row r="9" spans="1:11" ht="14.15" customHeight="1" x14ac:dyDescent="0.35">
      <c r="A9" s="20">
        <v>5</v>
      </c>
      <c r="B9" s="22">
        <v>180748</v>
      </c>
      <c r="C9" s="22" t="s">
        <v>19</v>
      </c>
      <c r="D9" s="22" t="s">
        <v>20</v>
      </c>
      <c r="E9" s="22" t="s">
        <v>21</v>
      </c>
      <c r="F9" s="22">
        <v>5</v>
      </c>
      <c r="G9" s="23">
        <v>7</v>
      </c>
      <c r="H9" s="23">
        <v>1</v>
      </c>
      <c r="I9" s="24">
        <v>7</v>
      </c>
      <c r="J9" s="24">
        <v>1</v>
      </c>
      <c r="K9" s="25">
        <f>SUM(G9:J9)</f>
        <v>16</v>
      </c>
    </row>
    <row r="10" spans="1:11" ht="14.15" customHeight="1" x14ac:dyDescent="0.35">
      <c r="A10" s="20">
        <v>6</v>
      </c>
      <c r="B10" s="21">
        <v>18885</v>
      </c>
      <c r="C10" s="22" t="s">
        <v>22</v>
      </c>
      <c r="D10" s="22" t="s">
        <v>23</v>
      </c>
      <c r="E10" s="21" t="s">
        <v>12</v>
      </c>
      <c r="F10" s="21">
        <v>6</v>
      </c>
      <c r="G10" s="25">
        <v>7</v>
      </c>
      <c r="H10" s="25">
        <v>2</v>
      </c>
      <c r="I10" s="25">
        <v>7</v>
      </c>
      <c r="J10" s="25">
        <v>0</v>
      </c>
      <c r="K10" s="25">
        <f>SUM(G10:J10)</f>
        <v>16</v>
      </c>
    </row>
    <row r="11" spans="1:11" ht="14.15" customHeight="1" x14ac:dyDescent="0.35">
      <c r="A11" s="20">
        <v>7</v>
      </c>
      <c r="B11" s="21">
        <v>198730</v>
      </c>
      <c r="C11" s="22" t="s">
        <v>24</v>
      </c>
      <c r="D11" s="22" t="s">
        <v>25</v>
      </c>
      <c r="E11" s="21" t="s">
        <v>26</v>
      </c>
      <c r="F11" s="21">
        <v>6</v>
      </c>
      <c r="G11" s="25">
        <v>7</v>
      </c>
      <c r="H11" s="25">
        <v>0</v>
      </c>
      <c r="I11" s="25">
        <v>7</v>
      </c>
      <c r="J11" s="25">
        <v>2</v>
      </c>
      <c r="K11" s="25">
        <f>SUM(G11:J11)</f>
        <v>16</v>
      </c>
    </row>
    <row r="12" spans="1:11" ht="14.15" customHeight="1" x14ac:dyDescent="0.35">
      <c r="A12" s="20">
        <v>8</v>
      </c>
      <c r="B12" s="21">
        <v>183711</v>
      </c>
      <c r="C12" s="22" t="s">
        <v>27</v>
      </c>
      <c r="D12" s="22" t="s">
        <v>28</v>
      </c>
      <c r="E12" s="21" t="s">
        <v>12</v>
      </c>
      <c r="F12" s="21">
        <v>6</v>
      </c>
      <c r="G12" s="25">
        <v>7</v>
      </c>
      <c r="H12" s="25">
        <v>0</v>
      </c>
      <c r="I12" s="25">
        <v>7</v>
      </c>
      <c r="J12" s="25">
        <v>2</v>
      </c>
      <c r="K12" s="25">
        <f>SUM(G12:J12)</f>
        <v>16</v>
      </c>
    </row>
    <row r="13" spans="1:11" ht="14.15" customHeight="1" x14ac:dyDescent="0.35">
      <c r="A13" s="20">
        <v>9</v>
      </c>
      <c r="B13" s="21">
        <v>195775</v>
      </c>
      <c r="C13" s="22" t="s">
        <v>29</v>
      </c>
      <c r="D13" s="22" t="s">
        <v>30</v>
      </c>
      <c r="E13" s="21" t="s">
        <v>12</v>
      </c>
      <c r="F13" s="21">
        <v>6</v>
      </c>
      <c r="G13" s="23">
        <v>7</v>
      </c>
      <c r="H13" s="23">
        <v>1</v>
      </c>
      <c r="I13" s="24">
        <v>7</v>
      </c>
      <c r="J13" s="24">
        <v>1</v>
      </c>
      <c r="K13" s="25">
        <f>SUM(G13:J13)</f>
        <v>16</v>
      </c>
    </row>
    <row r="14" spans="1:11" ht="14.15" customHeight="1" x14ac:dyDescent="0.35">
      <c r="A14" s="20">
        <v>10</v>
      </c>
      <c r="B14" s="21">
        <v>183064</v>
      </c>
      <c r="C14" s="22" t="s">
        <v>31</v>
      </c>
      <c r="D14" s="22" t="s">
        <v>32</v>
      </c>
      <c r="E14" s="21" t="s">
        <v>26</v>
      </c>
      <c r="F14" s="21">
        <v>6</v>
      </c>
      <c r="G14" s="25">
        <v>7</v>
      </c>
      <c r="H14" s="25">
        <v>0</v>
      </c>
      <c r="I14" s="25">
        <v>7</v>
      </c>
      <c r="J14" s="25">
        <v>1</v>
      </c>
      <c r="K14" s="25">
        <f>SUM(G14:J14)</f>
        <v>15</v>
      </c>
    </row>
    <row r="15" spans="1:11" ht="14.15" customHeight="1" x14ac:dyDescent="0.35">
      <c r="A15" s="20">
        <v>11</v>
      </c>
      <c r="B15" s="21">
        <v>207956</v>
      </c>
      <c r="C15" s="26" t="s">
        <v>33</v>
      </c>
      <c r="D15" s="26" t="s">
        <v>34</v>
      </c>
      <c r="E15" s="21" t="s">
        <v>35</v>
      </c>
      <c r="F15" s="21">
        <v>6</v>
      </c>
      <c r="G15" s="25">
        <v>7</v>
      </c>
      <c r="H15" s="25">
        <v>0</v>
      </c>
      <c r="I15" s="25">
        <v>7</v>
      </c>
      <c r="J15" s="25">
        <v>1</v>
      </c>
      <c r="K15" s="25">
        <f>SUM(G15:J15)</f>
        <v>15</v>
      </c>
    </row>
    <row r="16" spans="1:11" ht="14.15" customHeight="1" x14ac:dyDescent="0.35">
      <c r="A16" s="20">
        <v>12</v>
      </c>
      <c r="B16" s="22">
        <v>200263</v>
      </c>
      <c r="C16" s="22" t="s">
        <v>36</v>
      </c>
      <c r="D16" s="22" t="s">
        <v>37</v>
      </c>
      <c r="E16" s="22" t="s">
        <v>38</v>
      </c>
      <c r="F16" s="22">
        <v>5</v>
      </c>
      <c r="G16" s="25">
        <v>7</v>
      </c>
      <c r="H16" s="25">
        <v>0</v>
      </c>
      <c r="I16" s="25">
        <v>7</v>
      </c>
      <c r="J16" s="25">
        <v>0</v>
      </c>
      <c r="K16" s="25">
        <f>SUM(G16:J16)</f>
        <v>14</v>
      </c>
    </row>
    <row r="17" spans="1:11" ht="14.15" customHeight="1" x14ac:dyDescent="0.35">
      <c r="A17" s="20">
        <v>13</v>
      </c>
      <c r="B17" s="22">
        <v>151036</v>
      </c>
      <c r="C17" s="22" t="s">
        <v>39</v>
      </c>
      <c r="D17" s="22" t="s">
        <v>40</v>
      </c>
      <c r="E17" s="22" t="s">
        <v>41</v>
      </c>
      <c r="F17" s="22">
        <v>6</v>
      </c>
      <c r="G17" s="25">
        <v>6</v>
      </c>
      <c r="H17" s="25">
        <v>0</v>
      </c>
      <c r="I17" s="25">
        <v>7</v>
      </c>
      <c r="J17" s="25">
        <v>1</v>
      </c>
      <c r="K17" s="25">
        <f>SUM(G17:J17)</f>
        <v>14</v>
      </c>
    </row>
    <row r="18" spans="1:11" ht="14.15" customHeight="1" x14ac:dyDescent="0.35">
      <c r="A18" s="20">
        <v>14</v>
      </c>
      <c r="B18" s="22">
        <v>182839</v>
      </c>
      <c r="C18" s="22" t="s">
        <v>42</v>
      </c>
      <c r="D18" s="22" t="s">
        <v>43</v>
      </c>
      <c r="E18" s="22" t="s">
        <v>26</v>
      </c>
      <c r="F18" s="22">
        <v>6</v>
      </c>
      <c r="G18" s="23">
        <v>7</v>
      </c>
      <c r="H18" s="23">
        <v>0</v>
      </c>
      <c r="I18" s="24">
        <v>7</v>
      </c>
      <c r="J18" s="24">
        <v>0</v>
      </c>
      <c r="K18" s="25">
        <f>SUM(G18:J18)</f>
        <v>14</v>
      </c>
    </row>
    <row r="19" spans="1:11" ht="14.15" customHeight="1" x14ac:dyDescent="0.35">
      <c r="A19" s="20">
        <v>15</v>
      </c>
      <c r="B19" s="21">
        <v>212038</v>
      </c>
      <c r="C19" s="22" t="s">
        <v>44</v>
      </c>
      <c r="D19" s="22" t="s">
        <v>45</v>
      </c>
      <c r="E19" s="21" t="s">
        <v>46</v>
      </c>
      <c r="F19" s="21">
        <v>5</v>
      </c>
      <c r="G19" s="25">
        <v>7</v>
      </c>
      <c r="H19" s="25">
        <v>0</v>
      </c>
      <c r="I19" s="25">
        <v>6</v>
      </c>
      <c r="J19" s="25">
        <v>0</v>
      </c>
      <c r="K19" s="25">
        <f>SUM(G19:J19)</f>
        <v>13</v>
      </c>
    </row>
    <row r="20" spans="1:11" ht="14.15" customHeight="1" x14ac:dyDescent="0.35">
      <c r="A20" s="20">
        <v>16</v>
      </c>
      <c r="B20" s="21">
        <v>205249</v>
      </c>
      <c r="C20" s="22" t="s">
        <v>47</v>
      </c>
      <c r="D20" s="22" t="s">
        <v>48</v>
      </c>
      <c r="E20" s="21" t="s">
        <v>35</v>
      </c>
      <c r="F20" s="21">
        <v>5</v>
      </c>
      <c r="G20" s="25">
        <v>5</v>
      </c>
      <c r="H20" s="25">
        <v>1</v>
      </c>
      <c r="I20" s="25">
        <v>7</v>
      </c>
      <c r="J20" s="25">
        <v>0</v>
      </c>
      <c r="K20" s="25">
        <f>SUM(G20:J20)</f>
        <v>13</v>
      </c>
    </row>
    <row r="21" spans="1:11" ht="14.15" customHeight="1" x14ac:dyDescent="0.35">
      <c r="A21" s="20">
        <v>17</v>
      </c>
      <c r="B21" s="21">
        <v>183972</v>
      </c>
      <c r="C21" s="22" t="s">
        <v>49</v>
      </c>
      <c r="D21" s="22" t="s">
        <v>50</v>
      </c>
      <c r="E21" s="21" t="s">
        <v>12</v>
      </c>
      <c r="F21" s="21">
        <v>6</v>
      </c>
      <c r="G21" s="23">
        <v>7</v>
      </c>
      <c r="H21" s="23">
        <v>1</v>
      </c>
      <c r="I21" s="24">
        <v>5</v>
      </c>
      <c r="J21" s="24">
        <v>0</v>
      </c>
      <c r="K21" s="25">
        <f>SUM(G21:J21)</f>
        <v>13</v>
      </c>
    </row>
    <row r="22" spans="1:11" ht="14.15" customHeight="1" x14ac:dyDescent="0.35">
      <c r="A22" s="20">
        <v>18</v>
      </c>
      <c r="B22" s="21">
        <v>183122</v>
      </c>
      <c r="C22" s="22" t="s">
        <v>51</v>
      </c>
      <c r="D22" s="22" t="s">
        <v>30</v>
      </c>
      <c r="E22" s="21" t="s">
        <v>26</v>
      </c>
      <c r="F22" s="21">
        <v>6</v>
      </c>
      <c r="G22" s="25">
        <v>2</v>
      </c>
      <c r="H22" s="25">
        <v>1</v>
      </c>
      <c r="I22" s="25">
        <v>5</v>
      </c>
      <c r="J22" s="25">
        <v>4</v>
      </c>
      <c r="K22" s="25">
        <f>SUM(G22:J22)</f>
        <v>12</v>
      </c>
    </row>
    <row r="23" spans="1:11" ht="14.15" customHeight="1" x14ac:dyDescent="0.35">
      <c r="A23" s="20">
        <v>19</v>
      </c>
      <c r="B23" s="22">
        <v>183146</v>
      </c>
      <c r="C23" s="22" t="s">
        <v>52</v>
      </c>
      <c r="D23" s="22" t="s">
        <v>53</v>
      </c>
      <c r="E23" s="22" t="s">
        <v>26</v>
      </c>
      <c r="F23" s="22">
        <v>6</v>
      </c>
      <c r="G23" s="25">
        <v>7</v>
      </c>
      <c r="H23" s="25">
        <v>0</v>
      </c>
      <c r="I23" s="25">
        <v>4</v>
      </c>
      <c r="J23" s="25">
        <v>1</v>
      </c>
      <c r="K23" s="25">
        <f>SUM(G23:J23)</f>
        <v>12</v>
      </c>
    </row>
    <row r="24" spans="1:11" ht="14.15" customHeight="1" x14ac:dyDescent="0.35">
      <c r="A24" s="20">
        <v>20</v>
      </c>
      <c r="B24" s="21">
        <v>183612</v>
      </c>
      <c r="C24" s="22" t="s">
        <v>54</v>
      </c>
      <c r="D24" s="22" t="s">
        <v>55</v>
      </c>
      <c r="E24" s="21" t="s">
        <v>12</v>
      </c>
      <c r="F24" s="21">
        <v>6</v>
      </c>
      <c r="G24" s="25">
        <v>7</v>
      </c>
      <c r="H24" s="25">
        <v>0</v>
      </c>
      <c r="I24" s="25">
        <v>5</v>
      </c>
      <c r="J24" s="25">
        <v>0</v>
      </c>
      <c r="K24" s="25">
        <f>SUM(G24:J24)</f>
        <v>12</v>
      </c>
    </row>
    <row r="25" spans="1:11" ht="14.15" customHeight="1" x14ac:dyDescent="0.35">
      <c r="A25" s="20">
        <v>21</v>
      </c>
      <c r="B25" s="21">
        <v>184465</v>
      </c>
      <c r="C25" s="22" t="s">
        <v>56</v>
      </c>
      <c r="D25" s="22" t="s">
        <v>57</v>
      </c>
      <c r="E25" s="21" t="s">
        <v>12</v>
      </c>
      <c r="F25" s="21">
        <v>6</v>
      </c>
      <c r="G25" s="23">
        <v>7</v>
      </c>
      <c r="H25" s="23">
        <v>1</v>
      </c>
      <c r="I25" s="24">
        <v>4</v>
      </c>
      <c r="J25" s="24">
        <v>0</v>
      </c>
      <c r="K25" s="25">
        <f>SUM(G25:J25)</f>
        <v>12</v>
      </c>
    </row>
    <row r="26" spans="1:11" ht="14.15" customHeight="1" x14ac:dyDescent="0.35">
      <c r="A26" s="20">
        <v>22</v>
      </c>
      <c r="B26" s="21">
        <v>183981</v>
      </c>
      <c r="C26" s="22" t="s">
        <v>58</v>
      </c>
      <c r="D26" s="22" t="s">
        <v>59</v>
      </c>
      <c r="E26" s="21" t="s">
        <v>12</v>
      </c>
      <c r="F26" s="21">
        <v>6</v>
      </c>
      <c r="G26" s="23">
        <v>0</v>
      </c>
      <c r="H26" s="23">
        <v>7</v>
      </c>
      <c r="I26" s="24">
        <v>5</v>
      </c>
      <c r="J26" s="24">
        <v>0</v>
      </c>
      <c r="K26" s="25">
        <f>SUM(G26:J26)</f>
        <v>12</v>
      </c>
    </row>
    <row r="27" spans="1:11" ht="14.15" customHeight="1" x14ac:dyDescent="0.35">
      <c r="A27" s="20">
        <v>23</v>
      </c>
      <c r="B27" s="9">
        <v>206981</v>
      </c>
      <c r="C27" s="9" t="s">
        <v>60</v>
      </c>
      <c r="D27" s="9" t="s">
        <v>61</v>
      </c>
      <c r="E27" s="9" t="s">
        <v>62</v>
      </c>
      <c r="F27" s="9">
        <v>5</v>
      </c>
      <c r="G27" s="12">
        <v>7</v>
      </c>
      <c r="H27" s="12">
        <v>0</v>
      </c>
      <c r="I27" s="12">
        <v>4</v>
      </c>
      <c r="J27" s="12">
        <v>0</v>
      </c>
      <c r="K27" s="12">
        <f>SUM(G27:J27)</f>
        <v>11</v>
      </c>
    </row>
    <row r="28" spans="1:11" ht="14.15" customHeight="1" x14ac:dyDescent="0.35">
      <c r="A28" s="20">
        <v>24</v>
      </c>
      <c r="B28" s="9">
        <v>213267</v>
      </c>
      <c r="C28" s="9" t="s">
        <v>63</v>
      </c>
      <c r="D28" s="9" t="s">
        <v>64</v>
      </c>
      <c r="E28" s="9" t="s">
        <v>46</v>
      </c>
      <c r="F28" s="9">
        <v>5</v>
      </c>
      <c r="G28" s="10">
        <v>0</v>
      </c>
      <c r="H28" s="10">
        <v>4</v>
      </c>
      <c r="I28" s="11">
        <v>7</v>
      </c>
      <c r="J28" s="11">
        <v>0</v>
      </c>
      <c r="K28" s="12">
        <f>SUM(G28:J28)</f>
        <v>11</v>
      </c>
    </row>
    <row r="29" spans="1:11" ht="14.15" customHeight="1" x14ac:dyDescent="0.35">
      <c r="A29" s="20">
        <v>25</v>
      </c>
      <c r="B29" s="8">
        <v>215467</v>
      </c>
      <c r="C29" s="9" t="s">
        <v>65</v>
      </c>
      <c r="D29" s="9" t="s">
        <v>66</v>
      </c>
      <c r="E29" s="8" t="s">
        <v>67</v>
      </c>
      <c r="F29" s="8">
        <v>5</v>
      </c>
      <c r="G29" s="10">
        <v>7</v>
      </c>
      <c r="H29" s="10">
        <v>0</v>
      </c>
      <c r="I29" s="11">
        <v>4</v>
      </c>
      <c r="J29" s="11">
        <v>0</v>
      </c>
      <c r="K29" s="12">
        <f>SUM(G29:J29)</f>
        <v>11</v>
      </c>
    </row>
    <row r="30" spans="1:11" ht="14.15" customHeight="1" x14ac:dyDescent="0.35">
      <c r="A30" s="20">
        <v>26</v>
      </c>
      <c r="B30" s="8">
        <v>226863</v>
      </c>
      <c r="C30" s="9" t="s">
        <v>68</v>
      </c>
      <c r="D30" s="9" t="s">
        <v>69</v>
      </c>
      <c r="E30" s="8" t="s">
        <v>70</v>
      </c>
      <c r="F30" s="8">
        <v>5</v>
      </c>
      <c r="G30" s="12">
        <v>7</v>
      </c>
      <c r="H30" s="12">
        <v>0</v>
      </c>
      <c r="I30" s="12">
        <v>4</v>
      </c>
      <c r="J30" s="12">
        <v>0</v>
      </c>
      <c r="K30" s="12">
        <f>SUM(G30:J30)</f>
        <v>11</v>
      </c>
    </row>
    <row r="31" spans="1:11" ht="14.15" customHeight="1" x14ac:dyDescent="0.35">
      <c r="A31" s="20">
        <v>27</v>
      </c>
      <c r="B31" s="9">
        <v>125526</v>
      </c>
      <c r="C31" s="9" t="s">
        <v>71</v>
      </c>
      <c r="D31" s="9" t="s">
        <v>72</v>
      </c>
      <c r="E31" s="9" t="s">
        <v>73</v>
      </c>
      <c r="F31" s="9">
        <v>6</v>
      </c>
      <c r="G31" s="10">
        <v>7</v>
      </c>
      <c r="H31" s="10">
        <v>0</v>
      </c>
      <c r="I31" s="11">
        <v>4</v>
      </c>
      <c r="J31" s="11">
        <v>0</v>
      </c>
      <c r="K31" s="12">
        <f>SUM(G31:J31)</f>
        <v>11</v>
      </c>
    </row>
    <row r="32" spans="1:11" ht="14.15" customHeight="1" x14ac:dyDescent="0.35">
      <c r="A32" s="20">
        <v>28</v>
      </c>
      <c r="B32" s="8">
        <v>183852</v>
      </c>
      <c r="C32" s="9" t="s">
        <v>74</v>
      </c>
      <c r="D32" s="9" t="s">
        <v>75</v>
      </c>
      <c r="E32" s="8" t="s">
        <v>12</v>
      </c>
      <c r="F32" s="8">
        <v>6</v>
      </c>
      <c r="G32" s="10">
        <v>7</v>
      </c>
      <c r="H32" s="10">
        <v>0</v>
      </c>
      <c r="I32" s="11">
        <v>4</v>
      </c>
      <c r="J32" s="11">
        <v>0</v>
      </c>
      <c r="K32" s="12">
        <f>SUM(G32:J32)</f>
        <v>11</v>
      </c>
    </row>
    <row r="33" spans="1:11" ht="14.15" customHeight="1" x14ac:dyDescent="0.35">
      <c r="A33" s="20">
        <v>29</v>
      </c>
      <c r="B33" s="9">
        <v>191716</v>
      </c>
      <c r="C33" s="9" t="s">
        <v>56</v>
      </c>
      <c r="D33" s="9" t="s">
        <v>76</v>
      </c>
      <c r="E33" s="9" t="s">
        <v>35</v>
      </c>
      <c r="F33" s="9">
        <v>6</v>
      </c>
      <c r="G33" s="12">
        <v>2</v>
      </c>
      <c r="H33" s="12">
        <v>2</v>
      </c>
      <c r="I33" s="12">
        <v>7</v>
      </c>
      <c r="J33" s="12">
        <v>0</v>
      </c>
      <c r="K33" s="12">
        <f>SUM(G33:J33)</f>
        <v>11</v>
      </c>
    </row>
    <row r="34" spans="1:11" ht="14.15" customHeight="1" x14ac:dyDescent="0.35">
      <c r="A34" s="20">
        <v>30</v>
      </c>
      <c r="B34" s="9">
        <v>137794</v>
      </c>
      <c r="C34" s="9" t="s">
        <v>77</v>
      </c>
      <c r="D34" s="9" t="s">
        <v>78</v>
      </c>
      <c r="E34" s="9" t="s">
        <v>21</v>
      </c>
      <c r="F34" s="9">
        <v>5</v>
      </c>
      <c r="G34" s="10">
        <v>2</v>
      </c>
      <c r="H34" s="10">
        <v>1</v>
      </c>
      <c r="I34" s="11">
        <v>7</v>
      </c>
      <c r="J34" s="11">
        <v>0</v>
      </c>
      <c r="K34" s="12">
        <f>SUM(G34:J34)</f>
        <v>10</v>
      </c>
    </row>
    <row r="35" spans="1:11" ht="14.15" customHeight="1" x14ac:dyDescent="0.35">
      <c r="A35" s="20">
        <v>31</v>
      </c>
      <c r="B35" s="8">
        <v>143236</v>
      </c>
      <c r="C35" s="13" t="s">
        <v>79</v>
      </c>
      <c r="D35" s="13" t="s">
        <v>28</v>
      </c>
      <c r="E35" s="8" t="s">
        <v>46</v>
      </c>
      <c r="F35" s="8">
        <v>6</v>
      </c>
      <c r="G35" s="12">
        <v>2</v>
      </c>
      <c r="H35" s="12">
        <v>1</v>
      </c>
      <c r="I35" s="12">
        <v>7</v>
      </c>
      <c r="J35" s="12">
        <v>0</v>
      </c>
      <c r="K35" s="12">
        <f>SUM(G35:J35)</f>
        <v>10</v>
      </c>
    </row>
    <row r="36" spans="1:11" ht="14.15" customHeight="1" x14ac:dyDescent="0.35">
      <c r="A36" s="20">
        <v>32</v>
      </c>
      <c r="B36" s="8">
        <v>113825</v>
      </c>
      <c r="C36" s="9" t="s">
        <v>80</v>
      </c>
      <c r="D36" s="9" t="s">
        <v>81</v>
      </c>
      <c r="E36" s="8" t="s">
        <v>12</v>
      </c>
      <c r="F36" s="8">
        <v>6</v>
      </c>
      <c r="G36" s="12">
        <v>5</v>
      </c>
      <c r="H36" s="12">
        <v>1</v>
      </c>
      <c r="I36" s="12">
        <v>4</v>
      </c>
      <c r="J36" s="12">
        <v>0</v>
      </c>
      <c r="K36" s="12">
        <f>SUM(G36:J36)</f>
        <v>10</v>
      </c>
    </row>
    <row r="37" spans="1:11" ht="14.15" customHeight="1" x14ac:dyDescent="0.35">
      <c r="A37" s="20">
        <v>33</v>
      </c>
      <c r="B37" s="8">
        <v>194642</v>
      </c>
      <c r="C37" s="9" t="s">
        <v>82</v>
      </c>
      <c r="D37" s="9" t="s">
        <v>28</v>
      </c>
      <c r="E37" s="8" t="s">
        <v>83</v>
      </c>
      <c r="F37" s="8">
        <v>6</v>
      </c>
      <c r="G37" s="12">
        <v>4</v>
      </c>
      <c r="H37" s="12">
        <v>1</v>
      </c>
      <c r="I37" s="12">
        <v>5</v>
      </c>
      <c r="J37" s="12">
        <v>0</v>
      </c>
      <c r="K37" s="12">
        <f>SUM(G37:J37)</f>
        <v>10</v>
      </c>
    </row>
    <row r="38" spans="1:11" ht="15.5" x14ac:dyDescent="0.35">
      <c r="A38" s="20">
        <v>34</v>
      </c>
      <c r="B38" s="9">
        <v>183024</v>
      </c>
      <c r="C38" s="9" t="s">
        <v>84</v>
      </c>
      <c r="D38" s="9" t="s">
        <v>85</v>
      </c>
      <c r="E38" s="9" t="s">
        <v>26</v>
      </c>
      <c r="F38" s="9">
        <v>6</v>
      </c>
      <c r="G38" s="12">
        <v>2</v>
      </c>
      <c r="H38" s="12">
        <v>0</v>
      </c>
      <c r="I38" s="12">
        <v>7</v>
      </c>
      <c r="J38" s="12">
        <v>1</v>
      </c>
      <c r="K38" s="12">
        <f>SUM(G38:J38)</f>
        <v>10</v>
      </c>
    </row>
    <row r="39" spans="1:11" ht="15.5" x14ac:dyDescent="0.35">
      <c r="A39" s="20">
        <v>35</v>
      </c>
      <c r="B39" s="8">
        <v>183454</v>
      </c>
      <c r="C39" s="9" t="s">
        <v>86</v>
      </c>
      <c r="D39" s="9" t="s">
        <v>30</v>
      </c>
      <c r="E39" s="8" t="s">
        <v>12</v>
      </c>
      <c r="F39" s="8">
        <v>6</v>
      </c>
      <c r="G39" s="10">
        <v>5</v>
      </c>
      <c r="H39" s="10">
        <v>0</v>
      </c>
      <c r="I39" s="11">
        <v>5</v>
      </c>
      <c r="J39" s="11">
        <v>0</v>
      </c>
      <c r="K39" s="12">
        <f>SUM(G39:J39)</f>
        <v>10</v>
      </c>
    </row>
    <row r="40" spans="1:11" ht="15.5" x14ac:dyDescent="0.35">
      <c r="A40" s="20">
        <v>36</v>
      </c>
      <c r="B40" s="9">
        <v>200269</v>
      </c>
      <c r="C40" s="9" t="s">
        <v>87</v>
      </c>
      <c r="D40" s="9" t="s">
        <v>88</v>
      </c>
      <c r="E40" s="9" t="s">
        <v>38</v>
      </c>
      <c r="F40" s="9">
        <v>5</v>
      </c>
      <c r="G40" s="10">
        <v>7</v>
      </c>
      <c r="H40" s="10">
        <v>0</v>
      </c>
      <c r="I40" s="11">
        <v>2</v>
      </c>
      <c r="J40" s="11">
        <v>0</v>
      </c>
      <c r="K40" s="12">
        <f>SUM(G40:J40)</f>
        <v>9</v>
      </c>
    </row>
    <row r="41" spans="1:11" ht="15.5" x14ac:dyDescent="0.35">
      <c r="A41" s="20">
        <v>37</v>
      </c>
      <c r="B41" s="8">
        <v>183570</v>
      </c>
      <c r="C41" s="9" t="s">
        <v>89</v>
      </c>
      <c r="D41" s="9" t="s">
        <v>90</v>
      </c>
      <c r="E41" s="8" t="s">
        <v>12</v>
      </c>
      <c r="F41" s="8">
        <v>6</v>
      </c>
      <c r="G41" s="10">
        <v>0</v>
      </c>
      <c r="H41" s="10">
        <v>2</v>
      </c>
      <c r="I41" s="11">
        <v>7</v>
      </c>
      <c r="J41" s="11">
        <v>0</v>
      </c>
      <c r="K41" s="12">
        <f>SUM(G41:J41)</f>
        <v>9</v>
      </c>
    </row>
    <row r="42" spans="1:11" ht="15.5" x14ac:dyDescent="0.35">
      <c r="A42" s="20">
        <v>38</v>
      </c>
      <c r="B42" s="8">
        <v>183999</v>
      </c>
      <c r="C42" s="9" t="s">
        <v>56</v>
      </c>
      <c r="D42" s="9" t="s">
        <v>91</v>
      </c>
      <c r="E42" s="8" t="s">
        <v>12</v>
      </c>
      <c r="F42" s="8">
        <v>6</v>
      </c>
      <c r="G42" s="10">
        <v>0</v>
      </c>
      <c r="H42" s="10">
        <v>1</v>
      </c>
      <c r="I42" s="11">
        <v>7</v>
      </c>
      <c r="J42" s="11">
        <v>1</v>
      </c>
      <c r="K42" s="12">
        <f>SUM(G42:J42)</f>
        <v>9</v>
      </c>
    </row>
    <row r="43" spans="1:11" ht="15.5" x14ac:dyDescent="0.35">
      <c r="A43" s="20">
        <v>39</v>
      </c>
      <c r="B43" s="8">
        <v>20256</v>
      </c>
      <c r="C43" s="9" t="s">
        <v>92</v>
      </c>
      <c r="D43" s="9" t="s">
        <v>93</v>
      </c>
      <c r="E43" s="8" t="s">
        <v>94</v>
      </c>
      <c r="F43" s="8">
        <v>6</v>
      </c>
      <c r="G43" s="12">
        <v>7</v>
      </c>
      <c r="H43" s="12">
        <v>0</v>
      </c>
      <c r="I43" s="12">
        <v>0</v>
      </c>
      <c r="J43" s="12">
        <v>2</v>
      </c>
      <c r="K43" s="12">
        <f>SUM(G43:J43)</f>
        <v>9</v>
      </c>
    </row>
    <row r="44" spans="1:11" ht="15.5" x14ac:dyDescent="0.35">
      <c r="A44" s="20">
        <v>40</v>
      </c>
      <c r="B44" s="9">
        <v>225043</v>
      </c>
      <c r="C44" s="9" t="s">
        <v>95</v>
      </c>
      <c r="D44" s="9" t="s">
        <v>96</v>
      </c>
      <c r="E44" s="9" t="s">
        <v>97</v>
      </c>
      <c r="F44" s="9">
        <v>5</v>
      </c>
      <c r="G44" s="12">
        <v>2</v>
      </c>
      <c r="H44" s="12">
        <v>4</v>
      </c>
      <c r="I44" s="12">
        <v>2</v>
      </c>
      <c r="J44" s="12">
        <v>0</v>
      </c>
      <c r="K44" s="12">
        <f>SUM(G44:J44)</f>
        <v>8</v>
      </c>
    </row>
    <row r="45" spans="1:11" ht="15.5" x14ac:dyDescent="0.35">
      <c r="A45" s="20">
        <v>41</v>
      </c>
      <c r="B45" s="8">
        <v>218423</v>
      </c>
      <c r="C45" s="9" t="s">
        <v>98</v>
      </c>
      <c r="D45" s="9" t="s">
        <v>99</v>
      </c>
      <c r="E45" s="8" t="s">
        <v>100</v>
      </c>
      <c r="F45" s="8">
        <v>5</v>
      </c>
      <c r="G45" s="12">
        <v>7</v>
      </c>
      <c r="H45" s="12">
        <v>0</v>
      </c>
      <c r="I45" s="12">
        <v>1</v>
      </c>
      <c r="J45" s="12">
        <v>0</v>
      </c>
      <c r="K45" s="12">
        <f>SUM(G45:J45)</f>
        <v>8</v>
      </c>
    </row>
    <row r="46" spans="1:11" ht="15.5" x14ac:dyDescent="0.35">
      <c r="A46" s="20">
        <v>42</v>
      </c>
      <c r="B46" s="8">
        <v>222656</v>
      </c>
      <c r="C46" s="9" t="s">
        <v>101</v>
      </c>
      <c r="D46" s="9" t="s">
        <v>102</v>
      </c>
      <c r="E46" s="8" t="s">
        <v>97</v>
      </c>
      <c r="F46" s="8">
        <v>6</v>
      </c>
      <c r="G46" s="12">
        <v>0</v>
      </c>
      <c r="H46" s="12">
        <v>2</v>
      </c>
      <c r="I46" s="12">
        <v>4</v>
      </c>
      <c r="J46" s="12">
        <v>2</v>
      </c>
      <c r="K46" s="12">
        <f>SUM(G46:J46)</f>
        <v>8</v>
      </c>
    </row>
    <row r="47" spans="1:11" ht="15.5" x14ac:dyDescent="0.35">
      <c r="A47" s="20">
        <v>43</v>
      </c>
      <c r="B47" s="8">
        <v>183490</v>
      </c>
      <c r="C47" s="9" t="s">
        <v>103</v>
      </c>
      <c r="D47" s="9" t="s">
        <v>28</v>
      </c>
      <c r="E47" s="8" t="s">
        <v>12</v>
      </c>
      <c r="F47" s="8">
        <v>6</v>
      </c>
      <c r="G47" s="10">
        <v>0</v>
      </c>
      <c r="H47" s="10">
        <v>1</v>
      </c>
      <c r="I47" s="11">
        <v>7</v>
      </c>
      <c r="J47" s="11">
        <v>0</v>
      </c>
      <c r="K47" s="12">
        <f>SUM(G47:J47)</f>
        <v>8</v>
      </c>
    </row>
    <row r="48" spans="1:11" ht="15.5" x14ac:dyDescent="0.35">
      <c r="A48" s="20">
        <v>44</v>
      </c>
      <c r="B48" s="8">
        <v>193369</v>
      </c>
      <c r="C48" s="9" t="s">
        <v>104</v>
      </c>
      <c r="D48" s="9" t="s">
        <v>105</v>
      </c>
      <c r="E48" s="8" t="s">
        <v>35</v>
      </c>
      <c r="F48" s="8">
        <v>6</v>
      </c>
      <c r="G48" s="10">
        <v>0</v>
      </c>
      <c r="H48" s="10">
        <v>2</v>
      </c>
      <c r="I48" s="11">
        <v>5</v>
      </c>
      <c r="J48" s="11">
        <v>1</v>
      </c>
      <c r="K48" s="12">
        <f>SUM(G48:J48)</f>
        <v>8</v>
      </c>
    </row>
    <row r="49" spans="1:11" ht="15.5" x14ac:dyDescent="0.35">
      <c r="A49" s="20">
        <v>45</v>
      </c>
      <c r="B49" s="9">
        <v>214769</v>
      </c>
      <c r="C49" s="13" t="s">
        <v>106</v>
      </c>
      <c r="D49" s="13" t="s">
        <v>107</v>
      </c>
      <c r="E49" s="9" t="s">
        <v>41</v>
      </c>
      <c r="F49" s="9">
        <v>5</v>
      </c>
      <c r="G49" s="12">
        <v>0</v>
      </c>
      <c r="H49" s="12">
        <v>0</v>
      </c>
      <c r="I49" s="12">
        <v>7</v>
      </c>
      <c r="J49" s="12">
        <v>0</v>
      </c>
      <c r="K49" s="12">
        <f>SUM(G49:J49)</f>
        <v>7</v>
      </c>
    </row>
    <row r="50" spans="1:11" ht="15.5" x14ac:dyDescent="0.35">
      <c r="A50" s="20">
        <v>46</v>
      </c>
      <c r="B50" s="9">
        <v>200246</v>
      </c>
      <c r="C50" s="9" t="s">
        <v>108</v>
      </c>
      <c r="D50" s="9" t="s">
        <v>109</v>
      </c>
      <c r="E50" s="9" t="s">
        <v>38</v>
      </c>
      <c r="F50" s="9">
        <v>5</v>
      </c>
      <c r="G50" s="12">
        <v>7</v>
      </c>
      <c r="H50" s="12">
        <v>0</v>
      </c>
      <c r="I50" s="12">
        <v>0</v>
      </c>
      <c r="J50" s="12">
        <v>0</v>
      </c>
      <c r="K50" s="12">
        <f>SUM(G50:J50)</f>
        <v>7</v>
      </c>
    </row>
    <row r="51" spans="1:11" ht="15.5" x14ac:dyDescent="0.35">
      <c r="A51" s="20">
        <v>47</v>
      </c>
      <c r="B51" s="9">
        <v>232034</v>
      </c>
      <c r="C51" s="9" t="s">
        <v>110</v>
      </c>
      <c r="D51" s="9" t="s">
        <v>111</v>
      </c>
      <c r="E51" s="9" t="s">
        <v>112</v>
      </c>
      <c r="F51" s="9">
        <v>5</v>
      </c>
      <c r="G51" s="12">
        <v>7</v>
      </c>
      <c r="H51" s="12">
        <v>0</v>
      </c>
      <c r="I51" s="12">
        <v>0</v>
      </c>
      <c r="J51" s="12">
        <v>0</v>
      </c>
      <c r="K51" s="12">
        <f>SUM(G51:J51)</f>
        <v>7</v>
      </c>
    </row>
    <row r="52" spans="1:11" ht="15.5" x14ac:dyDescent="0.35">
      <c r="A52" s="20">
        <v>48</v>
      </c>
      <c r="B52" s="9">
        <v>231891</v>
      </c>
      <c r="C52" s="9" t="s">
        <v>113</v>
      </c>
      <c r="D52" s="9" t="s">
        <v>114</v>
      </c>
      <c r="E52" s="9" t="s">
        <v>115</v>
      </c>
      <c r="F52" s="9">
        <v>5</v>
      </c>
      <c r="G52" s="10">
        <v>7</v>
      </c>
      <c r="H52" s="10">
        <v>0</v>
      </c>
      <c r="I52" s="11">
        <v>0</v>
      </c>
      <c r="J52" s="11">
        <v>0</v>
      </c>
      <c r="K52" s="12">
        <f>SUM(G52:J52)</f>
        <v>7</v>
      </c>
    </row>
    <row r="53" spans="1:11" ht="15.5" x14ac:dyDescent="0.35">
      <c r="A53" s="20">
        <v>49</v>
      </c>
      <c r="B53" s="9">
        <v>200209</v>
      </c>
      <c r="C53" s="9" t="s">
        <v>89</v>
      </c>
      <c r="D53" s="9" t="s">
        <v>116</v>
      </c>
      <c r="E53" s="9" t="s">
        <v>38</v>
      </c>
      <c r="F53" s="9">
        <v>5</v>
      </c>
      <c r="G53" s="10">
        <v>7</v>
      </c>
      <c r="H53" s="10">
        <v>0</v>
      </c>
      <c r="I53" s="11">
        <v>0</v>
      </c>
      <c r="J53" s="11">
        <v>0</v>
      </c>
      <c r="K53" s="12">
        <f>SUM(G53:J53)</f>
        <v>7</v>
      </c>
    </row>
    <row r="54" spans="1:11" ht="15.5" x14ac:dyDescent="0.35">
      <c r="A54" s="20">
        <v>50</v>
      </c>
      <c r="B54" s="9">
        <v>200173</v>
      </c>
      <c r="C54" s="9" t="s">
        <v>117</v>
      </c>
      <c r="D54" s="9" t="s">
        <v>118</v>
      </c>
      <c r="E54" s="9" t="s">
        <v>38</v>
      </c>
      <c r="F54" s="9">
        <v>5</v>
      </c>
      <c r="G54" s="10">
        <v>2</v>
      </c>
      <c r="H54" s="10">
        <v>1</v>
      </c>
      <c r="I54" s="11">
        <v>4</v>
      </c>
      <c r="J54" s="11">
        <v>0</v>
      </c>
      <c r="K54" s="12">
        <f>SUM(G54:J54)</f>
        <v>7</v>
      </c>
    </row>
    <row r="55" spans="1:11" ht="15.5" x14ac:dyDescent="0.35">
      <c r="A55" s="20">
        <v>51</v>
      </c>
      <c r="B55" s="8">
        <v>126342</v>
      </c>
      <c r="C55" s="9" t="s">
        <v>119</v>
      </c>
      <c r="D55" s="9" t="s">
        <v>120</v>
      </c>
      <c r="E55" s="8" t="s">
        <v>12</v>
      </c>
      <c r="F55" s="8">
        <v>6</v>
      </c>
      <c r="G55" s="12">
        <v>0</v>
      </c>
      <c r="H55" s="12">
        <v>0</v>
      </c>
      <c r="I55" s="12">
        <v>7</v>
      </c>
      <c r="J55" s="12">
        <v>0</v>
      </c>
      <c r="K55" s="12">
        <f>SUM(G55:J55)</f>
        <v>7</v>
      </c>
    </row>
    <row r="56" spans="1:11" ht="15.5" x14ac:dyDescent="0.35">
      <c r="A56" s="20">
        <v>52</v>
      </c>
      <c r="B56" s="9">
        <v>208014</v>
      </c>
      <c r="C56" s="9" t="s">
        <v>121</v>
      </c>
      <c r="D56" s="9" t="s">
        <v>74</v>
      </c>
      <c r="E56" s="9" t="s">
        <v>122</v>
      </c>
      <c r="F56" s="9">
        <v>6</v>
      </c>
      <c r="G56" s="10">
        <v>7</v>
      </c>
      <c r="H56" s="10">
        <v>0</v>
      </c>
      <c r="I56" s="11">
        <v>0</v>
      </c>
      <c r="J56" s="11">
        <v>0</v>
      </c>
      <c r="K56" s="12">
        <f>SUM(G56:J56)</f>
        <v>7</v>
      </c>
    </row>
    <row r="57" spans="1:11" ht="15.5" x14ac:dyDescent="0.35">
      <c r="A57" s="20">
        <v>53</v>
      </c>
      <c r="B57" s="8">
        <v>221133</v>
      </c>
      <c r="C57" s="9" t="s">
        <v>123</v>
      </c>
      <c r="D57" s="9" t="s">
        <v>124</v>
      </c>
      <c r="E57" s="8" t="s">
        <v>35</v>
      </c>
      <c r="F57" s="8">
        <v>6</v>
      </c>
      <c r="G57" s="10">
        <v>7</v>
      </c>
      <c r="H57" s="10">
        <v>0</v>
      </c>
      <c r="I57" s="11">
        <v>0</v>
      </c>
      <c r="J57" s="11">
        <v>0</v>
      </c>
      <c r="K57" s="12">
        <f>SUM(G57:J57)</f>
        <v>7</v>
      </c>
    </row>
    <row r="58" spans="1:11" ht="15.5" x14ac:dyDescent="0.35">
      <c r="A58" s="20">
        <v>54</v>
      </c>
      <c r="B58" s="9">
        <v>217544</v>
      </c>
      <c r="C58" s="9" t="s">
        <v>125</v>
      </c>
      <c r="D58" s="9" t="s">
        <v>37</v>
      </c>
      <c r="E58" s="9" t="s">
        <v>126</v>
      </c>
      <c r="F58" s="9">
        <v>5</v>
      </c>
      <c r="G58" s="12">
        <v>0</v>
      </c>
      <c r="H58" s="12">
        <v>1</v>
      </c>
      <c r="I58" s="12">
        <v>5</v>
      </c>
      <c r="J58" s="12">
        <v>0</v>
      </c>
      <c r="K58" s="12">
        <f>SUM(G58:J58)</f>
        <v>6</v>
      </c>
    </row>
    <row r="59" spans="1:11" ht="15.5" x14ac:dyDescent="0.35">
      <c r="A59" s="20">
        <v>55</v>
      </c>
      <c r="B59" s="14">
        <v>182833</v>
      </c>
      <c r="C59" s="13" t="s">
        <v>127</v>
      </c>
      <c r="D59" s="13" t="s">
        <v>128</v>
      </c>
      <c r="E59" s="8" t="s">
        <v>26</v>
      </c>
      <c r="F59" s="8">
        <v>6</v>
      </c>
      <c r="G59" s="12">
        <v>2</v>
      </c>
      <c r="H59" s="12">
        <v>0</v>
      </c>
      <c r="I59" s="12">
        <v>4</v>
      </c>
      <c r="J59" s="12">
        <v>0</v>
      </c>
      <c r="K59" s="12">
        <f>SUM(G59:J59)</f>
        <v>6</v>
      </c>
    </row>
    <row r="60" spans="1:11" ht="15.5" x14ac:dyDescent="0.35">
      <c r="A60" s="20">
        <v>56</v>
      </c>
      <c r="B60" s="9">
        <v>158754</v>
      </c>
      <c r="C60" s="13" t="s">
        <v>129</v>
      </c>
      <c r="D60" s="13" t="s">
        <v>130</v>
      </c>
      <c r="E60" s="9" t="s">
        <v>131</v>
      </c>
      <c r="F60" s="9">
        <v>6</v>
      </c>
      <c r="G60" s="12">
        <v>0</v>
      </c>
      <c r="H60" s="12">
        <v>0</v>
      </c>
      <c r="I60" s="12">
        <v>4</v>
      </c>
      <c r="J60" s="12">
        <v>2</v>
      </c>
      <c r="K60" s="12">
        <f>SUM(G60:J60)</f>
        <v>6</v>
      </c>
    </row>
    <row r="61" spans="1:11" ht="15.5" x14ac:dyDescent="0.35">
      <c r="A61" s="20">
        <v>57</v>
      </c>
      <c r="B61" s="8">
        <v>122052</v>
      </c>
      <c r="C61" s="9" t="s">
        <v>132</v>
      </c>
      <c r="D61" s="9" t="s">
        <v>133</v>
      </c>
      <c r="E61" s="8" t="s">
        <v>12</v>
      </c>
      <c r="F61" s="8">
        <v>6</v>
      </c>
      <c r="G61" s="12">
        <v>2</v>
      </c>
      <c r="H61" s="12">
        <v>0</v>
      </c>
      <c r="I61" s="12">
        <v>4</v>
      </c>
      <c r="J61" s="12">
        <v>0</v>
      </c>
      <c r="K61" s="12">
        <f>SUM(G61:J61)</f>
        <v>6</v>
      </c>
    </row>
    <row r="62" spans="1:11" ht="15.5" x14ac:dyDescent="0.35">
      <c r="A62" s="20">
        <v>58</v>
      </c>
      <c r="B62" s="8">
        <v>182789</v>
      </c>
      <c r="C62" s="9" t="s">
        <v>134</v>
      </c>
      <c r="D62" s="9" t="s">
        <v>135</v>
      </c>
      <c r="E62" s="8" t="s">
        <v>26</v>
      </c>
      <c r="F62" s="8">
        <v>6</v>
      </c>
      <c r="G62" s="12">
        <v>2</v>
      </c>
      <c r="H62" s="12">
        <v>0</v>
      </c>
      <c r="I62" s="12">
        <v>4</v>
      </c>
      <c r="J62" s="12">
        <v>0</v>
      </c>
      <c r="K62" s="12">
        <f>SUM(G62:J62)</f>
        <v>6</v>
      </c>
    </row>
    <row r="63" spans="1:11" ht="15.5" x14ac:dyDescent="0.35">
      <c r="A63" s="20">
        <v>59</v>
      </c>
      <c r="B63" s="8">
        <v>183494</v>
      </c>
      <c r="C63" s="9" t="s">
        <v>136</v>
      </c>
      <c r="D63" s="9" t="s">
        <v>137</v>
      </c>
      <c r="E63" s="8" t="s">
        <v>12</v>
      </c>
      <c r="F63" s="8">
        <v>6</v>
      </c>
      <c r="G63" s="12">
        <v>0</v>
      </c>
      <c r="H63" s="12">
        <v>1</v>
      </c>
      <c r="I63" s="12">
        <v>5</v>
      </c>
      <c r="J63" s="12">
        <v>0</v>
      </c>
      <c r="K63" s="12">
        <f>SUM(G63:J63)</f>
        <v>6</v>
      </c>
    </row>
    <row r="64" spans="1:11" ht="15.5" x14ac:dyDescent="0.35">
      <c r="A64" s="20">
        <v>60</v>
      </c>
      <c r="B64" s="8">
        <v>183214</v>
      </c>
      <c r="C64" s="9" t="s">
        <v>138</v>
      </c>
      <c r="D64" s="9" t="s">
        <v>90</v>
      </c>
      <c r="E64" s="8" t="s">
        <v>26</v>
      </c>
      <c r="F64" s="8">
        <v>6</v>
      </c>
      <c r="G64" s="12">
        <v>0</v>
      </c>
      <c r="H64" s="12">
        <v>1</v>
      </c>
      <c r="I64" s="12">
        <v>5</v>
      </c>
      <c r="J64" s="12">
        <v>0</v>
      </c>
      <c r="K64" s="12">
        <f>SUM(G64:J64)</f>
        <v>6</v>
      </c>
    </row>
    <row r="65" spans="1:11" ht="15.5" x14ac:dyDescent="0.35">
      <c r="A65" s="20">
        <v>61</v>
      </c>
      <c r="B65" s="9">
        <v>167335</v>
      </c>
      <c r="C65" s="9" t="s">
        <v>111</v>
      </c>
      <c r="D65" s="9" t="s">
        <v>139</v>
      </c>
      <c r="E65" s="9" t="s">
        <v>94</v>
      </c>
      <c r="F65" s="9">
        <v>6</v>
      </c>
      <c r="G65" s="10">
        <v>0</v>
      </c>
      <c r="H65" s="10">
        <v>1</v>
      </c>
      <c r="I65" s="11">
        <v>5</v>
      </c>
      <c r="J65" s="11">
        <v>0</v>
      </c>
      <c r="K65" s="12">
        <f>SUM(G65:J65)</f>
        <v>6</v>
      </c>
    </row>
    <row r="66" spans="1:11" ht="15.5" x14ac:dyDescent="0.35">
      <c r="A66" s="20">
        <v>62</v>
      </c>
      <c r="B66" s="8">
        <v>193942</v>
      </c>
      <c r="C66" s="9" t="s">
        <v>69</v>
      </c>
      <c r="D66" s="9" t="s">
        <v>140</v>
      </c>
      <c r="E66" s="8" t="s">
        <v>35</v>
      </c>
      <c r="F66" s="8">
        <v>6</v>
      </c>
      <c r="G66" s="10">
        <v>0</v>
      </c>
      <c r="H66" s="10">
        <v>1</v>
      </c>
      <c r="I66" s="11">
        <v>5</v>
      </c>
      <c r="J66" s="11">
        <v>0</v>
      </c>
      <c r="K66" s="12">
        <f>SUM(G66:J66)</f>
        <v>6</v>
      </c>
    </row>
    <row r="67" spans="1:11" ht="15.5" x14ac:dyDescent="0.35">
      <c r="A67" s="20">
        <v>63</v>
      </c>
      <c r="B67" s="8">
        <v>144744</v>
      </c>
      <c r="C67" s="9" t="s">
        <v>141</v>
      </c>
      <c r="D67" s="9" t="s">
        <v>142</v>
      </c>
      <c r="E67" s="8" t="s">
        <v>143</v>
      </c>
      <c r="F67" s="8">
        <v>6</v>
      </c>
      <c r="G67" s="10">
        <v>0</v>
      </c>
      <c r="H67" s="10">
        <v>1</v>
      </c>
      <c r="I67" s="11">
        <v>5</v>
      </c>
      <c r="J67" s="11">
        <v>0</v>
      </c>
      <c r="K67" s="12">
        <f>SUM(G67:J67)</f>
        <v>6</v>
      </c>
    </row>
    <row r="68" spans="1:11" ht="15.5" x14ac:dyDescent="0.35">
      <c r="A68" s="20">
        <v>64</v>
      </c>
      <c r="B68" s="9">
        <v>212250</v>
      </c>
      <c r="C68" s="9" t="s">
        <v>80</v>
      </c>
      <c r="D68" s="9" t="s">
        <v>144</v>
      </c>
      <c r="E68" s="9" t="s">
        <v>46</v>
      </c>
      <c r="F68" s="9">
        <v>5</v>
      </c>
      <c r="G68" s="12">
        <v>0</v>
      </c>
      <c r="H68" s="12">
        <v>0</v>
      </c>
      <c r="I68" s="12">
        <v>5</v>
      </c>
      <c r="J68" s="12">
        <v>0</v>
      </c>
      <c r="K68" s="12">
        <f>SUM(G68:J68)</f>
        <v>5</v>
      </c>
    </row>
    <row r="69" spans="1:11" ht="15.5" x14ac:dyDescent="0.35">
      <c r="A69" s="20">
        <v>65</v>
      </c>
      <c r="B69" s="8">
        <v>217604</v>
      </c>
      <c r="C69" s="9" t="s">
        <v>145</v>
      </c>
      <c r="D69" s="9" t="s">
        <v>146</v>
      </c>
      <c r="E69" s="8" t="s">
        <v>126</v>
      </c>
      <c r="F69" s="8">
        <v>4</v>
      </c>
      <c r="G69" s="12">
        <v>0</v>
      </c>
      <c r="H69" s="12">
        <v>1</v>
      </c>
      <c r="I69" s="12">
        <v>4</v>
      </c>
      <c r="J69" s="12">
        <v>0</v>
      </c>
      <c r="K69" s="12">
        <f>SUM(G69:J69)</f>
        <v>5</v>
      </c>
    </row>
    <row r="70" spans="1:11" ht="15.5" x14ac:dyDescent="0.35">
      <c r="A70" s="20">
        <v>66</v>
      </c>
      <c r="B70" s="9">
        <v>216209</v>
      </c>
      <c r="C70" s="9" t="s">
        <v>147</v>
      </c>
      <c r="D70" s="9" t="s">
        <v>148</v>
      </c>
      <c r="E70" s="9" t="s">
        <v>149</v>
      </c>
      <c r="F70" s="9">
        <v>4</v>
      </c>
      <c r="G70" s="12">
        <v>0</v>
      </c>
      <c r="H70" s="12">
        <v>0</v>
      </c>
      <c r="I70" s="12">
        <v>5</v>
      </c>
      <c r="J70" s="12">
        <v>0</v>
      </c>
      <c r="K70" s="12">
        <f>SUM(G70:J70)</f>
        <v>5</v>
      </c>
    </row>
    <row r="71" spans="1:11" ht="15.5" x14ac:dyDescent="0.35">
      <c r="A71" s="20">
        <v>67</v>
      </c>
      <c r="B71" s="8">
        <v>204456</v>
      </c>
      <c r="C71" s="9" t="s">
        <v>150</v>
      </c>
      <c r="D71" s="9" t="s">
        <v>151</v>
      </c>
      <c r="E71" s="8" t="s">
        <v>70</v>
      </c>
      <c r="F71" s="8">
        <v>6</v>
      </c>
      <c r="G71" s="12">
        <v>0</v>
      </c>
      <c r="H71" s="12">
        <v>0</v>
      </c>
      <c r="I71" s="12">
        <v>5</v>
      </c>
      <c r="J71" s="12">
        <v>0</v>
      </c>
      <c r="K71" s="12">
        <f>SUM(G71:J71)</f>
        <v>5</v>
      </c>
    </row>
    <row r="72" spans="1:11" ht="15.5" x14ac:dyDescent="0.35">
      <c r="A72" s="20">
        <v>68</v>
      </c>
      <c r="B72" s="8">
        <v>149154</v>
      </c>
      <c r="C72" s="9" t="s">
        <v>68</v>
      </c>
      <c r="D72" s="9" t="s">
        <v>152</v>
      </c>
      <c r="E72" s="8" t="s">
        <v>153</v>
      </c>
      <c r="F72" s="8">
        <v>6</v>
      </c>
      <c r="G72" s="12">
        <v>0</v>
      </c>
      <c r="H72" s="12">
        <v>0</v>
      </c>
      <c r="I72" s="12">
        <v>5</v>
      </c>
      <c r="J72" s="12">
        <v>0</v>
      </c>
      <c r="K72" s="12">
        <f>SUM(G72:J72)</f>
        <v>5</v>
      </c>
    </row>
    <row r="73" spans="1:11" ht="15.5" x14ac:dyDescent="0.35">
      <c r="A73" s="20">
        <v>69</v>
      </c>
      <c r="B73" s="8">
        <v>183486</v>
      </c>
      <c r="C73" s="9" t="s">
        <v>154</v>
      </c>
      <c r="D73" s="9" t="s">
        <v>110</v>
      </c>
      <c r="E73" s="8" t="s">
        <v>12</v>
      </c>
      <c r="F73" s="8">
        <v>6</v>
      </c>
      <c r="G73" s="12">
        <v>0</v>
      </c>
      <c r="H73" s="12">
        <v>0</v>
      </c>
      <c r="I73" s="12">
        <v>5</v>
      </c>
      <c r="J73" s="12">
        <v>0</v>
      </c>
      <c r="K73" s="12">
        <f>SUM(G73:J73)</f>
        <v>5</v>
      </c>
    </row>
    <row r="74" spans="1:11" ht="15.5" x14ac:dyDescent="0.35">
      <c r="A74" s="20">
        <v>70</v>
      </c>
      <c r="B74" s="8">
        <v>183917</v>
      </c>
      <c r="C74" s="9" t="s">
        <v>155</v>
      </c>
      <c r="D74" s="9" t="s">
        <v>156</v>
      </c>
      <c r="E74" s="8" t="s">
        <v>12</v>
      </c>
      <c r="F74" s="8">
        <v>6</v>
      </c>
      <c r="G74" s="12">
        <v>0</v>
      </c>
      <c r="H74" s="12">
        <v>0</v>
      </c>
      <c r="I74" s="12">
        <v>5</v>
      </c>
      <c r="J74" s="12">
        <v>0</v>
      </c>
      <c r="K74" s="12">
        <f>SUM(G74:J74)</f>
        <v>5</v>
      </c>
    </row>
    <row r="75" spans="1:11" ht="15.5" x14ac:dyDescent="0.35">
      <c r="A75" s="20">
        <v>71</v>
      </c>
      <c r="B75" s="15">
        <v>183237</v>
      </c>
      <c r="C75" s="9" t="s">
        <v>157</v>
      </c>
      <c r="D75" s="9" t="s">
        <v>158</v>
      </c>
      <c r="E75" s="8" t="s">
        <v>26</v>
      </c>
      <c r="F75" s="8">
        <v>6</v>
      </c>
      <c r="G75" s="12">
        <v>0</v>
      </c>
      <c r="H75" s="12">
        <v>1</v>
      </c>
      <c r="I75" s="12">
        <v>4</v>
      </c>
      <c r="J75" s="12">
        <v>0</v>
      </c>
      <c r="K75" s="12">
        <f>SUM(G75:J75)</f>
        <v>5</v>
      </c>
    </row>
    <row r="76" spans="1:11" ht="15.5" x14ac:dyDescent="0.35">
      <c r="A76" s="20">
        <v>72</v>
      </c>
      <c r="B76" s="8">
        <v>183395</v>
      </c>
      <c r="C76" s="9" t="s">
        <v>159</v>
      </c>
      <c r="D76" s="9" t="s">
        <v>160</v>
      </c>
      <c r="E76" s="8" t="s">
        <v>12</v>
      </c>
      <c r="F76" s="8">
        <v>6</v>
      </c>
      <c r="G76" s="12">
        <v>0</v>
      </c>
      <c r="H76" s="12">
        <v>1</v>
      </c>
      <c r="I76" s="12">
        <v>4</v>
      </c>
      <c r="J76" s="12">
        <v>0</v>
      </c>
      <c r="K76" s="12">
        <f>SUM(G76:J76)</f>
        <v>5</v>
      </c>
    </row>
    <row r="77" spans="1:11" ht="15.5" x14ac:dyDescent="0.35">
      <c r="A77" s="20">
        <v>73</v>
      </c>
      <c r="B77" s="9">
        <v>202153</v>
      </c>
      <c r="C77" s="9" t="s">
        <v>161</v>
      </c>
      <c r="D77" s="9" t="s">
        <v>162</v>
      </c>
      <c r="E77" s="9" t="s">
        <v>70</v>
      </c>
      <c r="F77" s="9">
        <v>6</v>
      </c>
      <c r="G77" s="12">
        <v>2</v>
      </c>
      <c r="H77" s="12">
        <v>0</v>
      </c>
      <c r="I77" s="12">
        <v>3</v>
      </c>
      <c r="J77" s="12">
        <v>0</v>
      </c>
      <c r="K77" s="12">
        <f>SUM(G77:J77)</f>
        <v>5</v>
      </c>
    </row>
    <row r="78" spans="1:11" ht="15.5" x14ac:dyDescent="0.35">
      <c r="A78" s="20">
        <v>74</v>
      </c>
      <c r="B78" s="8">
        <v>217730</v>
      </c>
      <c r="C78" s="9" t="s">
        <v>163</v>
      </c>
      <c r="D78" s="9" t="s">
        <v>164</v>
      </c>
      <c r="E78" s="8" t="s">
        <v>73</v>
      </c>
      <c r="F78" s="8">
        <v>6</v>
      </c>
      <c r="G78" s="10">
        <v>0</v>
      </c>
      <c r="H78" s="10">
        <v>0</v>
      </c>
      <c r="I78" s="11">
        <v>5</v>
      </c>
      <c r="J78" s="11">
        <v>0</v>
      </c>
      <c r="K78" s="12">
        <f>SUM(G78:J78)</f>
        <v>5</v>
      </c>
    </row>
    <row r="79" spans="1:11" ht="15.5" x14ac:dyDescent="0.35">
      <c r="A79" s="20">
        <v>75</v>
      </c>
      <c r="B79" s="8">
        <v>204455</v>
      </c>
      <c r="C79" s="9" t="s">
        <v>165</v>
      </c>
      <c r="D79" s="9" t="s">
        <v>166</v>
      </c>
      <c r="E79" s="8" t="s">
        <v>35</v>
      </c>
      <c r="F79" s="8">
        <v>6</v>
      </c>
      <c r="G79" s="12">
        <v>0</v>
      </c>
      <c r="H79" s="12">
        <v>0</v>
      </c>
      <c r="I79" s="12">
        <v>5</v>
      </c>
      <c r="J79" s="12">
        <v>0</v>
      </c>
      <c r="K79" s="12">
        <f>SUM(G79:J79)</f>
        <v>5</v>
      </c>
    </row>
    <row r="80" spans="1:11" ht="15.5" x14ac:dyDescent="0.35">
      <c r="A80" s="20">
        <v>76</v>
      </c>
      <c r="B80" s="8">
        <v>220012</v>
      </c>
      <c r="C80" s="9" t="s">
        <v>167</v>
      </c>
      <c r="D80" s="9" t="s">
        <v>168</v>
      </c>
      <c r="E80" s="8" t="s">
        <v>143</v>
      </c>
      <c r="F80" s="8">
        <v>6</v>
      </c>
      <c r="G80" s="12">
        <v>0</v>
      </c>
      <c r="H80" s="12">
        <v>0</v>
      </c>
      <c r="I80" s="12">
        <v>4</v>
      </c>
      <c r="J80" s="12">
        <v>1</v>
      </c>
      <c r="K80" s="12">
        <f>SUM(G80:J80)</f>
        <v>5</v>
      </c>
    </row>
    <row r="81" spans="1:11" ht="15.5" x14ac:dyDescent="0.35">
      <c r="A81" s="20">
        <v>77</v>
      </c>
      <c r="B81" s="8">
        <v>186747</v>
      </c>
      <c r="C81" s="9" t="s">
        <v>129</v>
      </c>
      <c r="D81" s="9" t="s">
        <v>169</v>
      </c>
      <c r="E81" s="8" t="s">
        <v>170</v>
      </c>
      <c r="F81" s="8">
        <v>5</v>
      </c>
      <c r="G81" s="12">
        <v>0</v>
      </c>
      <c r="H81" s="12">
        <v>0</v>
      </c>
      <c r="I81" s="12">
        <v>4</v>
      </c>
      <c r="J81" s="12">
        <v>0</v>
      </c>
      <c r="K81" s="12">
        <f>SUM(G81:J81)</f>
        <v>4</v>
      </c>
    </row>
    <row r="82" spans="1:11" ht="15.5" x14ac:dyDescent="0.35">
      <c r="A82" s="20">
        <v>78</v>
      </c>
      <c r="B82" s="9">
        <v>228468</v>
      </c>
      <c r="C82" s="9" t="s">
        <v>171</v>
      </c>
      <c r="D82" s="9" t="s">
        <v>172</v>
      </c>
      <c r="E82" s="9" t="s">
        <v>21</v>
      </c>
      <c r="F82" s="9">
        <v>5</v>
      </c>
      <c r="G82" s="10">
        <v>0</v>
      </c>
      <c r="H82" s="10">
        <v>0</v>
      </c>
      <c r="I82" s="11">
        <v>4</v>
      </c>
      <c r="J82" s="11">
        <v>0</v>
      </c>
      <c r="K82" s="12">
        <f>SUM(G82:J82)</f>
        <v>4</v>
      </c>
    </row>
    <row r="83" spans="1:11" ht="15.5" x14ac:dyDescent="0.35">
      <c r="A83" s="20">
        <v>79</v>
      </c>
      <c r="B83" s="8">
        <v>183230</v>
      </c>
      <c r="C83" s="9" t="s">
        <v>157</v>
      </c>
      <c r="D83" s="9" t="s">
        <v>173</v>
      </c>
      <c r="E83" s="8" t="s">
        <v>26</v>
      </c>
      <c r="F83" s="8">
        <v>6</v>
      </c>
      <c r="G83" s="12">
        <v>2</v>
      </c>
      <c r="H83" s="12">
        <v>2</v>
      </c>
      <c r="I83" s="12">
        <v>0</v>
      </c>
      <c r="J83" s="12">
        <v>0</v>
      </c>
      <c r="K83" s="12">
        <f>SUM(G83:J83)</f>
        <v>4</v>
      </c>
    </row>
    <row r="84" spans="1:11" ht="15.5" x14ac:dyDescent="0.35">
      <c r="A84" s="20">
        <v>80</v>
      </c>
      <c r="B84" s="8">
        <v>212770</v>
      </c>
      <c r="C84" s="9" t="s">
        <v>174</v>
      </c>
      <c r="D84" s="9" t="s">
        <v>175</v>
      </c>
      <c r="E84" s="8" t="s">
        <v>26</v>
      </c>
      <c r="F84" s="8">
        <v>6</v>
      </c>
      <c r="G84" s="12">
        <v>0</v>
      </c>
      <c r="H84" s="12">
        <v>0</v>
      </c>
      <c r="I84" s="12">
        <v>4</v>
      </c>
      <c r="J84" s="12">
        <v>0</v>
      </c>
      <c r="K84" s="12">
        <f>SUM(G84:J84)</f>
        <v>4</v>
      </c>
    </row>
    <row r="85" spans="1:11" ht="15.5" x14ac:dyDescent="0.35">
      <c r="A85" s="20">
        <v>81</v>
      </c>
      <c r="B85" s="8">
        <v>183515</v>
      </c>
      <c r="C85" s="9" t="s">
        <v>176</v>
      </c>
      <c r="D85" s="9" t="s">
        <v>177</v>
      </c>
      <c r="E85" s="8" t="s">
        <v>12</v>
      </c>
      <c r="F85" s="8">
        <v>6</v>
      </c>
      <c r="G85" s="12">
        <v>0</v>
      </c>
      <c r="H85" s="12">
        <v>0</v>
      </c>
      <c r="I85" s="12">
        <v>4</v>
      </c>
      <c r="J85" s="12">
        <v>0</v>
      </c>
      <c r="K85" s="12">
        <f>SUM(G85:J85)</f>
        <v>4</v>
      </c>
    </row>
    <row r="86" spans="1:11" ht="15.5" x14ac:dyDescent="0.35">
      <c r="A86" s="20">
        <v>82</v>
      </c>
      <c r="B86" s="9">
        <v>202563</v>
      </c>
      <c r="C86" s="9" t="s">
        <v>178</v>
      </c>
      <c r="D86" s="9" t="s">
        <v>179</v>
      </c>
      <c r="E86" s="9" t="s">
        <v>70</v>
      </c>
      <c r="F86" s="9">
        <v>6</v>
      </c>
      <c r="G86" s="10">
        <v>0</v>
      </c>
      <c r="H86" s="10">
        <v>0</v>
      </c>
      <c r="I86" s="11">
        <v>4</v>
      </c>
      <c r="J86" s="11">
        <v>0</v>
      </c>
      <c r="K86" s="12">
        <f>SUM(G86:J86)</f>
        <v>4</v>
      </c>
    </row>
    <row r="87" spans="1:11" ht="15.5" x14ac:dyDescent="0.35">
      <c r="A87" s="20">
        <v>83</v>
      </c>
      <c r="B87" s="16">
        <v>165296</v>
      </c>
      <c r="C87" s="9" t="s">
        <v>180</v>
      </c>
      <c r="D87" s="9" t="s">
        <v>181</v>
      </c>
      <c r="E87" s="17" t="s">
        <v>12</v>
      </c>
      <c r="F87" s="17">
        <v>6</v>
      </c>
      <c r="G87" s="10">
        <v>0</v>
      </c>
      <c r="H87" s="10">
        <v>0</v>
      </c>
      <c r="I87" s="11">
        <v>4</v>
      </c>
      <c r="J87" s="11">
        <v>0</v>
      </c>
      <c r="K87" s="12">
        <f>SUM(G87:J87)</f>
        <v>4</v>
      </c>
    </row>
    <row r="88" spans="1:11" ht="15.5" x14ac:dyDescent="0.35">
      <c r="A88" s="20">
        <v>84</v>
      </c>
      <c r="B88" s="8">
        <v>201986</v>
      </c>
      <c r="C88" s="9" t="s">
        <v>182</v>
      </c>
      <c r="D88" s="9" t="s">
        <v>183</v>
      </c>
      <c r="E88" s="8" t="s">
        <v>35</v>
      </c>
      <c r="F88" s="8">
        <v>6</v>
      </c>
      <c r="G88" s="10">
        <v>0</v>
      </c>
      <c r="H88" s="10">
        <v>0</v>
      </c>
      <c r="I88" s="11">
        <v>4</v>
      </c>
      <c r="J88" s="11">
        <v>0</v>
      </c>
      <c r="K88" s="12">
        <f>SUM(G88:J88)</f>
        <v>4</v>
      </c>
    </row>
    <row r="89" spans="1:11" ht="15.5" x14ac:dyDescent="0.35">
      <c r="A89" s="20">
        <v>85</v>
      </c>
      <c r="B89" s="9"/>
      <c r="C89" s="9" t="s">
        <v>184</v>
      </c>
      <c r="D89" s="9" t="s">
        <v>185</v>
      </c>
      <c r="E89" s="9" t="s">
        <v>186</v>
      </c>
      <c r="F89" s="9">
        <v>6</v>
      </c>
      <c r="G89" s="10">
        <v>0</v>
      </c>
      <c r="H89" s="10">
        <v>0</v>
      </c>
      <c r="I89" s="11">
        <v>4</v>
      </c>
      <c r="J89" s="11">
        <v>0</v>
      </c>
      <c r="K89" s="12">
        <f>SUM(G89:J89)</f>
        <v>4</v>
      </c>
    </row>
    <row r="90" spans="1:11" ht="15.5" x14ac:dyDescent="0.35">
      <c r="A90" s="20">
        <v>86</v>
      </c>
      <c r="B90" s="8">
        <v>184012</v>
      </c>
      <c r="C90" s="13" t="s">
        <v>187</v>
      </c>
      <c r="D90" s="13" t="s">
        <v>188</v>
      </c>
      <c r="E90" s="8" t="s">
        <v>12</v>
      </c>
      <c r="F90" s="8">
        <v>6</v>
      </c>
      <c r="G90" s="12">
        <v>0</v>
      </c>
      <c r="H90" s="12">
        <v>0</v>
      </c>
      <c r="I90" s="12">
        <v>4</v>
      </c>
      <c r="J90" s="12">
        <v>0</v>
      </c>
      <c r="K90" s="12">
        <f>SUM(G90:J90)</f>
        <v>4</v>
      </c>
    </row>
    <row r="91" spans="1:11" ht="15.5" x14ac:dyDescent="0.35">
      <c r="A91" s="20">
        <v>87</v>
      </c>
      <c r="B91" s="9">
        <v>166843</v>
      </c>
      <c r="C91" s="9" t="s">
        <v>189</v>
      </c>
      <c r="D91" s="9" t="s">
        <v>190</v>
      </c>
      <c r="E91" s="9" t="s">
        <v>191</v>
      </c>
      <c r="F91" s="9">
        <v>6</v>
      </c>
      <c r="G91" s="12">
        <v>0</v>
      </c>
      <c r="H91" s="12">
        <v>0</v>
      </c>
      <c r="I91" s="12">
        <v>4</v>
      </c>
      <c r="J91" s="12">
        <v>0</v>
      </c>
      <c r="K91" s="12">
        <f>SUM(G91:J91)</f>
        <v>4</v>
      </c>
    </row>
    <row r="92" spans="1:11" ht="15.5" x14ac:dyDescent="0.35">
      <c r="A92" s="20">
        <v>88</v>
      </c>
      <c r="B92" s="8">
        <v>116388</v>
      </c>
      <c r="C92" s="9" t="s">
        <v>192</v>
      </c>
      <c r="D92" s="9" t="s">
        <v>193</v>
      </c>
      <c r="E92" s="8" t="s">
        <v>35</v>
      </c>
      <c r="F92" s="8">
        <v>6</v>
      </c>
      <c r="G92" s="12">
        <v>0</v>
      </c>
      <c r="H92" s="12">
        <v>0</v>
      </c>
      <c r="I92" s="12">
        <v>4</v>
      </c>
      <c r="J92" s="12">
        <v>0</v>
      </c>
      <c r="K92" s="12">
        <f>SUM(G92:J92)</f>
        <v>4</v>
      </c>
    </row>
    <row r="93" spans="1:11" ht="15.5" x14ac:dyDescent="0.35">
      <c r="A93" s="20">
        <v>89</v>
      </c>
      <c r="B93" s="8">
        <v>183830</v>
      </c>
      <c r="C93" s="9" t="s">
        <v>194</v>
      </c>
      <c r="D93" s="9" t="s">
        <v>195</v>
      </c>
      <c r="E93" s="8" t="s">
        <v>143</v>
      </c>
      <c r="F93" s="8">
        <v>6</v>
      </c>
      <c r="G93" s="12">
        <v>0</v>
      </c>
      <c r="H93" s="12">
        <v>0</v>
      </c>
      <c r="I93" s="12">
        <v>4</v>
      </c>
      <c r="J93" s="12">
        <v>0</v>
      </c>
      <c r="K93" s="12">
        <f>SUM(G93:J93)</f>
        <v>4</v>
      </c>
    </row>
    <row r="94" spans="1:11" ht="15.5" x14ac:dyDescent="0.35">
      <c r="A94" s="20">
        <v>90</v>
      </c>
      <c r="B94" s="8">
        <v>201986</v>
      </c>
      <c r="C94" s="9" t="s">
        <v>182</v>
      </c>
      <c r="D94" s="9" t="s">
        <v>183</v>
      </c>
      <c r="E94" s="8" t="s">
        <v>35</v>
      </c>
      <c r="F94" s="8">
        <v>6</v>
      </c>
      <c r="G94" s="10">
        <v>0</v>
      </c>
      <c r="H94" s="10">
        <v>0</v>
      </c>
      <c r="I94" s="11">
        <v>4</v>
      </c>
      <c r="J94" s="11">
        <v>0</v>
      </c>
      <c r="K94" s="12">
        <f>SUM(G94:J94)</f>
        <v>4</v>
      </c>
    </row>
    <row r="95" spans="1:11" ht="15.5" x14ac:dyDescent="0.35">
      <c r="A95" s="20">
        <v>91</v>
      </c>
      <c r="B95" s="8">
        <v>213055</v>
      </c>
      <c r="C95" s="9" t="s">
        <v>196</v>
      </c>
      <c r="D95" s="9" t="s">
        <v>197</v>
      </c>
      <c r="E95" s="8" t="s">
        <v>46</v>
      </c>
      <c r="F95" s="8">
        <v>5</v>
      </c>
      <c r="G95" s="12">
        <v>2</v>
      </c>
      <c r="H95" s="12">
        <v>0</v>
      </c>
      <c r="I95" s="12">
        <v>0</v>
      </c>
      <c r="J95" s="12">
        <v>1</v>
      </c>
      <c r="K95" s="12">
        <f>SUM(G95:J95)</f>
        <v>3</v>
      </c>
    </row>
    <row r="96" spans="1:11" ht="15.5" x14ac:dyDescent="0.35">
      <c r="A96" s="20">
        <v>92</v>
      </c>
      <c r="B96" s="9">
        <v>184332</v>
      </c>
      <c r="C96" s="9" t="s">
        <v>198</v>
      </c>
      <c r="D96" s="9" t="s">
        <v>199</v>
      </c>
      <c r="E96" s="9" t="s">
        <v>170</v>
      </c>
      <c r="F96" s="9">
        <v>5</v>
      </c>
      <c r="G96" s="10">
        <v>0</v>
      </c>
      <c r="H96" s="10">
        <v>1</v>
      </c>
      <c r="I96" s="11">
        <v>2</v>
      </c>
      <c r="J96" s="11">
        <v>0</v>
      </c>
      <c r="K96" s="12">
        <f>SUM(G96:J96)</f>
        <v>3</v>
      </c>
    </row>
    <row r="97" spans="1:11" ht="15.5" x14ac:dyDescent="0.35">
      <c r="A97" s="20">
        <v>93</v>
      </c>
      <c r="B97" s="8">
        <v>149250</v>
      </c>
      <c r="C97" s="13" t="s">
        <v>200</v>
      </c>
      <c r="D97" s="13" t="s">
        <v>201</v>
      </c>
      <c r="E97" s="9" t="s">
        <v>153</v>
      </c>
      <c r="F97" s="9">
        <v>6</v>
      </c>
      <c r="G97" s="12">
        <v>0</v>
      </c>
      <c r="H97" s="12">
        <v>1</v>
      </c>
      <c r="I97" s="12">
        <v>0</v>
      </c>
      <c r="J97" s="12">
        <v>2</v>
      </c>
      <c r="K97" s="12">
        <f>SUM(G97:J97)</f>
        <v>3</v>
      </c>
    </row>
    <row r="98" spans="1:11" ht="15.5" x14ac:dyDescent="0.35">
      <c r="A98" s="20">
        <v>94</v>
      </c>
      <c r="B98" s="8">
        <v>194637</v>
      </c>
      <c r="C98" s="9" t="s">
        <v>31</v>
      </c>
      <c r="D98" s="9" t="s">
        <v>202</v>
      </c>
      <c r="E98" s="8" t="s">
        <v>83</v>
      </c>
      <c r="F98" s="8">
        <v>6</v>
      </c>
      <c r="G98" s="10">
        <v>0</v>
      </c>
      <c r="H98" s="10">
        <v>3</v>
      </c>
      <c r="I98" s="11">
        <v>0</v>
      </c>
      <c r="J98" s="11">
        <v>0</v>
      </c>
      <c r="K98" s="12">
        <f>SUM(G98:J98)</f>
        <v>3</v>
      </c>
    </row>
    <row r="99" spans="1:11" ht="15.5" x14ac:dyDescent="0.35">
      <c r="A99" s="20">
        <v>95</v>
      </c>
      <c r="B99" s="8">
        <v>133458</v>
      </c>
      <c r="C99" s="9" t="s">
        <v>203</v>
      </c>
      <c r="D99" s="9" t="s">
        <v>204</v>
      </c>
      <c r="E99" s="8" t="s">
        <v>143</v>
      </c>
      <c r="F99" s="8">
        <v>6</v>
      </c>
      <c r="G99" s="10">
        <v>0</v>
      </c>
      <c r="H99" s="10">
        <v>3</v>
      </c>
      <c r="I99" s="11">
        <v>0</v>
      </c>
      <c r="J99" s="11">
        <v>0</v>
      </c>
      <c r="K99" s="12">
        <f>SUM(G99:J99)</f>
        <v>3</v>
      </c>
    </row>
    <row r="100" spans="1:11" ht="15.5" x14ac:dyDescent="0.35">
      <c r="A100" s="20">
        <v>96</v>
      </c>
      <c r="B100" s="8">
        <v>212980</v>
      </c>
      <c r="C100" s="9" t="s">
        <v>144</v>
      </c>
      <c r="D100" s="9" t="s">
        <v>205</v>
      </c>
      <c r="E100" s="8" t="s">
        <v>46</v>
      </c>
      <c r="F100" s="8">
        <v>5</v>
      </c>
      <c r="G100" s="12">
        <v>0</v>
      </c>
      <c r="H100" s="12">
        <v>1</v>
      </c>
      <c r="I100" s="12">
        <v>0</v>
      </c>
      <c r="J100" s="12">
        <v>1</v>
      </c>
      <c r="K100" s="12">
        <f>SUM(G100:J100)</f>
        <v>2</v>
      </c>
    </row>
    <row r="101" spans="1:11" ht="15.5" x14ac:dyDescent="0.35">
      <c r="A101" s="20">
        <v>97</v>
      </c>
      <c r="B101" s="8">
        <v>226867</v>
      </c>
      <c r="C101" s="9" t="s">
        <v>206</v>
      </c>
      <c r="D101" s="9" t="s">
        <v>182</v>
      </c>
      <c r="E101" s="8" t="s">
        <v>70</v>
      </c>
      <c r="F101" s="8">
        <v>5</v>
      </c>
      <c r="G101" s="12">
        <v>0</v>
      </c>
      <c r="H101" s="12">
        <v>0</v>
      </c>
      <c r="I101" s="12">
        <v>2</v>
      </c>
      <c r="J101" s="12">
        <v>0</v>
      </c>
      <c r="K101" s="12">
        <f>SUM(G101:J101)</f>
        <v>2</v>
      </c>
    </row>
    <row r="102" spans="1:11" ht="15.5" x14ac:dyDescent="0.35">
      <c r="A102" s="20">
        <v>98</v>
      </c>
      <c r="B102" s="9">
        <v>222160</v>
      </c>
      <c r="C102" s="9" t="s">
        <v>207</v>
      </c>
      <c r="D102" s="9" t="s">
        <v>32</v>
      </c>
      <c r="E102" s="9" t="s">
        <v>97</v>
      </c>
      <c r="F102" s="9">
        <v>5</v>
      </c>
      <c r="G102" s="10">
        <v>0</v>
      </c>
      <c r="H102" s="10">
        <v>1</v>
      </c>
      <c r="I102" s="11">
        <v>1</v>
      </c>
      <c r="J102" s="11">
        <v>0</v>
      </c>
      <c r="K102" s="12">
        <f>SUM(G102:J102)</f>
        <v>2</v>
      </c>
    </row>
    <row r="103" spans="1:11" ht="15.5" x14ac:dyDescent="0.35">
      <c r="A103" s="20">
        <v>99</v>
      </c>
      <c r="B103" s="9">
        <v>217147</v>
      </c>
      <c r="C103" s="9" t="s">
        <v>161</v>
      </c>
      <c r="D103" s="9" t="s">
        <v>57</v>
      </c>
      <c r="E103" s="9" t="s">
        <v>73</v>
      </c>
      <c r="F103" s="9">
        <v>5</v>
      </c>
      <c r="G103" s="10">
        <v>2</v>
      </c>
      <c r="H103" s="10">
        <v>0</v>
      </c>
      <c r="I103" s="11">
        <v>0</v>
      </c>
      <c r="J103" s="11">
        <v>0</v>
      </c>
      <c r="K103" s="12">
        <f>SUM(G103:J103)</f>
        <v>2</v>
      </c>
    </row>
    <row r="104" spans="1:11" ht="15.5" x14ac:dyDescent="0.35">
      <c r="A104" s="20">
        <v>100</v>
      </c>
      <c r="B104" s="9">
        <v>232033</v>
      </c>
      <c r="C104" s="9" t="s">
        <v>208</v>
      </c>
      <c r="D104" s="9" t="s">
        <v>209</v>
      </c>
      <c r="E104" s="9" t="s">
        <v>112</v>
      </c>
      <c r="F104" s="9">
        <v>5</v>
      </c>
      <c r="G104" s="12">
        <v>0</v>
      </c>
      <c r="H104" s="12">
        <v>0</v>
      </c>
      <c r="I104" s="12">
        <v>2</v>
      </c>
      <c r="J104" s="12">
        <v>0</v>
      </c>
      <c r="K104" s="12">
        <f>SUM(G104:J104)</f>
        <v>2</v>
      </c>
    </row>
    <row r="105" spans="1:11" ht="15.5" x14ac:dyDescent="0.35">
      <c r="A105" s="20">
        <v>101</v>
      </c>
      <c r="B105" s="9">
        <v>211445</v>
      </c>
      <c r="C105" s="9" t="s">
        <v>210</v>
      </c>
      <c r="D105" s="9" t="s">
        <v>211</v>
      </c>
      <c r="E105" s="9" t="s">
        <v>100</v>
      </c>
      <c r="F105" s="9">
        <v>5</v>
      </c>
      <c r="G105" s="12">
        <v>0</v>
      </c>
      <c r="H105" s="12">
        <v>0</v>
      </c>
      <c r="I105" s="12">
        <v>2</v>
      </c>
      <c r="J105" s="12">
        <v>0</v>
      </c>
      <c r="K105" s="12">
        <f>SUM(G105:J105)</f>
        <v>2</v>
      </c>
    </row>
    <row r="106" spans="1:11" ht="15.5" x14ac:dyDescent="0.35">
      <c r="A106" s="20">
        <v>102</v>
      </c>
      <c r="B106" s="9">
        <v>231885</v>
      </c>
      <c r="C106" s="9" t="s">
        <v>60</v>
      </c>
      <c r="D106" s="9" t="s">
        <v>101</v>
      </c>
      <c r="E106" s="9" t="s">
        <v>115</v>
      </c>
      <c r="F106" s="9">
        <v>5</v>
      </c>
      <c r="G106" s="10">
        <v>2</v>
      </c>
      <c r="H106" s="10">
        <v>0</v>
      </c>
      <c r="I106" s="11">
        <v>0</v>
      </c>
      <c r="J106" s="11">
        <v>0</v>
      </c>
      <c r="K106" s="12">
        <f>SUM(G106:J106)</f>
        <v>2</v>
      </c>
    </row>
    <row r="107" spans="1:11" ht="15.5" x14ac:dyDescent="0.35">
      <c r="A107" s="20">
        <v>103</v>
      </c>
      <c r="B107" s="9">
        <v>169787</v>
      </c>
      <c r="C107" s="13" t="s">
        <v>212</v>
      </c>
      <c r="D107" s="13" t="s">
        <v>213</v>
      </c>
      <c r="E107" s="9" t="s">
        <v>214</v>
      </c>
      <c r="F107" s="9">
        <v>6</v>
      </c>
      <c r="G107" s="12">
        <v>0</v>
      </c>
      <c r="H107" s="12">
        <v>1</v>
      </c>
      <c r="I107" s="12">
        <v>1</v>
      </c>
      <c r="J107" s="12">
        <v>0</v>
      </c>
      <c r="K107" s="12">
        <f>SUM(G107:J107)</f>
        <v>2</v>
      </c>
    </row>
    <row r="108" spans="1:11" ht="15.5" x14ac:dyDescent="0.35">
      <c r="A108" s="20">
        <v>104</v>
      </c>
      <c r="B108" s="9">
        <v>219715</v>
      </c>
      <c r="C108" s="9" t="s">
        <v>215</v>
      </c>
      <c r="D108" s="9" t="s">
        <v>216</v>
      </c>
      <c r="E108" s="9" t="s">
        <v>214</v>
      </c>
      <c r="F108" s="9">
        <v>6</v>
      </c>
      <c r="G108" s="12">
        <v>0</v>
      </c>
      <c r="H108" s="12">
        <v>1</v>
      </c>
      <c r="I108" s="12">
        <v>0</v>
      </c>
      <c r="J108" s="12">
        <v>1</v>
      </c>
      <c r="K108" s="12">
        <f>SUM(G108:J108)</f>
        <v>2</v>
      </c>
    </row>
    <row r="109" spans="1:11" ht="15.5" x14ac:dyDescent="0.35">
      <c r="A109" s="20">
        <v>105</v>
      </c>
      <c r="B109" s="8">
        <v>184082</v>
      </c>
      <c r="C109" s="9" t="s">
        <v>217</v>
      </c>
      <c r="D109" s="9" t="s">
        <v>218</v>
      </c>
      <c r="E109" s="8" t="s">
        <v>12</v>
      </c>
      <c r="F109" s="8">
        <v>6</v>
      </c>
      <c r="G109" s="12">
        <v>2</v>
      </c>
      <c r="H109" s="12">
        <v>0</v>
      </c>
      <c r="I109" s="12">
        <v>0</v>
      </c>
      <c r="J109" s="12">
        <v>0</v>
      </c>
      <c r="K109" s="12">
        <f>SUM(G109:J109)</f>
        <v>2</v>
      </c>
    </row>
    <row r="110" spans="1:11" ht="15.5" x14ac:dyDescent="0.35">
      <c r="A110" s="20">
        <v>106</v>
      </c>
      <c r="B110" s="9">
        <v>153460</v>
      </c>
      <c r="C110" s="9" t="s">
        <v>144</v>
      </c>
      <c r="D110" s="9" t="s">
        <v>219</v>
      </c>
      <c r="E110" s="9" t="s">
        <v>220</v>
      </c>
      <c r="F110" s="9">
        <v>6</v>
      </c>
      <c r="G110" s="10">
        <v>2</v>
      </c>
      <c r="H110" s="10">
        <v>0</v>
      </c>
      <c r="I110" s="11">
        <v>0</v>
      </c>
      <c r="J110" s="11">
        <v>0</v>
      </c>
      <c r="K110" s="12">
        <f>SUM(G110:J110)</f>
        <v>2</v>
      </c>
    </row>
    <row r="111" spans="1:11" ht="15.5" x14ac:dyDescent="0.35">
      <c r="A111" s="20">
        <v>107</v>
      </c>
      <c r="B111" s="14">
        <v>210174</v>
      </c>
      <c r="C111" s="14" t="s">
        <v>747</v>
      </c>
      <c r="D111" s="9" t="s">
        <v>221</v>
      </c>
      <c r="E111" s="9" t="s">
        <v>222</v>
      </c>
      <c r="F111" s="9">
        <v>6</v>
      </c>
      <c r="G111" s="10">
        <v>0</v>
      </c>
      <c r="H111" s="10">
        <v>1</v>
      </c>
      <c r="I111" s="11">
        <v>0</v>
      </c>
      <c r="J111" s="11">
        <v>1</v>
      </c>
      <c r="K111" s="12">
        <f>SUM(G111:J111)</f>
        <v>2</v>
      </c>
    </row>
    <row r="112" spans="1:11" ht="15.5" x14ac:dyDescent="0.35">
      <c r="A112" s="20">
        <v>108</v>
      </c>
      <c r="B112" s="9">
        <v>142668</v>
      </c>
      <c r="C112" s="9" t="s">
        <v>223</v>
      </c>
      <c r="D112" s="9" t="s">
        <v>224</v>
      </c>
      <c r="E112" s="9" t="s">
        <v>191</v>
      </c>
      <c r="F112" s="9">
        <v>6</v>
      </c>
      <c r="G112" s="12">
        <v>0</v>
      </c>
      <c r="H112" s="12">
        <v>2</v>
      </c>
      <c r="I112" s="12">
        <v>0</v>
      </c>
      <c r="J112" s="12">
        <v>0</v>
      </c>
      <c r="K112" s="12">
        <f>SUM(G112:J112)</f>
        <v>2</v>
      </c>
    </row>
    <row r="113" spans="1:11" ht="15.5" x14ac:dyDescent="0.35">
      <c r="A113" s="20">
        <v>109</v>
      </c>
      <c r="B113" s="9">
        <v>19385.3</v>
      </c>
      <c r="C113" s="9" t="s">
        <v>80</v>
      </c>
      <c r="D113" s="9" t="s">
        <v>225</v>
      </c>
      <c r="E113" s="9" t="s">
        <v>226</v>
      </c>
      <c r="F113" s="9">
        <v>6</v>
      </c>
      <c r="G113" s="12">
        <v>0</v>
      </c>
      <c r="H113" s="12">
        <v>0</v>
      </c>
      <c r="I113" s="12">
        <v>2</v>
      </c>
      <c r="J113" s="12">
        <v>0</v>
      </c>
      <c r="K113" s="12">
        <f>SUM(G113:J113)</f>
        <v>2</v>
      </c>
    </row>
    <row r="114" spans="1:11" ht="15.5" x14ac:dyDescent="0.35">
      <c r="A114" s="20">
        <v>110</v>
      </c>
      <c r="B114" s="9">
        <v>191395</v>
      </c>
      <c r="C114" s="9" t="s">
        <v>227</v>
      </c>
      <c r="D114" s="9" t="s">
        <v>228</v>
      </c>
      <c r="E114" s="9" t="s">
        <v>126</v>
      </c>
      <c r="F114" s="9">
        <v>6</v>
      </c>
      <c r="G114" s="12">
        <v>0</v>
      </c>
      <c r="H114" s="12">
        <v>0</v>
      </c>
      <c r="I114" s="12">
        <v>2</v>
      </c>
      <c r="J114" s="12">
        <v>0</v>
      </c>
      <c r="K114" s="12">
        <f>SUM(G114:J114)</f>
        <v>2</v>
      </c>
    </row>
    <row r="115" spans="1:11" ht="15.5" x14ac:dyDescent="0.35">
      <c r="A115" s="20">
        <v>111</v>
      </c>
      <c r="B115" s="8">
        <v>189299</v>
      </c>
      <c r="C115" s="9" t="s">
        <v>229</v>
      </c>
      <c r="D115" s="9" t="s">
        <v>230</v>
      </c>
      <c r="E115" s="8" t="s">
        <v>94</v>
      </c>
      <c r="F115" s="8">
        <v>6</v>
      </c>
      <c r="G115" s="12">
        <v>0</v>
      </c>
      <c r="H115" s="12">
        <v>0</v>
      </c>
      <c r="I115" s="12">
        <v>2</v>
      </c>
      <c r="J115" s="12">
        <v>0</v>
      </c>
      <c r="K115" s="12">
        <f>SUM(G115:J115)</f>
        <v>2</v>
      </c>
    </row>
    <row r="116" spans="1:11" ht="15.5" x14ac:dyDescent="0.35">
      <c r="A116" s="20">
        <v>112</v>
      </c>
      <c r="B116" s="8">
        <v>144875</v>
      </c>
      <c r="C116" s="9" t="s">
        <v>231</v>
      </c>
      <c r="D116" s="9" t="s">
        <v>232</v>
      </c>
      <c r="E116" s="8" t="s">
        <v>143</v>
      </c>
      <c r="F116" s="8">
        <v>6</v>
      </c>
      <c r="G116" s="10">
        <v>0</v>
      </c>
      <c r="H116" s="10">
        <v>0</v>
      </c>
      <c r="I116" s="11">
        <v>2</v>
      </c>
      <c r="J116" s="11">
        <v>0</v>
      </c>
      <c r="K116" s="12">
        <f>SUM(G116:J116)</f>
        <v>2</v>
      </c>
    </row>
    <row r="117" spans="1:11" ht="15.5" x14ac:dyDescent="0.35">
      <c r="A117" s="20">
        <v>113</v>
      </c>
      <c r="B117" s="8">
        <v>206997</v>
      </c>
      <c r="C117" s="9" t="s">
        <v>233</v>
      </c>
      <c r="D117" s="9" t="s">
        <v>234</v>
      </c>
      <c r="E117" s="8" t="s">
        <v>62</v>
      </c>
      <c r="F117" s="8">
        <v>5</v>
      </c>
      <c r="G117" s="12">
        <v>0</v>
      </c>
      <c r="H117" s="12">
        <v>1</v>
      </c>
      <c r="I117" s="12">
        <v>0</v>
      </c>
      <c r="J117" s="12">
        <v>0</v>
      </c>
      <c r="K117" s="12">
        <f>SUM(G117:J117)</f>
        <v>1</v>
      </c>
    </row>
    <row r="118" spans="1:11" ht="15.5" x14ac:dyDescent="0.35">
      <c r="A118" s="20">
        <v>114</v>
      </c>
      <c r="B118" s="9">
        <v>184355</v>
      </c>
      <c r="C118" s="9" t="s">
        <v>235</v>
      </c>
      <c r="D118" s="9" t="s">
        <v>236</v>
      </c>
      <c r="E118" s="9" t="s">
        <v>170</v>
      </c>
      <c r="F118" s="9">
        <v>5</v>
      </c>
      <c r="G118" s="10">
        <v>0</v>
      </c>
      <c r="H118" s="10">
        <v>0</v>
      </c>
      <c r="I118" s="11">
        <v>1</v>
      </c>
      <c r="J118" s="11">
        <v>0</v>
      </c>
      <c r="K118" s="12">
        <f>SUM(G118:J118)</f>
        <v>1</v>
      </c>
    </row>
    <row r="119" spans="1:11" ht="15.5" x14ac:dyDescent="0.35">
      <c r="A119" s="20">
        <v>115</v>
      </c>
      <c r="B119" s="9">
        <v>210310</v>
      </c>
      <c r="C119" s="13" t="s">
        <v>237</v>
      </c>
      <c r="D119" s="13" t="s">
        <v>238</v>
      </c>
      <c r="E119" s="9" t="s">
        <v>239</v>
      </c>
      <c r="F119" s="9">
        <v>6</v>
      </c>
      <c r="G119" s="12">
        <v>0</v>
      </c>
      <c r="H119" s="12">
        <v>1</v>
      </c>
      <c r="I119" s="12">
        <v>0</v>
      </c>
      <c r="J119" s="12">
        <v>0</v>
      </c>
      <c r="K119" s="12">
        <f>SUM(G119:J119)</f>
        <v>1</v>
      </c>
    </row>
    <row r="120" spans="1:11" ht="15.5" x14ac:dyDescent="0.35">
      <c r="A120" s="20">
        <v>116</v>
      </c>
      <c r="B120" s="9">
        <v>198100</v>
      </c>
      <c r="C120" s="9" t="s">
        <v>240</v>
      </c>
      <c r="D120" s="9" t="s">
        <v>184</v>
      </c>
      <c r="E120" s="9" t="s">
        <v>241</v>
      </c>
      <c r="F120" s="9">
        <v>6</v>
      </c>
      <c r="G120" s="12">
        <v>0</v>
      </c>
      <c r="H120" s="12">
        <v>1</v>
      </c>
      <c r="I120" s="12">
        <v>0</v>
      </c>
      <c r="J120" s="12">
        <v>0</v>
      </c>
      <c r="K120" s="12">
        <f>SUM(G120:J120)</f>
        <v>1</v>
      </c>
    </row>
    <row r="121" spans="1:11" ht="15.5" x14ac:dyDescent="0.35">
      <c r="A121" s="20">
        <v>117</v>
      </c>
      <c r="B121" s="9">
        <v>210280</v>
      </c>
      <c r="C121" s="9" t="s">
        <v>242</v>
      </c>
      <c r="D121" s="9" t="s">
        <v>243</v>
      </c>
      <c r="E121" s="9" t="s">
        <v>239</v>
      </c>
      <c r="F121" s="9">
        <v>6</v>
      </c>
      <c r="G121" s="12">
        <v>0</v>
      </c>
      <c r="H121" s="12">
        <v>1</v>
      </c>
      <c r="I121" s="12">
        <v>0</v>
      </c>
      <c r="J121" s="12">
        <v>0</v>
      </c>
      <c r="K121" s="12">
        <f>SUM(G121:J121)</f>
        <v>1</v>
      </c>
    </row>
    <row r="122" spans="1:11" ht="15.5" x14ac:dyDescent="0.35">
      <c r="A122" s="20">
        <v>118</v>
      </c>
      <c r="B122" s="9">
        <v>218008</v>
      </c>
      <c r="C122" s="9" t="s">
        <v>244</v>
      </c>
      <c r="D122" s="9" t="s">
        <v>245</v>
      </c>
      <c r="E122" s="9" t="s">
        <v>246</v>
      </c>
      <c r="F122" s="9">
        <v>6</v>
      </c>
      <c r="G122" s="12">
        <v>0</v>
      </c>
      <c r="H122" s="12">
        <v>1</v>
      </c>
      <c r="I122" s="12">
        <v>0</v>
      </c>
      <c r="J122" s="12">
        <v>0</v>
      </c>
      <c r="K122" s="12">
        <f>SUM(G122:J122)</f>
        <v>1</v>
      </c>
    </row>
    <row r="123" spans="1:11" ht="17.149999999999999" customHeight="1" x14ac:dyDescent="0.35">
      <c r="A123" s="20">
        <v>119</v>
      </c>
      <c r="B123" s="8">
        <v>210115</v>
      </c>
      <c r="C123" s="9" t="s">
        <v>247</v>
      </c>
      <c r="D123" s="9" t="s">
        <v>248</v>
      </c>
      <c r="E123" s="8" t="s">
        <v>153</v>
      </c>
      <c r="F123" s="8">
        <v>6</v>
      </c>
      <c r="G123" s="12">
        <v>0</v>
      </c>
      <c r="H123" s="12">
        <v>0</v>
      </c>
      <c r="I123" s="12">
        <v>1</v>
      </c>
      <c r="J123" s="12">
        <v>0</v>
      </c>
      <c r="K123" s="12">
        <f>SUM(G123:J123)</f>
        <v>1</v>
      </c>
    </row>
    <row r="124" spans="1:11" ht="15.5" x14ac:dyDescent="0.35">
      <c r="A124" s="20">
        <v>120</v>
      </c>
      <c r="B124" s="8">
        <v>210144</v>
      </c>
      <c r="C124" s="9" t="s">
        <v>249</v>
      </c>
      <c r="D124" s="9" t="s">
        <v>250</v>
      </c>
      <c r="E124" s="8" t="s">
        <v>153</v>
      </c>
      <c r="F124" s="8">
        <v>6</v>
      </c>
      <c r="G124" s="12">
        <v>0</v>
      </c>
      <c r="H124" s="12">
        <v>1</v>
      </c>
      <c r="I124" s="12">
        <v>0</v>
      </c>
      <c r="J124" s="12">
        <v>0</v>
      </c>
      <c r="K124" s="12">
        <f>SUM(G124:J124)</f>
        <v>1</v>
      </c>
    </row>
    <row r="125" spans="1:11" ht="15.5" x14ac:dyDescent="0.35">
      <c r="A125" s="20">
        <v>121</v>
      </c>
      <c r="B125" s="8">
        <v>147593</v>
      </c>
      <c r="C125" s="9" t="s">
        <v>251</v>
      </c>
      <c r="D125" s="9" t="s">
        <v>252</v>
      </c>
      <c r="E125" s="8" t="s">
        <v>97</v>
      </c>
      <c r="F125" s="8">
        <v>6</v>
      </c>
      <c r="G125" s="12">
        <v>0</v>
      </c>
      <c r="H125" s="12">
        <v>1</v>
      </c>
      <c r="I125" s="12">
        <v>0</v>
      </c>
      <c r="J125" s="12">
        <v>0</v>
      </c>
      <c r="K125" s="12">
        <f>SUM(G125:J125)</f>
        <v>1</v>
      </c>
    </row>
    <row r="126" spans="1:11" ht="15.5" x14ac:dyDescent="0.35">
      <c r="A126" s="20">
        <v>122</v>
      </c>
      <c r="B126" s="8">
        <v>215049</v>
      </c>
      <c r="C126" s="9" t="s">
        <v>253</v>
      </c>
      <c r="D126" s="9" t="s">
        <v>254</v>
      </c>
      <c r="E126" s="8" t="s">
        <v>46</v>
      </c>
      <c r="F126" s="8">
        <v>6</v>
      </c>
      <c r="G126" s="12">
        <v>0</v>
      </c>
      <c r="H126" s="12">
        <v>1</v>
      </c>
      <c r="I126" s="12">
        <v>0</v>
      </c>
      <c r="J126" s="12">
        <v>0</v>
      </c>
      <c r="K126" s="12">
        <f>SUM(G126:J126)</f>
        <v>1</v>
      </c>
    </row>
    <row r="127" spans="1:11" ht="15.5" x14ac:dyDescent="0.35">
      <c r="A127" s="20">
        <v>123</v>
      </c>
      <c r="B127" s="8">
        <v>215661</v>
      </c>
      <c r="C127" s="9" t="s">
        <v>255</v>
      </c>
      <c r="D127" s="9" t="s">
        <v>256</v>
      </c>
      <c r="E127" s="8" t="s">
        <v>67</v>
      </c>
      <c r="F127" s="8">
        <v>6</v>
      </c>
      <c r="G127" s="10">
        <v>0</v>
      </c>
      <c r="H127" s="10">
        <v>1</v>
      </c>
      <c r="I127" s="11">
        <v>0</v>
      </c>
      <c r="J127" s="11">
        <v>0</v>
      </c>
      <c r="K127" s="12">
        <f>SUM(G127:J127)</f>
        <v>1</v>
      </c>
    </row>
    <row r="128" spans="1:11" ht="15.5" x14ac:dyDescent="0.35">
      <c r="A128" s="20">
        <v>124</v>
      </c>
      <c r="B128" s="9">
        <v>127304</v>
      </c>
      <c r="C128" s="9" t="s">
        <v>257</v>
      </c>
      <c r="D128" s="9" t="s">
        <v>258</v>
      </c>
      <c r="E128" s="9" t="s">
        <v>259</v>
      </c>
      <c r="F128" s="9">
        <v>6</v>
      </c>
      <c r="G128" s="10">
        <v>0</v>
      </c>
      <c r="H128" s="10">
        <v>1</v>
      </c>
      <c r="I128" s="11">
        <v>0</v>
      </c>
      <c r="J128" s="11">
        <v>0</v>
      </c>
      <c r="K128" s="12">
        <f>SUM(G128:J128)</f>
        <v>1</v>
      </c>
    </row>
    <row r="129" spans="1:11" ht="15.5" x14ac:dyDescent="0.35">
      <c r="A129" s="20">
        <v>125</v>
      </c>
      <c r="B129" s="9">
        <v>213681</v>
      </c>
      <c r="C129" s="9" t="s">
        <v>260</v>
      </c>
      <c r="D129" s="9" t="s">
        <v>261</v>
      </c>
      <c r="E129" s="9" t="s">
        <v>259</v>
      </c>
      <c r="F129" s="9">
        <v>6</v>
      </c>
      <c r="G129" s="10">
        <v>0</v>
      </c>
      <c r="H129" s="10">
        <v>1</v>
      </c>
      <c r="I129" s="11">
        <v>0</v>
      </c>
      <c r="J129" s="11">
        <v>0</v>
      </c>
      <c r="K129" s="12">
        <f>SUM(G129:J129)</f>
        <v>1</v>
      </c>
    </row>
    <row r="130" spans="1:11" ht="15.5" x14ac:dyDescent="0.35">
      <c r="A130" s="20">
        <v>126</v>
      </c>
      <c r="B130" s="9">
        <v>209462</v>
      </c>
      <c r="C130" s="9" t="s">
        <v>262</v>
      </c>
      <c r="D130" s="9" t="s">
        <v>263</v>
      </c>
      <c r="E130" s="9" t="s">
        <v>122</v>
      </c>
      <c r="F130" s="9">
        <v>6</v>
      </c>
      <c r="G130" s="10">
        <v>0</v>
      </c>
      <c r="H130" s="10">
        <v>1</v>
      </c>
      <c r="I130" s="11">
        <v>0</v>
      </c>
      <c r="J130" s="11">
        <v>0</v>
      </c>
      <c r="K130" s="12">
        <f>SUM(G130:J130)</f>
        <v>1</v>
      </c>
    </row>
    <row r="131" spans="1:11" ht="15.5" x14ac:dyDescent="0.35">
      <c r="A131" s="20">
        <v>127</v>
      </c>
      <c r="B131" s="10">
        <v>210194</v>
      </c>
      <c r="C131" s="10" t="s">
        <v>101</v>
      </c>
      <c r="D131" s="10" t="s">
        <v>264</v>
      </c>
      <c r="E131" s="10" t="s">
        <v>153</v>
      </c>
      <c r="F131" s="10">
        <v>6</v>
      </c>
      <c r="G131" s="10">
        <v>0</v>
      </c>
      <c r="H131" s="10">
        <v>1</v>
      </c>
      <c r="I131" s="11">
        <v>0</v>
      </c>
      <c r="J131" s="11">
        <v>0</v>
      </c>
      <c r="K131" s="12">
        <f>SUM(G131:J131)</f>
        <v>1</v>
      </c>
    </row>
    <row r="132" spans="1:11" ht="15.5" x14ac:dyDescent="0.35">
      <c r="A132" s="20">
        <v>128</v>
      </c>
      <c r="B132" s="9">
        <v>193852</v>
      </c>
      <c r="C132" s="9" t="s">
        <v>80</v>
      </c>
      <c r="D132" s="9" t="s">
        <v>265</v>
      </c>
      <c r="E132" s="9" t="s">
        <v>226</v>
      </c>
      <c r="F132" s="9">
        <v>6</v>
      </c>
      <c r="G132" s="10">
        <v>0</v>
      </c>
      <c r="H132" s="10">
        <v>1</v>
      </c>
      <c r="I132" s="11">
        <v>0</v>
      </c>
      <c r="J132" s="11">
        <v>0</v>
      </c>
      <c r="K132" s="12">
        <f>SUM(G132:J132)</f>
        <v>1</v>
      </c>
    </row>
    <row r="133" spans="1:11" ht="15.5" x14ac:dyDescent="0.35">
      <c r="A133" s="20">
        <v>129</v>
      </c>
      <c r="B133" s="14">
        <v>223771</v>
      </c>
      <c r="C133" s="13" t="s">
        <v>56</v>
      </c>
      <c r="D133" s="13" t="s">
        <v>267</v>
      </c>
      <c r="E133" s="14" t="s">
        <v>268</v>
      </c>
      <c r="F133" s="14">
        <v>5</v>
      </c>
      <c r="G133" s="12">
        <v>0</v>
      </c>
      <c r="H133" s="12">
        <v>0</v>
      </c>
      <c r="I133" s="12">
        <v>0</v>
      </c>
      <c r="J133" s="12">
        <v>0</v>
      </c>
      <c r="K133" s="12">
        <f>SUM(G133:J133)</f>
        <v>0</v>
      </c>
    </row>
    <row r="134" spans="1:11" ht="15.5" x14ac:dyDescent="0.35">
      <c r="A134" s="20">
        <v>130</v>
      </c>
      <c r="B134" s="9">
        <v>222619</v>
      </c>
      <c r="C134" s="9" t="s">
        <v>269</v>
      </c>
      <c r="D134" s="9" t="s">
        <v>270</v>
      </c>
      <c r="E134" s="9" t="s">
        <v>259</v>
      </c>
      <c r="F134" s="9">
        <v>5</v>
      </c>
      <c r="G134" s="12">
        <v>0</v>
      </c>
      <c r="H134" s="12">
        <v>0</v>
      </c>
      <c r="I134" s="12">
        <v>0</v>
      </c>
      <c r="J134" s="12">
        <v>0</v>
      </c>
      <c r="K134" s="12">
        <f>SUM(G134:J134)</f>
        <v>0</v>
      </c>
    </row>
    <row r="135" spans="1:11" ht="15.5" x14ac:dyDescent="0.35">
      <c r="A135" s="20">
        <v>131</v>
      </c>
      <c r="B135" s="8">
        <v>215875</v>
      </c>
      <c r="C135" s="9" t="s">
        <v>271</v>
      </c>
      <c r="D135" s="9" t="s">
        <v>272</v>
      </c>
      <c r="E135" s="8" t="s">
        <v>67</v>
      </c>
      <c r="F135" s="8">
        <v>5</v>
      </c>
      <c r="G135" s="10">
        <v>0</v>
      </c>
      <c r="H135" s="10">
        <v>0</v>
      </c>
      <c r="I135" s="11">
        <v>0</v>
      </c>
      <c r="J135" s="11">
        <v>0</v>
      </c>
      <c r="K135" s="12">
        <f>SUM(G135:J135)</f>
        <v>0</v>
      </c>
    </row>
    <row r="136" spans="1:11" ht="15.5" x14ac:dyDescent="0.35">
      <c r="A136" s="20">
        <v>132</v>
      </c>
      <c r="B136" s="9">
        <v>222157</v>
      </c>
      <c r="C136" s="9" t="s">
        <v>117</v>
      </c>
      <c r="D136" s="9" t="s">
        <v>273</v>
      </c>
      <c r="E136" s="9" t="s">
        <v>97</v>
      </c>
      <c r="F136" s="9">
        <v>5</v>
      </c>
      <c r="G136" s="10">
        <v>0</v>
      </c>
      <c r="H136" s="10">
        <v>0</v>
      </c>
      <c r="I136" s="11">
        <v>0</v>
      </c>
      <c r="J136" s="11">
        <v>0</v>
      </c>
      <c r="K136" s="12">
        <f>SUM(G136:J136)</f>
        <v>0</v>
      </c>
    </row>
    <row r="137" spans="1:11" ht="15.5" x14ac:dyDescent="0.35">
      <c r="A137" s="20">
        <v>133</v>
      </c>
      <c r="B137" s="9">
        <v>214668</v>
      </c>
      <c r="C137" s="9" t="s">
        <v>187</v>
      </c>
      <c r="D137" s="9" t="s">
        <v>274</v>
      </c>
      <c r="E137" s="9" t="s">
        <v>220</v>
      </c>
      <c r="F137" s="9">
        <v>5</v>
      </c>
      <c r="G137" s="10">
        <v>0</v>
      </c>
      <c r="H137" s="10">
        <v>0</v>
      </c>
      <c r="I137" s="11">
        <v>0</v>
      </c>
      <c r="J137" s="11">
        <v>0</v>
      </c>
      <c r="K137" s="12">
        <f>SUM(G137:J137)</f>
        <v>0</v>
      </c>
    </row>
    <row r="138" spans="1:11" ht="15.5" x14ac:dyDescent="0.35">
      <c r="A138" s="20">
        <v>134</v>
      </c>
      <c r="B138" s="14"/>
      <c r="C138" s="9" t="s">
        <v>276</v>
      </c>
      <c r="D138" s="9" t="s">
        <v>221</v>
      </c>
      <c r="E138" s="14" t="s">
        <v>277</v>
      </c>
      <c r="F138" s="14">
        <v>5</v>
      </c>
      <c r="G138" s="10">
        <v>0</v>
      </c>
      <c r="H138" s="10">
        <v>0</v>
      </c>
      <c r="I138" s="11">
        <v>0</v>
      </c>
      <c r="J138" s="11">
        <v>0</v>
      </c>
      <c r="K138" s="12">
        <f>SUM(G138:J138)</f>
        <v>0</v>
      </c>
    </row>
    <row r="139" spans="1:11" ht="15.5" x14ac:dyDescent="0.35">
      <c r="A139" s="20">
        <v>135</v>
      </c>
      <c r="B139" s="9"/>
      <c r="C139" s="9" t="s">
        <v>278</v>
      </c>
      <c r="D139" s="9" t="s">
        <v>53</v>
      </c>
      <c r="E139" s="9" t="s">
        <v>277</v>
      </c>
      <c r="F139" s="9">
        <v>5</v>
      </c>
      <c r="G139" s="10">
        <v>0</v>
      </c>
      <c r="H139" s="10">
        <v>0</v>
      </c>
      <c r="I139" s="11">
        <v>0</v>
      </c>
      <c r="J139" s="11">
        <v>0</v>
      </c>
      <c r="K139" s="12">
        <f>SUM(G139:J139)</f>
        <v>0</v>
      </c>
    </row>
    <row r="140" spans="1:11" ht="15.5" x14ac:dyDescent="0.35">
      <c r="A140" s="20">
        <v>136</v>
      </c>
      <c r="B140" s="14">
        <v>223816</v>
      </c>
      <c r="C140" s="14" t="s">
        <v>280</v>
      </c>
      <c r="D140" s="14" t="s">
        <v>281</v>
      </c>
      <c r="E140" s="14" t="s">
        <v>268</v>
      </c>
      <c r="F140" s="14">
        <v>5</v>
      </c>
      <c r="G140" s="10">
        <v>0</v>
      </c>
      <c r="H140" s="10">
        <v>0</v>
      </c>
      <c r="I140" s="11">
        <v>0</v>
      </c>
      <c r="J140" s="11">
        <v>0</v>
      </c>
      <c r="K140" s="12">
        <f>SUM(G140:J140)</f>
        <v>0</v>
      </c>
    </row>
    <row r="141" spans="1:11" ht="15.5" x14ac:dyDescent="0.35">
      <c r="A141" s="20">
        <v>137</v>
      </c>
      <c r="B141" s="14">
        <v>223850</v>
      </c>
      <c r="C141" s="14" t="s">
        <v>282</v>
      </c>
      <c r="D141" s="14" t="s">
        <v>283</v>
      </c>
      <c r="E141" s="14" t="s">
        <v>268</v>
      </c>
      <c r="F141" s="14">
        <v>5</v>
      </c>
      <c r="G141" s="10">
        <v>0</v>
      </c>
      <c r="H141" s="10">
        <v>0</v>
      </c>
      <c r="I141" s="11">
        <v>0</v>
      </c>
      <c r="J141" s="11">
        <v>0</v>
      </c>
      <c r="K141" s="12">
        <f>SUM(G141:J141)</f>
        <v>0</v>
      </c>
    </row>
    <row r="142" spans="1:11" ht="15.5" x14ac:dyDescent="0.35">
      <c r="A142" s="20">
        <v>138</v>
      </c>
      <c r="B142" s="9">
        <v>216552</v>
      </c>
      <c r="C142" s="9" t="s">
        <v>284</v>
      </c>
      <c r="D142" s="9" t="s">
        <v>285</v>
      </c>
      <c r="E142" s="9" t="s">
        <v>149</v>
      </c>
      <c r="F142" s="9">
        <v>5</v>
      </c>
      <c r="G142" s="12">
        <v>0</v>
      </c>
      <c r="H142" s="12">
        <v>0</v>
      </c>
      <c r="I142" s="12">
        <v>0</v>
      </c>
      <c r="J142" s="12">
        <v>0</v>
      </c>
      <c r="K142" s="12">
        <f>SUM(G142:J142)</f>
        <v>0</v>
      </c>
    </row>
    <row r="143" spans="1:11" ht="15.5" x14ac:dyDescent="0.35">
      <c r="A143" s="20">
        <v>139</v>
      </c>
      <c r="B143" s="9">
        <v>216454</v>
      </c>
      <c r="C143" s="9" t="s">
        <v>286</v>
      </c>
      <c r="D143" s="9" t="s">
        <v>150</v>
      </c>
      <c r="E143" s="9" t="s">
        <v>149</v>
      </c>
      <c r="F143" s="9">
        <v>4</v>
      </c>
      <c r="G143" s="12">
        <v>0</v>
      </c>
      <c r="H143" s="12">
        <v>0</v>
      </c>
      <c r="I143" s="12">
        <v>0</v>
      </c>
      <c r="J143" s="12">
        <v>0</v>
      </c>
      <c r="K143" s="12">
        <f>SUM(G143:J143)</f>
        <v>0</v>
      </c>
    </row>
    <row r="144" spans="1:11" ht="15.5" x14ac:dyDescent="0.35">
      <c r="A144" s="20">
        <v>140</v>
      </c>
      <c r="B144" s="9">
        <v>184296</v>
      </c>
      <c r="C144" s="9" t="s">
        <v>287</v>
      </c>
      <c r="D144" s="9" t="s">
        <v>288</v>
      </c>
      <c r="E144" s="9" t="s">
        <v>170</v>
      </c>
      <c r="F144" s="9">
        <v>5</v>
      </c>
      <c r="G144" s="10">
        <v>0</v>
      </c>
      <c r="H144" s="10">
        <v>0</v>
      </c>
      <c r="I144" s="11">
        <v>0</v>
      </c>
      <c r="J144" s="11">
        <v>0</v>
      </c>
      <c r="K144" s="12">
        <f>SUM(G144:J144)</f>
        <v>0</v>
      </c>
    </row>
    <row r="145" spans="1:11" ht="15.5" x14ac:dyDescent="0.35">
      <c r="A145" s="20">
        <v>141</v>
      </c>
      <c r="B145" s="9">
        <v>198722</v>
      </c>
      <c r="C145" s="9" t="s">
        <v>17</v>
      </c>
      <c r="D145" s="9" t="s">
        <v>289</v>
      </c>
      <c r="E145" s="9" t="s">
        <v>100</v>
      </c>
      <c r="F145" s="9">
        <v>5</v>
      </c>
      <c r="G145" s="10">
        <v>0</v>
      </c>
      <c r="H145" s="10">
        <v>0</v>
      </c>
      <c r="I145" s="11">
        <v>0</v>
      </c>
      <c r="J145" s="11">
        <v>0</v>
      </c>
      <c r="K145" s="12">
        <f>SUM(G145:J145)</f>
        <v>0</v>
      </c>
    </row>
    <row r="146" spans="1:11" ht="15.5" x14ac:dyDescent="0.35">
      <c r="A146" s="20">
        <v>142</v>
      </c>
      <c r="B146" s="8">
        <v>184071</v>
      </c>
      <c r="C146" s="9" t="s">
        <v>290</v>
      </c>
      <c r="D146" s="9" t="s">
        <v>291</v>
      </c>
      <c r="E146" s="8" t="s">
        <v>170</v>
      </c>
      <c r="F146" s="8">
        <v>5</v>
      </c>
      <c r="G146" s="10">
        <v>0</v>
      </c>
      <c r="H146" s="10">
        <v>0</v>
      </c>
      <c r="I146" s="11">
        <v>0</v>
      </c>
      <c r="J146" s="11">
        <v>0</v>
      </c>
      <c r="K146" s="12">
        <f>SUM(G146:J146)</f>
        <v>0</v>
      </c>
    </row>
    <row r="147" spans="1:11" ht="15.5" x14ac:dyDescent="0.35">
      <c r="A147" s="20">
        <v>143</v>
      </c>
      <c r="B147" s="9">
        <v>167347</v>
      </c>
      <c r="C147" s="9" t="s">
        <v>292</v>
      </c>
      <c r="D147" s="9" t="s">
        <v>174</v>
      </c>
      <c r="E147" s="9" t="s">
        <v>94</v>
      </c>
      <c r="F147" s="9">
        <v>5</v>
      </c>
      <c r="G147" s="10">
        <v>0</v>
      </c>
      <c r="H147" s="10">
        <v>0</v>
      </c>
      <c r="I147" s="11">
        <v>0</v>
      </c>
      <c r="J147" s="11">
        <v>0</v>
      </c>
      <c r="K147" s="12">
        <f>SUM(G147:J147)</f>
        <v>0</v>
      </c>
    </row>
    <row r="148" spans="1:11" ht="15.5" x14ac:dyDescent="0.35">
      <c r="A148" s="20">
        <v>144</v>
      </c>
      <c r="B148" s="9">
        <v>184598</v>
      </c>
      <c r="C148" s="9" t="s">
        <v>293</v>
      </c>
      <c r="D148" s="9" t="s">
        <v>294</v>
      </c>
      <c r="E148" s="9" t="s">
        <v>295</v>
      </c>
      <c r="F148" s="9">
        <v>5</v>
      </c>
      <c r="G148" s="10">
        <v>0</v>
      </c>
      <c r="H148" s="10">
        <v>0</v>
      </c>
      <c r="I148" s="11">
        <v>0</v>
      </c>
      <c r="J148" s="11">
        <v>0</v>
      </c>
      <c r="K148" s="12">
        <f>SUM(G148:J148)</f>
        <v>0</v>
      </c>
    </row>
    <row r="149" spans="1:11" ht="15.5" x14ac:dyDescent="0.35">
      <c r="A149" s="20">
        <v>145</v>
      </c>
      <c r="B149" s="9">
        <v>215466</v>
      </c>
      <c r="C149" s="13" t="s">
        <v>296</v>
      </c>
      <c r="D149" s="13" t="s">
        <v>297</v>
      </c>
      <c r="E149" s="9" t="s">
        <v>298</v>
      </c>
      <c r="F149" s="9">
        <v>6</v>
      </c>
      <c r="G149" s="12">
        <v>0</v>
      </c>
      <c r="H149" s="12">
        <v>0</v>
      </c>
      <c r="I149" s="12">
        <v>0</v>
      </c>
      <c r="J149" s="12">
        <v>0</v>
      </c>
      <c r="K149" s="12">
        <f>SUM(G149:J149)</f>
        <v>0</v>
      </c>
    </row>
    <row r="150" spans="1:11" ht="15.5" x14ac:dyDescent="0.35">
      <c r="A150" s="20">
        <v>146</v>
      </c>
      <c r="B150" s="8">
        <v>126116</v>
      </c>
      <c r="C150" s="13" t="s">
        <v>299</v>
      </c>
      <c r="D150" s="13" t="s">
        <v>300</v>
      </c>
      <c r="E150" s="8" t="s">
        <v>268</v>
      </c>
      <c r="F150" s="8">
        <v>6</v>
      </c>
      <c r="G150" s="12">
        <v>0</v>
      </c>
      <c r="H150" s="12">
        <v>0</v>
      </c>
      <c r="I150" s="12">
        <v>0</v>
      </c>
      <c r="J150" s="12">
        <v>0</v>
      </c>
      <c r="K150" s="12">
        <f>SUM(G150:J150)</f>
        <v>0</v>
      </c>
    </row>
    <row r="151" spans="1:11" ht="15.5" x14ac:dyDescent="0.35">
      <c r="A151" s="20">
        <v>147</v>
      </c>
      <c r="B151" s="8">
        <v>183684</v>
      </c>
      <c r="C151" s="13" t="s">
        <v>301</v>
      </c>
      <c r="D151" s="13" t="s">
        <v>302</v>
      </c>
      <c r="E151" s="8" t="s">
        <v>12</v>
      </c>
      <c r="F151" s="8">
        <v>6</v>
      </c>
      <c r="G151" s="12">
        <v>0</v>
      </c>
      <c r="H151" s="12">
        <v>0</v>
      </c>
      <c r="I151" s="12">
        <v>0</v>
      </c>
      <c r="J151" s="12">
        <v>0</v>
      </c>
      <c r="K151" s="12">
        <f>SUM(G151:J151)</f>
        <v>0</v>
      </c>
    </row>
    <row r="152" spans="1:11" ht="15.5" x14ac:dyDescent="0.35">
      <c r="A152" s="20">
        <v>148</v>
      </c>
      <c r="B152" s="9">
        <v>221250</v>
      </c>
      <c r="C152" s="9" t="s">
        <v>303</v>
      </c>
      <c r="D152" s="9" t="s">
        <v>304</v>
      </c>
      <c r="E152" s="9" t="s">
        <v>298</v>
      </c>
      <c r="F152" s="9">
        <v>6</v>
      </c>
      <c r="G152" s="12">
        <v>0</v>
      </c>
      <c r="H152" s="12">
        <v>0</v>
      </c>
      <c r="I152" s="12">
        <v>0</v>
      </c>
      <c r="J152" s="12">
        <v>0</v>
      </c>
      <c r="K152" s="12">
        <f>SUM(G152:J152)</f>
        <v>0</v>
      </c>
    </row>
    <row r="153" spans="1:11" ht="15.5" x14ac:dyDescent="0.35">
      <c r="A153" s="20">
        <v>149</v>
      </c>
      <c r="B153" s="9">
        <v>220912</v>
      </c>
      <c r="C153" s="9" t="s">
        <v>244</v>
      </c>
      <c r="D153" s="9" t="s">
        <v>305</v>
      </c>
      <c r="E153" s="8" t="s">
        <v>268</v>
      </c>
      <c r="F153" s="8">
        <v>6</v>
      </c>
      <c r="G153" s="12">
        <v>0</v>
      </c>
      <c r="H153" s="12">
        <v>0</v>
      </c>
      <c r="I153" s="12">
        <v>0</v>
      </c>
      <c r="J153" s="12">
        <v>0</v>
      </c>
      <c r="K153" s="12">
        <f>SUM(G153:J153)</f>
        <v>0</v>
      </c>
    </row>
    <row r="154" spans="1:11" ht="15.5" x14ac:dyDescent="0.35">
      <c r="A154" s="20">
        <v>150</v>
      </c>
      <c r="B154" s="9">
        <v>158747</v>
      </c>
      <c r="C154" s="9" t="s">
        <v>306</v>
      </c>
      <c r="D154" s="9" t="s">
        <v>307</v>
      </c>
      <c r="E154" s="9" t="s">
        <v>131</v>
      </c>
      <c r="F154" s="9">
        <v>6</v>
      </c>
      <c r="G154" s="12">
        <v>0</v>
      </c>
      <c r="H154" s="12">
        <v>0</v>
      </c>
      <c r="I154" s="12">
        <v>0</v>
      </c>
      <c r="J154" s="12">
        <v>0</v>
      </c>
      <c r="K154" s="12">
        <f>SUM(G154:J154)</f>
        <v>0</v>
      </c>
    </row>
    <row r="155" spans="1:11" ht="15.5" x14ac:dyDescent="0.35">
      <c r="A155" s="20">
        <v>151</v>
      </c>
      <c r="B155" s="9">
        <v>210323</v>
      </c>
      <c r="C155" s="9" t="s">
        <v>308</v>
      </c>
      <c r="D155" s="9" t="s">
        <v>204</v>
      </c>
      <c r="E155" s="9" t="s">
        <v>239</v>
      </c>
      <c r="F155" s="9">
        <v>6</v>
      </c>
      <c r="G155" s="12">
        <v>0</v>
      </c>
      <c r="H155" s="12">
        <v>0</v>
      </c>
      <c r="I155" s="12">
        <v>0</v>
      </c>
      <c r="J155" s="12">
        <v>0</v>
      </c>
      <c r="K155" s="12">
        <f>SUM(G155:J155)</f>
        <v>0</v>
      </c>
    </row>
    <row r="156" spans="1:11" ht="15.5" x14ac:dyDescent="0.35">
      <c r="A156" s="20">
        <v>152</v>
      </c>
      <c r="B156" s="9">
        <v>223013</v>
      </c>
      <c r="C156" s="9" t="s">
        <v>309</v>
      </c>
      <c r="D156" s="9" t="s">
        <v>310</v>
      </c>
      <c r="E156" s="9" t="s">
        <v>298</v>
      </c>
      <c r="F156" s="9">
        <v>6</v>
      </c>
      <c r="G156" s="12">
        <v>0</v>
      </c>
      <c r="H156" s="12">
        <v>0</v>
      </c>
      <c r="I156" s="12">
        <v>0</v>
      </c>
      <c r="J156" s="12">
        <v>0</v>
      </c>
      <c r="K156" s="12">
        <f>SUM(G156:J156)</f>
        <v>0</v>
      </c>
    </row>
    <row r="157" spans="1:11" ht="15.5" x14ac:dyDescent="0.35">
      <c r="A157" s="20">
        <v>153</v>
      </c>
      <c r="B157" s="9">
        <v>220107</v>
      </c>
      <c r="C157" s="9" t="s">
        <v>68</v>
      </c>
      <c r="D157" s="9" t="s">
        <v>311</v>
      </c>
      <c r="E157" s="8" t="s">
        <v>268</v>
      </c>
      <c r="F157" s="8">
        <v>6</v>
      </c>
      <c r="G157" s="12">
        <v>0</v>
      </c>
      <c r="H157" s="12">
        <v>0</v>
      </c>
      <c r="I157" s="12">
        <v>0</v>
      </c>
      <c r="J157" s="12">
        <v>0</v>
      </c>
      <c r="K157" s="12">
        <f>SUM(G157:J157)</f>
        <v>0</v>
      </c>
    </row>
    <row r="158" spans="1:11" ht="15.5" x14ac:dyDescent="0.35">
      <c r="A158" s="20">
        <v>154</v>
      </c>
      <c r="B158" s="9">
        <v>210169</v>
      </c>
      <c r="C158" s="9" t="s">
        <v>80</v>
      </c>
      <c r="D158" s="9" t="s">
        <v>312</v>
      </c>
      <c r="E158" s="9" t="s">
        <v>41</v>
      </c>
      <c r="F158" s="9">
        <v>6</v>
      </c>
      <c r="G158" s="12">
        <v>0</v>
      </c>
      <c r="H158" s="12">
        <v>0</v>
      </c>
      <c r="I158" s="12">
        <v>0</v>
      </c>
      <c r="J158" s="12">
        <v>0</v>
      </c>
      <c r="K158" s="12">
        <f>SUM(G158:J158)</f>
        <v>0</v>
      </c>
    </row>
    <row r="159" spans="1:11" ht="15.5" x14ac:dyDescent="0.35">
      <c r="A159" s="20">
        <v>155</v>
      </c>
      <c r="B159" s="9">
        <v>215571</v>
      </c>
      <c r="C159" s="9" t="s">
        <v>306</v>
      </c>
      <c r="D159" s="9" t="s">
        <v>313</v>
      </c>
      <c r="E159" s="9" t="s">
        <v>131</v>
      </c>
      <c r="F159" s="9">
        <v>6</v>
      </c>
      <c r="G159" s="12">
        <v>0</v>
      </c>
      <c r="H159" s="12">
        <v>0</v>
      </c>
      <c r="I159" s="12">
        <v>0</v>
      </c>
      <c r="J159" s="12">
        <v>0</v>
      </c>
      <c r="K159" s="12">
        <f>SUM(G159:J159)</f>
        <v>0</v>
      </c>
    </row>
    <row r="160" spans="1:11" ht="15.5" x14ac:dyDescent="0.35">
      <c r="A160" s="20">
        <v>156</v>
      </c>
      <c r="B160" s="8">
        <v>194639</v>
      </c>
      <c r="C160" s="9" t="s">
        <v>314</v>
      </c>
      <c r="D160" s="9" t="s">
        <v>315</v>
      </c>
      <c r="E160" s="8" t="s">
        <v>83</v>
      </c>
      <c r="F160" s="8">
        <v>6</v>
      </c>
      <c r="G160" s="12">
        <v>0</v>
      </c>
      <c r="H160" s="12">
        <v>0</v>
      </c>
      <c r="I160" s="12">
        <v>0</v>
      </c>
      <c r="J160" s="12">
        <v>0</v>
      </c>
      <c r="K160" s="12">
        <f>SUM(G160:J160)</f>
        <v>0</v>
      </c>
    </row>
    <row r="161" spans="1:11" ht="15.5" x14ac:dyDescent="0.35">
      <c r="A161" s="20">
        <v>157</v>
      </c>
      <c r="B161" s="9">
        <v>138986</v>
      </c>
      <c r="C161" s="9" t="s">
        <v>316</v>
      </c>
      <c r="D161" s="9" t="s">
        <v>317</v>
      </c>
      <c r="E161" s="9" t="s">
        <v>259</v>
      </c>
      <c r="F161" s="9">
        <v>6</v>
      </c>
      <c r="G161" s="12">
        <v>0</v>
      </c>
      <c r="H161" s="12">
        <v>0</v>
      </c>
      <c r="I161" s="12">
        <v>0</v>
      </c>
      <c r="J161" s="12">
        <v>0</v>
      </c>
      <c r="K161" s="12">
        <f>SUM(G161:J161)</f>
        <v>0</v>
      </c>
    </row>
    <row r="162" spans="1:11" ht="15.5" x14ac:dyDescent="0.35">
      <c r="A162" s="20">
        <v>158</v>
      </c>
      <c r="B162" s="8">
        <v>222688</v>
      </c>
      <c r="C162" s="9" t="s">
        <v>129</v>
      </c>
      <c r="D162" s="9" t="s">
        <v>28</v>
      </c>
      <c r="E162" s="8" t="s">
        <v>97</v>
      </c>
      <c r="F162" s="8">
        <v>6</v>
      </c>
      <c r="G162" s="12">
        <v>0</v>
      </c>
      <c r="H162" s="12">
        <v>0</v>
      </c>
      <c r="I162" s="12">
        <v>0</v>
      </c>
      <c r="J162" s="12">
        <v>0</v>
      </c>
      <c r="K162" s="12">
        <f>SUM(G162:J162)</f>
        <v>0</v>
      </c>
    </row>
    <row r="163" spans="1:11" ht="15.5" x14ac:dyDescent="0.35">
      <c r="A163" s="20">
        <v>159</v>
      </c>
      <c r="B163" s="8">
        <v>194648</v>
      </c>
      <c r="C163" s="9" t="s">
        <v>163</v>
      </c>
      <c r="D163" s="9" t="s">
        <v>318</v>
      </c>
      <c r="E163" s="8" t="s">
        <v>83</v>
      </c>
      <c r="F163" s="8">
        <v>6</v>
      </c>
      <c r="G163" s="12">
        <v>0</v>
      </c>
      <c r="H163" s="12">
        <v>0</v>
      </c>
      <c r="I163" s="12">
        <v>0</v>
      </c>
      <c r="J163" s="12">
        <v>0</v>
      </c>
      <c r="K163" s="12">
        <f>SUM(G163:J163)</f>
        <v>0</v>
      </c>
    </row>
    <row r="164" spans="1:11" ht="15.5" x14ac:dyDescent="0.35">
      <c r="A164" s="20">
        <v>160</v>
      </c>
      <c r="B164" s="8">
        <v>210152</v>
      </c>
      <c r="C164" s="9" t="s">
        <v>49</v>
      </c>
      <c r="D164" s="9" t="s">
        <v>319</v>
      </c>
      <c r="E164" s="8" t="s">
        <v>153</v>
      </c>
      <c r="F164" s="8">
        <v>6</v>
      </c>
      <c r="G164" s="12">
        <v>0</v>
      </c>
      <c r="H164" s="12">
        <v>0</v>
      </c>
      <c r="I164" s="12">
        <v>0</v>
      </c>
      <c r="J164" s="12">
        <v>0</v>
      </c>
      <c r="K164" s="12">
        <f>SUM(G164:J164)</f>
        <v>0</v>
      </c>
    </row>
    <row r="165" spans="1:11" ht="15.5" x14ac:dyDescent="0.35">
      <c r="A165" s="20">
        <v>161</v>
      </c>
      <c r="B165" s="9">
        <v>206493</v>
      </c>
      <c r="C165" s="9" t="s">
        <v>39</v>
      </c>
      <c r="D165" s="9" t="s">
        <v>320</v>
      </c>
      <c r="E165" s="9" t="s">
        <v>62</v>
      </c>
      <c r="F165" s="9">
        <v>6</v>
      </c>
      <c r="G165" s="12">
        <v>0</v>
      </c>
      <c r="H165" s="12">
        <v>0</v>
      </c>
      <c r="I165" s="12">
        <v>0</v>
      </c>
      <c r="J165" s="12">
        <v>0</v>
      </c>
      <c r="K165" s="12">
        <f>SUM(G165:J165)</f>
        <v>0</v>
      </c>
    </row>
    <row r="166" spans="1:11" ht="15.5" x14ac:dyDescent="0.35">
      <c r="A166" s="20">
        <v>162</v>
      </c>
      <c r="B166" s="9">
        <v>223616</v>
      </c>
      <c r="C166" s="9" t="s">
        <v>144</v>
      </c>
      <c r="D166" s="9" t="s">
        <v>321</v>
      </c>
      <c r="E166" s="9" t="s">
        <v>70</v>
      </c>
      <c r="F166" s="9">
        <v>6</v>
      </c>
      <c r="G166" s="12">
        <v>0</v>
      </c>
      <c r="H166" s="12">
        <v>0</v>
      </c>
      <c r="I166" s="12">
        <v>0</v>
      </c>
      <c r="J166" s="12">
        <v>0</v>
      </c>
      <c r="K166" s="12">
        <f>SUM(G166:J166)</f>
        <v>0</v>
      </c>
    </row>
    <row r="167" spans="1:11" ht="15.5" x14ac:dyDescent="0.35">
      <c r="A167" s="20">
        <v>163</v>
      </c>
      <c r="B167" s="8">
        <v>210157</v>
      </c>
      <c r="C167" s="9" t="s">
        <v>322</v>
      </c>
      <c r="D167" s="9" t="s">
        <v>323</v>
      </c>
      <c r="E167" s="8" t="s">
        <v>153</v>
      </c>
      <c r="F167" s="8">
        <v>6</v>
      </c>
      <c r="G167" s="12">
        <v>0</v>
      </c>
      <c r="H167" s="12">
        <v>0</v>
      </c>
      <c r="I167" s="12">
        <v>0</v>
      </c>
      <c r="J167" s="12">
        <v>0</v>
      </c>
      <c r="K167" s="12">
        <f>SUM(G167:J167)</f>
        <v>0</v>
      </c>
    </row>
    <row r="168" spans="1:11" ht="15.5" x14ac:dyDescent="0.35">
      <c r="A168" s="20">
        <v>164</v>
      </c>
      <c r="B168" s="9">
        <v>147433</v>
      </c>
      <c r="C168" s="9" t="s">
        <v>324</v>
      </c>
      <c r="D168" s="9" t="s">
        <v>140</v>
      </c>
      <c r="E168" s="9" t="s">
        <v>73</v>
      </c>
      <c r="F168" s="9">
        <v>6</v>
      </c>
      <c r="G168" s="10">
        <v>0</v>
      </c>
      <c r="H168" s="10">
        <v>0</v>
      </c>
      <c r="I168" s="11">
        <v>0</v>
      </c>
      <c r="J168" s="11">
        <v>0</v>
      </c>
      <c r="K168" s="12">
        <f>SUM(G168:J168)</f>
        <v>0</v>
      </c>
    </row>
    <row r="169" spans="1:11" ht="15.5" x14ac:dyDescent="0.35">
      <c r="A169" s="20">
        <v>165</v>
      </c>
      <c r="B169" s="9">
        <v>209518</v>
      </c>
      <c r="C169" s="9" t="s">
        <v>325</v>
      </c>
      <c r="D169" s="9" t="s">
        <v>90</v>
      </c>
      <c r="E169" s="9" t="s">
        <v>122</v>
      </c>
      <c r="F169" s="9">
        <v>6</v>
      </c>
      <c r="G169" s="10">
        <v>0</v>
      </c>
      <c r="H169" s="10">
        <v>0</v>
      </c>
      <c r="I169" s="11">
        <v>0</v>
      </c>
      <c r="J169" s="11">
        <v>0</v>
      </c>
      <c r="K169" s="12">
        <f>SUM(G169:J169)</f>
        <v>0</v>
      </c>
    </row>
    <row r="170" spans="1:11" ht="15.5" x14ac:dyDescent="0.35">
      <c r="A170" s="20">
        <v>166</v>
      </c>
      <c r="B170" s="8">
        <v>128348</v>
      </c>
      <c r="C170" s="9" t="s">
        <v>326</v>
      </c>
      <c r="D170" s="9" t="s">
        <v>327</v>
      </c>
      <c r="E170" s="8" t="s">
        <v>67</v>
      </c>
      <c r="F170" s="8">
        <v>6</v>
      </c>
      <c r="G170" s="10">
        <v>0</v>
      </c>
      <c r="H170" s="10">
        <v>0</v>
      </c>
      <c r="I170" s="11">
        <v>0</v>
      </c>
      <c r="J170" s="11">
        <v>0</v>
      </c>
      <c r="K170" s="12">
        <f>SUM(G170:J170)</f>
        <v>0</v>
      </c>
    </row>
    <row r="171" spans="1:11" ht="15.5" x14ac:dyDescent="0.35">
      <c r="A171" s="20">
        <v>167</v>
      </c>
      <c r="B171" s="8">
        <v>213686</v>
      </c>
      <c r="C171" s="9" t="s">
        <v>328</v>
      </c>
      <c r="D171" s="9" t="s">
        <v>329</v>
      </c>
      <c r="E171" s="8" t="s">
        <v>259</v>
      </c>
      <c r="F171" s="8">
        <v>6</v>
      </c>
      <c r="G171" s="10">
        <v>0</v>
      </c>
      <c r="H171" s="10">
        <v>0</v>
      </c>
      <c r="I171" s="11">
        <v>0</v>
      </c>
      <c r="J171" s="11">
        <v>0</v>
      </c>
      <c r="K171" s="12">
        <f>SUM(G171:J171)</f>
        <v>0</v>
      </c>
    </row>
    <row r="172" spans="1:11" ht="15.5" x14ac:dyDescent="0.35">
      <c r="A172" s="20">
        <v>168</v>
      </c>
      <c r="B172" s="9">
        <v>168909</v>
      </c>
      <c r="C172" s="9" t="s">
        <v>330</v>
      </c>
      <c r="D172" s="9" t="s">
        <v>156</v>
      </c>
      <c r="E172" s="9" t="s">
        <v>126</v>
      </c>
      <c r="F172" s="9">
        <v>6</v>
      </c>
      <c r="G172" s="12">
        <v>0</v>
      </c>
      <c r="H172" s="12">
        <v>0</v>
      </c>
      <c r="I172" s="12">
        <v>0</v>
      </c>
      <c r="J172" s="12">
        <v>0</v>
      </c>
      <c r="K172" s="12">
        <f>SUM(G172:J172)</f>
        <v>0</v>
      </c>
    </row>
    <row r="173" spans="1:11" ht="15.5" x14ac:dyDescent="0.35">
      <c r="A173" s="20">
        <v>169</v>
      </c>
      <c r="B173" s="9">
        <v>166836</v>
      </c>
      <c r="C173" s="9" t="s">
        <v>331</v>
      </c>
      <c r="D173" s="9" t="s">
        <v>332</v>
      </c>
      <c r="E173" s="9" t="s">
        <v>191</v>
      </c>
      <c r="F173" s="9">
        <v>6</v>
      </c>
      <c r="G173" s="12">
        <v>0</v>
      </c>
      <c r="H173" s="12">
        <v>0</v>
      </c>
      <c r="I173" s="12">
        <v>0</v>
      </c>
      <c r="J173" s="12">
        <v>0</v>
      </c>
      <c r="K173" s="12">
        <f>SUM(G173:J173)</f>
        <v>0</v>
      </c>
    </row>
    <row r="174" spans="1:11" ht="15.5" x14ac:dyDescent="0.35">
      <c r="A174" s="20">
        <v>170</v>
      </c>
      <c r="B174" s="18">
        <v>225745</v>
      </c>
      <c r="C174" s="9" t="s">
        <v>333</v>
      </c>
      <c r="D174" s="18" t="s">
        <v>334</v>
      </c>
      <c r="E174" s="19" t="s">
        <v>335</v>
      </c>
      <c r="F174" s="18">
        <v>6</v>
      </c>
      <c r="G174" s="12">
        <v>0</v>
      </c>
      <c r="H174" s="12">
        <v>0</v>
      </c>
      <c r="I174" s="12">
        <v>0</v>
      </c>
      <c r="J174" s="12">
        <v>0</v>
      </c>
      <c r="K174" s="12">
        <f>SUM(G174:J174)</f>
        <v>0</v>
      </c>
    </row>
    <row r="175" spans="1:11" ht="15.5" x14ac:dyDescent="0.35">
      <c r="A175" s="20">
        <v>171</v>
      </c>
      <c r="B175" s="8">
        <v>222688</v>
      </c>
      <c r="C175" s="9" t="s">
        <v>129</v>
      </c>
      <c r="D175" s="9" t="s">
        <v>28</v>
      </c>
      <c r="E175" s="8" t="s">
        <v>97</v>
      </c>
      <c r="F175" s="8">
        <v>6</v>
      </c>
      <c r="G175" s="12">
        <v>0</v>
      </c>
      <c r="H175" s="12">
        <v>0</v>
      </c>
      <c r="I175" s="12">
        <v>0</v>
      </c>
      <c r="J175" s="12">
        <v>0</v>
      </c>
      <c r="K175" s="12">
        <f>SUM(G175:J175)</f>
        <v>0</v>
      </c>
    </row>
    <row r="176" spans="1:11" ht="15.5" x14ac:dyDescent="0.35">
      <c r="A176" s="20">
        <v>172</v>
      </c>
      <c r="B176" s="9">
        <v>193850</v>
      </c>
      <c r="C176" s="9" t="s">
        <v>336</v>
      </c>
      <c r="D176" s="9" t="s">
        <v>337</v>
      </c>
      <c r="E176" s="9" t="s">
        <v>226</v>
      </c>
      <c r="F176" s="9">
        <v>6</v>
      </c>
      <c r="G176" s="12">
        <v>0</v>
      </c>
      <c r="H176" s="12">
        <v>0</v>
      </c>
      <c r="I176" s="12">
        <v>0</v>
      </c>
      <c r="J176" s="12">
        <v>0</v>
      </c>
      <c r="K176" s="12">
        <f>SUM(G176:J176)</f>
        <v>0</v>
      </c>
    </row>
    <row r="177" spans="1:11" ht="15.5" x14ac:dyDescent="0.35">
      <c r="A177" s="20">
        <v>173</v>
      </c>
      <c r="B177" s="8">
        <v>167312</v>
      </c>
      <c r="C177" s="9" t="s">
        <v>338</v>
      </c>
      <c r="D177" s="9" t="s">
        <v>339</v>
      </c>
      <c r="E177" s="8" t="s">
        <v>94</v>
      </c>
      <c r="F177" s="8">
        <v>6</v>
      </c>
      <c r="G177" s="12">
        <v>0</v>
      </c>
      <c r="H177" s="12">
        <v>0</v>
      </c>
      <c r="I177" s="12">
        <v>0</v>
      </c>
      <c r="J177" s="12">
        <v>0</v>
      </c>
      <c r="K177" s="12">
        <f>SUM(G177:J177)</f>
        <v>0</v>
      </c>
    </row>
    <row r="178" spans="1:11" ht="15.5" x14ac:dyDescent="0.35">
      <c r="A178" s="20">
        <v>174</v>
      </c>
      <c r="B178" s="8">
        <v>184030</v>
      </c>
      <c r="C178" s="9" t="s">
        <v>125</v>
      </c>
      <c r="D178" s="9" t="s">
        <v>267</v>
      </c>
      <c r="E178" s="8" t="s">
        <v>143</v>
      </c>
      <c r="F178" s="8">
        <v>6</v>
      </c>
      <c r="G178" s="10">
        <v>0</v>
      </c>
      <c r="H178" s="10">
        <v>0</v>
      </c>
      <c r="I178" s="11">
        <v>0</v>
      </c>
      <c r="J178" s="11">
        <v>0</v>
      </c>
      <c r="K178" s="12">
        <f>SUM(G178:J178)</f>
        <v>0</v>
      </c>
    </row>
    <row r="179" spans="1:11" ht="15.5" x14ac:dyDescent="0.35">
      <c r="A179" s="20">
        <v>175</v>
      </c>
      <c r="B179" s="8">
        <v>192906</v>
      </c>
      <c r="C179" s="9" t="s">
        <v>340</v>
      </c>
      <c r="D179" s="9" t="s">
        <v>341</v>
      </c>
      <c r="E179" s="8" t="s">
        <v>35</v>
      </c>
      <c r="F179" s="8">
        <v>6</v>
      </c>
      <c r="G179" s="10">
        <v>0</v>
      </c>
      <c r="H179" s="10">
        <v>0</v>
      </c>
      <c r="I179" s="11">
        <v>0</v>
      </c>
      <c r="J179" s="11">
        <v>0</v>
      </c>
      <c r="K179" s="12">
        <f>SUM(G179:J179)</f>
        <v>0</v>
      </c>
    </row>
    <row r="180" spans="1:11" ht="15.5" x14ac:dyDescent="0.35">
      <c r="A180" s="20">
        <v>176</v>
      </c>
      <c r="B180" s="9">
        <v>226873</v>
      </c>
      <c r="C180" s="9" t="s">
        <v>342</v>
      </c>
      <c r="D180" s="9" t="s">
        <v>30</v>
      </c>
      <c r="E180" s="9" t="s">
        <v>295</v>
      </c>
      <c r="F180" s="9">
        <v>6</v>
      </c>
      <c r="G180" s="10">
        <v>0</v>
      </c>
      <c r="H180" s="10">
        <v>0</v>
      </c>
      <c r="I180" s="11">
        <v>0</v>
      </c>
      <c r="J180" s="11">
        <v>0</v>
      </c>
      <c r="K180" s="12">
        <f>SUM(G180:J180)</f>
        <v>0</v>
      </c>
    </row>
    <row r="181" spans="1:11" ht="15.5" x14ac:dyDescent="0.35">
      <c r="A181" s="20">
        <v>177</v>
      </c>
      <c r="B181" s="8">
        <v>145761</v>
      </c>
      <c r="C181" s="9" t="s">
        <v>207</v>
      </c>
      <c r="D181" s="9" t="s">
        <v>343</v>
      </c>
      <c r="E181" s="8" t="s">
        <v>143</v>
      </c>
      <c r="F181" s="8">
        <v>6</v>
      </c>
      <c r="G181" s="10">
        <v>0</v>
      </c>
      <c r="H181" s="10">
        <v>0</v>
      </c>
      <c r="I181" s="11">
        <v>0</v>
      </c>
      <c r="J181" s="11">
        <v>0</v>
      </c>
      <c r="K181" s="12">
        <f>SUM(G181:J181)</f>
        <v>0</v>
      </c>
    </row>
    <row r="182" spans="1:11" ht="15.5" x14ac:dyDescent="0.35">
      <c r="A182" s="20">
        <v>178</v>
      </c>
      <c r="B182" s="9">
        <v>189156</v>
      </c>
      <c r="C182" s="9" t="s">
        <v>344</v>
      </c>
      <c r="D182" s="9" t="s">
        <v>345</v>
      </c>
      <c r="E182" s="9" t="s">
        <v>94</v>
      </c>
      <c r="F182" s="9">
        <v>6</v>
      </c>
      <c r="G182" s="10">
        <v>0</v>
      </c>
      <c r="H182" s="10">
        <v>0</v>
      </c>
      <c r="I182" s="11">
        <v>0</v>
      </c>
      <c r="J182" s="11">
        <v>0</v>
      </c>
      <c r="K182" s="12">
        <f>SUM(G182:J182)</f>
        <v>0</v>
      </c>
    </row>
    <row r="183" spans="1:11" ht="15.5" x14ac:dyDescent="0.35">
      <c r="A183" s="20">
        <v>179</v>
      </c>
      <c r="B183" s="9">
        <v>205484</v>
      </c>
      <c r="C183" s="9" t="s">
        <v>346</v>
      </c>
      <c r="D183" s="9" t="s">
        <v>347</v>
      </c>
      <c r="E183" s="9" t="s">
        <v>295</v>
      </c>
      <c r="F183" s="9">
        <v>6</v>
      </c>
      <c r="G183" s="10">
        <v>0</v>
      </c>
      <c r="H183" s="10">
        <v>0</v>
      </c>
      <c r="I183" s="11">
        <v>0</v>
      </c>
      <c r="J183" s="11">
        <v>0</v>
      </c>
      <c r="K183" s="12">
        <f>SUM(G183:J183)</f>
        <v>0</v>
      </c>
    </row>
    <row r="184" spans="1:11" ht="15.5" x14ac:dyDescent="0.35">
      <c r="A184" s="20">
        <v>180</v>
      </c>
      <c r="B184" s="8">
        <v>193416</v>
      </c>
      <c r="C184" s="9" t="s">
        <v>49</v>
      </c>
      <c r="D184" s="9" t="s">
        <v>37</v>
      </c>
      <c r="E184" s="8" t="s">
        <v>35</v>
      </c>
      <c r="F184" s="8">
        <v>6</v>
      </c>
      <c r="G184" s="10">
        <v>0</v>
      </c>
      <c r="H184" s="10">
        <v>0</v>
      </c>
      <c r="I184" s="11">
        <v>0</v>
      </c>
      <c r="J184" s="11">
        <v>0</v>
      </c>
      <c r="K184" s="12">
        <f>SUM(G184:J184)</f>
        <v>0</v>
      </c>
    </row>
    <row r="185" spans="1:11" ht="15.5" x14ac:dyDescent="0.35">
      <c r="A185" s="20">
        <v>181</v>
      </c>
      <c r="B185" s="8">
        <v>207120</v>
      </c>
      <c r="C185" s="9" t="s">
        <v>187</v>
      </c>
      <c r="D185" s="9" t="s">
        <v>348</v>
      </c>
      <c r="E185" s="8" t="s">
        <v>83</v>
      </c>
      <c r="F185" s="8"/>
      <c r="G185" s="12"/>
      <c r="H185" s="12"/>
      <c r="I185" s="12"/>
      <c r="J185" s="12"/>
      <c r="K185" s="12"/>
    </row>
    <row r="186" spans="1:11" ht="15.5" x14ac:dyDescent="0.35">
      <c r="A186" s="20">
        <v>182</v>
      </c>
      <c r="B186" s="9"/>
      <c r="C186" s="9" t="s">
        <v>349</v>
      </c>
      <c r="D186" s="9" t="s">
        <v>350</v>
      </c>
      <c r="E186" s="9" t="s">
        <v>351</v>
      </c>
      <c r="F186" s="9"/>
      <c r="G186" s="12"/>
      <c r="H186" s="12"/>
      <c r="I186" s="12"/>
      <c r="J186" s="12"/>
      <c r="K186" s="12"/>
    </row>
    <row r="187" spans="1:11" ht="15.5" x14ac:dyDescent="0.35">
      <c r="A187" s="20">
        <v>183</v>
      </c>
      <c r="B187" s="8">
        <v>212234</v>
      </c>
      <c r="C187" s="9" t="s">
        <v>280</v>
      </c>
      <c r="D187" s="9" t="s">
        <v>343</v>
      </c>
      <c r="E187" s="8" t="s">
        <v>46</v>
      </c>
      <c r="F187" s="8">
        <v>5</v>
      </c>
      <c r="G187" s="12"/>
      <c r="H187" s="12"/>
      <c r="I187" s="12"/>
      <c r="J187" s="12"/>
      <c r="K187" s="12"/>
    </row>
    <row r="188" spans="1:11" ht="15.5" x14ac:dyDescent="0.35">
      <c r="A188" s="20">
        <v>184</v>
      </c>
      <c r="B188" s="9"/>
      <c r="C188" s="9" t="s">
        <v>352</v>
      </c>
      <c r="D188" s="9" t="s">
        <v>353</v>
      </c>
      <c r="E188" s="9" t="s">
        <v>351</v>
      </c>
      <c r="F188" s="9"/>
      <c r="G188" s="12"/>
      <c r="H188" s="12"/>
      <c r="I188" s="12"/>
      <c r="J188" s="12"/>
      <c r="K188" s="12"/>
    </row>
    <row r="189" spans="1:11" ht="15.5" x14ac:dyDescent="0.35">
      <c r="A189" s="20">
        <v>185</v>
      </c>
      <c r="B189" s="9"/>
      <c r="C189" s="9" t="s">
        <v>354</v>
      </c>
      <c r="D189" s="9" t="s">
        <v>355</v>
      </c>
      <c r="E189" s="9" t="s">
        <v>351</v>
      </c>
      <c r="F189" s="9"/>
      <c r="G189" s="10"/>
      <c r="H189" s="10"/>
      <c r="I189" s="11"/>
      <c r="J189" s="11"/>
      <c r="K189" s="12"/>
    </row>
    <row r="190" spans="1:11" ht="15.5" x14ac:dyDescent="0.35">
      <c r="A190" s="20">
        <v>186</v>
      </c>
      <c r="B190" s="8">
        <v>207120</v>
      </c>
      <c r="C190" s="9" t="s">
        <v>187</v>
      </c>
      <c r="D190" s="9" t="s">
        <v>348</v>
      </c>
      <c r="E190" s="8" t="s">
        <v>83</v>
      </c>
      <c r="F190" s="8"/>
      <c r="G190" s="12"/>
      <c r="H190" s="12"/>
      <c r="I190" s="12"/>
      <c r="J190" s="12"/>
      <c r="K190" s="12"/>
    </row>
    <row r="191" spans="1:11" ht="15.5" x14ac:dyDescent="0.35">
      <c r="A191" s="20">
        <v>187</v>
      </c>
      <c r="B191" s="9"/>
      <c r="C191" s="9" t="s">
        <v>349</v>
      </c>
      <c r="D191" s="9" t="s">
        <v>350</v>
      </c>
      <c r="E191" s="9" t="s">
        <v>351</v>
      </c>
      <c r="F191" s="9"/>
      <c r="G191" s="12"/>
      <c r="H191" s="12"/>
      <c r="I191" s="12"/>
      <c r="J191" s="12"/>
      <c r="K191" s="12"/>
    </row>
    <row r="192" spans="1:11" ht="15.5" x14ac:dyDescent="0.35">
      <c r="A192" s="20">
        <v>188</v>
      </c>
      <c r="B192" s="8">
        <v>212234</v>
      </c>
      <c r="C192" s="9" t="s">
        <v>280</v>
      </c>
      <c r="D192" s="9" t="s">
        <v>343</v>
      </c>
      <c r="E192" s="8" t="s">
        <v>46</v>
      </c>
      <c r="F192" s="8">
        <v>5</v>
      </c>
      <c r="G192" s="12"/>
      <c r="H192" s="12"/>
      <c r="I192" s="12"/>
      <c r="J192" s="12"/>
      <c r="K192" s="12"/>
    </row>
    <row r="193" spans="1:11" ht="15.5" x14ac:dyDescent="0.35">
      <c r="A193" s="20">
        <v>189</v>
      </c>
      <c r="B193" s="8">
        <v>221891</v>
      </c>
      <c r="C193" s="9" t="s">
        <v>356</v>
      </c>
      <c r="D193" s="9" t="s">
        <v>357</v>
      </c>
      <c r="E193" s="8" t="s">
        <v>143</v>
      </c>
      <c r="F193" s="8"/>
      <c r="G193" s="12"/>
      <c r="H193" s="12"/>
      <c r="I193" s="12"/>
      <c r="J193" s="12"/>
      <c r="K193" s="12"/>
    </row>
    <row r="194" spans="1:11" ht="15.5" x14ac:dyDescent="0.35">
      <c r="A194" s="20">
        <v>190</v>
      </c>
      <c r="B194" s="8">
        <v>216983</v>
      </c>
      <c r="C194" s="9" t="s">
        <v>174</v>
      </c>
      <c r="D194" s="9" t="s">
        <v>358</v>
      </c>
      <c r="E194" s="8" t="s">
        <v>67</v>
      </c>
      <c r="F194" s="8"/>
      <c r="G194" s="12"/>
      <c r="H194" s="12"/>
      <c r="I194" s="12"/>
      <c r="J194" s="12"/>
      <c r="K194" s="12"/>
    </row>
    <row r="195" spans="1:11" ht="15.5" x14ac:dyDescent="0.35">
      <c r="A195" s="20">
        <v>191</v>
      </c>
      <c r="B195" s="9"/>
      <c r="C195" s="9" t="s">
        <v>352</v>
      </c>
      <c r="D195" s="9" t="s">
        <v>353</v>
      </c>
      <c r="E195" s="9" t="s">
        <v>351</v>
      </c>
      <c r="F195" s="9"/>
      <c r="G195" s="12"/>
      <c r="H195" s="12"/>
      <c r="I195" s="12"/>
      <c r="J195" s="12"/>
      <c r="K195" s="12"/>
    </row>
    <row r="196" spans="1:11" ht="15.5" x14ac:dyDescent="0.35">
      <c r="A196" s="20">
        <v>192</v>
      </c>
      <c r="B196" s="9">
        <v>211473</v>
      </c>
      <c r="C196" s="9" t="s">
        <v>359</v>
      </c>
      <c r="D196" s="9" t="s">
        <v>266</v>
      </c>
      <c r="E196" s="9" t="s">
        <v>100</v>
      </c>
      <c r="F196" s="9">
        <v>5</v>
      </c>
      <c r="G196" s="12"/>
      <c r="H196" s="12"/>
      <c r="I196" s="12"/>
      <c r="J196" s="12"/>
      <c r="K196" s="12"/>
    </row>
    <row r="197" spans="1:11" ht="15.5" x14ac:dyDescent="0.35">
      <c r="A197" s="20">
        <v>193</v>
      </c>
      <c r="B197" s="9"/>
      <c r="C197" s="9" t="s">
        <v>354</v>
      </c>
      <c r="D197" s="9" t="s">
        <v>355</v>
      </c>
      <c r="E197" s="9" t="s">
        <v>351</v>
      </c>
      <c r="F197" s="9"/>
      <c r="G197" s="10"/>
      <c r="H197" s="10"/>
      <c r="I197" s="11"/>
      <c r="J197" s="11"/>
      <c r="K197" s="12"/>
    </row>
    <row r="198" spans="1:11" ht="15.5" x14ac:dyDescent="0.35">
      <c r="A198" s="20">
        <v>194</v>
      </c>
      <c r="B198" s="9">
        <v>186240</v>
      </c>
      <c r="C198" s="9" t="s">
        <v>15</v>
      </c>
      <c r="D198" s="9" t="s">
        <v>167</v>
      </c>
      <c r="E198" s="9" t="s">
        <v>46</v>
      </c>
      <c r="F198" s="8"/>
      <c r="G198" s="10"/>
      <c r="H198" s="10"/>
      <c r="I198" s="11"/>
      <c r="J198" s="11"/>
      <c r="K198" s="12"/>
    </row>
    <row r="199" spans="1:11" ht="15.5" x14ac:dyDescent="0.35">
      <c r="A199" s="20">
        <v>195</v>
      </c>
      <c r="B199" s="9"/>
      <c r="C199" s="13" t="s">
        <v>360</v>
      </c>
      <c r="D199" s="13" t="s">
        <v>361</v>
      </c>
      <c r="E199" s="9" t="s">
        <v>241</v>
      </c>
      <c r="F199" s="9">
        <v>6</v>
      </c>
      <c r="G199" s="12"/>
      <c r="H199" s="12"/>
      <c r="I199" s="12"/>
      <c r="J199" s="12"/>
      <c r="K199" s="12"/>
    </row>
    <row r="200" spans="1:11" ht="15.5" x14ac:dyDescent="0.35">
      <c r="A200" s="20">
        <v>196</v>
      </c>
      <c r="B200" s="8">
        <v>203808</v>
      </c>
      <c r="C200" s="13" t="s">
        <v>80</v>
      </c>
      <c r="D200" s="13" t="s">
        <v>362</v>
      </c>
      <c r="E200" s="8" t="s">
        <v>70</v>
      </c>
      <c r="F200" s="8">
        <v>6</v>
      </c>
      <c r="G200" s="12"/>
      <c r="H200" s="12"/>
      <c r="I200" s="12"/>
      <c r="J200" s="12"/>
      <c r="K200" s="12"/>
    </row>
    <row r="201" spans="1:11" ht="15.5" x14ac:dyDescent="0.35">
      <c r="A201" s="20">
        <v>197</v>
      </c>
      <c r="B201" s="8">
        <v>207120</v>
      </c>
      <c r="C201" s="9" t="s">
        <v>187</v>
      </c>
      <c r="D201" s="9" t="s">
        <v>348</v>
      </c>
      <c r="E201" s="8" t="s">
        <v>83</v>
      </c>
      <c r="F201" s="8"/>
      <c r="G201" s="12"/>
      <c r="H201" s="12"/>
      <c r="I201" s="12"/>
      <c r="J201" s="12"/>
      <c r="K201" s="12"/>
    </row>
    <row r="202" spans="1:11" ht="15.5" x14ac:dyDescent="0.35">
      <c r="A202" s="20">
        <v>198</v>
      </c>
      <c r="B202" s="9"/>
      <c r="C202" s="9" t="s">
        <v>349</v>
      </c>
      <c r="D202" s="9" t="s">
        <v>350</v>
      </c>
      <c r="E202" s="9" t="s">
        <v>351</v>
      </c>
      <c r="F202" s="9"/>
      <c r="G202" s="12"/>
      <c r="H202" s="12"/>
      <c r="I202" s="12"/>
      <c r="J202" s="12"/>
      <c r="K202" s="12"/>
    </row>
    <row r="203" spans="1:11" ht="15.5" x14ac:dyDescent="0.35">
      <c r="A203" s="20">
        <v>199</v>
      </c>
      <c r="B203" s="8">
        <v>194647</v>
      </c>
      <c r="C203" s="9" t="s">
        <v>363</v>
      </c>
      <c r="D203" s="9" t="s">
        <v>364</v>
      </c>
      <c r="E203" s="8" t="s">
        <v>83</v>
      </c>
      <c r="F203" s="8">
        <v>6</v>
      </c>
      <c r="G203" s="12"/>
      <c r="H203" s="12"/>
      <c r="I203" s="12"/>
      <c r="J203" s="12"/>
      <c r="K203" s="12"/>
    </row>
    <row r="204" spans="1:11" ht="15.5" x14ac:dyDescent="0.35">
      <c r="A204" s="20">
        <v>200</v>
      </c>
      <c r="B204" s="8">
        <v>216983</v>
      </c>
      <c r="C204" s="9" t="s">
        <v>174</v>
      </c>
      <c r="D204" s="9" t="s">
        <v>358</v>
      </c>
      <c r="E204" s="8" t="s">
        <v>67</v>
      </c>
      <c r="F204" s="8"/>
      <c r="G204" s="12"/>
      <c r="H204" s="12"/>
      <c r="I204" s="12"/>
      <c r="J204" s="12"/>
      <c r="K204" s="12"/>
    </row>
    <row r="205" spans="1:11" ht="15.5" x14ac:dyDescent="0.35">
      <c r="A205" s="20">
        <v>201</v>
      </c>
      <c r="B205" s="9">
        <v>186902</v>
      </c>
      <c r="C205" s="9" t="s">
        <v>365</v>
      </c>
      <c r="D205" s="9" t="s">
        <v>366</v>
      </c>
      <c r="E205" s="9" t="s">
        <v>220</v>
      </c>
      <c r="F205" s="9">
        <v>6</v>
      </c>
      <c r="G205" s="12"/>
      <c r="H205" s="12"/>
      <c r="I205" s="12"/>
      <c r="J205" s="12"/>
      <c r="K205" s="12"/>
    </row>
    <row r="206" spans="1:11" ht="15.5" x14ac:dyDescent="0.35">
      <c r="A206" s="20">
        <v>202</v>
      </c>
      <c r="B206" s="9"/>
      <c r="C206" s="9" t="s">
        <v>352</v>
      </c>
      <c r="D206" s="9" t="s">
        <v>353</v>
      </c>
      <c r="E206" s="9" t="s">
        <v>351</v>
      </c>
      <c r="F206" s="9"/>
      <c r="G206" s="12"/>
      <c r="H206" s="12"/>
      <c r="I206" s="12"/>
      <c r="J206" s="12"/>
      <c r="K206" s="12"/>
    </row>
    <row r="207" spans="1:11" ht="15.5" x14ac:dyDescent="0.35">
      <c r="A207" s="20">
        <v>203</v>
      </c>
      <c r="B207" s="9"/>
      <c r="C207" s="9" t="s">
        <v>367</v>
      </c>
      <c r="D207" s="9" t="s">
        <v>368</v>
      </c>
      <c r="E207" s="9" t="s">
        <v>369</v>
      </c>
      <c r="F207" s="9">
        <v>6</v>
      </c>
      <c r="G207" s="10"/>
      <c r="H207" s="10"/>
      <c r="I207" s="11"/>
      <c r="J207" s="11"/>
      <c r="K207" s="12"/>
    </row>
    <row r="208" spans="1:11" ht="15.5" x14ac:dyDescent="0.35">
      <c r="A208" s="20">
        <v>204</v>
      </c>
      <c r="B208" s="9"/>
      <c r="C208" s="9" t="s">
        <v>354</v>
      </c>
      <c r="D208" s="9" t="s">
        <v>355</v>
      </c>
      <c r="E208" s="9" t="s">
        <v>351</v>
      </c>
      <c r="F208" s="9"/>
      <c r="G208" s="10"/>
      <c r="H208" s="10"/>
      <c r="I208" s="11"/>
      <c r="J208" s="11"/>
      <c r="K208" s="12"/>
    </row>
    <row r="209" spans="1:11" ht="15.5" x14ac:dyDescent="0.35">
      <c r="A209" s="20">
        <v>205</v>
      </c>
      <c r="B209" s="9"/>
      <c r="C209" s="9"/>
      <c r="D209" s="9" t="s">
        <v>184</v>
      </c>
      <c r="E209" s="9" t="s">
        <v>370</v>
      </c>
      <c r="F209" s="9">
        <v>6</v>
      </c>
      <c r="G209" s="10"/>
      <c r="H209" s="10"/>
      <c r="I209" s="11"/>
      <c r="J209" s="11"/>
      <c r="K209" s="12"/>
    </row>
    <row r="210" spans="1:11" ht="15.5" x14ac:dyDescent="0.35">
      <c r="A210" s="20">
        <v>206</v>
      </c>
      <c r="B210" s="8">
        <v>221891</v>
      </c>
      <c r="C210" s="9" t="s">
        <v>356</v>
      </c>
      <c r="D210" s="9" t="s">
        <v>357</v>
      </c>
      <c r="E210" s="8" t="s">
        <v>143</v>
      </c>
      <c r="F210" s="8"/>
      <c r="G210" s="12"/>
      <c r="H210" s="12"/>
      <c r="I210" s="12"/>
      <c r="J210" s="12"/>
      <c r="K210" s="12"/>
    </row>
    <row r="211" spans="1:11" ht="15.5" x14ac:dyDescent="0.35">
      <c r="A211" s="20">
        <v>207</v>
      </c>
      <c r="B211" s="9">
        <v>225751</v>
      </c>
      <c r="C211" s="9" t="s">
        <v>371</v>
      </c>
      <c r="D211" s="9" t="s">
        <v>372</v>
      </c>
      <c r="E211" s="9" t="s">
        <v>335</v>
      </c>
      <c r="F211" s="9">
        <v>6</v>
      </c>
      <c r="G211" s="12"/>
      <c r="H211" s="12"/>
      <c r="I211" s="12"/>
      <c r="J211" s="12"/>
      <c r="K211" s="12"/>
    </row>
  </sheetData>
  <mergeCells count="9">
    <mergeCell ref="A1:K1"/>
    <mergeCell ref="A3:A4"/>
    <mergeCell ref="B3:B4"/>
    <mergeCell ref="C3:C4"/>
    <mergeCell ref="D3:D4"/>
    <mergeCell ref="E3:E4"/>
    <mergeCell ref="F3:F4"/>
    <mergeCell ref="G3:J3"/>
    <mergeCell ref="K3:K4"/>
  </mergeCells>
  <hyperlinks>
    <hyperlink ref="B19" r:id="rId1" display="https://mmo.mn/olympiads/achievements/212038/" xr:uid="{113B1C0E-C494-4652-8D82-E39F9E7D57FA}"/>
    <hyperlink ref="B185" r:id="rId2" display="https://mmo.mn/olympiads/achievements/207120/" xr:uid="{83350A26-D5C2-47F9-A4F0-D6C139FC7B03}"/>
    <hyperlink ref="B117" r:id="rId3" display="https://mmo.mn/olympiads/achievements/206997/" xr:uid="{F0CA980C-2C68-4B55-AC28-5696BDB0E6C0}"/>
    <hyperlink ref="B187" r:id="rId4" display="https://mmo.mn/olympiads/achievements/212234/" xr:uid="{1839A1A6-165D-4D5F-80B6-55C731C60552}"/>
    <hyperlink ref="B30" r:id="rId5" display="https://mmo.mn/olympiads/achievements/226863/" xr:uid="{73E1A36E-BD53-422A-8340-1254F93BF2F1}"/>
    <hyperlink ref="B100" r:id="rId6" display="https://mmo.mn/olympiads/achievements/212980/" xr:uid="{8E1B91C3-E14C-4FAF-8F05-0F6B0981E184}"/>
    <hyperlink ref="B95" r:id="rId7" display="https://mmo.mn/olympiads/achievements/213055/" xr:uid="{E9334B7D-B8C4-41AA-97C5-2C871C5C031C}"/>
    <hyperlink ref="B101" r:id="rId8" display="https://mmo.mn/olympiads/achievements/226867/" xr:uid="{6709B128-F6FF-4FD7-A054-33D40F1601B1}"/>
    <hyperlink ref="B135" r:id="rId9" display="https://mmo.mn/olympiads/achievements/215875/" xr:uid="{FC715F8D-8B65-4B85-BE6D-AEB9D59CDF20}"/>
    <hyperlink ref="B29" r:id="rId10" display="https://mmo.mn/olympiads/achievements/215467/" xr:uid="{9E473259-296B-4242-9F68-0E79C03224DE}"/>
    <hyperlink ref="E29" r:id="rId11" display="https://mmo.mn/olympiads/answers/191/?s=291" xr:uid="{A97F8E64-73B0-46F5-B4BE-D4DE2A1C9DF3}"/>
    <hyperlink ref="E135" r:id="rId12" display="https://mmo.mn/olympiads/answers/191/?s=291" xr:uid="{BC2BE127-CFB7-4AD5-B50E-45851AB304FC}"/>
    <hyperlink ref="E101" r:id="rId13" display="https://mmo.mn/olympiads/answers/191/?s=276" xr:uid="{D11F74E3-C22F-4025-94BD-4C25EAB4D1D7}"/>
    <hyperlink ref="E95" r:id="rId14" display="https://mmo.mn/olympiads/answers/191/?s=286" xr:uid="{0B3C3BFF-8AA7-45D9-B5AD-AC0C775B867B}"/>
    <hyperlink ref="E100" r:id="rId15" display="https://mmo.mn/olympiads/answers/191/?s=286" xr:uid="{2D6FCE82-D3B1-42F7-BCCB-0493696830A4}"/>
    <hyperlink ref="E30" r:id="rId16" display="https://mmo.mn/olympiads/answers/191/?s=276" xr:uid="{9E03FFFC-8737-4508-8B0A-717D1E7B4E0B}"/>
    <hyperlink ref="E187" r:id="rId17" display="https://mmo.mn/olympiads/answers/191/?s=286" xr:uid="{74DF3315-8FAF-4B2A-AA02-5402993AB8CC}"/>
    <hyperlink ref="E117" r:id="rId18" display="https://mmo.mn/olympiads/answers/191/?s=288" xr:uid="{9EA05AB8-27B5-4952-BE42-38C106693D00}"/>
    <hyperlink ref="E185" r:id="rId19" display="https://mmo.mn/olympiads/answers/191/?s=279" xr:uid="{BA8111B3-99CD-4907-BB28-93C7C89C7AF8}"/>
    <hyperlink ref="E19" r:id="rId20" display="https://mmo.mn/olympiads/answers/191/?s=286" xr:uid="{38DFC197-B44D-4E58-9D19-B40228C21F86}"/>
    <hyperlink ref="B190" r:id="rId21" display="https://mmo.mn/olympiads/achievements/207120/" xr:uid="{860BEC4B-EE7C-4B85-BBCD-374B0236B9FF}"/>
    <hyperlink ref="B69" r:id="rId22" display="https://mmo.mn/olympiads/achievements/217604/" xr:uid="{6DE30A10-1EBC-4B4A-AE80-8EE60CD87522}"/>
    <hyperlink ref="B192" r:id="rId23" display="https://mmo.mn/olympiads/achievements/212234/" xr:uid="{FD23496C-0F6D-4D4F-A6D6-AB440CEEE1AC}"/>
    <hyperlink ref="B20" r:id="rId24" display="https://mmo.mn/olympiads/achievements/205249/" xr:uid="{DA2704FC-2587-4BC4-BC0E-810CE9F0C4AA}"/>
    <hyperlink ref="B45" r:id="rId25" display="https://mmo.mn/olympiads/achievements/218423/" xr:uid="{39B80AE5-2462-48AA-9272-AF41CF04F00E}"/>
    <hyperlink ref="B193" r:id="rId26" display="https://mmo.mn/olympiads/achievements/221891/" xr:uid="{4069E0B4-2BEE-4816-9FD6-82BB74B1E05C}"/>
    <hyperlink ref="B194" r:id="rId27" display="https://mmo.mn/olympiads/achievements/216983/" xr:uid="{D21AE9AD-F085-40BD-B84D-8730929EDF0E}"/>
    <hyperlink ref="B81" r:id="rId28" display="https://mmo.mn/olympiads/achievements/186747/" xr:uid="{D25FD39D-6043-422D-B659-318273A923AD}"/>
    <hyperlink ref="B146" r:id="rId29" display="https://mmo.mn/olympiads/achievements/184071/" xr:uid="{8180894F-715C-4DE2-B946-5E0D563D1585}"/>
    <hyperlink ref="E146" r:id="rId30" display="https://mmo.mn/olympiads/answers/191/?s=646" xr:uid="{9DD585A6-5BA0-4769-B0DD-9A1889C84194}"/>
    <hyperlink ref="E81" r:id="rId31" display="https://mmo.mn/olympiads/answers/191/?s=646" xr:uid="{D4EFB059-C3DE-4ED0-A490-082E21DA8665}"/>
    <hyperlink ref="E194" r:id="rId32" display="https://mmo.mn/olympiads/answers/191/?s=291" xr:uid="{399A36AB-F34B-41FA-8113-AC916BC4EAFC}"/>
    <hyperlink ref="E193" r:id="rId33" display="https://mmo.mn/olympiads/answers/191/?s=299" xr:uid="{18F6E862-54D7-45CA-90E0-166A3F11AB2C}"/>
    <hyperlink ref="E45" r:id="rId34" display="https://mmo.mn/olympiads/answers/191/?s=573" xr:uid="{1B969DFE-AC45-437F-8F28-4DCCA5FA7ECB}"/>
    <hyperlink ref="E20" r:id="rId35" display="https://mmo.mn/olympiads/answers/191/?s=301" xr:uid="{946359EB-6BCD-46F7-87E1-26D7A7E4C1D5}"/>
    <hyperlink ref="E192" r:id="rId36" display="https://mmo.mn/olympiads/answers/191/?s=286" xr:uid="{5CA0C7D9-1735-4904-84C6-E0C23BA7776B}"/>
    <hyperlink ref="E69" r:id="rId37" display="https://mmo.mn/olympiads/answers/191/?s=300" xr:uid="{BD3000E8-B74B-4396-ABEF-D46B32A7A724}"/>
    <hyperlink ref="E190" r:id="rId38" display="https://mmo.mn/olympiads/answers/191/?s=279" xr:uid="{79239186-739B-40A4-B81D-4C3633D885E2}"/>
    <hyperlink ref="B151" r:id="rId39" display="https://mmo.mn/olympiads/achievements/183684/" xr:uid="{BD0596E4-1C98-4DCF-A551-16FD1EF0BD9B}"/>
    <hyperlink ref="B90" r:id="rId40" display="https://mmo.mn/olympiads/achievements/184012/" xr:uid="{7422422B-B0BA-475E-A708-0D5A2F2F5F75}"/>
    <hyperlink ref="B200" r:id="rId41" display="https://mmo.mn/olympiads/achievements/203808/" xr:uid="{12199E31-DA5B-44CF-82E8-4ACDBC266E20}"/>
    <hyperlink ref="B97" r:id="rId42" display="https://mmo.mn/olympiads/achievements/149250/" xr:uid="{5AA40006-B339-47D3-9341-73C7BB21B57C}"/>
    <hyperlink ref="B150" r:id="rId43" display="https://mmo.mn/olympiads/achievements/126116/" xr:uid="{47ADBFA4-7ABA-4E94-861A-34BCA55D227D}"/>
    <hyperlink ref="E151" r:id="rId44" display="https://mmo.mn/olympiads/answers/191/?s=292" xr:uid="{81C628AD-504E-43A2-9B77-E94873BDAA83}"/>
    <hyperlink ref="E90" r:id="rId45" display="https://mmo.mn/olympiads/answers/191/?s=292" xr:uid="{0840C788-CB3D-462D-8786-B75921F895BC}"/>
    <hyperlink ref="E200" r:id="rId46" display="https://mmo.mn/olympiads/answers/191/?s=276" xr:uid="{B6A96974-D660-4069-95B6-4CAA8DD17FA9}"/>
    <hyperlink ref="E150" r:id="rId47" display="https://mmo.mn/olympiads/answers/191/?s=281" xr:uid="{51E02B62-9D6B-439D-9AF9-651BABD660DE}"/>
    <hyperlink ref="E59" r:id="rId48" display="https://mmo.mn/olympiads/answers/191/?s=293" xr:uid="{9DB23652-351E-4C90-955B-42F669701699}"/>
    <hyperlink ref="B10" r:id="rId49" display="https://mmo.mn/olympiads/achievements/18885/" xr:uid="{5A00064C-DFC3-4C54-83AF-035EC53F3E74}"/>
    <hyperlink ref="B61" r:id="rId50" display="https://mmo.mn/olympiads/achievements/122052/" xr:uid="{81FC8F18-BF43-4322-AA88-FA8AE0880BAD}"/>
    <hyperlink ref="B55" r:id="rId51" display="https://mmo.mn/olympiads/achievements/126342/" xr:uid="{37125759-ADCD-438C-AD0B-ED3220AAC5AC}"/>
    <hyperlink ref="B22" r:id="rId52" display="https://mmo.mn/olympiads/achievements/183122/" xr:uid="{83077905-673A-4341-ABA0-1A077508C6D3}"/>
    <hyperlink ref="B71" r:id="rId53" display="https://mmo.mn/olympiads/achievements/204456/" xr:uid="{3C7EC65C-E497-41AE-AC2F-23C3EFDC9280}"/>
    <hyperlink ref="B201" r:id="rId54" display="https://mmo.mn/olympiads/achievements/207120/" xr:uid="{1346BBFA-1A44-4476-845D-951C4B63FD4A}"/>
    <hyperlink ref="B72" r:id="rId55" display="https://mmo.mn/olympiads/achievements/149154/" xr:uid="{4DC5B651-2A2C-4E5D-A361-C62EB75E70CE}"/>
    <hyperlink ref="B62" r:id="rId56" display="https://mmo.mn/olympiads/achievements/182789/" xr:uid="{F297F8AE-D916-4D02-A2F2-D8153F687A4A}"/>
    <hyperlink ref="B83" r:id="rId57" display="https://mmo.mn/olympiads/achievements/183230/" xr:uid="{EA31CC07-FC72-4758-B0C2-303199CB37F4}"/>
    <hyperlink ref="E10" r:id="rId58" display="https://mmo.mn/olympiads/answers/191/?s=292" xr:uid="{84255005-5E5D-40AA-9416-20B8904E79A5}"/>
    <hyperlink ref="E61" r:id="rId59" display="https://mmo.mn/olympiads/answers/191/?s=292" xr:uid="{FD370F54-4DB5-44A6-942E-A8A304F6C3F9}"/>
    <hyperlink ref="E55" r:id="rId60" display="https://mmo.mn/olympiads/answers/191/?s=292" xr:uid="{61F9AC0B-0C8D-48BC-BF4E-D3F19DF77E02}"/>
    <hyperlink ref="E22" r:id="rId61" display="https://mmo.mn/olympiads/answers/191/?s=293" xr:uid="{B1304D61-10C7-44F5-8B73-B45023A5837E}"/>
    <hyperlink ref="E71" r:id="rId62" display="https://mmo.mn/olympiads/answers/191/?s=276" xr:uid="{562B8BF1-5D26-4D20-A3EA-BBB884084F4F}"/>
    <hyperlink ref="E201" r:id="rId63" display="https://mmo.mn/olympiads/answers/191/?s=279" xr:uid="{BD39EA71-1FF9-4BFE-B766-951DFA52B551}"/>
    <hyperlink ref="E72" r:id="rId64" display="https://mmo.mn/olympiads/answers/191/?s=280" xr:uid="{492B28D4-36DF-4851-9D0D-AC0221115C7B}"/>
    <hyperlink ref="E153" r:id="rId65" display="https://mmo.mn/olympiads/answers/191/?s=281" xr:uid="{AF28AFC8-81F4-470B-85DD-2268B6CD0A46}"/>
    <hyperlink ref="E62" r:id="rId66" display="https://mmo.mn/olympiads/answers/191/?s=293" xr:uid="{0F3DDF69-2F06-4683-AEA1-6C4AC415B807}"/>
    <hyperlink ref="E83" r:id="rId67" display="https://mmo.mn/olympiads/answers/191/?s=293" xr:uid="{C8F1DF57-189F-400A-971F-3C154E651B17}"/>
    <hyperlink ref="B36" r:id="rId68" display="https://mmo.mn/olympiads/achievements/113825/" xr:uid="{C51458E0-A624-41F2-B3E7-64069F612E1B}"/>
    <hyperlink ref="B123" r:id="rId69" display="https://mmo.mn/olympiads/achievements/210115/" xr:uid="{630324C5-6A31-4458-A7AB-13EC92002F57}"/>
    <hyperlink ref="E36" r:id="rId70" display="https://mmo.mn/olympiads/answers/191/?s=292" xr:uid="{63B7A0A5-E747-4D74-894C-84A8BE45AE08}"/>
    <hyperlink ref="E123" r:id="rId71" display="https://mmo.mn/olympiads/answers/191/?s=280" xr:uid="{D183DD40-9FFE-4907-9078-7C5B8F400A4F}"/>
    <hyperlink ref="E157" r:id="rId72" display="https://mmo.mn/olympiads/answers/191/?s=281" xr:uid="{CF6ED146-C8EE-4B4C-85E2-126DF6CD4FF9}"/>
    <hyperlink ref="B41" r:id="rId73" display="https://mmo.mn/olympiads/achievements/183570/" xr:uid="{7CDA45F0-C0D0-4CAB-AED7-37AD68814CC2}"/>
    <hyperlink ref="B7" r:id="rId74" display="https://mmo.mn/olympiads/achievements/183613/" xr:uid="{694595BB-CA58-4CF1-8AC8-7586D5CDB4BE}"/>
    <hyperlink ref="B85" r:id="rId75" display="https://mmo.mn/olympiads/achievements/183515/" xr:uid="{41368994-9E05-4F8F-8C40-85587A2D125E}"/>
    <hyperlink ref="B160" r:id="rId76" display="https://www.mmo.mn/olympiads/achievements/194639/" xr:uid="{43569474-F9C2-4ADB-9728-1DA54F20D15B}"/>
    <hyperlink ref="B124" r:id="rId77" display="https://mmo.mn/olympiads/achievements/210144/" xr:uid="{CFDC6BAF-BE6B-4874-A0BB-15604AD9B711}"/>
    <hyperlink ref="B162" r:id="rId78" display="https://mmo.mn/olympiads/achievements/222688/" xr:uid="{485B1D4F-E547-4C92-9F76-EAE34DE7309A}"/>
    <hyperlink ref="B109" r:id="rId79" display="https://mmo.mn/olympiads/achievements/184082/" xr:uid="{843E36FF-C2D3-4952-888F-79B627E135AC}"/>
    <hyperlink ref="E41" r:id="rId80" display="https://mmo.mn/olympiads/answers/191/?s=292" xr:uid="{A697D51D-43C6-4E83-A0BA-C06F05DA9834}"/>
    <hyperlink ref="E7" r:id="rId81" display="https://mmo.mn/olympiads/answers/191/?s=292" xr:uid="{C52F5045-8DF9-4215-86DB-45D7543204E6}"/>
    <hyperlink ref="E85" r:id="rId82" display="https://mmo.mn/olympiads/answers/191/?s=292" xr:uid="{F8BAB934-6021-4DCD-97C7-89308F2F1C48}"/>
    <hyperlink ref="E160" r:id="rId83" display="https://www.mmo.mn/olympiads/answers/191/?s=279" xr:uid="{399FF5A0-8F8E-4EB4-B537-219A9653AFC4}"/>
    <hyperlink ref="E124" r:id="rId84" display="https://mmo.mn/olympiads/answers/191/?s=280" xr:uid="{B40145F9-0298-4E84-B26F-272EF0991DBF}"/>
    <hyperlink ref="E162" r:id="rId85" display="https://mmo.mn/olympiads/answers/191/?s=289" xr:uid="{14077693-83B1-4987-951D-DD85308880C3}"/>
    <hyperlink ref="E109" r:id="rId86" display="https://mmo.mn/olympiads/answers/191/?s=292" xr:uid="{4CEABAEB-3F38-4ACD-BCC7-E536FD60A89F}"/>
    <hyperlink ref="B24" r:id="rId87" display="https://mmo.mn/olympiads/achievements/183612/" xr:uid="{8B64C7B7-CEF4-49AD-AA5F-B3A3AF22CAE9}"/>
    <hyperlink ref="B73" r:id="rId88" display="https://mmo.mn/olympiads/achievements/183486/" xr:uid="{2E45C1EE-4D1B-409F-9FA6-85807633C41C}"/>
    <hyperlink ref="B63" r:id="rId89" display="https://mmo.mn/olympiads/achievements/183494/" xr:uid="{FBE76A93-D04D-49F4-9CD1-F9C90278ACBA}"/>
    <hyperlink ref="B163" r:id="rId90" display="https://www.mmo.mn/olympiads/achievements/194648/" xr:uid="{C0D09B82-BA2D-4D56-9CB9-065F665D64F5}"/>
    <hyperlink ref="B125" r:id="rId91" display="https://mmo.mn/olympiads/achievements/147593/" xr:uid="{B897B447-751B-4CFD-854E-BFAF363601F6}"/>
    <hyperlink ref="E24" r:id="rId92" display="https://mmo.mn/olympiads/answers/191/?s=292" xr:uid="{3FD53F30-D848-4C52-9500-0D16BF3C1686}"/>
    <hyperlink ref="E73" r:id="rId93" display="https://mmo.mn/olympiads/answers/191/?s=292" xr:uid="{7F6B997F-526E-4C28-98E4-59D55BBE86C2}"/>
    <hyperlink ref="E63" r:id="rId94" display="https://mmo.mn/olympiads/answers/191/?s=292" xr:uid="{56CBCDED-5843-4044-8C29-D501C929FF18}"/>
    <hyperlink ref="E163" r:id="rId95" display="https://www.mmo.mn/olympiads/answers/191/?s=279" xr:uid="{3ED291D5-E1AA-4B19-B79C-CB1E20CE4450}"/>
    <hyperlink ref="E125" r:id="rId96" display="https://mmo.mn/olympiads/answers/191/?s=289" xr:uid="{6D159060-EADD-4A85-B666-0711EA9A5786}"/>
    <hyperlink ref="B11" r:id="rId97" display="https://mmo.mn/olympiads/achievements/198730/" xr:uid="{393A431C-C2A8-474F-BB3D-7666526AC4F0}"/>
    <hyperlink ref="B74" r:id="rId98" display="https://mmo.mn/olympiads/achievements/183917/" xr:uid="{40B278C6-06A5-4AB8-9E3D-21281A05BCE6}"/>
    <hyperlink ref="B76" r:id="rId99" display="https://mmo.mn/olympiads/achievements/183395/" xr:uid="{3EFC7CD3-05EC-4F7B-9B9F-5E91BF685E0F}"/>
    <hyperlink ref="B126" r:id="rId100" display="https://mmo.mn/olympiads/achievements/215049/" xr:uid="{68E0D22F-C38E-4FC1-9425-DC18E8715B19}"/>
    <hyperlink ref="B203" r:id="rId101" display="https://www.mmo.mn/olympiads/achievements/194647/" xr:uid="{510B4EFE-1107-45C2-B323-79C7EAED99D6}"/>
    <hyperlink ref="B167" r:id="rId102" display="https://mmo.mn/olympiads/achievements/210157/" xr:uid="{1E2859D3-04E7-435F-862B-C5AD68EE8109}"/>
    <hyperlink ref="B204" r:id="rId103" display="https://mmo.mn/olympiads/achievements/216983/" xr:uid="{E979492E-92D3-4A17-AC84-CB839B4DEAB6}"/>
    <hyperlink ref="E11" r:id="rId104" display="https://mmo.mn/olympiads/answers/191/?s=293" xr:uid="{F8F63AD3-260E-42CE-8519-09C70EF03C1C}"/>
    <hyperlink ref="E74" r:id="rId105" display="https://mmo.mn/olympiads/answers/191/?s=292" xr:uid="{69D51ACD-C488-4E5A-82A5-229625FB04E3}"/>
    <hyperlink ref="E76" r:id="rId106" display="https://mmo.mn/olympiads/answers/191/?s=292" xr:uid="{E52D8838-2D1D-4A48-83EA-F8C09A1DECB3}"/>
    <hyperlink ref="E126" r:id="rId107" display="https://mmo.mn/olympiads/answers/191/?s=286" xr:uid="{B978A1BD-17C7-4B18-A666-229D35ED9DD9}"/>
    <hyperlink ref="E203" r:id="rId108" display="https://www.mmo.mn/olympiads/answers/191/?s=279" xr:uid="{5B1E4F94-95EF-4AD2-83D4-52E1ED3732D4}"/>
    <hyperlink ref="E167" r:id="rId109" display="https://mmo.mn/olympiads/answers/191/?s=280" xr:uid="{5280C65E-7FB5-4B7D-AC9A-F9E10366BD7B}"/>
    <hyperlink ref="E204" r:id="rId110" display="https://mmo.mn/olympiads/answers/191/?s=291" xr:uid="{1FDF3806-722A-4F0B-BC10-4CDEAD52AA2E}"/>
    <hyperlink ref="B12" r:id="rId111" display="https://mmo.mn/olympiads/achievements/183711/" xr:uid="{53F2F60E-F81D-4EF3-8CA3-00191DA30563}"/>
    <hyperlink ref="B8" r:id="rId112" display="https://mmo.mn/olympiads/achievements/183979/" xr:uid="{19B25D9D-4CDB-423F-B424-EF8688856C3D}"/>
    <hyperlink ref="B5" r:id="rId113" display="https://mmo.mn/olympiads/achievements/184009/" xr:uid="{6B1BF2B8-E930-4FC2-8541-5306546A32A1}"/>
    <hyperlink ref="B64" r:id="rId114" display="https://mmo.mn/olympiads/achievements/183214/" xr:uid="{81ED1F7E-0E78-4C73-908A-1C233A697F2C}"/>
    <hyperlink ref="E12" r:id="rId115" display="https://mmo.mn/olympiads/answers/191/?s=292" xr:uid="{5A465AD0-32EE-45ED-9FEE-976989284FDC}"/>
    <hyperlink ref="E8" r:id="rId116" display="https://mmo.mn/olympiads/answers/191/?s=292" xr:uid="{D2EA9BE2-AA57-4D2A-BAFC-95EE9C118981}"/>
    <hyperlink ref="E5" r:id="rId117" display="https://mmo.mn/olympiads/answers/191/?s=292" xr:uid="{53C1AFDD-E8B6-4B98-B023-1A1CD297DBC8}"/>
    <hyperlink ref="E64" r:id="rId118" display="https://mmo.mn/olympiads/answers/191/?s=293" xr:uid="{E83B5DF9-5D7A-4F58-A7B2-1F26BF20CE4B}"/>
    <hyperlink ref="B21" r:id="rId119" display="https://mmo.mn/olympiads/achievements/183972/" xr:uid="{C50C637A-2407-42F4-B539-88949525541D}"/>
    <hyperlink ref="B127" r:id="rId120" display="https://mmo.mn/olympiads/achievements/215661/" xr:uid="{5AF684C2-4818-45A5-8D37-DFA66B205506}"/>
    <hyperlink ref="E21" r:id="rId121" display="https://mmo.mn/olympiads/answers/191/?s=292" xr:uid="{DA6835D1-598D-4989-BC36-28A0EB8FE231}"/>
    <hyperlink ref="E127" r:id="rId122" display="https://mmo.mn/olympiads/answers/191/?s=291" xr:uid="{6DAD65BB-50FD-4ABC-A1F1-7593250E0D47}"/>
    <hyperlink ref="B47" r:id="rId123" display="https://mmo.mn/olympiads/achievements/183490/" xr:uid="{BF0DCC62-2521-48DB-BC5B-367DA43A3F3F}"/>
    <hyperlink ref="B25" r:id="rId124" display="https://mmo.mn/olympiads/achievements/184465/" xr:uid="{C7443990-2E5F-4F8F-9D3C-9FFBFCC0D219}"/>
    <hyperlink ref="E47" r:id="rId125" display="https://mmo.mn/olympiads/answers/191/?s=292" xr:uid="{54524E28-10C1-43F4-A3B2-EF87C8C56D26}"/>
    <hyperlink ref="E25" r:id="rId126" display="https://mmo.mn/olympiads/answers/191/?s=292" xr:uid="{1A205834-A432-43B3-A12A-3C197725840B}"/>
    <hyperlink ref="B39" r:id="rId127" display="https://mmo.mn/olympiads/achievements/183454/" xr:uid="{2D7AEFCE-B48F-4940-800F-D0E6076DEEB8}"/>
    <hyperlink ref="B32" r:id="rId128" display="https://mmo.mn/olympiads/achievements/183852/" xr:uid="{CEC8FA39-7B95-43DC-A123-843459EBC626}"/>
    <hyperlink ref="B170" r:id="rId129" display="https://mmo.mn/olympiads/achievements/128348/" xr:uid="{D0419D70-24E6-4DF1-AF48-686B703F5013}"/>
    <hyperlink ref="B88" r:id="rId130" display="https://mmo.mn/olympiads/achievements/201986/" xr:uid="{A1DDE949-914E-46D6-8B61-5EC740B0799C}"/>
    <hyperlink ref="B171" r:id="rId131" display="https://mmo.mn/olympiads/achievements/213686/" xr:uid="{03CAD410-3F55-4938-BE44-1733BA2485EE}"/>
    <hyperlink ref="E39" r:id="rId132" display="https://mmo.mn/olympiads/answers/191/?s=292" xr:uid="{35081631-042D-4B6E-823A-0151D416F875}"/>
    <hyperlink ref="E32" r:id="rId133" display="https://mmo.mn/olympiads/answers/191/?s=292" xr:uid="{B89634E5-A314-4B7B-AE0D-BAC57F586B7C}"/>
    <hyperlink ref="E87" r:id="rId134" display="https://mmo.mn/olympiads/answers/191/?s=292" xr:uid="{DE4D209A-1873-4485-A0B5-03B8166419D4}"/>
    <hyperlink ref="E170" r:id="rId135" display="https://mmo.mn/olympiads/answers/191/?s=291" xr:uid="{1FAD43C7-A36D-470F-B53E-A982E474F774}"/>
    <hyperlink ref="E88" r:id="rId136" display="https://mmo.mn/olympiads/answers/191/?s=301" xr:uid="{6AE31DAE-5273-463A-B5DE-6470626FCA3F}"/>
    <hyperlink ref="E171" r:id="rId137" display="https://mmo.mn/olympiads/answers/191/?s=284" xr:uid="{D952481C-6AF5-4148-8C26-60F63C445706}"/>
    <hyperlink ref="B26" r:id="rId138" display="https://mmo.mn/olympiads/achievements/183981/" xr:uid="{3265F41D-F882-424D-BACF-27485A1A1ACD}"/>
    <hyperlink ref="B13" r:id="rId139" display="https://mmo.mn/olympiads/achievements/195775/" xr:uid="{EDF4C646-65B6-41CD-BA95-0B850863E369}"/>
    <hyperlink ref="B98" r:id="rId140" display="https://mmo.mn/olympiads/achievements/194637/" xr:uid="{A270EB87-902F-42AB-BAED-791B970E4952}"/>
    <hyperlink ref="E26" r:id="rId141" display="https://mmo.mn/olympiads/answers/191/?s=292" xr:uid="{07765152-18CA-44EB-88CF-FC6666A5B7FD}"/>
    <hyperlink ref="E13" r:id="rId142" display="https://mmo.mn/olympiads/answers/191/?s=292" xr:uid="{2FE4A48E-DAA9-486C-9008-469A1E6CABB8}"/>
    <hyperlink ref="E98" r:id="rId143" display="https://mmo.mn/olympiads/answers/191/?s=279" xr:uid="{DD1BC898-AC1B-4C28-AAB9-72CB6A3EFDD6}"/>
    <hyperlink ref="E42" r:id="rId144" display="https://mmo.mn/olympiads/answers/191/?s=292" xr:uid="{28D9BAA4-1628-40CD-AD78-08B89FB2FB5B}"/>
    <hyperlink ref="B42" r:id="rId145" display="https://mmo.mn/olympiads/achievements/183999/" xr:uid="{DD4E5C52-9A8F-41D0-80E9-1718FFD2C1A7}"/>
    <hyperlink ref="E46" r:id="rId146" display="https://mmo.mn/olympiads/answers/191/?s=289" xr:uid="{5BB7952F-C5B0-4465-B499-FED7AEC681D8}"/>
    <hyperlink ref="B46" r:id="rId147" display="https://mmo.mn/olympiads/achievements/222656/" xr:uid="{A55DC98F-1EA0-490F-922D-98CCE5DED8D2}"/>
    <hyperlink ref="E37" r:id="rId148" display="https://mmo.mn/olympiads/answers/191/?s=279" xr:uid="{B83564B4-097B-4604-BF91-75E87AC72968}"/>
    <hyperlink ref="B37" r:id="rId149" display="https://mmo.mn/olympiads/achievements/194642/" xr:uid="{3F81474C-FE09-47A1-A9BE-C20EC4BB780A}"/>
    <hyperlink ref="E35" r:id="rId150" display="https://mmo.mn/olympiads/answers/191/?s=286" xr:uid="{8B8B99BF-D392-45FA-9068-FAD43B64437B}"/>
    <hyperlink ref="B35" r:id="rId151" display="https://mmo.mn/olympiads/achievements/143236/" xr:uid="{A0403162-DC72-45A2-9416-AE36E6BFAD69}"/>
    <hyperlink ref="B15" r:id="rId152" display="https://mmo.mn/olympiads/achievements/207956/" xr:uid="{2E2FDD8D-7DE6-4BB1-B83F-5157CC5E980C}"/>
    <hyperlink ref="E15" r:id="rId153" display="https://mmo.mn/olympiads/answers/191/?s=301" xr:uid="{564C758E-42BD-4E5F-9CC2-F12F311F935C}"/>
    <hyperlink ref="B175" r:id="rId154" display="https://mmo.mn/olympiads/achievements/222688/" xr:uid="{39CBCA4F-DDB0-48CD-8207-3505EE888597}"/>
    <hyperlink ref="B79" r:id="rId155" display="https://mmo.mn/olympiads/achievements/204455/" xr:uid="{12875AD4-5558-4011-A710-C645A6A1D88F}"/>
    <hyperlink ref="B210" r:id="rId156" display="https://mmo.mn/olympiads/achievements/221891/" xr:uid="{69CCB34C-412E-40E4-ADD4-C9F990B5766D}"/>
    <hyperlink ref="E175" r:id="rId157" display="https://mmo.mn/olympiads/answers/191/?s=289" xr:uid="{1319551F-5833-4F55-8857-652F13F909F1}"/>
    <hyperlink ref="E79" r:id="rId158" display="https://mmo.mn/olympiads/answers/191/?s=301" xr:uid="{8125C8BA-1BEC-4D44-9B05-D7EF3C0096AE}"/>
    <hyperlink ref="E210" r:id="rId159" display="https://mmo.mn/olympiads/answers/191/?s=299" xr:uid="{511FEFBD-30D1-4720-B540-D3745A63621F}"/>
    <hyperlink ref="B115" r:id="rId160" display="https://mmo.mn/olympiads/achievements/189299/" xr:uid="{0D284294-1982-4974-8EEC-338AA7A207F8}"/>
    <hyperlink ref="B92" r:id="rId161" display="https://mmo.mn/olympiads/achievements/116388/" xr:uid="{3C1C794D-8378-4C8E-898D-ADCA13AC2A7B}"/>
    <hyperlink ref="B80" r:id="rId162" display="https://mmo.mn/olympiads/achievements/220012/" xr:uid="{02981A6E-46F2-4024-95F7-CECAB7F0D0BA}"/>
    <hyperlink ref="E115" r:id="rId163" display="https://mmo.mn/olympiads/answers/191/?s=296" xr:uid="{5FC3B5B4-89C1-4E83-A1D6-AA4F763FB0CC}"/>
    <hyperlink ref="E92" r:id="rId164" display="https://mmo.mn/olympiads/answers/191/?s=301" xr:uid="{818404FD-A7D1-46F8-8F7F-69885C3FBE56}"/>
    <hyperlink ref="E80" r:id="rId165" display="https://mmo.mn/olympiads/answers/191/?s=299" xr:uid="{4A90EDE5-6311-485E-B0A3-976D12812AE6}"/>
    <hyperlink ref="B43" r:id="rId166" display="https://mmo.mn/olympiads/achievements/20256/" xr:uid="{EB4D438D-1891-4782-BB27-7230EA440142}"/>
    <hyperlink ref="B93" r:id="rId167" display="https://mmo.mn/olympiads/achievements/183830/" xr:uid="{66A7A48A-4296-4B82-9349-A616C57D0508}"/>
    <hyperlink ref="E43" r:id="rId168" display="https://mmo.mn/olympiads/answers/191/?s=296" xr:uid="{1B0A611A-3AD0-4716-BF98-A058BEE16CF7}"/>
    <hyperlink ref="E93" r:id="rId169" display="https://mmo.mn/olympiads/answers/191/?s=299" xr:uid="{820930A2-AB25-4810-B35F-CF5B5F3C83DE}"/>
    <hyperlink ref="B177" r:id="rId170" display="https://mmo.mn/olympiads/achievements/167312/" xr:uid="{288674D4-706F-4B03-9468-AFB957343F31}"/>
    <hyperlink ref="B48" r:id="rId171" display="https://mmo.mn/olympiads/achievements/193369/" xr:uid="{0DD019C4-2DE7-49A3-8C46-991583BA76B9}"/>
    <hyperlink ref="B99" r:id="rId172" display="https://mmo.mn/olympiads/achievements/133458/" xr:uid="{4E7D8BFD-C7D0-438D-B4B0-8BEE03A310BC}"/>
    <hyperlink ref="B178" r:id="rId173" display="https://mmo.mn/olympiads/achievements/184030/" xr:uid="{8282E97B-C128-4DE9-A14D-9EEE74F84CB7}"/>
    <hyperlink ref="E177" r:id="rId174" display="https://mmo.mn/olympiads/answers/191/?s=296" xr:uid="{0F51CC14-1B50-4F98-AAD3-3AB52BD85582}"/>
    <hyperlink ref="E48" r:id="rId175" display="https://mmo.mn/olympiads/answers/191/?s=301" xr:uid="{41CE46B4-E016-4E30-BB23-D434393EFCC5}"/>
    <hyperlink ref="E99" r:id="rId176" display="https://mmo.mn/olympiads/answers/191/?s=299" xr:uid="{0D67195A-E614-4DB3-9245-3955F1277D33}"/>
    <hyperlink ref="E178" r:id="rId177" display="https://mmo.mn/olympiads/answers/191/?s=299" xr:uid="{63FC126E-3D84-418E-98F7-49310E548649}"/>
    <hyperlink ref="B57" r:id="rId178" display="https://mmo.mn/olympiads/achievements/221133/" xr:uid="{41CCA372-1A5C-47F3-BB3C-21DBA14FFECF}"/>
    <hyperlink ref="B181" r:id="rId179" display="https://mmo.mn/olympiads/achievements/145761/" xr:uid="{B09E79FD-0AE2-4A18-BEDC-3462FAB0B4D8}"/>
    <hyperlink ref="B179" r:id="rId180" display="https://mmo.mn/olympiads/achievements/192906/" xr:uid="{6AB45A56-C4A2-4D5A-960B-E41FA11035F6}"/>
    <hyperlink ref="E57" r:id="rId181" display="https://mmo.mn/olympiads/answers/191/?s=301" xr:uid="{625396A6-77E8-4079-A913-6694843B91A7}"/>
    <hyperlink ref="E181" r:id="rId182" display="https://mmo.mn/olympiads/answers/191/?s=299" xr:uid="{91D4C151-2186-4E20-ADA3-DB72C53F38E0}"/>
    <hyperlink ref="E179" r:id="rId183" display="https://mmo.mn/olympiads/answers/191/?s=301" xr:uid="{C743D90F-4FFB-4436-B566-433B71E6108F}"/>
    <hyperlink ref="B116" r:id="rId184" display="https://mmo.mn/olympiads/achievements/144875/" xr:uid="{32737144-A630-4C0F-89C9-7C83807EFD3A}"/>
    <hyperlink ref="E116" r:id="rId185" display="https://mmo.mn/olympiads/answers/191/?s=299" xr:uid="{1680E62B-1A46-4F29-83F4-6851934009E4}"/>
    <hyperlink ref="B94" r:id="rId186" display="https://mmo.mn/olympiads/achievements/201986/" xr:uid="{B2411C9B-B618-4CE8-903D-C44E11E15235}"/>
    <hyperlink ref="B184" r:id="rId187" display="https://mmo.mn/olympiads/achievements/193416/" xr:uid="{247F2103-A864-4326-BA33-639E821464C2}"/>
    <hyperlink ref="E94" r:id="rId188" display="https://mmo.mn/olympiads/answers/191/?s=301" xr:uid="{081E4687-9321-4F57-B5EA-3D7C8E88D3A5}"/>
    <hyperlink ref="E184" r:id="rId189" display="https://mmo.mn/olympiads/answers/191/?s=301" xr:uid="{9C55CF1A-3DDC-430A-806A-7151B4813B9C}"/>
    <hyperlink ref="E164" r:id="rId190" display="https://mmo.mn/olympiads/answers/191/?s=280" xr:uid="{3775D98F-2355-4842-8B89-C000B1300F59}"/>
    <hyperlink ref="B164" r:id="rId191" display="https://mmo.mn/olympiads/achievements/210152/" xr:uid="{FE26A62B-036E-4157-865A-C4EC43298740}"/>
  </hyperlinks>
  <pageMargins left="0.39370078740157499" right="0.39370078740157499" top="0.74803149606299202" bottom="0.74803149606299202" header="0.31496062992126" footer="0.31496062992126"/>
  <pageSetup paperSize="9" scale="110" orientation="portrait" horizontalDpi="360" verticalDpi="360" r:id="rId1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8EC8-B40C-4CDC-9ED7-2535C04769F1}">
  <sheetPr>
    <tabColor theme="9"/>
  </sheetPr>
  <dimension ref="A1:L173"/>
  <sheetViews>
    <sheetView view="pageLayout" topLeftCell="A158" zoomScaleNormal="70" zoomScaleSheetLayoutView="90" workbookViewId="0">
      <selection activeCell="C166" sqref="C166"/>
    </sheetView>
  </sheetViews>
  <sheetFormatPr defaultColWidth="9.1796875" defaultRowHeight="14" x14ac:dyDescent="0.3"/>
  <cols>
    <col min="1" max="1" width="7.7265625" style="1" customWidth="1"/>
    <col min="2" max="2" width="8.7265625" style="1" customWidth="1"/>
    <col min="3" max="3" width="16.7265625" style="1" customWidth="1"/>
    <col min="4" max="4" width="16.453125" style="1" customWidth="1"/>
    <col min="5" max="5" width="21.81640625" style="1" customWidth="1"/>
    <col min="6" max="6" width="5.1796875" style="1" customWidth="1"/>
    <col min="7" max="10" width="3.54296875" style="1" customWidth="1"/>
    <col min="11" max="11" width="6.453125" style="1" customWidth="1"/>
    <col min="12" max="12" width="9.81640625" style="1" customWidth="1"/>
    <col min="13" max="16384" width="9.1796875" style="1"/>
  </cols>
  <sheetData>
    <row r="1" spans="1:12" ht="20" x14ac:dyDescent="0.3">
      <c r="A1" s="157" t="s">
        <v>373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</row>
    <row r="2" spans="1:12" ht="15.5" x14ac:dyDescent="0.3">
      <c r="A2" s="27"/>
      <c r="B2" s="27"/>
      <c r="C2" s="27"/>
      <c r="D2" s="27"/>
      <c r="E2" s="27"/>
      <c r="F2" s="27"/>
      <c r="G2" s="27"/>
      <c r="H2" s="27"/>
      <c r="I2" s="28" t="s">
        <v>1</v>
      </c>
      <c r="J2" s="27"/>
      <c r="K2" s="27"/>
    </row>
    <row r="3" spans="1:12" ht="18.649999999999999" customHeight="1" x14ac:dyDescent="0.3">
      <c r="A3" s="158" t="s">
        <v>2</v>
      </c>
      <c r="B3" s="158" t="s">
        <v>3</v>
      </c>
      <c r="C3" s="158" t="s">
        <v>4</v>
      </c>
      <c r="D3" s="158" t="s">
        <v>5</v>
      </c>
      <c r="E3" s="158" t="s">
        <v>6</v>
      </c>
      <c r="F3" s="29"/>
      <c r="G3" s="159" t="s">
        <v>8</v>
      </c>
      <c r="H3" s="159"/>
      <c r="I3" s="159"/>
      <c r="J3" s="159"/>
      <c r="K3" s="160" t="s">
        <v>9</v>
      </c>
      <c r="L3" s="160" t="s">
        <v>374</v>
      </c>
    </row>
    <row r="4" spans="1:12" s="6" customFormat="1" ht="18" x14ac:dyDescent="0.35">
      <c r="A4" s="158"/>
      <c r="B4" s="158"/>
      <c r="C4" s="158"/>
      <c r="D4" s="158"/>
      <c r="E4" s="158"/>
      <c r="F4" s="29"/>
      <c r="G4" s="29">
        <v>1</v>
      </c>
      <c r="H4" s="31">
        <v>2</v>
      </c>
      <c r="I4" s="31">
        <v>3</v>
      </c>
      <c r="J4" s="31">
        <v>4</v>
      </c>
      <c r="K4" s="161"/>
      <c r="L4" s="161"/>
    </row>
    <row r="5" spans="1:12" s="6" customFormat="1" ht="15.5" customHeight="1" x14ac:dyDescent="0.35">
      <c r="A5" s="20">
        <v>1</v>
      </c>
      <c r="B5" s="32">
        <v>72180</v>
      </c>
      <c r="C5" s="33" t="s">
        <v>68</v>
      </c>
      <c r="D5" s="33" t="s">
        <v>28</v>
      </c>
      <c r="E5" s="32" t="s">
        <v>12</v>
      </c>
      <c r="F5" s="32">
        <v>8</v>
      </c>
      <c r="G5" s="34">
        <v>6</v>
      </c>
      <c r="H5" s="34">
        <v>7</v>
      </c>
      <c r="I5" s="34">
        <v>6</v>
      </c>
      <c r="J5" s="34">
        <v>7</v>
      </c>
      <c r="K5" s="34">
        <f t="shared" ref="K5:K35" si="0">SUM(G5:J5)</f>
        <v>26</v>
      </c>
      <c r="L5" s="155" t="s">
        <v>375</v>
      </c>
    </row>
    <row r="6" spans="1:12" s="6" customFormat="1" ht="15.75" customHeight="1" x14ac:dyDescent="0.35">
      <c r="A6" s="20">
        <v>2</v>
      </c>
      <c r="B6" s="32">
        <v>72096</v>
      </c>
      <c r="C6" s="35" t="s">
        <v>376</v>
      </c>
      <c r="D6" s="35" t="s">
        <v>377</v>
      </c>
      <c r="E6" s="32" t="s">
        <v>12</v>
      </c>
      <c r="F6" s="32">
        <v>8</v>
      </c>
      <c r="G6" s="34">
        <v>7</v>
      </c>
      <c r="H6" s="34">
        <v>7</v>
      </c>
      <c r="I6" s="34">
        <v>6</v>
      </c>
      <c r="J6" s="34">
        <v>2</v>
      </c>
      <c r="K6" s="34">
        <f t="shared" si="0"/>
        <v>22</v>
      </c>
      <c r="L6" s="156"/>
    </row>
    <row r="7" spans="1:12" s="6" customFormat="1" ht="15.5" x14ac:dyDescent="0.35">
      <c r="A7" s="20">
        <v>3</v>
      </c>
      <c r="B7" s="32">
        <v>78136</v>
      </c>
      <c r="C7" s="35" t="s">
        <v>378</v>
      </c>
      <c r="D7" s="35" t="s">
        <v>379</v>
      </c>
      <c r="E7" s="32" t="s">
        <v>12</v>
      </c>
      <c r="F7" s="32">
        <v>7</v>
      </c>
      <c r="G7" s="34">
        <v>7</v>
      </c>
      <c r="H7" s="34">
        <v>7</v>
      </c>
      <c r="I7" s="34">
        <v>0</v>
      </c>
      <c r="J7" s="34">
        <v>7</v>
      </c>
      <c r="K7" s="34">
        <f t="shared" si="0"/>
        <v>21</v>
      </c>
      <c r="L7" s="156"/>
    </row>
    <row r="8" spans="1:12" s="6" customFormat="1" ht="15.5" x14ac:dyDescent="0.35">
      <c r="A8" s="20">
        <v>4</v>
      </c>
      <c r="B8" s="32">
        <v>215317</v>
      </c>
      <c r="C8" s="36" t="s">
        <v>344</v>
      </c>
      <c r="D8" s="36" t="s">
        <v>380</v>
      </c>
      <c r="E8" s="32" t="s">
        <v>35</v>
      </c>
      <c r="F8" s="32">
        <v>7</v>
      </c>
      <c r="G8" s="34">
        <v>5</v>
      </c>
      <c r="H8" s="34">
        <v>7</v>
      </c>
      <c r="I8" s="34">
        <v>6</v>
      </c>
      <c r="J8" s="34">
        <v>2</v>
      </c>
      <c r="K8" s="34">
        <f t="shared" si="0"/>
        <v>20</v>
      </c>
      <c r="L8" s="156"/>
    </row>
    <row r="9" spans="1:12" s="6" customFormat="1" ht="15.5" x14ac:dyDescent="0.3">
      <c r="A9" s="20">
        <v>5</v>
      </c>
      <c r="B9" s="32">
        <v>12470</v>
      </c>
      <c r="C9" s="35" t="s">
        <v>381</v>
      </c>
      <c r="D9" s="35" t="s">
        <v>382</v>
      </c>
      <c r="E9" s="32" t="s">
        <v>12</v>
      </c>
      <c r="F9" s="32">
        <v>7</v>
      </c>
      <c r="G9" s="37">
        <v>4</v>
      </c>
      <c r="H9" s="37">
        <v>7</v>
      </c>
      <c r="I9" s="37">
        <v>0</v>
      </c>
      <c r="J9" s="37">
        <v>7</v>
      </c>
      <c r="K9" s="34">
        <f t="shared" si="0"/>
        <v>18</v>
      </c>
      <c r="L9" s="156"/>
    </row>
    <row r="10" spans="1:12" s="6" customFormat="1" ht="18" customHeight="1" x14ac:dyDescent="0.35">
      <c r="A10" s="20">
        <v>6</v>
      </c>
      <c r="B10" s="32">
        <v>213697</v>
      </c>
      <c r="C10" s="35" t="s">
        <v>383</v>
      </c>
      <c r="D10" s="35" t="s">
        <v>30</v>
      </c>
      <c r="E10" s="32" t="s">
        <v>12</v>
      </c>
      <c r="F10" s="32">
        <v>8</v>
      </c>
      <c r="G10" s="34">
        <v>4</v>
      </c>
      <c r="H10" s="34">
        <v>7</v>
      </c>
      <c r="I10" s="34">
        <v>6</v>
      </c>
      <c r="J10" s="34">
        <v>0</v>
      </c>
      <c r="K10" s="34">
        <f t="shared" si="0"/>
        <v>17</v>
      </c>
      <c r="L10" s="156"/>
    </row>
    <row r="11" spans="1:12" s="6" customFormat="1" ht="15.5" x14ac:dyDescent="0.35">
      <c r="A11" s="20">
        <v>7</v>
      </c>
      <c r="B11" s="32">
        <v>113690</v>
      </c>
      <c r="C11" s="35" t="s">
        <v>384</v>
      </c>
      <c r="D11" s="35" t="s">
        <v>385</v>
      </c>
      <c r="E11" s="32" t="s">
        <v>12</v>
      </c>
      <c r="F11" s="32">
        <v>7</v>
      </c>
      <c r="G11" s="34">
        <v>2</v>
      </c>
      <c r="H11" s="34">
        <v>7</v>
      </c>
      <c r="I11" s="34">
        <v>6</v>
      </c>
      <c r="J11" s="34">
        <v>0</v>
      </c>
      <c r="K11" s="34">
        <f t="shared" si="0"/>
        <v>15</v>
      </c>
      <c r="L11" s="156"/>
    </row>
    <row r="12" spans="1:12" s="6" customFormat="1" ht="15.5" x14ac:dyDescent="0.35">
      <c r="A12" s="20">
        <v>8</v>
      </c>
      <c r="B12" s="32">
        <v>128887</v>
      </c>
      <c r="C12" s="35" t="s">
        <v>386</v>
      </c>
      <c r="D12" s="35" t="s">
        <v>387</v>
      </c>
      <c r="E12" s="32" t="s">
        <v>12</v>
      </c>
      <c r="F12" s="32">
        <v>7</v>
      </c>
      <c r="G12" s="34">
        <v>7</v>
      </c>
      <c r="H12" s="34">
        <v>7</v>
      </c>
      <c r="I12" s="34">
        <v>0</v>
      </c>
      <c r="J12" s="34">
        <v>0</v>
      </c>
      <c r="K12" s="34">
        <f t="shared" si="0"/>
        <v>14</v>
      </c>
      <c r="L12" s="156"/>
    </row>
    <row r="13" spans="1:12" s="6" customFormat="1" ht="15.5" x14ac:dyDescent="0.35">
      <c r="A13" s="20">
        <v>9</v>
      </c>
      <c r="B13" s="32">
        <v>141470</v>
      </c>
      <c r="C13" s="35" t="s">
        <v>330</v>
      </c>
      <c r="D13" s="35" t="s">
        <v>388</v>
      </c>
      <c r="E13" s="32" t="s">
        <v>46</v>
      </c>
      <c r="F13" s="32">
        <v>8</v>
      </c>
      <c r="G13" s="34">
        <v>7</v>
      </c>
      <c r="H13" s="34">
        <v>7</v>
      </c>
      <c r="I13" s="34">
        <v>0</v>
      </c>
      <c r="J13" s="34">
        <v>0</v>
      </c>
      <c r="K13" s="34">
        <f t="shared" si="0"/>
        <v>14</v>
      </c>
      <c r="L13" s="156"/>
    </row>
    <row r="14" spans="1:12" s="6" customFormat="1" ht="15.5" x14ac:dyDescent="0.35">
      <c r="A14" s="20">
        <v>10</v>
      </c>
      <c r="B14" s="32">
        <v>214196</v>
      </c>
      <c r="C14" s="35" t="s">
        <v>389</v>
      </c>
      <c r="D14" s="35" t="s">
        <v>390</v>
      </c>
      <c r="E14" s="32" t="s">
        <v>12</v>
      </c>
      <c r="F14" s="32">
        <v>8</v>
      </c>
      <c r="G14" s="34">
        <v>7</v>
      </c>
      <c r="H14" s="34">
        <v>7</v>
      </c>
      <c r="I14" s="34">
        <v>0</v>
      </c>
      <c r="J14" s="34">
        <v>0</v>
      </c>
      <c r="K14" s="34">
        <f t="shared" si="0"/>
        <v>14</v>
      </c>
      <c r="L14" s="156"/>
    </row>
    <row r="15" spans="1:12" s="6" customFormat="1" ht="15.5" x14ac:dyDescent="0.3">
      <c r="A15" s="20">
        <v>11</v>
      </c>
      <c r="B15" s="32">
        <v>138580</v>
      </c>
      <c r="C15" s="35" t="s">
        <v>391</v>
      </c>
      <c r="D15" s="35" t="s">
        <v>300</v>
      </c>
      <c r="E15" s="32" t="s">
        <v>12</v>
      </c>
      <c r="F15" s="32">
        <v>7</v>
      </c>
      <c r="G15" s="37">
        <v>7</v>
      </c>
      <c r="H15" s="37">
        <v>7</v>
      </c>
      <c r="I15" s="37">
        <v>0</v>
      </c>
      <c r="J15" s="37">
        <v>0</v>
      </c>
      <c r="K15" s="34">
        <f t="shared" si="0"/>
        <v>14</v>
      </c>
      <c r="L15" s="156"/>
    </row>
    <row r="16" spans="1:12" s="6" customFormat="1" ht="17.5" customHeight="1" x14ac:dyDescent="0.3">
      <c r="A16" s="20">
        <v>12</v>
      </c>
      <c r="B16" s="32">
        <v>55667</v>
      </c>
      <c r="C16" s="35" t="s">
        <v>287</v>
      </c>
      <c r="D16" s="35" t="s">
        <v>392</v>
      </c>
      <c r="E16" s="32" t="s">
        <v>12</v>
      </c>
      <c r="F16" s="32">
        <v>8</v>
      </c>
      <c r="G16" s="37">
        <v>3</v>
      </c>
      <c r="H16" s="37">
        <v>7</v>
      </c>
      <c r="I16" s="37">
        <v>4</v>
      </c>
      <c r="J16" s="37">
        <v>0</v>
      </c>
      <c r="K16" s="34">
        <f t="shared" si="0"/>
        <v>14</v>
      </c>
      <c r="L16" s="156"/>
    </row>
    <row r="17" spans="1:12" s="6" customFormat="1" ht="15.5" x14ac:dyDescent="0.35">
      <c r="A17" s="20">
        <v>13</v>
      </c>
      <c r="B17" s="32">
        <v>129844</v>
      </c>
      <c r="C17" s="35" t="s">
        <v>393</v>
      </c>
      <c r="D17" s="35" t="s">
        <v>394</v>
      </c>
      <c r="E17" s="32" t="s">
        <v>12</v>
      </c>
      <c r="F17" s="32">
        <v>7</v>
      </c>
      <c r="G17" s="34">
        <v>2</v>
      </c>
      <c r="H17" s="34">
        <v>7</v>
      </c>
      <c r="I17" s="34">
        <v>4</v>
      </c>
      <c r="J17" s="34">
        <v>0</v>
      </c>
      <c r="K17" s="34">
        <f t="shared" si="0"/>
        <v>13</v>
      </c>
      <c r="L17" s="156"/>
    </row>
    <row r="18" spans="1:12" s="6" customFormat="1" ht="15.5" x14ac:dyDescent="0.35">
      <c r="A18" s="20">
        <v>14</v>
      </c>
      <c r="B18" s="32">
        <v>42128</v>
      </c>
      <c r="C18" s="35" t="s">
        <v>187</v>
      </c>
      <c r="D18" s="35" t="s">
        <v>395</v>
      </c>
      <c r="E18" s="32" t="s">
        <v>12</v>
      </c>
      <c r="F18" s="32">
        <v>8</v>
      </c>
      <c r="G18" s="34">
        <v>4</v>
      </c>
      <c r="H18" s="34">
        <v>7</v>
      </c>
      <c r="I18" s="34">
        <v>0</v>
      </c>
      <c r="J18" s="34">
        <v>2</v>
      </c>
      <c r="K18" s="34">
        <f t="shared" si="0"/>
        <v>13</v>
      </c>
      <c r="L18" s="156"/>
    </row>
    <row r="19" spans="1:12" s="6" customFormat="1" ht="15.5" x14ac:dyDescent="0.3">
      <c r="A19" s="20">
        <v>15</v>
      </c>
      <c r="B19" s="38">
        <v>87975</v>
      </c>
      <c r="C19" s="39" t="s">
        <v>396</v>
      </c>
      <c r="D19" s="39" t="s">
        <v>347</v>
      </c>
      <c r="E19" s="38" t="s">
        <v>143</v>
      </c>
      <c r="F19" s="38">
        <v>8</v>
      </c>
      <c r="G19" s="37">
        <v>0</v>
      </c>
      <c r="H19" s="37">
        <v>7</v>
      </c>
      <c r="I19" s="37">
        <v>6</v>
      </c>
      <c r="J19" s="37">
        <v>0</v>
      </c>
      <c r="K19" s="34">
        <f t="shared" si="0"/>
        <v>13</v>
      </c>
      <c r="L19" s="156"/>
    </row>
    <row r="20" spans="1:12" s="6" customFormat="1" ht="15.5" x14ac:dyDescent="0.35">
      <c r="A20" s="20">
        <v>16</v>
      </c>
      <c r="B20" s="32">
        <v>142213</v>
      </c>
      <c r="C20" s="35" t="s">
        <v>397</v>
      </c>
      <c r="D20" s="35" t="s">
        <v>150</v>
      </c>
      <c r="E20" s="32" t="s">
        <v>12</v>
      </c>
      <c r="F20" s="32">
        <v>7</v>
      </c>
      <c r="G20" s="34">
        <v>4</v>
      </c>
      <c r="H20" s="34">
        <v>7</v>
      </c>
      <c r="I20" s="34">
        <v>0</v>
      </c>
      <c r="J20" s="34">
        <v>0</v>
      </c>
      <c r="K20" s="34">
        <f t="shared" si="0"/>
        <v>11</v>
      </c>
      <c r="L20" s="156"/>
    </row>
    <row r="21" spans="1:12" s="6" customFormat="1" ht="15.5" x14ac:dyDescent="0.35">
      <c r="A21" s="20">
        <v>17</v>
      </c>
      <c r="B21" s="32">
        <v>86290</v>
      </c>
      <c r="C21" s="35" t="s">
        <v>398</v>
      </c>
      <c r="D21" s="35" t="s">
        <v>399</v>
      </c>
      <c r="E21" s="32" t="s">
        <v>12</v>
      </c>
      <c r="F21" s="32">
        <v>7</v>
      </c>
      <c r="G21" s="34">
        <v>5</v>
      </c>
      <c r="H21" s="34">
        <v>0</v>
      </c>
      <c r="I21" s="34">
        <v>6</v>
      </c>
      <c r="J21" s="34">
        <v>0</v>
      </c>
      <c r="K21" s="34">
        <f t="shared" si="0"/>
        <v>11</v>
      </c>
      <c r="L21" s="156"/>
    </row>
    <row r="22" spans="1:12" s="6" customFormat="1" ht="15.5" x14ac:dyDescent="0.3">
      <c r="A22" s="40">
        <v>18</v>
      </c>
      <c r="B22" s="41">
        <v>137631</v>
      </c>
      <c r="C22" s="42" t="s">
        <v>400</v>
      </c>
      <c r="D22" s="42" t="s">
        <v>401</v>
      </c>
      <c r="E22" s="41" t="s">
        <v>12</v>
      </c>
      <c r="F22" s="41">
        <v>7</v>
      </c>
      <c r="G22" s="43">
        <v>4</v>
      </c>
      <c r="H22" s="43">
        <v>7</v>
      </c>
      <c r="I22" s="43">
        <v>0</v>
      </c>
      <c r="J22" s="43">
        <v>0</v>
      </c>
      <c r="K22" s="44">
        <f t="shared" si="0"/>
        <v>11</v>
      </c>
      <c r="L22" s="156"/>
    </row>
    <row r="23" spans="1:12" s="6" customFormat="1" ht="15.5" x14ac:dyDescent="0.35">
      <c r="A23" s="7">
        <v>19</v>
      </c>
      <c r="B23" s="45">
        <v>198330</v>
      </c>
      <c r="C23" s="46" t="s">
        <v>101</v>
      </c>
      <c r="D23" s="46" t="s">
        <v>337</v>
      </c>
      <c r="E23" s="45" t="s">
        <v>26</v>
      </c>
      <c r="F23" s="45">
        <v>8</v>
      </c>
      <c r="G23" s="47">
        <v>2</v>
      </c>
      <c r="H23" s="47">
        <v>7</v>
      </c>
      <c r="I23" s="47">
        <v>0</v>
      </c>
      <c r="J23" s="47">
        <v>0</v>
      </c>
      <c r="K23" s="47">
        <f t="shared" si="0"/>
        <v>9</v>
      </c>
      <c r="L23" s="48"/>
    </row>
    <row r="24" spans="1:12" s="6" customFormat="1" ht="15.5" x14ac:dyDescent="0.35">
      <c r="A24" s="7">
        <v>20</v>
      </c>
      <c r="B24" s="45">
        <v>132931</v>
      </c>
      <c r="C24" s="46" t="s">
        <v>402</v>
      </c>
      <c r="D24" s="46" t="s">
        <v>403</v>
      </c>
      <c r="E24" s="45" t="s">
        <v>12</v>
      </c>
      <c r="F24" s="45">
        <v>7</v>
      </c>
      <c r="G24" s="47">
        <v>2</v>
      </c>
      <c r="H24" s="47">
        <v>7</v>
      </c>
      <c r="I24" s="47">
        <v>0</v>
      </c>
      <c r="J24" s="47">
        <v>0</v>
      </c>
      <c r="K24" s="47">
        <f t="shared" si="0"/>
        <v>9</v>
      </c>
      <c r="L24" s="48"/>
    </row>
    <row r="25" spans="1:12" s="6" customFormat="1" ht="15.5" x14ac:dyDescent="0.35">
      <c r="A25" s="7">
        <v>21</v>
      </c>
      <c r="B25" s="45">
        <v>36798</v>
      </c>
      <c r="C25" s="49" t="s">
        <v>404</v>
      </c>
      <c r="D25" s="49" t="s">
        <v>243</v>
      </c>
      <c r="E25" s="45" t="s">
        <v>12</v>
      </c>
      <c r="F25" s="45">
        <v>8</v>
      </c>
      <c r="G25" s="47">
        <v>2</v>
      </c>
      <c r="H25" s="47">
        <v>7</v>
      </c>
      <c r="I25" s="47">
        <v>0</v>
      </c>
      <c r="J25" s="47">
        <v>0</v>
      </c>
      <c r="K25" s="47">
        <f t="shared" si="0"/>
        <v>9</v>
      </c>
      <c r="L25" s="48"/>
    </row>
    <row r="26" spans="1:12" s="6" customFormat="1" ht="15.5" x14ac:dyDescent="0.35">
      <c r="A26" s="7">
        <v>22</v>
      </c>
      <c r="B26" s="49">
        <v>165295</v>
      </c>
      <c r="C26" s="49" t="s">
        <v>405</v>
      </c>
      <c r="D26" s="49" t="s">
        <v>406</v>
      </c>
      <c r="E26" s="49" t="s">
        <v>191</v>
      </c>
      <c r="F26" s="49">
        <v>8</v>
      </c>
      <c r="G26" s="47">
        <v>2</v>
      </c>
      <c r="H26" s="47">
        <v>7</v>
      </c>
      <c r="I26" s="47">
        <v>0</v>
      </c>
      <c r="J26" s="47">
        <v>0</v>
      </c>
      <c r="K26" s="47">
        <f t="shared" si="0"/>
        <v>9</v>
      </c>
      <c r="L26" s="48"/>
    </row>
    <row r="27" spans="1:12" s="6" customFormat="1" ht="15.5" x14ac:dyDescent="0.3">
      <c r="A27" s="7">
        <v>23</v>
      </c>
      <c r="B27" s="50">
        <v>36295</v>
      </c>
      <c r="C27" s="51" t="s">
        <v>69</v>
      </c>
      <c r="D27" s="51" t="s">
        <v>311</v>
      </c>
      <c r="E27" s="50" t="s">
        <v>12</v>
      </c>
      <c r="F27" s="50">
        <v>8</v>
      </c>
      <c r="G27" s="52">
        <v>2</v>
      </c>
      <c r="H27" s="52">
        <v>7</v>
      </c>
      <c r="I27" s="52">
        <v>0</v>
      </c>
      <c r="J27" s="52">
        <v>0</v>
      </c>
      <c r="K27" s="47">
        <f t="shared" si="0"/>
        <v>9</v>
      </c>
      <c r="L27" s="48"/>
    </row>
    <row r="28" spans="1:12" s="6" customFormat="1" ht="15.5" x14ac:dyDescent="0.3">
      <c r="A28" s="7">
        <v>24</v>
      </c>
      <c r="B28" s="50">
        <v>113490</v>
      </c>
      <c r="C28" s="51" t="s">
        <v>407</v>
      </c>
      <c r="D28" s="51" t="s">
        <v>300</v>
      </c>
      <c r="E28" s="50" t="s">
        <v>12</v>
      </c>
      <c r="F28" s="50">
        <v>7</v>
      </c>
      <c r="G28" s="52">
        <v>2</v>
      </c>
      <c r="H28" s="52">
        <v>7</v>
      </c>
      <c r="I28" s="52">
        <v>0</v>
      </c>
      <c r="J28" s="52">
        <v>0</v>
      </c>
      <c r="K28" s="47">
        <f t="shared" si="0"/>
        <v>9</v>
      </c>
      <c r="L28" s="48"/>
    </row>
    <row r="29" spans="1:12" s="6" customFormat="1" ht="16" thickBot="1" x14ac:dyDescent="0.4">
      <c r="A29" s="7">
        <v>25</v>
      </c>
      <c r="B29" s="45">
        <v>12937</v>
      </c>
      <c r="C29" s="49" t="s">
        <v>408</v>
      </c>
      <c r="D29" s="49" t="s">
        <v>409</v>
      </c>
      <c r="E29" s="45" t="s">
        <v>12</v>
      </c>
      <c r="F29" s="53">
        <v>7</v>
      </c>
      <c r="G29" s="54">
        <v>6</v>
      </c>
      <c r="H29" s="54">
        <v>0</v>
      </c>
      <c r="I29" s="54">
        <v>2</v>
      </c>
      <c r="J29" s="54">
        <v>0</v>
      </c>
      <c r="K29" s="47">
        <f t="shared" si="0"/>
        <v>8</v>
      </c>
      <c r="L29" s="47"/>
    </row>
    <row r="30" spans="1:12" s="6" customFormat="1" ht="15.5" x14ac:dyDescent="0.35">
      <c r="A30" s="7">
        <v>26</v>
      </c>
      <c r="B30" s="45">
        <v>28631</v>
      </c>
      <c r="C30" s="49" t="s">
        <v>410</v>
      </c>
      <c r="D30" s="49" t="s">
        <v>409</v>
      </c>
      <c r="E30" s="45" t="s">
        <v>12</v>
      </c>
      <c r="F30" s="55">
        <v>8</v>
      </c>
      <c r="G30" s="56">
        <v>1</v>
      </c>
      <c r="H30" s="56">
        <v>7</v>
      </c>
      <c r="I30" s="56">
        <v>0</v>
      </c>
      <c r="J30" s="56">
        <v>0</v>
      </c>
      <c r="K30" s="47">
        <f t="shared" si="0"/>
        <v>8</v>
      </c>
      <c r="L30" s="47"/>
    </row>
    <row r="31" spans="1:12" s="6" customFormat="1" ht="15.5" x14ac:dyDescent="0.35">
      <c r="A31" s="7">
        <v>27</v>
      </c>
      <c r="B31" s="45">
        <v>85480</v>
      </c>
      <c r="C31" s="46" t="s">
        <v>411</v>
      </c>
      <c r="D31" s="46" t="s">
        <v>412</v>
      </c>
      <c r="E31" s="45" t="s">
        <v>94</v>
      </c>
      <c r="F31" s="45">
        <v>8</v>
      </c>
      <c r="G31" s="47">
        <v>0</v>
      </c>
      <c r="H31" s="47">
        <v>7</v>
      </c>
      <c r="I31" s="47">
        <v>0</v>
      </c>
      <c r="J31" s="47">
        <v>0</v>
      </c>
      <c r="K31" s="47">
        <f t="shared" si="0"/>
        <v>7</v>
      </c>
      <c r="L31" s="47"/>
    </row>
    <row r="32" spans="1:12" s="6" customFormat="1" ht="15.5" x14ac:dyDescent="0.35">
      <c r="A32" s="7">
        <v>28</v>
      </c>
      <c r="B32" s="45">
        <v>127893</v>
      </c>
      <c r="C32" s="49" t="s">
        <v>147</v>
      </c>
      <c r="D32" s="49" t="s">
        <v>413</v>
      </c>
      <c r="E32" s="45" t="s">
        <v>26</v>
      </c>
      <c r="F32" s="45">
        <v>8</v>
      </c>
      <c r="G32" s="47">
        <v>0</v>
      </c>
      <c r="H32" s="47">
        <v>0</v>
      </c>
      <c r="I32" s="47">
        <v>0</v>
      </c>
      <c r="J32" s="47">
        <v>7</v>
      </c>
      <c r="K32" s="47">
        <f t="shared" si="0"/>
        <v>7</v>
      </c>
      <c r="L32" s="47"/>
    </row>
    <row r="33" spans="1:12" s="6" customFormat="1" ht="15.5" x14ac:dyDescent="0.35">
      <c r="A33" s="7">
        <v>29</v>
      </c>
      <c r="B33" s="49">
        <v>194656</v>
      </c>
      <c r="C33" s="49" t="s">
        <v>65</v>
      </c>
      <c r="D33" s="49" t="s">
        <v>414</v>
      </c>
      <c r="E33" s="49" t="s">
        <v>415</v>
      </c>
      <c r="F33" s="49">
        <v>8</v>
      </c>
      <c r="G33" s="47">
        <v>0</v>
      </c>
      <c r="H33" s="47">
        <v>7</v>
      </c>
      <c r="I33" s="47">
        <v>0</v>
      </c>
      <c r="J33" s="47">
        <v>0</v>
      </c>
      <c r="K33" s="47">
        <f t="shared" si="0"/>
        <v>7</v>
      </c>
      <c r="L33" s="47"/>
    </row>
    <row r="34" spans="1:12" s="6" customFormat="1" ht="15.5" x14ac:dyDescent="0.35">
      <c r="A34" s="7">
        <v>30</v>
      </c>
      <c r="B34" s="45">
        <v>86682</v>
      </c>
      <c r="C34" s="49" t="s">
        <v>231</v>
      </c>
      <c r="D34" s="49" t="s">
        <v>416</v>
      </c>
      <c r="E34" s="45" t="s">
        <v>143</v>
      </c>
      <c r="F34" s="45">
        <v>8</v>
      </c>
      <c r="G34" s="47">
        <v>0</v>
      </c>
      <c r="H34" s="47">
        <v>7</v>
      </c>
      <c r="I34" s="47">
        <v>0</v>
      </c>
      <c r="J34" s="47">
        <v>0</v>
      </c>
      <c r="K34" s="47">
        <f t="shared" si="0"/>
        <v>7</v>
      </c>
      <c r="L34" s="47"/>
    </row>
    <row r="35" spans="1:12" ht="15.5" x14ac:dyDescent="0.3">
      <c r="A35" s="7">
        <v>31</v>
      </c>
      <c r="B35" s="49">
        <v>166792</v>
      </c>
      <c r="C35" s="49" t="s">
        <v>417</v>
      </c>
      <c r="D35" s="49" t="s">
        <v>395</v>
      </c>
      <c r="E35" s="49" t="s">
        <v>94</v>
      </c>
      <c r="F35" s="49">
        <v>7</v>
      </c>
      <c r="G35" s="47">
        <v>0</v>
      </c>
      <c r="H35" s="47">
        <v>7</v>
      </c>
      <c r="I35" s="47">
        <v>0</v>
      </c>
      <c r="J35" s="47">
        <v>0</v>
      </c>
      <c r="K35" s="47">
        <f t="shared" si="0"/>
        <v>7</v>
      </c>
      <c r="L35" s="47"/>
    </row>
    <row r="36" spans="1:12" ht="15.5" x14ac:dyDescent="0.3">
      <c r="A36" s="7">
        <v>32</v>
      </c>
      <c r="B36" s="49">
        <v>219184</v>
      </c>
      <c r="C36" s="49" t="s">
        <v>418</v>
      </c>
      <c r="D36" s="49" t="s">
        <v>289</v>
      </c>
      <c r="E36" s="49" t="s">
        <v>419</v>
      </c>
      <c r="F36" s="49">
        <v>8</v>
      </c>
      <c r="G36" s="47">
        <v>0</v>
      </c>
      <c r="H36" s="47">
        <v>7</v>
      </c>
      <c r="I36" s="47">
        <v>0</v>
      </c>
      <c r="J36" s="47">
        <v>0</v>
      </c>
      <c r="K36" s="47">
        <f>SUBTOTAL(9,G36:J36)</f>
        <v>7</v>
      </c>
      <c r="L36" s="47"/>
    </row>
    <row r="37" spans="1:12" ht="15.5" x14ac:dyDescent="0.3">
      <c r="A37" s="7">
        <v>33</v>
      </c>
      <c r="B37" s="45">
        <v>25927</v>
      </c>
      <c r="C37" s="49" t="s">
        <v>227</v>
      </c>
      <c r="D37" s="49" t="s">
        <v>403</v>
      </c>
      <c r="E37" s="45" t="s">
        <v>12</v>
      </c>
      <c r="F37" s="45">
        <v>8</v>
      </c>
      <c r="G37" s="47">
        <v>7</v>
      </c>
      <c r="H37" s="47">
        <v>0</v>
      </c>
      <c r="I37" s="47">
        <v>0</v>
      </c>
      <c r="J37" s="47">
        <v>0</v>
      </c>
      <c r="K37" s="47">
        <f t="shared" ref="K37:K68" si="1">SUM(G37:J37)</f>
        <v>7</v>
      </c>
      <c r="L37" s="47"/>
    </row>
    <row r="38" spans="1:12" ht="15.5" x14ac:dyDescent="0.3">
      <c r="A38" s="7">
        <v>34</v>
      </c>
      <c r="B38" s="45">
        <v>136714</v>
      </c>
      <c r="C38" s="49" t="s">
        <v>344</v>
      </c>
      <c r="D38" s="49" t="s">
        <v>420</v>
      </c>
      <c r="E38" s="45" t="s">
        <v>97</v>
      </c>
      <c r="F38" s="45">
        <v>8</v>
      </c>
      <c r="G38" s="47">
        <v>0</v>
      </c>
      <c r="H38" s="47">
        <v>7</v>
      </c>
      <c r="I38" s="47">
        <v>0</v>
      </c>
      <c r="J38" s="47">
        <v>0</v>
      </c>
      <c r="K38" s="47">
        <f t="shared" si="1"/>
        <v>7</v>
      </c>
      <c r="L38" s="47"/>
    </row>
    <row r="39" spans="1:12" ht="15.5" x14ac:dyDescent="0.3">
      <c r="A39" s="7">
        <v>35</v>
      </c>
      <c r="B39" s="45">
        <v>127618</v>
      </c>
      <c r="C39" s="49" t="s">
        <v>421</v>
      </c>
      <c r="D39" s="49" t="s">
        <v>422</v>
      </c>
      <c r="E39" s="45" t="s">
        <v>143</v>
      </c>
      <c r="F39" s="45">
        <v>8</v>
      </c>
      <c r="G39" s="52">
        <v>0</v>
      </c>
      <c r="H39" s="52">
        <v>7</v>
      </c>
      <c r="I39" s="52">
        <v>0</v>
      </c>
      <c r="J39" s="52">
        <v>0</v>
      </c>
      <c r="K39" s="47">
        <f t="shared" si="1"/>
        <v>7</v>
      </c>
      <c r="L39" s="47"/>
    </row>
    <row r="40" spans="1:12" ht="15.5" x14ac:dyDescent="0.3">
      <c r="A40" s="7">
        <v>36</v>
      </c>
      <c r="B40" s="45">
        <v>85493</v>
      </c>
      <c r="C40" s="49" t="s">
        <v>423</v>
      </c>
      <c r="D40" s="49" t="s">
        <v>424</v>
      </c>
      <c r="E40" s="45" t="s">
        <v>94</v>
      </c>
      <c r="F40" s="45">
        <v>7</v>
      </c>
      <c r="G40" s="52">
        <v>7</v>
      </c>
      <c r="H40" s="52">
        <v>0</v>
      </c>
      <c r="I40" s="52">
        <v>0</v>
      </c>
      <c r="J40" s="52">
        <v>0</v>
      </c>
      <c r="K40" s="47">
        <f t="shared" si="1"/>
        <v>7</v>
      </c>
      <c r="L40" s="47"/>
    </row>
    <row r="41" spans="1:12" ht="15.5" x14ac:dyDescent="0.3">
      <c r="A41" s="7">
        <v>37</v>
      </c>
      <c r="B41" s="49">
        <v>212634</v>
      </c>
      <c r="C41" s="49" t="s">
        <v>89</v>
      </c>
      <c r="D41" s="49" t="s">
        <v>105</v>
      </c>
      <c r="E41" s="49" t="s">
        <v>35</v>
      </c>
      <c r="F41" s="49">
        <v>8</v>
      </c>
      <c r="G41" s="52">
        <v>0</v>
      </c>
      <c r="H41" s="52">
        <v>0</v>
      </c>
      <c r="I41" s="52">
        <v>0</v>
      </c>
      <c r="J41" s="52">
        <v>7</v>
      </c>
      <c r="K41" s="47">
        <f t="shared" si="1"/>
        <v>7</v>
      </c>
      <c r="L41" s="47"/>
    </row>
    <row r="42" spans="1:12" ht="17.149999999999999" customHeight="1" x14ac:dyDescent="0.3">
      <c r="A42" s="7">
        <v>38</v>
      </c>
      <c r="B42" s="49">
        <v>165400</v>
      </c>
      <c r="C42" s="49" t="s">
        <v>425</v>
      </c>
      <c r="D42" s="49" t="s">
        <v>426</v>
      </c>
      <c r="E42" s="49" t="s">
        <v>191</v>
      </c>
      <c r="F42" s="49">
        <v>8</v>
      </c>
      <c r="G42" s="52">
        <v>0</v>
      </c>
      <c r="H42" s="52">
        <v>7</v>
      </c>
      <c r="I42" s="52">
        <v>0</v>
      </c>
      <c r="J42" s="52">
        <v>0</v>
      </c>
      <c r="K42" s="47">
        <f t="shared" si="1"/>
        <v>7</v>
      </c>
      <c r="L42" s="47"/>
    </row>
    <row r="43" spans="1:12" ht="15.5" x14ac:dyDescent="0.3">
      <c r="A43" s="7">
        <v>39</v>
      </c>
      <c r="B43" s="45">
        <v>141382</v>
      </c>
      <c r="C43" s="46" t="s">
        <v>346</v>
      </c>
      <c r="D43" s="46" t="s">
        <v>427</v>
      </c>
      <c r="E43" s="45" t="s">
        <v>46</v>
      </c>
      <c r="F43" s="45">
        <v>8</v>
      </c>
      <c r="G43" s="47">
        <v>0</v>
      </c>
      <c r="H43" s="47">
        <v>0</v>
      </c>
      <c r="I43" s="47">
        <v>6</v>
      </c>
      <c r="J43" s="47">
        <v>0</v>
      </c>
      <c r="K43" s="47">
        <f t="shared" si="1"/>
        <v>6</v>
      </c>
      <c r="L43" s="47"/>
    </row>
    <row r="44" spans="1:12" ht="15.5" x14ac:dyDescent="0.3">
      <c r="A44" s="7">
        <v>40</v>
      </c>
      <c r="B44" s="45">
        <v>141786</v>
      </c>
      <c r="C44" s="49" t="s">
        <v>15</v>
      </c>
      <c r="D44" s="49" t="s">
        <v>428</v>
      </c>
      <c r="E44" s="45" t="s">
        <v>12</v>
      </c>
      <c r="F44" s="45">
        <v>8</v>
      </c>
      <c r="G44" s="47">
        <v>0</v>
      </c>
      <c r="H44" s="47">
        <v>0</v>
      </c>
      <c r="I44" s="47">
        <v>6</v>
      </c>
      <c r="J44" s="47">
        <v>0</v>
      </c>
      <c r="K44" s="47">
        <f t="shared" si="1"/>
        <v>6</v>
      </c>
      <c r="L44" s="47"/>
    </row>
    <row r="45" spans="1:12" ht="15.5" x14ac:dyDescent="0.3">
      <c r="A45" s="7">
        <v>41</v>
      </c>
      <c r="B45" s="49">
        <v>117054</v>
      </c>
      <c r="C45" s="49" t="s">
        <v>429</v>
      </c>
      <c r="D45" s="49" t="s">
        <v>430</v>
      </c>
      <c r="E45" s="45" t="s">
        <v>12</v>
      </c>
      <c r="F45" s="45">
        <v>7</v>
      </c>
      <c r="G45" s="47">
        <v>5</v>
      </c>
      <c r="H45" s="47">
        <v>0</v>
      </c>
      <c r="I45" s="47">
        <v>0</v>
      </c>
      <c r="J45" s="47">
        <v>0</v>
      </c>
      <c r="K45" s="47">
        <f t="shared" si="1"/>
        <v>5</v>
      </c>
      <c r="L45" s="47"/>
    </row>
    <row r="46" spans="1:12" ht="15.5" x14ac:dyDescent="0.3">
      <c r="A46" s="7">
        <v>42</v>
      </c>
      <c r="B46" s="49">
        <v>186762</v>
      </c>
      <c r="C46" s="57" t="s">
        <v>431</v>
      </c>
      <c r="D46" s="57" t="s">
        <v>432</v>
      </c>
      <c r="E46" s="49" t="s">
        <v>220</v>
      </c>
      <c r="F46" s="49">
        <v>8</v>
      </c>
      <c r="G46" s="47">
        <v>2</v>
      </c>
      <c r="H46" s="47">
        <v>0</v>
      </c>
      <c r="I46" s="47">
        <v>2</v>
      </c>
      <c r="J46" s="47">
        <v>0</v>
      </c>
      <c r="K46" s="47">
        <f t="shared" si="1"/>
        <v>4</v>
      </c>
      <c r="L46" s="47"/>
    </row>
    <row r="47" spans="1:12" ht="15.5" x14ac:dyDescent="0.3">
      <c r="A47" s="7">
        <v>43</v>
      </c>
      <c r="B47" s="49">
        <v>221429</v>
      </c>
      <c r="C47" s="49" t="s">
        <v>433</v>
      </c>
      <c r="D47" s="49" t="s">
        <v>434</v>
      </c>
      <c r="E47" s="49" t="s">
        <v>268</v>
      </c>
      <c r="F47" s="49">
        <v>8</v>
      </c>
      <c r="G47" s="47">
        <v>4</v>
      </c>
      <c r="H47" s="47">
        <v>0</v>
      </c>
      <c r="I47" s="47">
        <v>0</v>
      </c>
      <c r="J47" s="47">
        <v>0</v>
      </c>
      <c r="K47" s="47">
        <f t="shared" si="1"/>
        <v>4</v>
      </c>
      <c r="L47" s="47"/>
    </row>
    <row r="48" spans="1:12" ht="15.5" x14ac:dyDescent="0.3">
      <c r="A48" s="7">
        <v>44</v>
      </c>
      <c r="B48" s="49">
        <v>154751</v>
      </c>
      <c r="C48" s="49" t="s">
        <v>435</v>
      </c>
      <c r="D48" s="49" t="s">
        <v>187</v>
      </c>
      <c r="E48" s="49" t="s">
        <v>41</v>
      </c>
      <c r="F48" s="49">
        <v>7</v>
      </c>
      <c r="G48" s="47">
        <v>4</v>
      </c>
      <c r="H48" s="47">
        <v>0</v>
      </c>
      <c r="I48" s="47">
        <v>0</v>
      </c>
      <c r="J48" s="47">
        <v>0</v>
      </c>
      <c r="K48" s="47">
        <f t="shared" si="1"/>
        <v>4</v>
      </c>
      <c r="L48" s="47"/>
    </row>
    <row r="49" spans="1:12" ht="15.5" x14ac:dyDescent="0.3">
      <c r="A49" s="7">
        <v>45</v>
      </c>
      <c r="B49" s="45">
        <v>72604</v>
      </c>
      <c r="C49" s="49" t="s">
        <v>436</v>
      </c>
      <c r="D49" s="49" t="s">
        <v>437</v>
      </c>
      <c r="E49" s="45" t="s">
        <v>35</v>
      </c>
      <c r="F49" s="45">
        <v>8</v>
      </c>
      <c r="G49" s="47">
        <v>2</v>
      </c>
      <c r="H49" s="47">
        <v>0</v>
      </c>
      <c r="I49" s="47">
        <v>0</v>
      </c>
      <c r="J49" s="47">
        <v>2</v>
      </c>
      <c r="K49" s="47">
        <f t="shared" si="1"/>
        <v>4</v>
      </c>
      <c r="L49" s="47"/>
    </row>
    <row r="50" spans="1:12" ht="15.5" x14ac:dyDescent="0.3">
      <c r="A50" s="7">
        <v>46</v>
      </c>
      <c r="B50" s="45">
        <v>129358</v>
      </c>
      <c r="C50" s="49" t="s">
        <v>118</v>
      </c>
      <c r="D50" s="49" t="s">
        <v>438</v>
      </c>
      <c r="E50" s="45" t="s">
        <v>12</v>
      </c>
      <c r="F50" s="45">
        <v>7</v>
      </c>
      <c r="G50" s="47">
        <v>3</v>
      </c>
      <c r="H50" s="47">
        <v>0</v>
      </c>
      <c r="I50" s="47">
        <v>0</v>
      </c>
      <c r="J50" s="47">
        <v>0</v>
      </c>
      <c r="K50" s="47">
        <f t="shared" si="1"/>
        <v>3</v>
      </c>
      <c r="L50" s="47"/>
    </row>
    <row r="51" spans="1:12" ht="15.5" x14ac:dyDescent="0.3">
      <c r="A51" s="7">
        <v>47</v>
      </c>
      <c r="B51" s="45">
        <v>213702</v>
      </c>
      <c r="C51" s="49" t="s">
        <v>439</v>
      </c>
      <c r="D51" s="49" t="s">
        <v>86</v>
      </c>
      <c r="E51" s="45" t="s">
        <v>12</v>
      </c>
      <c r="F51" s="45">
        <v>8</v>
      </c>
      <c r="G51" s="47">
        <v>3</v>
      </c>
      <c r="H51" s="47">
        <v>0</v>
      </c>
      <c r="I51" s="47">
        <v>0</v>
      </c>
      <c r="J51" s="47">
        <v>0</v>
      </c>
      <c r="K51" s="47">
        <f t="shared" si="1"/>
        <v>3</v>
      </c>
      <c r="L51" s="47"/>
    </row>
    <row r="52" spans="1:12" ht="15.5" x14ac:dyDescent="0.3">
      <c r="A52" s="7">
        <v>48</v>
      </c>
      <c r="B52" s="50">
        <v>86860</v>
      </c>
      <c r="C52" s="51" t="s">
        <v>101</v>
      </c>
      <c r="D52" s="51" t="s">
        <v>440</v>
      </c>
      <c r="E52" s="50" t="s">
        <v>143</v>
      </c>
      <c r="F52" s="50">
        <v>8</v>
      </c>
      <c r="G52" s="52">
        <v>1</v>
      </c>
      <c r="H52" s="52">
        <v>0</v>
      </c>
      <c r="I52" s="52">
        <v>2</v>
      </c>
      <c r="J52" s="52">
        <v>0</v>
      </c>
      <c r="K52" s="47">
        <f t="shared" si="1"/>
        <v>3</v>
      </c>
      <c r="L52" s="47"/>
    </row>
    <row r="53" spans="1:12" ht="15.5" x14ac:dyDescent="0.3">
      <c r="A53" s="7">
        <v>49</v>
      </c>
      <c r="B53" s="45">
        <v>113693</v>
      </c>
      <c r="C53" s="49" t="s">
        <v>244</v>
      </c>
      <c r="D53" s="49" t="s">
        <v>275</v>
      </c>
      <c r="E53" s="45" t="s">
        <v>12</v>
      </c>
      <c r="F53" s="45">
        <v>7</v>
      </c>
      <c r="G53" s="47">
        <v>2</v>
      </c>
      <c r="H53" s="47">
        <v>0</v>
      </c>
      <c r="I53" s="47">
        <v>0</v>
      </c>
      <c r="J53" s="47">
        <v>0</v>
      </c>
      <c r="K53" s="47">
        <f t="shared" si="1"/>
        <v>2</v>
      </c>
      <c r="L53" s="47"/>
    </row>
    <row r="54" spans="1:12" ht="15.5" x14ac:dyDescent="0.3">
      <c r="A54" s="7">
        <v>50</v>
      </c>
      <c r="B54" s="49">
        <v>208425</v>
      </c>
      <c r="C54" s="49" t="s">
        <v>413</v>
      </c>
      <c r="D54" s="49" t="s">
        <v>441</v>
      </c>
      <c r="E54" s="49" t="s">
        <v>46</v>
      </c>
      <c r="F54" s="49">
        <v>7</v>
      </c>
      <c r="G54" s="47">
        <v>2</v>
      </c>
      <c r="H54" s="47">
        <v>0</v>
      </c>
      <c r="I54" s="47">
        <v>0</v>
      </c>
      <c r="J54" s="47">
        <v>0</v>
      </c>
      <c r="K54" s="47">
        <f t="shared" si="1"/>
        <v>2</v>
      </c>
      <c r="L54" s="47"/>
    </row>
    <row r="55" spans="1:12" ht="15.5" x14ac:dyDescent="0.3">
      <c r="A55" s="7">
        <v>51</v>
      </c>
      <c r="B55" s="49">
        <v>156920</v>
      </c>
      <c r="C55" s="49" t="s">
        <v>442</v>
      </c>
      <c r="D55" s="49" t="s">
        <v>443</v>
      </c>
      <c r="E55" s="49" t="s">
        <v>26</v>
      </c>
      <c r="F55" s="49">
        <v>8</v>
      </c>
      <c r="G55" s="47">
        <v>2</v>
      </c>
      <c r="H55" s="47">
        <v>0</v>
      </c>
      <c r="I55" s="47">
        <v>0</v>
      </c>
      <c r="J55" s="47">
        <v>0</v>
      </c>
      <c r="K55" s="47">
        <f t="shared" si="1"/>
        <v>2</v>
      </c>
      <c r="L55" s="47"/>
    </row>
    <row r="56" spans="1:12" ht="15.5" x14ac:dyDescent="0.3">
      <c r="A56" s="7">
        <v>52</v>
      </c>
      <c r="B56" s="45">
        <v>136678</v>
      </c>
      <c r="C56" s="49" t="s">
        <v>444</v>
      </c>
      <c r="D56" s="49" t="s">
        <v>445</v>
      </c>
      <c r="E56" s="45" t="s">
        <v>97</v>
      </c>
      <c r="F56" s="45">
        <v>8</v>
      </c>
      <c r="G56" s="47">
        <v>2</v>
      </c>
      <c r="H56" s="47">
        <v>0</v>
      </c>
      <c r="I56" s="47">
        <v>0</v>
      </c>
      <c r="J56" s="47">
        <v>0</v>
      </c>
      <c r="K56" s="47">
        <f t="shared" si="1"/>
        <v>2</v>
      </c>
      <c r="L56" s="47"/>
    </row>
    <row r="57" spans="1:12" ht="15.5" x14ac:dyDescent="0.3">
      <c r="A57" s="7">
        <v>53</v>
      </c>
      <c r="B57" s="45">
        <v>202280</v>
      </c>
      <c r="C57" s="49" t="s">
        <v>446</v>
      </c>
      <c r="D57" s="49" t="s">
        <v>447</v>
      </c>
      <c r="E57" s="45" t="s">
        <v>70</v>
      </c>
      <c r="F57" s="45">
        <v>7</v>
      </c>
      <c r="G57" s="47">
        <v>2</v>
      </c>
      <c r="H57" s="47">
        <v>0</v>
      </c>
      <c r="I57" s="47">
        <v>0</v>
      </c>
      <c r="J57" s="47">
        <v>0</v>
      </c>
      <c r="K57" s="47">
        <f t="shared" si="1"/>
        <v>2</v>
      </c>
      <c r="L57" s="47"/>
    </row>
    <row r="58" spans="1:12" ht="15.5" x14ac:dyDescent="0.3">
      <c r="A58" s="7">
        <v>54</v>
      </c>
      <c r="B58" s="45">
        <v>202257</v>
      </c>
      <c r="C58" s="49" t="s">
        <v>448</v>
      </c>
      <c r="D58" s="49" t="s">
        <v>69</v>
      </c>
      <c r="E58" s="45" t="s">
        <v>70</v>
      </c>
      <c r="F58" s="45">
        <v>7</v>
      </c>
      <c r="G58" s="47">
        <v>2</v>
      </c>
      <c r="H58" s="47">
        <v>0</v>
      </c>
      <c r="I58" s="47">
        <v>0</v>
      </c>
      <c r="J58" s="47">
        <v>0</v>
      </c>
      <c r="K58" s="47">
        <f t="shared" si="1"/>
        <v>2</v>
      </c>
      <c r="L58" s="47"/>
    </row>
    <row r="59" spans="1:12" ht="15.5" x14ac:dyDescent="0.3">
      <c r="A59" s="7">
        <v>55</v>
      </c>
      <c r="B59" s="45">
        <v>191443</v>
      </c>
      <c r="C59" s="49" t="s">
        <v>342</v>
      </c>
      <c r="D59" s="49" t="s">
        <v>449</v>
      </c>
      <c r="E59" s="45" t="s">
        <v>126</v>
      </c>
      <c r="F59" s="45">
        <v>8</v>
      </c>
      <c r="G59" s="47">
        <v>2</v>
      </c>
      <c r="H59" s="47">
        <v>0</v>
      </c>
      <c r="I59" s="47">
        <v>0</v>
      </c>
      <c r="J59" s="47">
        <v>0</v>
      </c>
      <c r="K59" s="47">
        <f t="shared" si="1"/>
        <v>2</v>
      </c>
      <c r="L59" s="47"/>
    </row>
    <row r="60" spans="1:12" ht="15.5" x14ac:dyDescent="0.3">
      <c r="A60" s="7">
        <v>56</v>
      </c>
      <c r="B60" s="45">
        <v>202343</v>
      </c>
      <c r="C60" s="49" t="s">
        <v>450</v>
      </c>
      <c r="D60" s="49" t="s">
        <v>403</v>
      </c>
      <c r="E60" s="45" t="s">
        <v>70</v>
      </c>
      <c r="F60" s="45">
        <v>7</v>
      </c>
      <c r="G60" s="47">
        <v>2</v>
      </c>
      <c r="H60" s="47">
        <v>0</v>
      </c>
      <c r="I60" s="47">
        <v>0</v>
      </c>
      <c r="J60" s="47">
        <v>0</v>
      </c>
      <c r="K60" s="47">
        <f t="shared" si="1"/>
        <v>2</v>
      </c>
      <c r="L60" s="47"/>
    </row>
    <row r="61" spans="1:12" ht="15.5" x14ac:dyDescent="0.3">
      <c r="A61" s="7">
        <v>57</v>
      </c>
      <c r="B61" s="50">
        <v>86842</v>
      </c>
      <c r="C61" s="51" t="s">
        <v>451</v>
      </c>
      <c r="D61" s="51" t="s">
        <v>452</v>
      </c>
      <c r="E61" s="50" t="s">
        <v>143</v>
      </c>
      <c r="F61" s="50">
        <v>8</v>
      </c>
      <c r="G61" s="52">
        <v>0</v>
      </c>
      <c r="H61" s="52">
        <v>0</v>
      </c>
      <c r="I61" s="52">
        <v>2</v>
      </c>
      <c r="J61" s="52">
        <v>0</v>
      </c>
      <c r="K61" s="47">
        <f t="shared" si="1"/>
        <v>2</v>
      </c>
      <c r="L61" s="47"/>
    </row>
    <row r="62" spans="1:12" ht="15.5" x14ac:dyDescent="0.3">
      <c r="A62" s="7">
        <v>58</v>
      </c>
      <c r="B62" s="50">
        <v>133026</v>
      </c>
      <c r="C62" s="51" t="s">
        <v>453</v>
      </c>
      <c r="D62" s="51" t="s">
        <v>403</v>
      </c>
      <c r="E62" s="50" t="s">
        <v>12</v>
      </c>
      <c r="F62" s="50">
        <v>7</v>
      </c>
      <c r="G62" s="52">
        <v>2</v>
      </c>
      <c r="H62" s="52">
        <v>0</v>
      </c>
      <c r="I62" s="52">
        <v>0</v>
      </c>
      <c r="J62" s="52">
        <v>0</v>
      </c>
      <c r="K62" s="47">
        <f t="shared" si="1"/>
        <v>2</v>
      </c>
      <c r="L62" s="47"/>
    </row>
    <row r="63" spans="1:12" ht="15.5" x14ac:dyDescent="0.3">
      <c r="A63" s="7">
        <v>59</v>
      </c>
      <c r="B63" s="45">
        <v>158007</v>
      </c>
      <c r="C63" s="49" t="s">
        <v>454</v>
      </c>
      <c r="D63" s="49" t="s">
        <v>455</v>
      </c>
      <c r="E63" s="45" t="s">
        <v>12</v>
      </c>
      <c r="F63" s="45">
        <v>8</v>
      </c>
      <c r="G63" s="52">
        <v>2</v>
      </c>
      <c r="H63" s="52">
        <v>0</v>
      </c>
      <c r="I63" s="52">
        <v>0</v>
      </c>
      <c r="J63" s="52">
        <v>0</v>
      </c>
      <c r="K63" s="47">
        <f t="shared" si="1"/>
        <v>2</v>
      </c>
      <c r="L63" s="47"/>
    </row>
    <row r="64" spans="1:12" ht="18" customHeight="1" x14ac:dyDescent="0.3">
      <c r="A64" s="7">
        <v>60</v>
      </c>
      <c r="B64" s="45">
        <v>133068</v>
      </c>
      <c r="C64" s="49" t="s">
        <v>456</v>
      </c>
      <c r="D64" s="49" t="s">
        <v>457</v>
      </c>
      <c r="E64" s="45" t="s">
        <v>12</v>
      </c>
      <c r="F64" s="45">
        <v>8</v>
      </c>
      <c r="G64" s="52">
        <v>2</v>
      </c>
      <c r="H64" s="52">
        <v>0</v>
      </c>
      <c r="I64" s="52">
        <v>0</v>
      </c>
      <c r="J64" s="52">
        <v>0</v>
      </c>
      <c r="K64" s="47">
        <f t="shared" si="1"/>
        <v>2</v>
      </c>
      <c r="L64" s="47"/>
    </row>
    <row r="65" spans="1:12" ht="15.5" x14ac:dyDescent="0.3">
      <c r="A65" s="7">
        <v>61</v>
      </c>
      <c r="B65" s="45">
        <v>129471</v>
      </c>
      <c r="C65" s="49" t="s">
        <v>117</v>
      </c>
      <c r="D65" s="49" t="s">
        <v>458</v>
      </c>
      <c r="E65" s="45" t="s">
        <v>70</v>
      </c>
      <c r="F65" s="45">
        <v>7</v>
      </c>
      <c r="G65" s="47">
        <v>1</v>
      </c>
      <c r="H65" s="47">
        <v>0</v>
      </c>
      <c r="I65" s="47">
        <v>0</v>
      </c>
      <c r="J65" s="47">
        <v>0</v>
      </c>
      <c r="K65" s="47">
        <f t="shared" si="1"/>
        <v>1</v>
      </c>
      <c r="L65" s="47"/>
    </row>
    <row r="66" spans="1:12" ht="15.5" x14ac:dyDescent="0.3">
      <c r="A66" s="7">
        <v>62</v>
      </c>
      <c r="B66" s="45">
        <v>85720</v>
      </c>
      <c r="C66" s="57" t="s">
        <v>459</v>
      </c>
      <c r="D66" s="57" t="s">
        <v>460</v>
      </c>
      <c r="E66" s="45" t="s">
        <v>153</v>
      </c>
      <c r="F66" s="45">
        <v>8</v>
      </c>
      <c r="G66" s="47">
        <v>0</v>
      </c>
      <c r="H66" s="47">
        <v>0</v>
      </c>
      <c r="I66" s="47">
        <v>0</v>
      </c>
      <c r="J66" s="47">
        <v>0</v>
      </c>
      <c r="K66" s="47">
        <f t="shared" si="1"/>
        <v>0</v>
      </c>
      <c r="L66" s="47"/>
    </row>
    <row r="67" spans="1:12" ht="15.5" x14ac:dyDescent="0.3">
      <c r="A67" s="7">
        <v>63</v>
      </c>
      <c r="B67" s="45">
        <v>134913</v>
      </c>
      <c r="C67" s="46" t="s">
        <v>461</v>
      </c>
      <c r="D67" s="46" t="s">
        <v>462</v>
      </c>
      <c r="E67" s="45" t="s">
        <v>67</v>
      </c>
      <c r="F67" s="45">
        <v>8</v>
      </c>
      <c r="G67" s="47">
        <v>0</v>
      </c>
      <c r="H67" s="47">
        <v>0</v>
      </c>
      <c r="I67" s="47">
        <v>0</v>
      </c>
      <c r="J67" s="47">
        <v>0</v>
      </c>
      <c r="K67" s="47">
        <f t="shared" si="1"/>
        <v>0</v>
      </c>
      <c r="L67" s="47"/>
    </row>
    <row r="68" spans="1:12" ht="15.5" x14ac:dyDescent="0.3">
      <c r="A68" s="7">
        <v>64</v>
      </c>
      <c r="B68" s="45">
        <v>202298</v>
      </c>
      <c r="C68" s="46" t="s">
        <v>49</v>
      </c>
      <c r="D68" s="46" t="s">
        <v>302</v>
      </c>
      <c r="E68" s="45" t="s">
        <v>70</v>
      </c>
      <c r="F68" s="45">
        <v>7</v>
      </c>
      <c r="G68" s="47">
        <v>0</v>
      </c>
      <c r="H68" s="47">
        <v>0</v>
      </c>
      <c r="I68" s="47">
        <v>0</v>
      </c>
      <c r="J68" s="47">
        <v>0</v>
      </c>
      <c r="K68" s="47">
        <f t="shared" si="1"/>
        <v>0</v>
      </c>
      <c r="L68" s="47"/>
    </row>
    <row r="69" spans="1:12" ht="15.5" x14ac:dyDescent="0.3">
      <c r="A69" s="7">
        <v>65</v>
      </c>
      <c r="B69" s="45">
        <v>202308</v>
      </c>
      <c r="C69" s="46" t="s">
        <v>463</v>
      </c>
      <c r="D69" s="46" t="s">
        <v>464</v>
      </c>
      <c r="E69" s="45" t="s">
        <v>70</v>
      </c>
      <c r="F69" s="45">
        <v>7</v>
      </c>
      <c r="G69" s="47">
        <v>0</v>
      </c>
      <c r="H69" s="47">
        <v>0</v>
      </c>
      <c r="I69" s="47">
        <v>0</v>
      </c>
      <c r="J69" s="47">
        <v>0</v>
      </c>
      <c r="K69" s="47">
        <f t="shared" ref="K69:K124" si="2">SUM(G69:J69)</f>
        <v>0</v>
      </c>
      <c r="L69" s="47"/>
    </row>
    <row r="70" spans="1:12" ht="15.5" x14ac:dyDescent="0.3">
      <c r="A70" s="7">
        <v>66</v>
      </c>
      <c r="B70" s="45">
        <v>86572</v>
      </c>
      <c r="C70" s="57" t="s">
        <v>244</v>
      </c>
      <c r="D70" s="57" t="s">
        <v>101</v>
      </c>
      <c r="E70" s="45" t="s">
        <v>143</v>
      </c>
      <c r="F70" s="45">
        <v>8</v>
      </c>
      <c r="G70" s="47">
        <v>0</v>
      </c>
      <c r="H70" s="47">
        <v>0</v>
      </c>
      <c r="I70" s="47">
        <v>0</v>
      </c>
      <c r="J70" s="47">
        <v>0</v>
      </c>
      <c r="K70" s="47">
        <f t="shared" si="2"/>
        <v>0</v>
      </c>
      <c r="L70" s="47"/>
    </row>
    <row r="71" spans="1:12" ht="15.5" x14ac:dyDescent="0.3">
      <c r="A71" s="7">
        <v>67</v>
      </c>
      <c r="B71" s="45">
        <v>29870</v>
      </c>
      <c r="C71" s="46" t="s">
        <v>465</v>
      </c>
      <c r="D71" s="46" t="s">
        <v>466</v>
      </c>
      <c r="E71" s="45" t="s">
        <v>73</v>
      </c>
      <c r="F71" s="45">
        <v>8</v>
      </c>
      <c r="G71" s="47">
        <v>0</v>
      </c>
      <c r="H71" s="47">
        <v>0</v>
      </c>
      <c r="I71" s="47">
        <v>0</v>
      </c>
      <c r="J71" s="47">
        <v>0</v>
      </c>
      <c r="K71" s="47">
        <f t="shared" si="2"/>
        <v>0</v>
      </c>
      <c r="L71" s="47"/>
    </row>
    <row r="72" spans="1:12" ht="15.5" x14ac:dyDescent="0.3">
      <c r="A72" s="7">
        <v>68</v>
      </c>
      <c r="B72" s="45">
        <v>224685</v>
      </c>
      <c r="C72" s="46" t="s">
        <v>80</v>
      </c>
      <c r="D72" s="46" t="s">
        <v>467</v>
      </c>
      <c r="E72" s="45" t="s">
        <v>259</v>
      </c>
      <c r="F72" s="45">
        <v>7</v>
      </c>
      <c r="G72" s="47">
        <v>0</v>
      </c>
      <c r="H72" s="47">
        <v>0</v>
      </c>
      <c r="I72" s="47">
        <v>0</v>
      </c>
      <c r="J72" s="47">
        <v>0</v>
      </c>
      <c r="K72" s="47">
        <f t="shared" si="2"/>
        <v>0</v>
      </c>
      <c r="L72" s="47"/>
    </row>
    <row r="73" spans="1:12" ht="15.5" x14ac:dyDescent="0.3">
      <c r="A73" s="7">
        <v>69</v>
      </c>
      <c r="B73" s="49">
        <v>195139</v>
      </c>
      <c r="C73" s="46" t="s">
        <v>468</v>
      </c>
      <c r="D73" s="46" t="s">
        <v>28</v>
      </c>
      <c r="E73" s="49" t="s">
        <v>469</v>
      </c>
      <c r="F73" s="49">
        <v>8</v>
      </c>
      <c r="G73" s="47">
        <v>0</v>
      </c>
      <c r="H73" s="47">
        <v>0</v>
      </c>
      <c r="I73" s="47">
        <v>0</v>
      </c>
      <c r="J73" s="47">
        <v>0</v>
      </c>
      <c r="K73" s="47">
        <f t="shared" si="2"/>
        <v>0</v>
      </c>
      <c r="L73" s="47"/>
    </row>
    <row r="74" spans="1:12" ht="15.5" x14ac:dyDescent="0.3">
      <c r="A74" s="7">
        <v>70</v>
      </c>
      <c r="B74" s="49">
        <v>208186</v>
      </c>
      <c r="C74" s="58" t="s">
        <v>470</v>
      </c>
      <c r="D74" s="58" t="s">
        <v>471</v>
      </c>
      <c r="E74" s="49" t="s">
        <v>472</v>
      </c>
      <c r="F74" s="49">
        <v>8</v>
      </c>
      <c r="G74" s="47">
        <v>0</v>
      </c>
      <c r="H74" s="47">
        <v>0</v>
      </c>
      <c r="I74" s="47">
        <v>0</v>
      </c>
      <c r="J74" s="47">
        <v>0</v>
      </c>
      <c r="K74" s="47">
        <f t="shared" si="2"/>
        <v>0</v>
      </c>
      <c r="L74" s="47"/>
    </row>
    <row r="75" spans="1:12" ht="16" thickBot="1" x14ac:dyDescent="0.35">
      <c r="A75" s="7">
        <v>71</v>
      </c>
      <c r="B75" s="45">
        <v>133005</v>
      </c>
      <c r="C75" s="57" t="s">
        <v>473</v>
      </c>
      <c r="D75" s="57" t="s">
        <v>474</v>
      </c>
      <c r="E75" s="45" t="s">
        <v>12</v>
      </c>
      <c r="F75" s="45">
        <v>7</v>
      </c>
      <c r="G75" s="47">
        <v>0</v>
      </c>
      <c r="H75" s="47">
        <v>0</v>
      </c>
      <c r="I75" s="47">
        <v>0</v>
      </c>
      <c r="J75" s="47">
        <v>0</v>
      </c>
      <c r="K75" s="47">
        <f t="shared" si="2"/>
        <v>0</v>
      </c>
      <c r="L75" s="47"/>
    </row>
    <row r="76" spans="1:12" ht="16" thickBot="1" x14ac:dyDescent="0.35">
      <c r="A76" s="7">
        <v>72</v>
      </c>
      <c r="B76" s="184">
        <v>201645</v>
      </c>
      <c r="C76" s="49"/>
      <c r="D76" s="49" t="s">
        <v>475</v>
      </c>
      <c r="E76" s="49" t="s">
        <v>476</v>
      </c>
      <c r="F76" s="49">
        <v>8</v>
      </c>
      <c r="G76" s="47">
        <v>0</v>
      </c>
      <c r="H76" s="47">
        <v>0</v>
      </c>
      <c r="I76" s="47">
        <v>0</v>
      </c>
      <c r="J76" s="47">
        <v>0</v>
      </c>
      <c r="K76" s="47">
        <f t="shared" si="2"/>
        <v>0</v>
      </c>
      <c r="L76" s="47"/>
    </row>
    <row r="77" spans="1:12" ht="15.5" x14ac:dyDescent="0.3">
      <c r="A77" s="7">
        <v>73</v>
      </c>
      <c r="B77" s="49">
        <v>139149</v>
      </c>
      <c r="C77" s="49" t="s">
        <v>144</v>
      </c>
      <c r="D77" s="49" t="s">
        <v>477</v>
      </c>
      <c r="E77" s="49" t="s">
        <v>259</v>
      </c>
      <c r="F77" s="49">
        <v>7</v>
      </c>
      <c r="G77" s="47">
        <v>0</v>
      </c>
      <c r="H77" s="47">
        <v>0</v>
      </c>
      <c r="I77" s="47">
        <v>0</v>
      </c>
      <c r="J77" s="47">
        <v>0</v>
      </c>
      <c r="K77" s="47">
        <f t="shared" si="2"/>
        <v>0</v>
      </c>
      <c r="L77" s="47"/>
    </row>
    <row r="78" spans="1:12" ht="15.5" x14ac:dyDescent="0.3">
      <c r="A78" s="7">
        <v>74</v>
      </c>
      <c r="B78" s="49"/>
      <c r="C78" s="49" t="s">
        <v>404</v>
      </c>
      <c r="D78" s="49" t="s">
        <v>357</v>
      </c>
      <c r="E78" s="49" t="s">
        <v>351</v>
      </c>
      <c r="F78" s="49">
        <v>8</v>
      </c>
      <c r="G78" s="47">
        <v>0</v>
      </c>
      <c r="H78" s="47">
        <v>0</v>
      </c>
      <c r="I78" s="47">
        <v>0</v>
      </c>
      <c r="J78" s="47">
        <v>0</v>
      </c>
      <c r="K78" s="47">
        <f t="shared" si="2"/>
        <v>0</v>
      </c>
      <c r="L78" s="47"/>
    </row>
    <row r="79" spans="1:12" ht="15.5" x14ac:dyDescent="0.3">
      <c r="A79" s="7">
        <v>75</v>
      </c>
      <c r="B79" s="49">
        <v>225556</v>
      </c>
      <c r="C79" s="49" t="s">
        <v>478</v>
      </c>
      <c r="D79" s="49" t="s">
        <v>479</v>
      </c>
      <c r="E79" s="49" t="s">
        <v>335</v>
      </c>
      <c r="F79" s="49">
        <v>7</v>
      </c>
      <c r="G79" s="47">
        <v>0</v>
      </c>
      <c r="H79" s="47">
        <v>0</v>
      </c>
      <c r="I79" s="47">
        <v>0</v>
      </c>
      <c r="J79" s="47">
        <v>0</v>
      </c>
      <c r="K79" s="47">
        <f t="shared" si="2"/>
        <v>0</v>
      </c>
      <c r="L79" s="47"/>
    </row>
    <row r="80" spans="1:12" ht="15.5" x14ac:dyDescent="0.3">
      <c r="A80" s="7">
        <v>76</v>
      </c>
      <c r="B80" s="49">
        <v>149345</v>
      </c>
      <c r="C80" s="49" t="s">
        <v>480</v>
      </c>
      <c r="D80" s="49" t="s">
        <v>481</v>
      </c>
      <c r="E80" s="49" t="s">
        <v>482</v>
      </c>
      <c r="F80" s="49">
        <v>8</v>
      </c>
      <c r="G80" s="47">
        <v>0</v>
      </c>
      <c r="H80" s="47">
        <v>0</v>
      </c>
      <c r="I80" s="47">
        <v>0</v>
      </c>
      <c r="J80" s="47">
        <v>0</v>
      </c>
      <c r="K80" s="47">
        <f t="shared" si="2"/>
        <v>0</v>
      </c>
      <c r="L80" s="47"/>
    </row>
    <row r="81" spans="1:12" ht="15.5" x14ac:dyDescent="0.3">
      <c r="A81" s="7">
        <v>77</v>
      </c>
      <c r="B81" s="49">
        <v>85495</v>
      </c>
      <c r="C81" s="49" t="s">
        <v>292</v>
      </c>
      <c r="D81" s="49" t="s">
        <v>483</v>
      </c>
      <c r="E81" s="49" t="s">
        <v>94</v>
      </c>
      <c r="F81" s="49">
        <v>7</v>
      </c>
      <c r="G81" s="47">
        <v>0</v>
      </c>
      <c r="H81" s="47">
        <v>0</v>
      </c>
      <c r="I81" s="47">
        <v>0</v>
      </c>
      <c r="J81" s="47">
        <v>0</v>
      </c>
      <c r="K81" s="47">
        <f t="shared" si="2"/>
        <v>0</v>
      </c>
      <c r="L81" s="47"/>
    </row>
    <row r="82" spans="1:12" ht="15.5" x14ac:dyDescent="0.3">
      <c r="A82" s="7">
        <v>78</v>
      </c>
      <c r="B82" s="49">
        <v>217523</v>
      </c>
      <c r="C82" s="49" t="s">
        <v>200</v>
      </c>
      <c r="D82" s="49" t="s">
        <v>484</v>
      </c>
      <c r="E82" s="49" t="s">
        <v>277</v>
      </c>
      <c r="F82" s="49">
        <v>8</v>
      </c>
      <c r="G82" s="47">
        <v>0</v>
      </c>
      <c r="H82" s="47">
        <v>0</v>
      </c>
      <c r="I82" s="47">
        <v>0</v>
      </c>
      <c r="J82" s="47">
        <v>0</v>
      </c>
      <c r="K82" s="47">
        <f t="shared" si="2"/>
        <v>0</v>
      </c>
      <c r="L82" s="47"/>
    </row>
    <row r="83" spans="1:12" ht="15.5" x14ac:dyDescent="0.3">
      <c r="A83" s="7">
        <v>79</v>
      </c>
      <c r="B83" s="49">
        <v>163368</v>
      </c>
      <c r="C83" s="49" t="s">
        <v>485</v>
      </c>
      <c r="D83" s="49" t="s">
        <v>486</v>
      </c>
      <c r="E83" s="49" t="s">
        <v>62</v>
      </c>
      <c r="F83" s="49">
        <v>7</v>
      </c>
      <c r="G83" s="47">
        <v>0</v>
      </c>
      <c r="H83" s="47">
        <v>0</v>
      </c>
      <c r="I83" s="47">
        <v>0</v>
      </c>
      <c r="J83" s="47">
        <v>0</v>
      </c>
      <c r="K83" s="47">
        <f t="shared" si="2"/>
        <v>0</v>
      </c>
      <c r="L83" s="47"/>
    </row>
    <row r="84" spans="1:12" ht="15.5" x14ac:dyDescent="0.3">
      <c r="A84" s="7">
        <v>80</v>
      </c>
      <c r="B84" s="49">
        <v>207871</v>
      </c>
      <c r="C84" s="49" t="s">
        <v>17</v>
      </c>
      <c r="D84" s="49" t="s">
        <v>487</v>
      </c>
      <c r="E84" s="49" t="s">
        <v>122</v>
      </c>
      <c r="F84" s="49">
        <v>8</v>
      </c>
      <c r="G84" s="47">
        <v>0</v>
      </c>
      <c r="H84" s="47">
        <v>0</v>
      </c>
      <c r="I84" s="47">
        <v>0</v>
      </c>
      <c r="J84" s="47">
        <v>0</v>
      </c>
      <c r="K84" s="47">
        <f t="shared" si="2"/>
        <v>0</v>
      </c>
      <c r="L84" s="47"/>
    </row>
    <row r="85" spans="1:12" ht="15.5" x14ac:dyDescent="0.3">
      <c r="A85" s="7">
        <v>81</v>
      </c>
      <c r="B85" s="49">
        <v>145018</v>
      </c>
      <c r="C85" s="49" t="s">
        <v>400</v>
      </c>
      <c r="D85" s="49" t="s">
        <v>205</v>
      </c>
      <c r="E85" s="49" t="s">
        <v>488</v>
      </c>
      <c r="F85" s="49">
        <v>7</v>
      </c>
      <c r="G85" s="47">
        <v>0</v>
      </c>
      <c r="H85" s="47">
        <v>0</v>
      </c>
      <c r="I85" s="47">
        <v>0</v>
      </c>
      <c r="J85" s="47">
        <v>0</v>
      </c>
      <c r="K85" s="47">
        <f t="shared" si="2"/>
        <v>0</v>
      </c>
      <c r="L85" s="47"/>
    </row>
    <row r="86" spans="1:12" ht="15.5" x14ac:dyDescent="0.3">
      <c r="A86" s="7">
        <v>82</v>
      </c>
      <c r="B86" s="49"/>
      <c r="C86" s="49" t="s">
        <v>489</v>
      </c>
      <c r="D86" s="49" t="s">
        <v>156</v>
      </c>
      <c r="E86" s="49" t="s">
        <v>490</v>
      </c>
      <c r="F86" s="49">
        <v>8</v>
      </c>
      <c r="G86" s="47">
        <v>0</v>
      </c>
      <c r="H86" s="47">
        <v>0</v>
      </c>
      <c r="I86" s="47">
        <v>0</v>
      </c>
      <c r="J86" s="47">
        <v>0</v>
      </c>
      <c r="K86" s="47">
        <f t="shared" si="2"/>
        <v>0</v>
      </c>
      <c r="L86" s="47"/>
    </row>
    <row r="87" spans="1:12" ht="15.5" x14ac:dyDescent="0.3">
      <c r="A87" s="7">
        <v>83</v>
      </c>
      <c r="B87" s="45">
        <v>112320</v>
      </c>
      <c r="C87" s="49" t="s">
        <v>174</v>
      </c>
      <c r="D87" s="49" t="s">
        <v>90</v>
      </c>
      <c r="E87" s="45" t="s">
        <v>26</v>
      </c>
      <c r="F87" s="45">
        <v>7</v>
      </c>
      <c r="G87" s="47">
        <v>0</v>
      </c>
      <c r="H87" s="47">
        <v>0</v>
      </c>
      <c r="I87" s="47">
        <v>0</v>
      </c>
      <c r="J87" s="47">
        <v>0</v>
      </c>
      <c r="K87" s="47">
        <f t="shared" si="2"/>
        <v>0</v>
      </c>
      <c r="L87" s="47"/>
    </row>
    <row r="88" spans="1:12" ht="15.5" x14ac:dyDescent="0.3">
      <c r="A88" s="7">
        <v>84</v>
      </c>
      <c r="B88" s="49"/>
      <c r="C88" s="49" t="s">
        <v>491</v>
      </c>
      <c r="D88" s="49" t="s">
        <v>492</v>
      </c>
      <c r="E88" s="49" t="s">
        <v>490</v>
      </c>
      <c r="F88" s="49">
        <v>7</v>
      </c>
      <c r="G88" s="47">
        <v>0</v>
      </c>
      <c r="H88" s="47">
        <v>0</v>
      </c>
      <c r="I88" s="47">
        <v>0</v>
      </c>
      <c r="J88" s="47">
        <v>0</v>
      </c>
      <c r="K88" s="47">
        <f t="shared" si="2"/>
        <v>0</v>
      </c>
      <c r="L88" s="47"/>
    </row>
    <row r="89" spans="1:12" ht="15.5" x14ac:dyDescent="0.3">
      <c r="A89" s="7">
        <v>85</v>
      </c>
      <c r="B89" s="49">
        <v>215323</v>
      </c>
      <c r="C89" s="49" t="s">
        <v>227</v>
      </c>
      <c r="D89" s="49" t="s">
        <v>493</v>
      </c>
      <c r="E89" s="49" t="s">
        <v>35</v>
      </c>
      <c r="F89" s="49">
        <v>8</v>
      </c>
      <c r="G89" s="47">
        <v>0</v>
      </c>
      <c r="H89" s="47">
        <v>0</v>
      </c>
      <c r="I89" s="47">
        <v>0</v>
      </c>
      <c r="J89" s="47">
        <v>0</v>
      </c>
      <c r="K89" s="47">
        <f t="shared" si="2"/>
        <v>0</v>
      </c>
      <c r="L89" s="47"/>
    </row>
    <row r="90" spans="1:12" ht="15.5" x14ac:dyDescent="0.3">
      <c r="A90" s="7">
        <v>86</v>
      </c>
      <c r="B90" s="49">
        <v>127066</v>
      </c>
      <c r="C90" s="49" t="s">
        <v>494</v>
      </c>
      <c r="D90" s="49" t="s">
        <v>495</v>
      </c>
      <c r="E90" s="49" t="s">
        <v>100</v>
      </c>
      <c r="F90" s="49">
        <v>8</v>
      </c>
      <c r="G90" s="47">
        <v>0</v>
      </c>
      <c r="H90" s="47">
        <v>0</v>
      </c>
      <c r="I90" s="47">
        <v>0</v>
      </c>
      <c r="J90" s="47">
        <v>0</v>
      </c>
      <c r="K90" s="47">
        <f t="shared" si="2"/>
        <v>0</v>
      </c>
      <c r="L90" s="47"/>
    </row>
    <row r="91" spans="1:12" ht="15.5" x14ac:dyDescent="0.3">
      <c r="A91" s="7">
        <v>87</v>
      </c>
      <c r="B91" s="45">
        <v>127911</v>
      </c>
      <c r="C91" s="49" t="s">
        <v>496</v>
      </c>
      <c r="D91" s="49" t="s">
        <v>497</v>
      </c>
      <c r="E91" s="45" t="s">
        <v>97</v>
      </c>
      <c r="F91" s="45">
        <v>7</v>
      </c>
      <c r="G91" s="47">
        <v>0</v>
      </c>
      <c r="H91" s="47">
        <v>0</v>
      </c>
      <c r="I91" s="47">
        <v>0</v>
      </c>
      <c r="J91" s="47">
        <v>0</v>
      </c>
      <c r="K91" s="47">
        <f t="shared" si="2"/>
        <v>0</v>
      </c>
      <c r="L91" s="47"/>
    </row>
    <row r="92" spans="1:12" ht="15.5" x14ac:dyDescent="0.3">
      <c r="A92" s="7">
        <v>88</v>
      </c>
      <c r="B92" s="49">
        <v>190767</v>
      </c>
      <c r="C92" s="49" t="s">
        <v>101</v>
      </c>
      <c r="D92" s="49" t="s">
        <v>498</v>
      </c>
      <c r="E92" s="49" t="s">
        <v>94</v>
      </c>
      <c r="F92" s="49">
        <v>8</v>
      </c>
      <c r="G92" s="47">
        <v>0</v>
      </c>
      <c r="H92" s="47">
        <v>0</v>
      </c>
      <c r="I92" s="47">
        <v>0</v>
      </c>
      <c r="J92" s="47">
        <v>0</v>
      </c>
      <c r="K92" s="47">
        <f t="shared" si="2"/>
        <v>0</v>
      </c>
      <c r="L92" s="47"/>
    </row>
    <row r="93" spans="1:12" ht="15.5" x14ac:dyDescent="0.3">
      <c r="A93" s="7">
        <v>89</v>
      </c>
      <c r="B93" s="49">
        <v>129850</v>
      </c>
      <c r="C93" s="49" t="s">
        <v>311</v>
      </c>
      <c r="D93" s="49" t="s">
        <v>499</v>
      </c>
      <c r="E93" s="49" t="s">
        <v>277</v>
      </c>
      <c r="F93" s="49">
        <v>8</v>
      </c>
      <c r="G93" s="47">
        <v>0</v>
      </c>
      <c r="H93" s="47">
        <v>0</v>
      </c>
      <c r="I93" s="47">
        <v>0</v>
      </c>
      <c r="J93" s="47">
        <v>0</v>
      </c>
      <c r="K93" s="47">
        <f t="shared" si="2"/>
        <v>0</v>
      </c>
      <c r="L93" s="47"/>
    </row>
    <row r="94" spans="1:12" ht="15.5" x14ac:dyDescent="0.3">
      <c r="A94" s="7">
        <v>90</v>
      </c>
      <c r="B94" s="49">
        <v>149439</v>
      </c>
      <c r="C94" s="49" t="s">
        <v>95</v>
      </c>
      <c r="D94" s="49" t="s">
        <v>500</v>
      </c>
      <c r="E94" s="49" t="s">
        <v>482</v>
      </c>
      <c r="F94" s="49">
        <v>8</v>
      </c>
      <c r="G94" s="47">
        <v>0</v>
      </c>
      <c r="H94" s="47">
        <v>0</v>
      </c>
      <c r="I94" s="47">
        <v>0</v>
      </c>
      <c r="J94" s="47">
        <v>0</v>
      </c>
      <c r="K94" s="47">
        <f t="shared" si="2"/>
        <v>0</v>
      </c>
      <c r="L94" s="47"/>
    </row>
    <row r="95" spans="1:12" ht="15.5" x14ac:dyDescent="0.3">
      <c r="A95" s="7">
        <v>91</v>
      </c>
      <c r="B95" s="49">
        <v>108747</v>
      </c>
      <c r="C95" s="49" t="s">
        <v>501</v>
      </c>
      <c r="D95" s="49" t="s">
        <v>502</v>
      </c>
      <c r="E95" s="49" t="s">
        <v>295</v>
      </c>
      <c r="F95" s="49">
        <v>8</v>
      </c>
      <c r="G95" s="47">
        <v>0</v>
      </c>
      <c r="H95" s="47">
        <v>0</v>
      </c>
      <c r="I95" s="47">
        <v>0</v>
      </c>
      <c r="J95" s="47">
        <v>0</v>
      </c>
      <c r="K95" s="47">
        <f t="shared" si="2"/>
        <v>0</v>
      </c>
      <c r="L95" s="47"/>
    </row>
    <row r="96" spans="1:12" ht="15.5" x14ac:dyDescent="0.3">
      <c r="A96" s="7">
        <v>92</v>
      </c>
      <c r="B96" s="49">
        <v>194690</v>
      </c>
      <c r="C96" s="49" t="s">
        <v>503</v>
      </c>
      <c r="D96" s="49" t="s">
        <v>504</v>
      </c>
      <c r="E96" s="49" t="s">
        <v>415</v>
      </c>
      <c r="F96" s="49">
        <v>8</v>
      </c>
      <c r="G96" s="47">
        <v>0</v>
      </c>
      <c r="H96" s="47">
        <v>0</v>
      </c>
      <c r="I96" s="47">
        <v>0</v>
      </c>
      <c r="J96" s="47">
        <v>0</v>
      </c>
      <c r="K96" s="47">
        <f t="shared" si="2"/>
        <v>0</v>
      </c>
      <c r="L96" s="47"/>
    </row>
    <row r="97" spans="1:12" ht="15.5" x14ac:dyDescent="0.3">
      <c r="A97" s="7">
        <v>93</v>
      </c>
      <c r="B97" s="49">
        <v>219422</v>
      </c>
      <c r="C97" s="49" t="s">
        <v>505</v>
      </c>
      <c r="D97" s="49" t="s">
        <v>274</v>
      </c>
      <c r="E97" s="49" t="s">
        <v>419</v>
      </c>
      <c r="F97" s="49">
        <v>8</v>
      </c>
      <c r="G97" s="47">
        <v>0</v>
      </c>
      <c r="H97" s="47">
        <v>0</v>
      </c>
      <c r="I97" s="47">
        <v>0</v>
      </c>
      <c r="J97" s="47">
        <v>0</v>
      </c>
      <c r="K97" s="47">
        <f t="shared" si="2"/>
        <v>0</v>
      </c>
      <c r="L97" s="47"/>
    </row>
    <row r="98" spans="1:12" ht="15.5" x14ac:dyDescent="0.3">
      <c r="A98" s="7">
        <v>94</v>
      </c>
      <c r="B98" s="49">
        <v>143226</v>
      </c>
      <c r="C98" s="49" t="s">
        <v>251</v>
      </c>
      <c r="D98" s="49" t="s">
        <v>506</v>
      </c>
      <c r="E98" s="49" t="s">
        <v>220</v>
      </c>
      <c r="F98" s="49">
        <v>7</v>
      </c>
      <c r="G98" s="47">
        <v>0</v>
      </c>
      <c r="H98" s="47">
        <v>0</v>
      </c>
      <c r="I98" s="47">
        <v>0</v>
      </c>
      <c r="J98" s="47">
        <v>0</v>
      </c>
      <c r="K98" s="47">
        <f t="shared" si="2"/>
        <v>0</v>
      </c>
      <c r="L98" s="47"/>
    </row>
    <row r="99" spans="1:12" ht="15.5" x14ac:dyDescent="0.3">
      <c r="A99" s="7">
        <v>95</v>
      </c>
      <c r="B99" s="45">
        <v>163250</v>
      </c>
      <c r="C99" s="49" t="s">
        <v>507</v>
      </c>
      <c r="D99" s="49" t="s">
        <v>508</v>
      </c>
      <c r="E99" s="45" t="s">
        <v>12</v>
      </c>
      <c r="F99" s="45"/>
      <c r="G99" s="47"/>
      <c r="H99" s="47"/>
      <c r="I99" s="47"/>
      <c r="J99" s="47"/>
      <c r="K99" s="47">
        <f t="shared" si="2"/>
        <v>0</v>
      </c>
      <c r="L99" s="47"/>
    </row>
    <row r="100" spans="1:12" ht="15.5" x14ac:dyDescent="0.3">
      <c r="A100" s="7">
        <v>96</v>
      </c>
      <c r="B100" s="45">
        <v>220722</v>
      </c>
      <c r="C100" s="49" t="s">
        <v>342</v>
      </c>
      <c r="D100" s="49" t="s">
        <v>509</v>
      </c>
      <c r="E100" s="45" t="s">
        <v>268</v>
      </c>
      <c r="F100" s="45">
        <v>8</v>
      </c>
      <c r="G100" s="47">
        <v>0</v>
      </c>
      <c r="H100" s="47">
        <v>0</v>
      </c>
      <c r="I100" s="47">
        <v>0</v>
      </c>
      <c r="J100" s="47">
        <v>0</v>
      </c>
      <c r="K100" s="47">
        <f t="shared" si="2"/>
        <v>0</v>
      </c>
      <c r="L100" s="47"/>
    </row>
    <row r="101" spans="1:12" ht="15.5" x14ac:dyDescent="0.3">
      <c r="A101" s="7">
        <v>97</v>
      </c>
      <c r="B101" s="45">
        <v>221255</v>
      </c>
      <c r="C101" s="49" t="s">
        <v>210</v>
      </c>
      <c r="D101" s="49" t="s">
        <v>510</v>
      </c>
      <c r="E101" s="45" t="s">
        <v>97</v>
      </c>
      <c r="F101" s="45">
        <v>7</v>
      </c>
      <c r="G101" s="47">
        <v>0</v>
      </c>
      <c r="H101" s="47">
        <v>0</v>
      </c>
      <c r="I101" s="47">
        <v>0</v>
      </c>
      <c r="J101" s="47">
        <v>0</v>
      </c>
      <c r="K101" s="47">
        <f t="shared" si="2"/>
        <v>0</v>
      </c>
      <c r="L101" s="47"/>
    </row>
    <row r="102" spans="1:12" ht="15.5" x14ac:dyDescent="0.3">
      <c r="A102" s="7">
        <v>98</v>
      </c>
      <c r="B102" s="45">
        <v>224248</v>
      </c>
      <c r="C102" s="49" t="s">
        <v>384</v>
      </c>
      <c r="D102" s="49" t="s">
        <v>511</v>
      </c>
      <c r="E102" s="45" t="s">
        <v>259</v>
      </c>
      <c r="F102" s="45">
        <v>7</v>
      </c>
      <c r="G102" s="47">
        <v>0</v>
      </c>
      <c r="H102" s="47">
        <v>0</v>
      </c>
      <c r="I102" s="47">
        <v>0</v>
      </c>
      <c r="J102" s="47">
        <v>0</v>
      </c>
      <c r="K102" s="47">
        <f t="shared" si="2"/>
        <v>0</v>
      </c>
      <c r="L102" s="47"/>
    </row>
    <row r="103" spans="1:12" ht="15.5" x14ac:dyDescent="0.3">
      <c r="A103" s="7">
        <v>99</v>
      </c>
      <c r="B103" s="45">
        <v>209337</v>
      </c>
      <c r="C103" s="49" t="s">
        <v>512</v>
      </c>
      <c r="D103" s="49" t="s">
        <v>337</v>
      </c>
      <c r="E103" s="45" t="s">
        <v>70</v>
      </c>
      <c r="F103" s="45">
        <v>7</v>
      </c>
      <c r="G103" s="47">
        <v>0</v>
      </c>
      <c r="H103" s="47">
        <v>0</v>
      </c>
      <c r="I103" s="47">
        <v>0</v>
      </c>
      <c r="J103" s="47">
        <v>0</v>
      </c>
      <c r="K103" s="47">
        <f t="shared" si="2"/>
        <v>0</v>
      </c>
      <c r="L103" s="47"/>
    </row>
    <row r="104" spans="1:12" ht="15.5" x14ac:dyDescent="0.3">
      <c r="A104" s="7">
        <v>100</v>
      </c>
      <c r="B104" s="45">
        <v>215654</v>
      </c>
      <c r="C104" s="49" t="s">
        <v>117</v>
      </c>
      <c r="D104" s="49" t="s">
        <v>428</v>
      </c>
      <c r="E104" s="45" t="s">
        <v>73</v>
      </c>
      <c r="F104" s="45">
        <v>8</v>
      </c>
      <c r="G104" s="47">
        <v>0</v>
      </c>
      <c r="H104" s="47">
        <v>0</v>
      </c>
      <c r="I104" s="47">
        <v>0</v>
      </c>
      <c r="J104" s="47">
        <v>0</v>
      </c>
      <c r="K104" s="47">
        <f t="shared" si="2"/>
        <v>0</v>
      </c>
      <c r="L104" s="47"/>
    </row>
    <row r="105" spans="1:12" ht="15.5" x14ac:dyDescent="0.3">
      <c r="A105" s="7">
        <v>101</v>
      </c>
      <c r="B105" s="45">
        <v>203746</v>
      </c>
      <c r="C105" s="49" t="s">
        <v>513</v>
      </c>
      <c r="D105" s="49" t="s">
        <v>14</v>
      </c>
      <c r="E105" s="45" t="s">
        <v>70</v>
      </c>
      <c r="F105" s="45">
        <v>7</v>
      </c>
      <c r="G105" s="47">
        <v>0</v>
      </c>
      <c r="H105" s="47">
        <v>0</v>
      </c>
      <c r="I105" s="47">
        <v>0</v>
      </c>
      <c r="J105" s="47">
        <v>0</v>
      </c>
      <c r="K105" s="47">
        <f t="shared" si="2"/>
        <v>0</v>
      </c>
      <c r="L105" s="47"/>
    </row>
    <row r="106" spans="1:12" ht="15.5" x14ac:dyDescent="0.3">
      <c r="A106" s="7">
        <v>102</v>
      </c>
      <c r="B106" s="45">
        <v>210663</v>
      </c>
      <c r="C106" s="49" t="s">
        <v>514</v>
      </c>
      <c r="D106" s="49" t="s">
        <v>300</v>
      </c>
      <c r="E106" s="45" t="s">
        <v>153</v>
      </c>
      <c r="F106" s="45">
        <v>7</v>
      </c>
      <c r="G106" s="47">
        <v>0</v>
      </c>
      <c r="H106" s="47">
        <v>0</v>
      </c>
      <c r="I106" s="47">
        <v>0</v>
      </c>
      <c r="J106" s="47">
        <v>0</v>
      </c>
      <c r="K106" s="47">
        <f t="shared" si="2"/>
        <v>0</v>
      </c>
      <c r="L106" s="47"/>
    </row>
    <row r="107" spans="1:12" ht="15.5" x14ac:dyDescent="0.3">
      <c r="A107" s="7">
        <v>103</v>
      </c>
      <c r="B107" s="49">
        <v>183416</v>
      </c>
      <c r="C107" s="49" t="s">
        <v>123</v>
      </c>
      <c r="D107" s="49" t="s">
        <v>515</v>
      </c>
      <c r="E107" s="49" t="s">
        <v>26</v>
      </c>
      <c r="F107" s="49">
        <v>8</v>
      </c>
      <c r="G107" s="47">
        <v>0</v>
      </c>
      <c r="H107" s="47">
        <v>0</v>
      </c>
      <c r="I107" s="47">
        <v>0</v>
      </c>
      <c r="J107" s="47">
        <v>0</v>
      </c>
      <c r="K107" s="47">
        <f t="shared" si="2"/>
        <v>0</v>
      </c>
      <c r="L107" s="47"/>
    </row>
    <row r="108" spans="1:12" ht="15.5" x14ac:dyDescent="0.3">
      <c r="A108" s="7">
        <v>104</v>
      </c>
      <c r="B108" s="45">
        <v>166834</v>
      </c>
      <c r="C108" s="49" t="s">
        <v>276</v>
      </c>
      <c r="D108" s="49" t="s">
        <v>516</v>
      </c>
      <c r="E108" s="45" t="s">
        <v>94</v>
      </c>
      <c r="F108" s="45">
        <v>8</v>
      </c>
      <c r="G108" s="47">
        <v>0</v>
      </c>
      <c r="H108" s="47">
        <v>0</v>
      </c>
      <c r="I108" s="47">
        <v>0</v>
      </c>
      <c r="J108" s="47">
        <v>0</v>
      </c>
      <c r="K108" s="47">
        <f t="shared" si="2"/>
        <v>0</v>
      </c>
      <c r="L108" s="47"/>
    </row>
    <row r="109" spans="1:12" ht="15.5" x14ac:dyDescent="0.3">
      <c r="A109" s="7">
        <v>105</v>
      </c>
      <c r="B109" s="45">
        <v>215643</v>
      </c>
      <c r="C109" s="49" t="s">
        <v>517</v>
      </c>
      <c r="D109" s="49" t="s">
        <v>518</v>
      </c>
      <c r="E109" s="45" t="s">
        <v>73</v>
      </c>
      <c r="F109" s="45">
        <v>8</v>
      </c>
      <c r="G109" s="47">
        <v>0</v>
      </c>
      <c r="H109" s="47">
        <v>0</v>
      </c>
      <c r="I109" s="47">
        <v>0</v>
      </c>
      <c r="J109" s="47">
        <v>0</v>
      </c>
      <c r="K109" s="47">
        <f t="shared" si="2"/>
        <v>0</v>
      </c>
      <c r="L109" s="47"/>
    </row>
    <row r="110" spans="1:12" ht="15.5" x14ac:dyDescent="0.3">
      <c r="A110" s="7">
        <v>106</v>
      </c>
      <c r="B110" s="45">
        <v>107099</v>
      </c>
      <c r="C110" s="49" t="s">
        <v>376</v>
      </c>
      <c r="D110" s="49" t="s">
        <v>519</v>
      </c>
      <c r="E110" s="45" t="s">
        <v>35</v>
      </c>
      <c r="F110" s="45">
        <v>8</v>
      </c>
      <c r="G110" s="47">
        <v>0</v>
      </c>
      <c r="H110" s="47">
        <v>0</v>
      </c>
      <c r="I110" s="47">
        <v>0</v>
      </c>
      <c r="J110" s="47">
        <v>0</v>
      </c>
      <c r="K110" s="47">
        <f t="shared" si="2"/>
        <v>0</v>
      </c>
      <c r="L110" s="47"/>
    </row>
    <row r="111" spans="1:12" ht="15.5" x14ac:dyDescent="0.3">
      <c r="A111" s="7">
        <v>107</v>
      </c>
      <c r="B111" s="45">
        <v>224676</v>
      </c>
      <c r="C111" s="49" t="s">
        <v>29</v>
      </c>
      <c r="D111" s="49" t="s">
        <v>520</v>
      </c>
      <c r="E111" s="45" t="s">
        <v>259</v>
      </c>
      <c r="F111" s="45">
        <v>7</v>
      </c>
      <c r="G111" s="47">
        <v>0</v>
      </c>
      <c r="H111" s="47">
        <v>0</v>
      </c>
      <c r="I111" s="47">
        <v>0</v>
      </c>
      <c r="J111" s="47">
        <v>0</v>
      </c>
      <c r="K111" s="47">
        <f t="shared" si="2"/>
        <v>0</v>
      </c>
      <c r="L111" s="47"/>
    </row>
    <row r="112" spans="1:12" ht="15.5" x14ac:dyDescent="0.3">
      <c r="A112" s="7">
        <v>108</v>
      </c>
      <c r="B112" s="45">
        <v>85729</v>
      </c>
      <c r="C112" s="49" t="s">
        <v>521</v>
      </c>
      <c r="D112" s="49" t="s">
        <v>518</v>
      </c>
      <c r="E112" s="45" t="s">
        <v>153</v>
      </c>
      <c r="F112" s="45">
        <v>8</v>
      </c>
      <c r="G112" s="47">
        <v>0</v>
      </c>
      <c r="H112" s="47">
        <v>0</v>
      </c>
      <c r="I112" s="47">
        <v>0</v>
      </c>
      <c r="J112" s="47">
        <v>0</v>
      </c>
      <c r="K112" s="47">
        <f t="shared" si="2"/>
        <v>0</v>
      </c>
      <c r="L112" s="47"/>
    </row>
    <row r="113" spans="1:12" ht="15.5" x14ac:dyDescent="0.3">
      <c r="A113" s="7">
        <v>109</v>
      </c>
      <c r="B113" s="49"/>
      <c r="C113" s="49" t="s">
        <v>522</v>
      </c>
      <c r="D113" s="49" t="s">
        <v>523</v>
      </c>
      <c r="E113" s="49" t="s">
        <v>490</v>
      </c>
      <c r="F113" s="49">
        <v>7</v>
      </c>
      <c r="G113" s="47">
        <v>0</v>
      </c>
      <c r="H113" s="47">
        <v>0</v>
      </c>
      <c r="I113" s="47">
        <v>0</v>
      </c>
      <c r="J113" s="47">
        <v>0</v>
      </c>
      <c r="K113" s="47">
        <f t="shared" si="2"/>
        <v>0</v>
      </c>
      <c r="L113" s="47"/>
    </row>
    <row r="114" spans="1:12" ht="15.5" x14ac:dyDescent="0.3">
      <c r="A114" s="7">
        <v>110</v>
      </c>
      <c r="B114" s="49">
        <v>198325</v>
      </c>
      <c r="C114" s="49" t="s">
        <v>524</v>
      </c>
      <c r="D114" s="49" t="s">
        <v>205</v>
      </c>
      <c r="E114" s="49" t="s">
        <v>26</v>
      </c>
      <c r="F114" s="49">
        <v>7</v>
      </c>
      <c r="G114" s="47">
        <v>0</v>
      </c>
      <c r="H114" s="47">
        <v>0</v>
      </c>
      <c r="I114" s="47">
        <v>0</v>
      </c>
      <c r="J114" s="47">
        <v>0</v>
      </c>
      <c r="K114" s="47">
        <f t="shared" si="2"/>
        <v>0</v>
      </c>
      <c r="L114" s="47"/>
    </row>
    <row r="115" spans="1:12" ht="15.5" x14ac:dyDescent="0.3">
      <c r="A115" s="7">
        <v>111</v>
      </c>
      <c r="B115" s="49"/>
      <c r="C115" s="49" t="s">
        <v>525</v>
      </c>
      <c r="D115" s="49" t="s">
        <v>169</v>
      </c>
      <c r="E115" s="49" t="s">
        <v>351</v>
      </c>
      <c r="F115" s="49">
        <v>8</v>
      </c>
      <c r="G115" s="47">
        <v>0</v>
      </c>
      <c r="H115" s="47">
        <v>0</v>
      </c>
      <c r="I115" s="47">
        <v>0</v>
      </c>
      <c r="J115" s="47">
        <v>0</v>
      </c>
      <c r="K115" s="47">
        <f t="shared" si="2"/>
        <v>0</v>
      </c>
      <c r="L115" s="47"/>
    </row>
    <row r="116" spans="1:12" ht="15.5" x14ac:dyDescent="0.3">
      <c r="A116" s="7">
        <v>112</v>
      </c>
      <c r="B116" s="49">
        <v>194687</v>
      </c>
      <c r="C116" s="49" t="s">
        <v>66</v>
      </c>
      <c r="D116" s="49" t="s">
        <v>526</v>
      </c>
      <c r="E116" s="49" t="s">
        <v>415</v>
      </c>
      <c r="F116" s="49">
        <v>8</v>
      </c>
      <c r="G116" s="47">
        <v>0</v>
      </c>
      <c r="H116" s="47">
        <v>0</v>
      </c>
      <c r="I116" s="47">
        <v>0</v>
      </c>
      <c r="J116" s="47">
        <v>0</v>
      </c>
      <c r="K116" s="47">
        <f t="shared" si="2"/>
        <v>0</v>
      </c>
      <c r="L116" s="47"/>
    </row>
    <row r="117" spans="1:12" ht="15.5" x14ac:dyDescent="0.3">
      <c r="A117" s="7">
        <v>113</v>
      </c>
      <c r="B117" s="49">
        <v>149401</v>
      </c>
      <c r="C117" s="49" t="s">
        <v>527</v>
      </c>
      <c r="D117" s="49" t="s">
        <v>528</v>
      </c>
      <c r="E117" s="49" t="s">
        <v>482</v>
      </c>
      <c r="F117" s="49">
        <v>8</v>
      </c>
      <c r="G117" s="47">
        <v>0</v>
      </c>
      <c r="H117" s="47">
        <v>0</v>
      </c>
      <c r="I117" s="47">
        <v>0</v>
      </c>
      <c r="J117" s="47">
        <v>0</v>
      </c>
      <c r="K117" s="47">
        <f t="shared" si="2"/>
        <v>0</v>
      </c>
      <c r="L117" s="47"/>
    </row>
    <row r="118" spans="1:12" ht="15.5" x14ac:dyDescent="0.3">
      <c r="A118" s="7">
        <v>114</v>
      </c>
      <c r="B118" s="49">
        <v>108752</v>
      </c>
      <c r="C118" s="49" t="s">
        <v>529</v>
      </c>
      <c r="D118" s="49" t="s">
        <v>530</v>
      </c>
      <c r="E118" s="49" t="s">
        <v>295</v>
      </c>
      <c r="F118" s="49">
        <v>8</v>
      </c>
      <c r="G118" s="47">
        <v>0</v>
      </c>
      <c r="H118" s="47">
        <v>0</v>
      </c>
      <c r="I118" s="47">
        <v>0</v>
      </c>
      <c r="J118" s="47">
        <v>0</v>
      </c>
      <c r="K118" s="47">
        <f t="shared" si="2"/>
        <v>0</v>
      </c>
      <c r="L118" s="47"/>
    </row>
    <row r="119" spans="1:12" ht="15.5" x14ac:dyDescent="0.3">
      <c r="A119" s="7">
        <v>115</v>
      </c>
      <c r="B119" s="49">
        <v>29710</v>
      </c>
      <c r="C119" s="49" t="s">
        <v>531</v>
      </c>
      <c r="D119" s="49" t="s">
        <v>532</v>
      </c>
      <c r="E119" s="49" t="s">
        <v>277</v>
      </c>
      <c r="F119" s="49">
        <v>8</v>
      </c>
      <c r="G119" s="47">
        <v>0</v>
      </c>
      <c r="H119" s="47">
        <v>0</v>
      </c>
      <c r="I119" s="47">
        <v>0</v>
      </c>
      <c r="J119" s="47">
        <v>0</v>
      </c>
      <c r="K119" s="47">
        <f t="shared" si="2"/>
        <v>0</v>
      </c>
      <c r="L119" s="47"/>
    </row>
    <row r="120" spans="1:12" ht="15.5" x14ac:dyDescent="0.3">
      <c r="A120" s="7">
        <v>116</v>
      </c>
      <c r="B120" s="49">
        <v>206413</v>
      </c>
      <c r="C120" s="49" t="s">
        <v>533</v>
      </c>
      <c r="D120" s="49" t="s">
        <v>534</v>
      </c>
      <c r="E120" s="49" t="s">
        <v>62</v>
      </c>
      <c r="F120" s="49">
        <v>8</v>
      </c>
      <c r="G120" s="47">
        <v>0</v>
      </c>
      <c r="H120" s="47">
        <v>0</v>
      </c>
      <c r="I120" s="47">
        <v>0</v>
      </c>
      <c r="J120" s="47">
        <v>0</v>
      </c>
      <c r="K120" s="47">
        <f t="shared" si="2"/>
        <v>0</v>
      </c>
      <c r="L120" s="47"/>
    </row>
    <row r="121" spans="1:12" ht="15.5" x14ac:dyDescent="0.3">
      <c r="A121" s="7">
        <v>117</v>
      </c>
      <c r="B121" s="49">
        <v>191422</v>
      </c>
      <c r="C121" s="49" t="s">
        <v>311</v>
      </c>
      <c r="D121" s="49" t="s">
        <v>150</v>
      </c>
      <c r="E121" s="49" t="s">
        <v>126</v>
      </c>
      <c r="F121" s="49">
        <v>7</v>
      </c>
      <c r="G121" s="47">
        <v>0</v>
      </c>
      <c r="H121" s="47">
        <v>0</v>
      </c>
      <c r="I121" s="47">
        <v>0</v>
      </c>
      <c r="J121" s="47">
        <v>0</v>
      </c>
      <c r="K121" s="47">
        <f t="shared" si="2"/>
        <v>0</v>
      </c>
      <c r="L121" s="47"/>
    </row>
    <row r="122" spans="1:12" ht="15.5" x14ac:dyDescent="0.3">
      <c r="A122" s="7">
        <v>118</v>
      </c>
      <c r="B122" s="49">
        <v>81988</v>
      </c>
      <c r="C122" s="49" t="s">
        <v>160</v>
      </c>
      <c r="D122" s="49" t="s">
        <v>161</v>
      </c>
      <c r="E122" s="49" t="s">
        <v>220</v>
      </c>
      <c r="F122" s="49">
        <v>7</v>
      </c>
      <c r="G122" s="47">
        <v>0</v>
      </c>
      <c r="H122" s="47">
        <v>0</v>
      </c>
      <c r="I122" s="47">
        <v>0</v>
      </c>
      <c r="J122" s="47">
        <v>0</v>
      </c>
      <c r="K122" s="47">
        <f t="shared" si="2"/>
        <v>0</v>
      </c>
      <c r="L122" s="47"/>
    </row>
    <row r="123" spans="1:12" ht="15.5" x14ac:dyDescent="0.3">
      <c r="A123" s="7">
        <v>119</v>
      </c>
      <c r="B123" s="49"/>
      <c r="C123" s="49" t="s">
        <v>535</v>
      </c>
      <c r="D123" s="49" t="s">
        <v>536</v>
      </c>
      <c r="E123" s="49" t="s">
        <v>490</v>
      </c>
      <c r="F123" s="49">
        <v>7</v>
      </c>
      <c r="G123" s="47">
        <v>0</v>
      </c>
      <c r="H123" s="47">
        <v>0</v>
      </c>
      <c r="I123" s="47">
        <v>0</v>
      </c>
      <c r="J123" s="47">
        <v>0</v>
      </c>
      <c r="K123" s="47">
        <f t="shared" si="2"/>
        <v>0</v>
      </c>
      <c r="L123" s="52"/>
    </row>
    <row r="124" spans="1:12" ht="15.5" x14ac:dyDescent="0.3">
      <c r="A124" s="7">
        <v>120</v>
      </c>
      <c r="B124" s="45">
        <v>210852</v>
      </c>
      <c r="C124" s="49" t="s">
        <v>537</v>
      </c>
      <c r="D124" s="49" t="s">
        <v>538</v>
      </c>
      <c r="E124" s="45" t="s">
        <v>153</v>
      </c>
      <c r="F124" s="45">
        <v>7</v>
      </c>
      <c r="G124" s="47">
        <v>0</v>
      </c>
      <c r="H124" s="47">
        <v>0</v>
      </c>
      <c r="I124" s="47">
        <v>0</v>
      </c>
      <c r="J124" s="47">
        <v>0</v>
      </c>
      <c r="K124" s="47">
        <f t="shared" si="2"/>
        <v>0</v>
      </c>
      <c r="L124" s="52"/>
    </row>
    <row r="125" spans="1:12" s="60" customFormat="1" ht="19.5" customHeight="1" x14ac:dyDescent="0.35">
      <c r="A125" s="7">
        <v>121</v>
      </c>
      <c r="B125" s="49">
        <v>164468</v>
      </c>
      <c r="C125" s="49" t="s">
        <v>539</v>
      </c>
      <c r="D125" s="49" t="s">
        <v>540</v>
      </c>
      <c r="E125" s="49" t="s">
        <v>62</v>
      </c>
      <c r="F125" s="49">
        <v>7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59"/>
    </row>
    <row r="126" spans="1:12" ht="15.5" x14ac:dyDescent="0.3">
      <c r="A126" s="7">
        <v>122</v>
      </c>
      <c r="B126" s="49">
        <v>143968</v>
      </c>
      <c r="C126" s="49" t="s">
        <v>541</v>
      </c>
      <c r="D126" s="49" t="s">
        <v>542</v>
      </c>
      <c r="E126" s="49" t="s">
        <v>131</v>
      </c>
      <c r="F126" s="49">
        <v>7</v>
      </c>
      <c r="G126" s="47">
        <v>0</v>
      </c>
      <c r="H126" s="47">
        <v>0</v>
      </c>
      <c r="I126" s="47">
        <v>0</v>
      </c>
      <c r="J126" s="47">
        <v>0</v>
      </c>
      <c r="K126" s="47">
        <f t="shared" ref="K126:K173" si="3">SUM(G126:J126)</f>
        <v>0</v>
      </c>
      <c r="L126" s="52"/>
    </row>
    <row r="127" spans="1:12" ht="15.5" x14ac:dyDescent="0.3">
      <c r="A127" s="7">
        <v>123</v>
      </c>
      <c r="B127" s="49">
        <v>136913</v>
      </c>
      <c r="C127" s="49" t="s">
        <v>543</v>
      </c>
      <c r="D127" s="49" t="s">
        <v>544</v>
      </c>
      <c r="E127" s="49" t="s">
        <v>259</v>
      </c>
      <c r="F127" s="49">
        <v>8</v>
      </c>
      <c r="G127" s="47">
        <v>0</v>
      </c>
      <c r="H127" s="47">
        <v>0</v>
      </c>
      <c r="I127" s="47">
        <v>0</v>
      </c>
      <c r="J127" s="47">
        <v>0</v>
      </c>
      <c r="K127" s="47">
        <f t="shared" si="3"/>
        <v>0</v>
      </c>
      <c r="L127" s="52"/>
    </row>
    <row r="128" spans="1:12" ht="15.5" x14ac:dyDescent="0.3">
      <c r="A128" s="7">
        <v>124</v>
      </c>
      <c r="B128" s="49">
        <v>126893</v>
      </c>
      <c r="C128" s="49" t="s">
        <v>66</v>
      </c>
      <c r="D128" s="49" t="s">
        <v>545</v>
      </c>
      <c r="E128" s="49" t="s">
        <v>268</v>
      </c>
      <c r="F128" s="49">
        <v>7</v>
      </c>
      <c r="G128" s="47">
        <v>0</v>
      </c>
      <c r="H128" s="47">
        <v>0</v>
      </c>
      <c r="I128" s="47">
        <v>0</v>
      </c>
      <c r="J128" s="47">
        <v>0</v>
      </c>
      <c r="K128" s="47">
        <f t="shared" si="3"/>
        <v>0</v>
      </c>
      <c r="L128" s="52"/>
    </row>
    <row r="129" spans="1:12" ht="15.5" x14ac:dyDescent="0.3">
      <c r="A129" s="7">
        <v>125</v>
      </c>
      <c r="B129" s="45">
        <v>136753</v>
      </c>
      <c r="C129" s="49" t="s">
        <v>546</v>
      </c>
      <c r="D129" s="49" t="s">
        <v>547</v>
      </c>
      <c r="E129" s="45" t="s">
        <v>97</v>
      </c>
      <c r="F129" s="45">
        <v>8</v>
      </c>
      <c r="G129" s="47">
        <v>0</v>
      </c>
      <c r="H129" s="47">
        <v>0</v>
      </c>
      <c r="I129" s="47">
        <v>0</v>
      </c>
      <c r="J129" s="47">
        <v>0</v>
      </c>
      <c r="K129" s="47">
        <f t="shared" si="3"/>
        <v>0</v>
      </c>
      <c r="L129" s="52"/>
    </row>
    <row r="130" spans="1:12" ht="15.5" x14ac:dyDescent="0.3">
      <c r="A130" s="7">
        <v>126</v>
      </c>
      <c r="B130" s="45">
        <v>202385</v>
      </c>
      <c r="C130" s="49" t="s">
        <v>548</v>
      </c>
      <c r="D130" s="49" t="s">
        <v>549</v>
      </c>
      <c r="E130" s="45" t="s">
        <v>70</v>
      </c>
      <c r="F130" s="45">
        <v>7</v>
      </c>
      <c r="G130" s="47">
        <v>0</v>
      </c>
      <c r="H130" s="47">
        <v>0</v>
      </c>
      <c r="I130" s="47">
        <v>0</v>
      </c>
      <c r="J130" s="47">
        <v>0</v>
      </c>
      <c r="K130" s="47">
        <f t="shared" si="3"/>
        <v>0</v>
      </c>
      <c r="L130" s="52"/>
    </row>
    <row r="131" spans="1:12" ht="15.5" x14ac:dyDescent="0.3">
      <c r="A131" s="7">
        <v>127</v>
      </c>
      <c r="B131" s="45">
        <v>66518</v>
      </c>
      <c r="C131" s="49" t="s">
        <v>550</v>
      </c>
      <c r="D131" s="49" t="s">
        <v>50</v>
      </c>
      <c r="E131" s="45" t="s">
        <v>94</v>
      </c>
      <c r="F131" s="45">
        <v>8</v>
      </c>
      <c r="G131" s="47">
        <v>0</v>
      </c>
      <c r="H131" s="47">
        <v>0</v>
      </c>
      <c r="I131" s="47">
        <v>0</v>
      </c>
      <c r="J131" s="47">
        <v>0</v>
      </c>
      <c r="K131" s="47">
        <f t="shared" si="3"/>
        <v>0</v>
      </c>
      <c r="L131" s="52"/>
    </row>
    <row r="132" spans="1:12" ht="15.5" x14ac:dyDescent="0.3">
      <c r="A132" s="7">
        <v>128</v>
      </c>
      <c r="B132" s="49"/>
      <c r="C132" s="49" t="s">
        <v>551</v>
      </c>
      <c r="D132" s="49" t="s">
        <v>311</v>
      </c>
      <c r="E132" s="49" t="s">
        <v>490</v>
      </c>
      <c r="F132" s="49">
        <v>7</v>
      </c>
      <c r="G132" s="47">
        <v>0</v>
      </c>
      <c r="H132" s="47">
        <v>0</v>
      </c>
      <c r="I132" s="47">
        <v>0</v>
      </c>
      <c r="J132" s="47">
        <v>0</v>
      </c>
      <c r="K132" s="47">
        <f t="shared" si="3"/>
        <v>0</v>
      </c>
      <c r="L132" s="52"/>
    </row>
    <row r="133" spans="1:12" ht="15.5" x14ac:dyDescent="0.3">
      <c r="A133" s="7">
        <v>129</v>
      </c>
      <c r="B133" s="45">
        <v>85713</v>
      </c>
      <c r="C133" s="49" t="s">
        <v>552</v>
      </c>
      <c r="D133" s="49" t="s">
        <v>164</v>
      </c>
      <c r="E133" s="45" t="s">
        <v>153</v>
      </c>
      <c r="F133" s="45">
        <v>7</v>
      </c>
      <c r="G133" s="47">
        <v>0</v>
      </c>
      <c r="H133" s="47">
        <v>0</v>
      </c>
      <c r="I133" s="47">
        <v>0</v>
      </c>
      <c r="J133" s="47">
        <v>0</v>
      </c>
      <c r="K133" s="47">
        <f t="shared" si="3"/>
        <v>0</v>
      </c>
      <c r="L133" s="52"/>
    </row>
    <row r="134" spans="1:12" ht="15.5" x14ac:dyDescent="0.3">
      <c r="A134" s="7">
        <v>130</v>
      </c>
      <c r="B134" s="49">
        <v>170121</v>
      </c>
      <c r="C134" s="49" t="s">
        <v>10</v>
      </c>
      <c r="D134" s="49" t="s">
        <v>204</v>
      </c>
      <c r="E134" s="49" t="s">
        <v>419</v>
      </c>
      <c r="F134" s="49">
        <v>8</v>
      </c>
      <c r="G134" s="47">
        <v>0</v>
      </c>
      <c r="H134" s="47">
        <v>0</v>
      </c>
      <c r="I134" s="47">
        <v>0</v>
      </c>
      <c r="J134" s="47">
        <v>0</v>
      </c>
      <c r="K134" s="47">
        <f t="shared" si="3"/>
        <v>0</v>
      </c>
      <c r="L134" s="52"/>
    </row>
    <row r="135" spans="1:12" ht="15.5" x14ac:dyDescent="0.3">
      <c r="A135" s="7">
        <v>131</v>
      </c>
      <c r="B135" s="49">
        <v>193957</v>
      </c>
      <c r="C135" s="49" t="s">
        <v>553</v>
      </c>
      <c r="D135" s="49" t="s">
        <v>554</v>
      </c>
      <c r="E135" s="49" t="s">
        <v>469</v>
      </c>
      <c r="F135" s="49">
        <v>7</v>
      </c>
      <c r="G135" s="47">
        <v>0</v>
      </c>
      <c r="H135" s="47">
        <v>0</v>
      </c>
      <c r="I135" s="47">
        <v>0</v>
      </c>
      <c r="J135" s="47">
        <v>0</v>
      </c>
      <c r="K135" s="47">
        <f t="shared" si="3"/>
        <v>0</v>
      </c>
      <c r="L135" s="52"/>
    </row>
    <row r="136" spans="1:12" ht="15.5" x14ac:dyDescent="0.3">
      <c r="A136" s="7">
        <v>132</v>
      </c>
      <c r="B136" s="49">
        <v>213954</v>
      </c>
      <c r="C136" s="49" t="s">
        <v>231</v>
      </c>
      <c r="D136" s="49" t="s">
        <v>243</v>
      </c>
      <c r="E136" s="49" t="s">
        <v>259</v>
      </c>
      <c r="F136" s="49">
        <v>8</v>
      </c>
      <c r="G136" s="47">
        <v>0</v>
      </c>
      <c r="H136" s="47">
        <v>0</v>
      </c>
      <c r="I136" s="47">
        <v>0</v>
      </c>
      <c r="J136" s="47">
        <v>0</v>
      </c>
      <c r="K136" s="47">
        <f t="shared" si="3"/>
        <v>0</v>
      </c>
      <c r="L136" s="52"/>
    </row>
    <row r="137" spans="1:12" ht="15.5" x14ac:dyDescent="0.3">
      <c r="A137" s="7">
        <v>133</v>
      </c>
      <c r="B137" s="49">
        <v>221262</v>
      </c>
      <c r="C137" s="49" t="s">
        <v>119</v>
      </c>
      <c r="D137" s="49" t="s">
        <v>555</v>
      </c>
      <c r="E137" s="49" t="s">
        <v>268</v>
      </c>
      <c r="F137" s="49">
        <v>7</v>
      </c>
      <c r="G137" s="52">
        <v>0</v>
      </c>
      <c r="H137" s="52">
        <v>0</v>
      </c>
      <c r="I137" s="52">
        <v>0</v>
      </c>
      <c r="J137" s="52">
        <v>0</v>
      </c>
      <c r="K137" s="47">
        <f t="shared" si="3"/>
        <v>0</v>
      </c>
      <c r="L137" s="52"/>
    </row>
    <row r="138" spans="1:12" ht="15.5" x14ac:dyDescent="0.3">
      <c r="A138" s="7">
        <v>134</v>
      </c>
      <c r="B138" s="49">
        <v>154845</v>
      </c>
      <c r="C138" s="49" t="s">
        <v>556</v>
      </c>
      <c r="D138" s="49" t="s">
        <v>557</v>
      </c>
      <c r="E138" s="49" t="s">
        <v>41</v>
      </c>
      <c r="F138" s="49">
        <v>7</v>
      </c>
      <c r="G138" s="52">
        <v>0</v>
      </c>
      <c r="H138" s="52">
        <v>0</v>
      </c>
      <c r="I138" s="52">
        <v>0</v>
      </c>
      <c r="J138" s="52">
        <v>0</v>
      </c>
      <c r="K138" s="47">
        <f t="shared" si="3"/>
        <v>0</v>
      </c>
      <c r="L138" s="52"/>
    </row>
    <row r="139" spans="1:12" ht="15.5" x14ac:dyDescent="0.3">
      <c r="A139" s="7">
        <v>135</v>
      </c>
      <c r="B139" s="49">
        <v>214305</v>
      </c>
      <c r="C139" s="49" t="s">
        <v>386</v>
      </c>
      <c r="D139" s="49" t="s">
        <v>53</v>
      </c>
      <c r="E139" s="49" t="s">
        <v>35</v>
      </c>
      <c r="F139" s="49">
        <v>7</v>
      </c>
      <c r="G139" s="52">
        <v>0</v>
      </c>
      <c r="H139" s="52">
        <v>0</v>
      </c>
      <c r="I139" s="52">
        <v>0</v>
      </c>
      <c r="J139" s="52">
        <v>0</v>
      </c>
      <c r="K139" s="47">
        <f t="shared" si="3"/>
        <v>0</v>
      </c>
      <c r="L139" s="52"/>
    </row>
    <row r="140" spans="1:12" ht="15.5" x14ac:dyDescent="0.3">
      <c r="A140" s="7">
        <v>136</v>
      </c>
      <c r="B140" s="50">
        <v>202270</v>
      </c>
      <c r="C140" s="51" t="s">
        <v>344</v>
      </c>
      <c r="D140" s="51" t="s">
        <v>252</v>
      </c>
      <c r="E140" s="50" t="s">
        <v>70</v>
      </c>
      <c r="F140" s="50">
        <v>7</v>
      </c>
      <c r="G140" s="52">
        <v>0</v>
      </c>
      <c r="H140" s="52">
        <v>0</v>
      </c>
      <c r="I140" s="52">
        <v>0</v>
      </c>
      <c r="J140" s="52">
        <v>0</v>
      </c>
      <c r="K140" s="47">
        <f t="shared" si="3"/>
        <v>0</v>
      </c>
      <c r="L140" s="52"/>
    </row>
    <row r="141" spans="1:12" ht="15.5" x14ac:dyDescent="0.3">
      <c r="A141" s="7">
        <v>137</v>
      </c>
      <c r="B141" s="50">
        <v>209358</v>
      </c>
      <c r="C141" s="51" t="s">
        <v>558</v>
      </c>
      <c r="D141" s="51" t="s">
        <v>559</v>
      </c>
      <c r="E141" s="50" t="s">
        <v>70</v>
      </c>
      <c r="F141" s="50">
        <v>7</v>
      </c>
      <c r="G141" s="52">
        <v>0</v>
      </c>
      <c r="H141" s="52">
        <v>0</v>
      </c>
      <c r="I141" s="52">
        <v>0</v>
      </c>
      <c r="J141" s="52">
        <v>0</v>
      </c>
      <c r="K141" s="47">
        <f t="shared" si="3"/>
        <v>0</v>
      </c>
      <c r="L141" s="52"/>
    </row>
    <row r="142" spans="1:12" ht="15.5" x14ac:dyDescent="0.3">
      <c r="A142" s="7">
        <v>138</v>
      </c>
      <c r="B142" s="50">
        <v>87992</v>
      </c>
      <c r="C142" s="51" t="s">
        <v>346</v>
      </c>
      <c r="D142" s="51" t="s">
        <v>560</v>
      </c>
      <c r="E142" s="50" t="s">
        <v>143</v>
      </c>
      <c r="F142" s="50">
        <v>8</v>
      </c>
      <c r="G142" s="52">
        <v>0</v>
      </c>
      <c r="H142" s="52">
        <v>0</v>
      </c>
      <c r="I142" s="52">
        <v>0</v>
      </c>
      <c r="J142" s="52">
        <v>0</v>
      </c>
      <c r="K142" s="47">
        <f t="shared" si="3"/>
        <v>0</v>
      </c>
      <c r="L142" s="52"/>
    </row>
    <row r="143" spans="1:12" ht="15.5" x14ac:dyDescent="0.3">
      <c r="A143" s="7">
        <v>139</v>
      </c>
      <c r="B143" s="50">
        <v>210696</v>
      </c>
      <c r="C143" s="51" t="s">
        <v>161</v>
      </c>
      <c r="D143" s="51" t="s">
        <v>561</v>
      </c>
      <c r="E143" s="50" t="s">
        <v>153</v>
      </c>
      <c r="F143" s="50">
        <v>7</v>
      </c>
      <c r="G143" s="52">
        <v>0</v>
      </c>
      <c r="H143" s="52">
        <v>0</v>
      </c>
      <c r="I143" s="52">
        <v>0</v>
      </c>
      <c r="J143" s="52">
        <v>0</v>
      </c>
      <c r="K143" s="47">
        <f t="shared" si="3"/>
        <v>0</v>
      </c>
      <c r="L143" s="52"/>
    </row>
    <row r="144" spans="1:12" ht="15.5" x14ac:dyDescent="0.3">
      <c r="A144" s="7">
        <v>140</v>
      </c>
      <c r="B144" s="51"/>
      <c r="C144" s="51" t="s">
        <v>562</v>
      </c>
      <c r="D144" s="51" t="s">
        <v>340</v>
      </c>
      <c r="E144" s="51" t="s">
        <v>490</v>
      </c>
      <c r="F144" s="51">
        <v>8</v>
      </c>
      <c r="G144" s="52">
        <v>0</v>
      </c>
      <c r="H144" s="52">
        <v>0</v>
      </c>
      <c r="I144" s="52">
        <v>0</v>
      </c>
      <c r="J144" s="52">
        <v>0</v>
      </c>
      <c r="K144" s="47">
        <f t="shared" si="3"/>
        <v>0</v>
      </c>
      <c r="L144" s="52"/>
    </row>
    <row r="145" spans="1:12" ht="15.5" x14ac:dyDescent="0.3">
      <c r="A145" s="7">
        <v>141</v>
      </c>
      <c r="B145" s="51">
        <v>165289</v>
      </c>
      <c r="C145" s="51" t="s">
        <v>119</v>
      </c>
      <c r="D145" s="51" t="s">
        <v>111</v>
      </c>
      <c r="E145" s="51" t="s">
        <v>191</v>
      </c>
      <c r="F145" s="51">
        <v>8</v>
      </c>
      <c r="G145" s="52">
        <v>0</v>
      </c>
      <c r="H145" s="52">
        <v>0</v>
      </c>
      <c r="I145" s="52">
        <v>0</v>
      </c>
      <c r="J145" s="52">
        <v>0</v>
      </c>
      <c r="K145" s="47">
        <f t="shared" si="3"/>
        <v>0</v>
      </c>
      <c r="L145" s="52"/>
    </row>
    <row r="146" spans="1:12" ht="15.5" x14ac:dyDescent="0.3">
      <c r="A146" s="7">
        <v>142</v>
      </c>
      <c r="B146" s="51"/>
      <c r="C146" s="51" t="s">
        <v>174</v>
      </c>
      <c r="D146" s="51" t="s">
        <v>563</v>
      </c>
      <c r="E146" s="51" t="s">
        <v>490</v>
      </c>
      <c r="F146" s="51">
        <v>7</v>
      </c>
      <c r="G146" s="52">
        <v>0</v>
      </c>
      <c r="H146" s="52">
        <v>0</v>
      </c>
      <c r="I146" s="52">
        <v>0</v>
      </c>
      <c r="J146" s="52">
        <v>0</v>
      </c>
      <c r="K146" s="47">
        <f t="shared" si="3"/>
        <v>0</v>
      </c>
      <c r="L146" s="52"/>
    </row>
    <row r="147" spans="1:12" ht="15.5" x14ac:dyDescent="0.3">
      <c r="A147" s="7">
        <v>143</v>
      </c>
      <c r="B147" s="51"/>
      <c r="C147" s="51" t="s">
        <v>91</v>
      </c>
      <c r="D147" s="51" t="s">
        <v>531</v>
      </c>
      <c r="E147" s="51" t="s">
        <v>469</v>
      </c>
      <c r="F147" s="51">
        <v>7</v>
      </c>
      <c r="G147" s="52">
        <v>0</v>
      </c>
      <c r="H147" s="52">
        <v>0</v>
      </c>
      <c r="I147" s="52">
        <v>0</v>
      </c>
      <c r="J147" s="52">
        <v>0</v>
      </c>
      <c r="K147" s="47">
        <f t="shared" si="3"/>
        <v>0</v>
      </c>
      <c r="L147" s="52"/>
    </row>
    <row r="148" spans="1:12" ht="15.5" x14ac:dyDescent="0.3">
      <c r="A148" s="7">
        <v>144</v>
      </c>
      <c r="B148" s="45">
        <v>68917</v>
      </c>
      <c r="C148" s="49" t="s">
        <v>244</v>
      </c>
      <c r="D148" s="49" t="s">
        <v>536</v>
      </c>
      <c r="E148" s="45" t="s">
        <v>153</v>
      </c>
      <c r="F148" s="45">
        <v>8</v>
      </c>
      <c r="G148" s="52">
        <v>0</v>
      </c>
      <c r="H148" s="52">
        <v>0</v>
      </c>
      <c r="I148" s="52">
        <v>0</v>
      </c>
      <c r="J148" s="52">
        <v>0</v>
      </c>
      <c r="K148" s="47">
        <f t="shared" si="3"/>
        <v>0</v>
      </c>
      <c r="L148" s="52"/>
    </row>
    <row r="149" spans="1:12" ht="15.5" x14ac:dyDescent="0.3">
      <c r="A149" s="7">
        <v>145</v>
      </c>
      <c r="B149" s="45">
        <v>221261</v>
      </c>
      <c r="C149" s="49" t="s">
        <v>564</v>
      </c>
      <c r="D149" s="49" t="s">
        <v>565</v>
      </c>
      <c r="E149" s="45" t="s">
        <v>97</v>
      </c>
      <c r="F149" s="45"/>
      <c r="G149" s="52">
        <v>0</v>
      </c>
      <c r="H149" s="52">
        <v>0</v>
      </c>
      <c r="I149" s="52">
        <v>0</v>
      </c>
      <c r="J149" s="52">
        <v>0</v>
      </c>
      <c r="K149" s="47">
        <f t="shared" si="3"/>
        <v>0</v>
      </c>
      <c r="L149" s="52"/>
    </row>
    <row r="150" spans="1:12" ht="15.5" x14ac:dyDescent="0.3">
      <c r="A150" s="7">
        <v>146</v>
      </c>
      <c r="B150" s="45">
        <v>163661</v>
      </c>
      <c r="C150" s="49" t="s">
        <v>566</v>
      </c>
      <c r="D150" s="49" t="s">
        <v>567</v>
      </c>
      <c r="E150" s="45" t="s">
        <v>419</v>
      </c>
      <c r="F150" s="45">
        <v>8</v>
      </c>
      <c r="G150" s="52">
        <v>0</v>
      </c>
      <c r="H150" s="52">
        <v>0</v>
      </c>
      <c r="I150" s="52">
        <v>0</v>
      </c>
      <c r="J150" s="52">
        <v>0</v>
      </c>
      <c r="K150" s="47">
        <f t="shared" si="3"/>
        <v>0</v>
      </c>
      <c r="L150" s="52"/>
    </row>
    <row r="151" spans="1:12" ht="15.5" x14ac:dyDescent="0.3">
      <c r="A151" s="7">
        <v>147</v>
      </c>
      <c r="B151" s="45">
        <v>218442</v>
      </c>
      <c r="C151" s="49" t="s">
        <v>568</v>
      </c>
      <c r="D151" s="49" t="s">
        <v>181</v>
      </c>
      <c r="E151" s="45" t="s">
        <v>73</v>
      </c>
      <c r="F151" s="45">
        <v>8</v>
      </c>
      <c r="G151" s="52">
        <v>0</v>
      </c>
      <c r="H151" s="52">
        <v>0</v>
      </c>
      <c r="I151" s="52">
        <v>0</v>
      </c>
      <c r="J151" s="52">
        <v>0</v>
      </c>
      <c r="K151" s="47">
        <f t="shared" si="3"/>
        <v>0</v>
      </c>
      <c r="L151" s="52"/>
    </row>
    <row r="152" spans="1:12" ht="15.5" x14ac:dyDescent="0.3">
      <c r="A152" s="7">
        <v>148</v>
      </c>
      <c r="B152" s="49">
        <v>109532</v>
      </c>
      <c r="C152" s="49" t="s">
        <v>101</v>
      </c>
      <c r="D152" s="49" t="s">
        <v>569</v>
      </c>
      <c r="E152" s="49" t="s">
        <v>295</v>
      </c>
      <c r="F152" s="49">
        <v>8</v>
      </c>
      <c r="G152" s="52">
        <v>0</v>
      </c>
      <c r="H152" s="52">
        <v>0</v>
      </c>
      <c r="I152" s="52">
        <v>0</v>
      </c>
      <c r="J152" s="52">
        <v>0</v>
      </c>
      <c r="K152" s="47">
        <f t="shared" si="3"/>
        <v>0</v>
      </c>
      <c r="L152" s="52"/>
    </row>
    <row r="153" spans="1:12" ht="15.5" x14ac:dyDescent="0.3">
      <c r="A153" s="7">
        <v>149</v>
      </c>
      <c r="B153" s="49">
        <v>173770</v>
      </c>
      <c r="C153" s="49" t="s">
        <v>570</v>
      </c>
      <c r="D153" s="49" t="s">
        <v>526</v>
      </c>
      <c r="E153" s="49" t="s">
        <v>126</v>
      </c>
      <c r="F153" s="49">
        <v>7</v>
      </c>
      <c r="G153" s="52">
        <v>0</v>
      </c>
      <c r="H153" s="52">
        <v>0</v>
      </c>
      <c r="I153" s="52">
        <v>0</v>
      </c>
      <c r="J153" s="52">
        <v>0</v>
      </c>
      <c r="K153" s="47">
        <f t="shared" si="3"/>
        <v>0</v>
      </c>
      <c r="L153" s="52"/>
    </row>
    <row r="154" spans="1:12" ht="15.5" x14ac:dyDescent="0.3">
      <c r="A154" s="7">
        <v>150</v>
      </c>
      <c r="B154" s="49">
        <v>149474</v>
      </c>
      <c r="C154" s="49" t="s">
        <v>571</v>
      </c>
      <c r="D154" s="49" t="s">
        <v>572</v>
      </c>
      <c r="E154" s="49" t="s">
        <v>46</v>
      </c>
      <c r="F154" s="49">
        <v>7</v>
      </c>
      <c r="G154" s="52">
        <v>0</v>
      </c>
      <c r="H154" s="52">
        <v>0</v>
      </c>
      <c r="I154" s="52">
        <v>0</v>
      </c>
      <c r="J154" s="52">
        <v>0</v>
      </c>
      <c r="K154" s="47">
        <f t="shared" si="3"/>
        <v>0</v>
      </c>
      <c r="L154" s="52"/>
    </row>
    <row r="155" spans="1:12" ht="15.5" x14ac:dyDescent="0.3">
      <c r="A155" s="7">
        <v>151</v>
      </c>
      <c r="B155" s="49">
        <v>134466</v>
      </c>
      <c r="C155" s="49" t="s">
        <v>573</v>
      </c>
      <c r="D155" s="49" t="s">
        <v>574</v>
      </c>
      <c r="E155" s="49" t="s">
        <v>100</v>
      </c>
      <c r="F155" s="49">
        <v>7</v>
      </c>
      <c r="G155" s="52">
        <v>0</v>
      </c>
      <c r="H155" s="52">
        <v>0</v>
      </c>
      <c r="I155" s="52">
        <v>0</v>
      </c>
      <c r="J155" s="52">
        <v>0</v>
      </c>
      <c r="K155" s="47">
        <f t="shared" si="3"/>
        <v>0</v>
      </c>
      <c r="L155" s="52"/>
    </row>
    <row r="156" spans="1:12" ht="15.5" x14ac:dyDescent="0.3">
      <c r="A156" s="7">
        <v>152</v>
      </c>
      <c r="B156" s="45">
        <v>85481</v>
      </c>
      <c r="C156" s="49" t="s">
        <v>255</v>
      </c>
      <c r="D156" s="49" t="s">
        <v>205</v>
      </c>
      <c r="E156" s="45" t="s">
        <v>94</v>
      </c>
      <c r="F156" s="45">
        <v>8</v>
      </c>
      <c r="G156" s="52">
        <v>0</v>
      </c>
      <c r="H156" s="52">
        <v>0</v>
      </c>
      <c r="I156" s="52">
        <v>0</v>
      </c>
      <c r="J156" s="52">
        <v>0</v>
      </c>
      <c r="K156" s="47">
        <f t="shared" si="3"/>
        <v>0</v>
      </c>
      <c r="L156" s="52"/>
    </row>
    <row r="157" spans="1:12" ht="15.5" x14ac:dyDescent="0.3">
      <c r="A157" s="7">
        <v>153</v>
      </c>
      <c r="B157" s="45">
        <v>215666</v>
      </c>
      <c r="C157" s="49" t="s">
        <v>244</v>
      </c>
      <c r="D157" s="49" t="s">
        <v>148</v>
      </c>
      <c r="E157" s="45" t="s">
        <v>73</v>
      </c>
      <c r="F157" s="45">
        <v>8</v>
      </c>
      <c r="G157" s="52">
        <v>0</v>
      </c>
      <c r="H157" s="52">
        <v>0</v>
      </c>
      <c r="I157" s="52">
        <v>0</v>
      </c>
      <c r="J157" s="52">
        <v>0</v>
      </c>
      <c r="K157" s="47">
        <f t="shared" si="3"/>
        <v>0</v>
      </c>
      <c r="L157" s="52"/>
    </row>
    <row r="158" spans="1:12" ht="15.5" x14ac:dyDescent="0.3">
      <c r="A158" s="7">
        <v>154</v>
      </c>
      <c r="B158" s="45">
        <v>170109</v>
      </c>
      <c r="C158" s="49" t="s">
        <v>449</v>
      </c>
      <c r="D158" s="49" t="s">
        <v>337</v>
      </c>
      <c r="E158" s="45" t="s">
        <v>419</v>
      </c>
      <c r="F158" s="45">
        <v>8</v>
      </c>
      <c r="G158" s="52">
        <v>0</v>
      </c>
      <c r="H158" s="52">
        <v>0</v>
      </c>
      <c r="I158" s="52">
        <v>0</v>
      </c>
      <c r="J158" s="52">
        <v>0</v>
      </c>
      <c r="K158" s="47">
        <f t="shared" si="3"/>
        <v>0</v>
      </c>
      <c r="L158" s="52"/>
    </row>
    <row r="159" spans="1:12" ht="15.5" x14ac:dyDescent="0.3">
      <c r="A159" s="7">
        <v>155</v>
      </c>
      <c r="B159" s="49"/>
      <c r="C159" s="49" t="s">
        <v>575</v>
      </c>
      <c r="D159" s="49" t="s">
        <v>576</v>
      </c>
      <c r="E159" s="49" t="s">
        <v>490</v>
      </c>
      <c r="F159" s="49">
        <v>8</v>
      </c>
      <c r="G159" s="52">
        <v>0</v>
      </c>
      <c r="H159" s="52">
        <v>0</v>
      </c>
      <c r="I159" s="52">
        <v>0</v>
      </c>
      <c r="J159" s="52">
        <v>0</v>
      </c>
      <c r="K159" s="47">
        <f t="shared" si="3"/>
        <v>0</v>
      </c>
      <c r="L159" s="52"/>
    </row>
    <row r="160" spans="1:12" ht="15.5" x14ac:dyDescent="0.3">
      <c r="A160" s="7">
        <v>156</v>
      </c>
      <c r="B160" s="49">
        <v>210239</v>
      </c>
      <c r="C160" s="49" t="s">
        <v>338</v>
      </c>
      <c r="D160" s="49" t="s">
        <v>577</v>
      </c>
      <c r="E160" s="49" t="s">
        <v>472</v>
      </c>
      <c r="F160" s="49">
        <v>8</v>
      </c>
      <c r="G160" s="52">
        <v>0</v>
      </c>
      <c r="H160" s="52">
        <v>0</v>
      </c>
      <c r="I160" s="52">
        <v>0</v>
      </c>
      <c r="J160" s="52">
        <v>0</v>
      </c>
      <c r="K160" s="47">
        <f t="shared" si="3"/>
        <v>0</v>
      </c>
      <c r="L160" s="52"/>
    </row>
    <row r="161" spans="1:12" ht="15.5" x14ac:dyDescent="0.3">
      <c r="A161" s="7">
        <v>157</v>
      </c>
      <c r="B161" s="49">
        <v>149357</v>
      </c>
      <c r="C161" s="49" t="s">
        <v>578</v>
      </c>
      <c r="D161" s="49" t="s">
        <v>579</v>
      </c>
      <c r="E161" s="49" t="s">
        <v>46</v>
      </c>
      <c r="F161" s="49">
        <v>7</v>
      </c>
      <c r="G161" s="52">
        <v>0</v>
      </c>
      <c r="H161" s="52">
        <v>0</v>
      </c>
      <c r="I161" s="52">
        <v>0</v>
      </c>
      <c r="J161" s="52">
        <v>0</v>
      </c>
      <c r="K161" s="47">
        <f t="shared" si="3"/>
        <v>0</v>
      </c>
      <c r="L161" s="52"/>
    </row>
    <row r="162" spans="1:12" ht="15.5" x14ac:dyDescent="0.3">
      <c r="A162" s="7">
        <v>158</v>
      </c>
      <c r="B162" s="49">
        <v>198164</v>
      </c>
      <c r="C162" s="49" t="s">
        <v>580</v>
      </c>
      <c r="D162" s="49" t="s">
        <v>581</v>
      </c>
      <c r="E162" s="49" t="s">
        <v>476</v>
      </c>
      <c r="F162" s="49">
        <v>7</v>
      </c>
      <c r="G162" s="52">
        <v>0</v>
      </c>
      <c r="H162" s="52">
        <v>0</v>
      </c>
      <c r="I162" s="52">
        <v>0</v>
      </c>
      <c r="J162" s="52">
        <v>0</v>
      </c>
      <c r="K162" s="47">
        <f t="shared" si="3"/>
        <v>0</v>
      </c>
      <c r="L162" s="52"/>
    </row>
    <row r="163" spans="1:12" ht="15.5" x14ac:dyDescent="0.3">
      <c r="A163" s="7">
        <v>159</v>
      </c>
      <c r="B163" s="49">
        <v>216096</v>
      </c>
      <c r="C163" s="49" t="s">
        <v>269</v>
      </c>
      <c r="D163" s="49" t="s">
        <v>582</v>
      </c>
      <c r="E163" s="49" t="s">
        <v>131</v>
      </c>
      <c r="F163" s="49">
        <v>8</v>
      </c>
      <c r="G163" s="52">
        <v>0</v>
      </c>
      <c r="H163" s="52">
        <v>0</v>
      </c>
      <c r="I163" s="52">
        <v>0</v>
      </c>
      <c r="J163" s="52">
        <v>0</v>
      </c>
      <c r="K163" s="47">
        <f t="shared" si="3"/>
        <v>0</v>
      </c>
      <c r="L163" s="52"/>
    </row>
    <row r="164" spans="1:12" ht="15.75" customHeight="1" x14ac:dyDescent="0.3">
      <c r="A164" s="7">
        <v>160</v>
      </c>
      <c r="B164" s="49">
        <v>217400</v>
      </c>
      <c r="C164" s="49" t="s">
        <v>583</v>
      </c>
      <c r="D164" s="49" t="s">
        <v>164</v>
      </c>
      <c r="E164" s="49" t="s">
        <v>122</v>
      </c>
      <c r="F164" s="49">
        <v>7</v>
      </c>
      <c r="G164" s="52">
        <v>0</v>
      </c>
      <c r="H164" s="52">
        <v>0</v>
      </c>
      <c r="I164" s="52">
        <v>0</v>
      </c>
      <c r="J164" s="52">
        <v>0</v>
      </c>
      <c r="K164" s="47">
        <f t="shared" si="3"/>
        <v>0</v>
      </c>
      <c r="L164" s="52"/>
    </row>
    <row r="165" spans="1:12" ht="15.5" x14ac:dyDescent="0.3">
      <c r="A165" s="7">
        <v>161</v>
      </c>
      <c r="B165" s="49">
        <v>127494</v>
      </c>
      <c r="C165" s="49" t="s">
        <v>584</v>
      </c>
      <c r="D165" s="49" t="s">
        <v>175</v>
      </c>
      <c r="E165" s="49" t="s">
        <v>259</v>
      </c>
      <c r="F165" s="49">
        <v>7</v>
      </c>
      <c r="G165" s="52">
        <v>0</v>
      </c>
      <c r="H165" s="52">
        <v>0</v>
      </c>
      <c r="I165" s="52">
        <v>0</v>
      </c>
      <c r="J165" s="52">
        <v>0</v>
      </c>
      <c r="K165" s="47">
        <f t="shared" si="3"/>
        <v>0</v>
      </c>
      <c r="L165" s="52"/>
    </row>
    <row r="166" spans="1:12" ht="15.5" x14ac:dyDescent="0.3">
      <c r="A166" s="7">
        <v>162</v>
      </c>
      <c r="B166" s="45">
        <v>136161</v>
      </c>
      <c r="C166" s="49" t="s">
        <v>585</v>
      </c>
      <c r="D166" s="49" t="s">
        <v>300</v>
      </c>
      <c r="E166" s="45" t="s">
        <v>12</v>
      </c>
      <c r="F166" s="45">
        <v>7</v>
      </c>
      <c r="G166" s="52">
        <v>0</v>
      </c>
      <c r="H166" s="52">
        <v>0</v>
      </c>
      <c r="I166" s="52">
        <v>0</v>
      </c>
      <c r="J166" s="52">
        <v>0</v>
      </c>
      <c r="K166" s="47">
        <f t="shared" si="3"/>
        <v>0</v>
      </c>
      <c r="L166" s="52"/>
    </row>
    <row r="167" spans="1:12" ht="15.5" x14ac:dyDescent="0.3">
      <c r="A167" s="7">
        <v>163</v>
      </c>
      <c r="B167" s="49"/>
      <c r="C167" s="49" t="s">
        <v>586</v>
      </c>
      <c r="D167" s="49" t="s">
        <v>13</v>
      </c>
      <c r="E167" s="49" t="s">
        <v>490</v>
      </c>
      <c r="F167" s="49">
        <v>7</v>
      </c>
      <c r="G167" s="52">
        <v>0</v>
      </c>
      <c r="H167" s="52">
        <v>0</v>
      </c>
      <c r="I167" s="52">
        <v>0</v>
      </c>
      <c r="J167" s="52">
        <v>0</v>
      </c>
      <c r="K167" s="47">
        <f t="shared" si="3"/>
        <v>0</v>
      </c>
      <c r="L167" s="52"/>
    </row>
    <row r="168" spans="1:12" ht="15.5" x14ac:dyDescent="0.3">
      <c r="A168" s="7">
        <v>164</v>
      </c>
      <c r="B168" s="49">
        <v>169111</v>
      </c>
      <c r="C168" s="49" t="s">
        <v>84</v>
      </c>
      <c r="D168" s="49" t="s">
        <v>150</v>
      </c>
      <c r="E168" s="49" t="s">
        <v>41</v>
      </c>
      <c r="F168" s="49">
        <v>7</v>
      </c>
      <c r="G168" s="52">
        <v>0</v>
      </c>
      <c r="H168" s="52">
        <v>0</v>
      </c>
      <c r="I168" s="52">
        <v>0</v>
      </c>
      <c r="J168" s="52">
        <v>0</v>
      </c>
      <c r="K168" s="47">
        <f t="shared" si="3"/>
        <v>0</v>
      </c>
      <c r="L168" s="52"/>
    </row>
    <row r="169" spans="1:12" ht="15.5" x14ac:dyDescent="0.3">
      <c r="A169" s="7">
        <v>165</v>
      </c>
      <c r="B169" s="49">
        <v>127889</v>
      </c>
      <c r="C169" s="49" t="s">
        <v>542</v>
      </c>
      <c r="D169" s="49" t="s">
        <v>587</v>
      </c>
      <c r="E169" s="49" t="s">
        <v>100</v>
      </c>
      <c r="F169" s="49">
        <v>7</v>
      </c>
      <c r="G169" s="52">
        <v>0</v>
      </c>
      <c r="H169" s="52">
        <v>0</v>
      </c>
      <c r="I169" s="52">
        <v>0</v>
      </c>
      <c r="J169" s="52">
        <v>0</v>
      </c>
      <c r="K169" s="47">
        <f t="shared" si="3"/>
        <v>0</v>
      </c>
      <c r="L169" s="52"/>
    </row>
    <row r="170" spans="1:12" ht="15.5" x14ac:dyDescent="0.3">
      <c r="A170" s="7">
        <v>166</v>
      </c>
      <c r="B170" s="49">
        <v>202850</v>
      </c>
      <c r="C170" s="49" t="s">
        <v>462</v>
      </c>
      <c r="D170" s="49" t="s">
        <v>88</v>
      </c>
      <c r="E170" s="49" t="s">
        <v>472</v>
      </c>
      <c r="F170" s="49">
        <v>8</v>
      </c>
      <c r="G170" s="52">
        <v>0</v>
      </c>
      <c r="H170" s="52">
        <v>0</v>
      </c>
      <c r="I170" s="52">
        <v>0</v>
      </c>
      <c r="J170" s="52">
        <v>0</v>
      </c>
      <c r="K170" s="47">
        <f t="shared" si="3"/>
        <v>0</v>
      </c>
      <c r="L170" s="52"/>
    </row>
    <row r="171" spans="1:12" ht="15.5" x14ac:dyDescent="0.3">
      <c r="A171" s="7">
        <v>167</v>
      </c>
      <c r="B171" s="45">
        <v>132707</v>
      </c>
      <c r="C171" s="49" t="s">
        <v>588</v>
      </c>
      <c r="D171" s="49" t="s">
        <v>589</v>
      </c>
      <c r="E171" s="45" t="s">
        <v>67</v>
      </c>
      <c r="F171" s="45">
        <v>8</v>
      </c>
      <c r="G171" s="52">
        <v>0</v>
      </c>
      <c r="H171" s="52">
        <v>0</v>
      </c>
      <c r="I171" s="52">
        <v>0</v>
      </c>
      <c r="J171" s="52">
        <v>0</v>
      </c>
      <c r="K171" s="47">
        <f t="shared" si="3"/>
        <v>0</v>
      </c>
      <c r="L171" s="52"/>
    </row>
    <row r="172" spans="1:12" ht="15.5" x14ac:dyDescent="0.3">
      <c r="A172" s="7">
        <v>168</v>
      </c>
      <c r="B172" s="45">
        <v>219337</v>
      </c>
      <c r="C172" s="49" t="s">
        <v>590</v>
      </c>
      <c r="D172" s="49" t="s">
        <v>156</v>
      </c>
      <c r="E172" s="45" t="s">
        <v>419</v>
      </c>
      <c r="F172" s="45">
        <v>8</v>
      </c>
      <c r="G172" s="52">
        <v>0</v>
      </c>
      <c r="H172" s="52">
        <v>0</v>
      </c>
      <c r="I172" s="52">
        <v>0</v>
      </c>
      <c r="J172" s="52">
        <v>0</v>
      </c>
      <c r="K172" s="47">
        <f t="shared" si="3"/>
        <v>0</v>
      </c>
      <c r="L172" s="52"/>
    </row>
    <row r="173" spans="1:12" ht="15.5" x14ac:dyDescent="0.3">
      <c r="A173" s="7">
        <v>169</v>
      </c>
      <c r="B173" s="49"/>
      <c r="C173" s="49" t="s">
        <v>591</v>
      </c>
      <c r="D173" s="49" t="s">
        <v>498</v>
      </c>
      <c r="E173" s="49" t="s">
        <v>490</v>
      </c>
      <c r="F173" s="49">
        <v>8</v>
      </c>
      <c r="G173" s="52">
        <v>0</v>
      </c>
      <c r="H173" s="52">
        <v>0</v>
      </c>
      <c r="I173" s="52">
        <v>0</v>
      </c>
      <c r="J173" s="52">
        <v>0</v>
      </c>
      <c r="K173" s="47">
        <f t="shared" si="3"/>
        <v>0</v>
      </c>
      <c r="L173" s="52"/>
    </row>
  </sheetData>
  <mergeCells count="10">
    <mergeCell ref="L5:L22"/>
    <mergeCell ref="A1:L1"/>
    <mergeCell ref="A3:A4"/>
    <mergeCell ref="B3:B4"/>
    <mergeCell ref="C3:C4"/>
    <mergeCell ref="D3:D4"/>
    <mergeCell ref="E3:E4"/>
    <mergeCell ref="G3:J3"/>
    <mergeCell ref="K3:K4"/>
    <mergeCell ref="L3:L4"/>
  </mergeCells>
  <hyperlinks>
    <hyperlink ref="E8" r:id="rId1" display="https://mmo.mn/olympiads/answers/192/?s=301" xr:uid="{EBD7D12A-16A8-482A-915F-B313DE78A8F3}"/>
    <hyperlink ref="E17" r:id="rId2" display="https://mmo.mn/olympiads/answers/192/?s=292" xr:uid="{29E9EA00-08A1-408F-9E14-EE8C7DCE93CC}"/>
    <hyperlink ref="E20" r:id="rId3" display="https://mmo.mn/olympiads/answers/192/?s=292" xr:uid="{DD30C86B-1951-4071-9422-BFB7A4E5A694}"/>
    <hyperlink ref="E18" r:id="rId4" display="https://mmo.mn/olympiads/answers/192/?s=292" xr:uid="{B2AF9B1D-C57D-4B1F-A2D6-160044E5AE83}"/>
    <hyperlink ref="E13" r:id="rId5" display="https://mmo.mn/olympiads/answers/192/?s=286" xr:uid="{21CF4040-650A-49EE-8AF3-C38F075D133E}"/>
    <hyperlink ref="E10" r:id="rId6" display="https://mmo.mn/olympiads/answers/192/?s=292" xr:uid="{6DE93861-847B-4098-A3BA-6383097EE7BA}"/>
    <hyperlink ref="E11" r:id="rId7" display="https://mmo.mn/olympiads/answers/192/?s=292" xr:uid="{67B1623E-FC84-44D6-8CBD-7567AB6492DD}"/>
    <hyperlink ref="E21" r:id="rId8" display="https://mmo.mn/olympiads/answers/192/?s=292" xr:uid="{16045A25-98C2-446A-B027-6FF716751523}"/>
    <hyperlink ref="E19" r:id="rId9" display="https://mmo.mn/olympiads/answers/192/?s=299" xr:uid="{7B11B8A3-951F-4EBC-90E0-16D57B4B7CEF}"/>
    <hyperlink ref="E16" r:id="rId10" display="https://mmo.mn/olympiads/answers/192/?s=292" xr:uid="{557E238C-261D-4BF5-8001-D706648ADCE4}"/>
    <hyperlink ref="E22" r:id="rId11" display="https://mmo.mn/olympiads/answers/192/?s=292" xr:uid="{77E4C7D9-BE56-46E3-A913-C80668A7A5B2}"/>
    <hyperlink ref="E9" r:id="rId12" display="https://mmo.mn/olympiads/answers/192/?s=292" xr:uid="{70163ECA-BF5C-4436-A4AF-C7DA34DA711F}"/>
    <hyperlink ref="E15" r:id="rId13" display="https://mmo.mn/olympiads/answers/192/?s=292" xr:uid="{0CFC4A90-C1AF-429C-8EF7-8DDE1608A186}"/>
    <hyperlink ref="E23" r:id="rId14" display="https://mmo.mn/olympiads/answers/192/?s=293" xr:uid="{0786158C-F747-4348-9BE5-CE47B5AEB3B6}"/>
    <hyperlink ref="E66" r:id="rId15" display="https://mmo.mn/olympiads/answers/192/?s=280" xr:uid="{E11ED3FE-E085-4AB2-8FB8-37A84D47FE6A}"/>
    <hyperlink ref="E67" r:id="rId16" display="https://mmo.mn/olympiads/answers/192/?s=291" xr:uid="{5A999887-8147-431D-B110-E22083564A1A}"/>
    <hyperlink ref="E68" r:id="rId17" display="https://mmo.mn/olympiads/answers/192/?s=276" xr:uid="{372BF120-CA19-4D90-852C-68312C2425CD}"/>
    <hyperlink ref="E31" r:id="rId18" display="https://mmo.mn/olympiads/answers/192/?s=296" xr:uid="{DD0A2E49-004B-42F9-98AC-13BAF83B163B}"/>
    <hyperlink ref="E69" r:id="rId19" display="https://mmo.mn/olympiads/answers/192/?s=276" xr:uid="{0F81C4EB-402C-40DE-A9CE-4E7596BD1D48}"/>
    <hyperlink ref="E71" r:id="rId20" display="https://mmo.mn/olympiads/answers/192/?s=290" xr:uid="{4172A11C-9CD8-4AF8-8378-93C35560FF8A}"/>
    <hyperlink ref="E70" r:id="rId21" display="https://mmo.mn/olympiads/answers/192/?s=299" xr:uid="{2AE98A1B-F6DC-46D2-9C56-AD6D3909067B}"/>
    <hyperlink ref="E43" r:id="rId22" display="https://mmo.mn/olympiads/answers/192/?s=286" xr:uid="{7CD73978-2C3C-4C91-B7B1-0A59269167F5}"/>
    <hyperlink ref="E72" r:id="rId23" display="https://mmo.mn/olympiads/answers/192/?s=284" xr:uid="{0FCA8F1C-FB3F-4815-8294-1C78C32AC9E0}"/>
    <hyperlink ref="E75" r:id="rId24" display="https://mmo.mn/olympiads/answers/192/?s=292" xr:uid="{09675977-72D0-4ED4-B0A2-3443DB7B1F21}"/>
    <hyperlink ref="E24" r:id="rId25" display="https://mmo.mn/olympiads/answers/192/?s=292" xr:uid="{7A088057-B164-4FD3-AE6F-6D3F5699AA8F}"/>
    <hyperlink ref="E32" r:id="rId26" display="https://mmo.mn/olympiads/answers/192/?s=293" xr:uid="{CE650171-C3CF-49C5-8C21-0604EAEC5111}"/>
    <hyperlink ref="E50" r:id="rId27" display="https://mmo.mn/olympiads/answers/192/?s=292" xr:uid="{4FF96A49-C5DE-4568-BA7D-9E59913DDB90}"/>
    <hyperlink ref="E87" r:id="rId28" display="https://mmo.mn/olympiads/answers/192/?s=293" xr:uid="{1724D06E-7924-4644-AA40-668AF90FFA41}"/>
    <hyperlink ref="E53" r:id="rId29" display="https://mmo.mn/olympiads/answers/192/?s=292" xr:uid="{035BD7D9-329B-49E8-9FDC-F4A83B603AE3}"/>
    <hyperlink ref="E91" r:id="rId30" display="https://mmo.mn/olympiads/answers/192/?s=289" xr:uid="{D2B23BB7-DE06-442F-8169-B7D352D0E927}"/>
    <hyperlink ref="E45" r:id="rId31" display="https://mmo.mn/olympiads/answers/192/?s=292" xr:uid="{2A480818-9166-4D41-9D45-E599FAB87369}"/>
    <hyperlink ref="E56" r:id="rId32" display="https://mmo.mn/olympiads/answers/192/?s=289" xr:uid="{3262CAA3-CCD5-4F7A-9CB4-F0C8AF0C8D31}"/>
    <hyperlink ref="E65" r:id="rId33" display="https://mmo.mn/olympiads/answers/192/?s=276" xr:uid="{CC421F9E-0645-4A70-8AED-C03AC51F43B7}"/>
    <hyperlink ref="E99" r:id="rId34" display="https://mmo.mn/olympiads/answers/192/?s=292" xr:uid="{AE3D7194-D179-4971-8EB4-0B469C558F29}"/>
    <hyperlink ref="E100" r:id="rId35" display="https://mmo.mn/olympiads/answers/192/?s=281" xr:uid="{27EB49E9-7033-4C15-A0B7-6A58159B9769}"/>
    <hyperlink ref="E101" r:id="rId36" display="https://mmo.mn/olympiads/answers/192/?s=289" xr:uid="{F8CDC021-BECB-4621-962F-5D03735801B1}"/>
    <hyperlink ref="E102" r:id="rId37" display="https://mmo.mn/olympiads/answers/192/?s=284" xr:uid="{0188D503-D5FF-4948-9AF2-E1E7629EA966}"/>
    <hyperlink ref="E103" r:id="rId38" display="https://mmo.mn/olympiads/answers/192/?s=276" xr:uid="{DD53C86B-2410-471B-B35C-C8EF892010D0}"/>
    <hyperlink ref="E49" r:id="rId39" display="https://mmo.mn/olympiads/answers/192/?s=301" xr:uid="{70F0DB80-2672-4397-84EE-D9606E55AE95}"/>
    <hyperlink ref="E104" r:id="rId40" display="https://mmo.mn/olympiads/answers/192/?s=290" xr:uid="{DA63A16B-C41A-462A-8D60-A3CB28457CC2}"/>
    <hyperlink ref="E105" r:id="rId41" display="https://mmo.mn/olympiads/answers/192/?s=276" xr:uid="{C38BD79F-8B70-4270-A84C-8E04FAC3D7ED}"/>
    <hyperlink ref="E29" r:id="rId42" display="https://mmo.mn/olympiads/answers/192/?s=292" xr:uid="{AD20BB99-3BBF-42CC-AE8B-EF191B8866F2}"/>
    <hyperlink ref="E106" r:id="rId43" display="https://mmo.mn/olympiads/answers/192/?s=280" xr:uid="{8671E076-8723-4D1F-9221-D31428878D43}"/>
    <hyperlink ref="E57" r:id="rId44" display="https://mmo.mn/olympiads/answers/192/?s=276" xr:uid="{8E75EB2E-4733-4746-8250-08B678AD1C82}"/>
    <hyperlink ref="E25" r:id="rId45" display="https://mmo.mn/olympiads/answers/192/?s=292" xr:uid="{240F7F60-5FA2-4EB4-B015-6625D808D5A6}"/>
    <hyperlink ref="E34" r:id="rId46" display="https://mmo.mn/olympiads/answers/192/?s=299" xr:uid="{BF7C866F-5099-4F1D-B58D-93FFD49BF8F8}"/>
    <hyperlink ref="E108" r:id="rId47" display="https://mmo.mn/olympiads/answers/192/?s=296" xr:uid="{178FCFE7-6390-4AD4-897E-6A7CFAB4ED07}"/>
    <hyperlink ref="E58" r:id="rId48" display="https://mmo.mn/olympiads/answers/192/?s=276" xr:uid="{E8CC079C-DC8A-4DB3-A4DB-DEFB2DF9BCD1}"/>
    <hyperlink ref="E109" r:id="rId49" display="https://mmo.mn/olympiads/answers/192/?s=290" xr:uid="{DEF97C1B-AB20-44FE-B00F-D1CD035F7538}"/>
    <hyperlink ref="E110" r:id="rId50" display="https://mmo.mn/olympiads/answers/192/?s=301" xr:uid="{A5BC1FE1-CBD0-4CC3-94AC-D684DBEE3776}"/>
    <hyperlink ref="E111" r:id="rId51" display="https://mmo.mn/olympiads/answers/192/?s=284" xr:uid="{5DC2DC2C-C414-4CB5-BB25-C21357062700}"/>
    <hyperlink ref="E112" r:id="rId52" display="https://mmo.mn/olympiads/answers/192/?s=280" xr:uid="{1CC8B35E-AE8F-4A07-8F8B-2211E12DC19B}"/>
    <hyperlink ref="E44" r:id="rId53" display="https://mmo.mn/olympiads/answers/192/?s=292" xr:uid="{D6943378-225C-4612-B971-FDFB9B582BC2}"/>
    <hyperlink ref="E30" r:id="rId54" display="https://mmo.mn/olympiads/answers/192/?s=292" xr:uid="{52E13EA7-922B-485E-87EE-AE549437A825}"/>
    <hyperlink ref="E131" r:id="rId55" display="https://mmo.mn/olympiads/answers/192/?s=296" xr:uid="{13FD3701-07B2-482E-9D5D-DD540190EC7F}"/>
    <hyperlink ref="E130" r:id="rId56" display="https://mmo.mn/olympiads/answers/192/?s=276" xr:uid="{70DB6122-6E56-4842-AC2C-0472215AA546}"/>
    <hyperlink ref="E59" r:id="rId57" display="https://mmo.mn/olympiads/answers/192/?s=300" xr:uid="{C06F69FD-A7E2-480B-ADC3-F2DBEDF2BE62}"/>
    <hyperlink ref="E129" r:id="rId58" display="https://mmo.mn/olympiads/answers/192/?s=289" xr:uid="{0969D59D-0A4A-4728-ACF9-0CF619BA0CD4}"/>
    <hyperlink ref="E124" r:id="rId59" display="https://mmo.mn/olympiads/answers/192/?s=280" xr:uid="{88E3F4DC-A612-453A-97DE-1BE1474B282C}"/>
    <hyperlink ref="E37" r:id="rId60" display="https://mmo.mn/olympiads/answers/192/?s=292" xr:uid="{9F58ED05-F6A7-4835-84F4-8BFFFB6AE568}"/>
    <hyperlink ref="E133" r:id="rId61" display="https://mmo.mn/olympiads/answers/192/?s=280" xr:uid="{FFFC6450-B944-4438-87C4-0D6468FA1EEC}"/>
    <hyperlink ref="E51" r:id="rId62" display="https://mmo.mn/olympiads/answers/192/?s=292" xr:uid="{78C8C2BD-330C-4E70-9560-D7EBD41CD31F}"/>
    <hyperlink ref="E38" r:id="rId63" display="https://mmo.mn/olympiads/answers/192/?s=289" xr:uid="{A67978DA-203E-4A78-8D0E-E902BAFEA55F}"/>
    <hyperlink ref="E60" r:id="rId64" display="https://mmo.mn/olympiads/answers/192/?s=276" xr:uid="{5481AA75-5A70-4E0D-977A-3F971C798EB6}"/>
    <hyperlink ref="E28" r:id="rId65" display="https://mmo.mn/olympiads/answers/192/?s=292" xr:uid="{BB665A19-9E32-4959-9240-4B48C3BF2C1A}"/>
    <hyperlink ref="E142" r:id="rId66" display="https://mmo.mn/olympiads/answers/192/?s=299" xr:uid="{2D1CAD66-B30A-4DC0-9E2A-504B85A3EDC0}"/>
    <hyperlink ref="E141" r:id="rId67" display="https://mmo.mn/olympiads/answers/192/?s=276" xr:uid="{EC9D5907-7C3A-4A3E-AA40-08EE67E0CE45}"/>
    <hyperlink ref="E52" r:id="rId68" display="https://mmo.mn/olympiads/answers/192/?s=299" xr:uid="{BB90CAA2-F87C-4EDA-AA78-1174F1211618}"/>
    <hyperlink ref="E140" r:id="rId69" display="https://mmo.mn/olympiads/answers/192/?s=276" xr:uid="{EAC2E9DF-7C4F-42D5-AD50-EECF5DF84BF6}"/>
    <hyperlink ref="E61" r:id="rId70" display="https://mmo.mn/olympiads/answers/192/?s=299" xr:uid="{780716E4-D8E7-4C50-984C-A7DFBA9D3DE4}"/>
    <hyperlink ref="E27" r:id="rId71" display="https://mmo.mn/olympiads/answers/192/?s=292" xr:uid="{8D9B420B-34F9-4EBE-A8DC-353DA6B11044}"/>
    <hyperlink ref="E143" r:id="rId72" display="https://mmo.mn/olympiads/answers/192/?s=280" xr:uid="{DBEAE7B2-6A45-4DE2-AB01-350C7A33EA23}"/>
    <hyperlink ref="E62" r:id="rId73" display="https://mmo.mn/olympiads/answers/192/?s=292" xr:uid="{DD6F24A8-B0F5-45FA-A63D-404678EBDC94}"/>
    <hyperlink ref="E39" r:id="rId74" display="https://mmo.mn/olympiads/answers/192/?s=299" xr:uid="{833312CB-8D67-41B6-88B5-81AD3273C9DE}"/>
    <hyperlink ref="E148" r:id="rId75" display="https://mmo.mn/olympiads/answers/192/?s=280" xr:uid="{06501D9F-0B6A-4E71-AFCD-22B530718807}"/>
    <hyperlink ref="E149" r:id="rId76" display="https://mmo.mn/olympiads/answers/192/?s=289" xr:uid="{32D642E0-1C9A-48D7-A05A-77F1558E01CF}"/>
    <hyperlink ref="E150" r:id="rId77" display="https://mmo.mn/olympiads/answers/192/?s=277" xr:uid="{2686938C-E6A8-4E91-8472-7EA08AA4B30E}"/>
    <hyperlink ref="E151" r:id="rId78" display="https://mmo.mn/olympiads/answers/192/?s=290" xr:uid="{6BA16481-AB86-4D51-AE79-3C3F440C7F94}"/>
    <hyperlink ref="E63" r:id="rId79" display="https://mmo.mn/olympiads/answers/192/?s=292" xr:uid="{F254A820-A0AA-47D5-A880-7463B56C2720}"/>
    <hyperlink ref="E156" r:id="rId80" display="https://mmo.mn/olympiads/answers/192/?s=296" xr:uid="{38477765-23CD-49DD-A623-6ACC2E578D45}"/>
    <hyperlink ref="E40" r:id="rId81" display="https://mmo.mn/olympiads/answers/192/?s=296" xr:uid="{99379249-FC5D-472E-A132-BC51A8416FE9}"/>
    <hyperlink ref="E157" r:id="rId82" display="https://mmo.mn/olympiads/answers/192/?s=290" xr:uid="{21797399-3661-434D-AE3E-0343A804D9BE}"/>
    <hyperlink ref="E158" r:id="rId83" display="https://mmo.mn/olympiads/answers/192/?s=277" xr:uid="{CE49541B-5E97-40A9-BB26-9BAA1BC069F1}"/>
    <hyperlink ref="E166" r:id="rId84" display="https://mmo.mn/olympiads/answers/192/?s=292" xr:uid="{B690E5AD-C0E4-48F7-9E8B-38BA355A8B3E}"/>
    <hyperlink ref="E64" r:id="rId85" display="https://mmo.mn/olympiads/answers/192/?s=292" xr:uid="{D81BB7F5-24B6-4E22-A902-1F1517B65014}"/>
    <hyperlink ref="E171" r:id="rId86" display="https://mmo.mn/olympiads/answers/192/?s=291" xr:uid="{FAAF2BB1-5464-47C2-AD91-2B904DA6BCDA}"/>
    <hyperlink ref="E172" r:id="rId87" display="https://mmo.mn/olympiads/answers/192/?s=277" xr:uid="{A8843BDD-47C1-4E0F-ACC6-319DC4D0F34E}"/>
    <hyperlink ref="B8" r:id="rId88" display="https://mmo.mn/olympiads/achievements/215317/" xr:uid="{E9E9DC06-F1F6-4A36-8100-8C6E7F8DA1DA}"/>
    <hyperlink ref="B17" r:id="rId89" display="https://mmo.mn/olympiads/achievements/129844/" xr:uid="{D2939884-6D63-4FC0-83A7-494CEA22A1D1}"/>
    <hyperlink ref="B20" r:id="rId90" display="https://mmo.mn/olympiads/achievements/142213/" xr:uid="{1645CBE2-E061-4C55-98C4-4EEC21872980}"/>
    <hyperlink ref="B18" r:id="rId91" display="https://mmo.mn/olympiads/achievements/42128/" xr:uid="{186D6446-9A16-4A70-A81A-2F33CB8BC370}"/>
    <hyperlink ref="B13" r:id="rId92" display="https://mmo.mn/olympiads/achievements/141470/" xr:uid="{B301F72C-25E3-4976-9B63-BE8AF0144362}"/>
    <hyperlink ref="B11" r:id="rId93" display="https://mmo.mn/olympiads/achievements/113690/" xr:uid="{6CB59A40-9F41-4306-A979-BC071A3557A8}"/>
    <hyperlink ref="B10" r:id="rId94" display="https://mmo.mn/olympiads/achievements/213697/" xr:uid="{08542547-AADF-4030-A2AE-0545114A3F30}"/>
    <hyperlink ref="B21" r:id="rId95" display="https://mmo.mn/olympiads/achievements/86290/" xr:uid="{8446C53B-D2A8-4224-9EBA-2B8439DCD24A}"/>
    <hyperlink ref="B19" r:id="rId96" display="https://mmo.mn/olympiads/achievements/87975/" xr:uid="{239170A8-46AA-4490-8B29-E3CE090A7B7F}"/>
    <hyperlink ref="B16" r:id="rId97" display="https://mmo.mn/olympiads/achievements/55667/" xr:uid="{97A5D72E-D5DC-47FF-A3A4-D5D87FAB236D}"/>
    <hyperlink ref="B22" r:id="rId98" display="https://mmo.mn/olympiads/achievements/137631/" xr:uid="{74ABAC8C-FC20-47D4-AB4A-11C503FDDC37}"/>
    <hyperlink ref="B9" r:id="rId99" display="https://mmo.mn/olympiads/achievements/12470/" xr:uid="{5AAFA0F3-7E44-42FB-BF87-058AB8396455}"/>
    <hyperlink ref="B15" r:id="rId100" display="https://mmo.mn/olympiads/achievements/138580/" xr:uid="{E97A53E1-F797-44DE-8CF5-210FB5E62355}"/>
    <hyperlink ref="B23" r:id="rId101" display="https://mmo.mn/olympiads/achievements/198330/" xr:uid="{D6A5CE06-2E8B-448D-AADC-82D4EE07D7E2}"/>
    <hyperlink ref="B66" r:id="rId102" display="https://mmo.mn/olympiads/achievements/85720/" xr:uid="{09B7D9F9-13D0-420F-BCE8-3FA11E223CCF}"/>
    <hyperlink ref="B67" r:id="rId103" display="https://mmo.mn/olympiads/achievements/134913/" xr:uid="{9CAEDFA3-3FCD-4252-AE7D-B88870640EF8}"/>
    <hyperlink ref="B68" r:id="rId104" display="https://mmo.mn/olympiads/achievements/202298/" xr:uid="{36DA965A-DBBD-4694-BCF8-E9A5A343B327}"/>
    <hyperlink ref="B31" r:id="rId105" display="https://mmo.mn/olympiads/achievements/85480/" xr:uid="{C7248AB5-1E59-4729-B94A-4B44E1DC6ACC}"/>
    <hyperlink ref="B69" r:id="rId106" display="https://mmo.mn/olympiads/achievements/202308/" xr:uid="{1BB98A3B-C2C8-4120-A56F-CBB39253A7E7}"/>
    <hyperlink ref="B71" r:id="rId107" display="https://mmo.mn/olympiads/achievements/29870/" xr:uid="{847FB37D-F3CE-4889-9236-04E45965120B}"/>
    <hyperlink ref="B70" r:id="rId108" display="https://mmo.mn/olympiads/achievements/86572/" xr:uid="{31D0E754-4258-4415-960A-94A4E9389FED}"/>
    <hyperlink ref="B43" r:id="rId109" display="https://mmo.mn/olympiads/achievements/141382/" xr:uid="{06AE1C2E-458F-4130-8C7B-EB4FF4D28837}"/>
    <hyperlink ref="B72" r:id="rId110" display="https://mmo.mn/olympiads/achievements/224685/" xr:uid="{8451B67D-3F7A-426C-B8BC-A703329AFB9C}"/>
    <hyperlink ref="B75" r:id="rId111" display="https://mmo.mn/olympiads/achievements/133005/" xr:uid="{A407C6BA-8897-47AA-A2EC-68FAE4D806DB}"/>
    <hyperlink ref="B24" r:id="rId112" display="https://mmo.mn/olympiads/achievements/132931/" xr:uid="{849913DF-1F7E-4082-AA72-58D882562C56}"/>
    <hyperlink ref="B32" r:id="rId113" display="https://mmo.mn/olympiads/achievements/127893/" xr:uid="{92AEBAE9-8217-4759-88A0-376739398B4A}"/>
    <hyperlink ref="B50" r:id="rId114" display="https://www.mmo.mn/olympiads/achievements/129358/" xr:uid="{EBBD652E-D813-43BA-B811-DD036B3E4EFC}"/>
    <hyperlink ref="B87" r:id="rId115" display="https://mmo.mn/olympiads/achievements/112320/" xr:uid="{93A77884-9260-4A2D-90AB-8C491FE29031}"/>
    <hyperlink ref="B53" r:id="rId116" display="https://www.mmo.mn/olympiads/achievements/113693/" xr:uid="{10EBA3C9-7482-4A96-8EF9-47C024BF1679}"/>
    <hyperlink ref="B91" r:id="rId117" display="https://mmo.mn/olympiads/achievements/127911/" xr:uid="{74BC66DA-4AD7-4800-BAD0-69AB2FA5D349}"/>
    <hyperlink ref="B56" r:id="rId118" display="https://mmo.mn/olympiads/achievements/136678/" xr:uid="{59D3D45F-96A8-4BEE-BB25-12BFA779845B}"/>
    <hyperlink ref="B65" r:id="rId119" display="https://mmo.mn/olympiads/achievements/129471/" xr:uid="{6E757554-3C39-4528-A626-1A33EBED45FD}"/>
    <hyperlink ref="B99" r:id="rId120" display="https://mmo.mn/olympiads/achievements/163250/" xr:uid="{935DC0FA-7028-48A5-AFBE-CC24A30E1908}"/>
    <hyperlink ref="B100" r:id="rId121" display="https://mmo.mn/olympiads/achievements/220722/" xr:uid="{75A556BF-F608-45CF-AA0C-7FA80540BC6C}"/>
    <hyperlink ref="B101" r:id="rId122" display="https://mmo.mn/olympiads/achievements/221255/" xr:uid="{436A56C8-FA06-493E-956E-D39AC991D248}"/>
    <hyperlink ref="B102" r:id="rId123" display="https://mmo.mn/olympiads/achievements/224248/" xr:uid="{A59E4C53-8C8C-449D-AF9E-52A8EB80EF5E}"/>
    <hyperlink ref="B103" r:id="rId124" display="https://mmo.mn/olympiads/achievements/209337/" xr:uid="{E5D39CE5-DABB-41B3-89EC-144AA4A87DAC}"/>
    <hyperlink ref="B49" r:id="rId125" display="https://mmo.mn/olympiads/achievements/72604/" xr:uid="{6F4FB54E-44FD-4410-9AEE-9F9612AD79C9}"/>
    <hyperlink ref="B104" r:id="rId126" display="https://mmo.mn/olympiads/achievements/215654/" xr:uid="{6597C805-144E-4F88-9C7A-C98EF7989148}"/>
    <hyperlink ref="B105" r:id="rId127" display="https://mmo.mn/olympiads/achievements/203746/" xr:uid="{100BE11A-E77E-41F6-98F3-2DC64E1442C6}"/>
    <hyperlink ref="B29" r:id="rId128" display="https://mmo.mn/olympiads/achievements/12937/" xr:uid="{03DC3AC0-420B-4BCD-8D8B-E979EE860787}"/>
    <hyperlink ref="B106" r:id="rId129" display="https://mmo.mn/olympiads/achievements/210663/" xr:uid="{C4306724-4D34-4317-AE17-8DAE43107E87}"/>
    <hyperlink ref="B57" r:id="rId130" display="https://mmo.mn/olympiads/achievements/202280/" xr:uid="{8BC5083C-094A-491B-A850-E4CCCBD78982}"/>
    <hyperlink ref="B25" r:id="rId131" display="https://mmo.mn/olympiads/achievements/36798/" xr:uid="{C981AB9D-7EB3-485F-9A93-BC1C91640C7A}"/>
    <hyperlink ref="B34" r:id="rId132" display="https://mmo.mn/olympiads/achievements/86682/" xr:uid="{03B72C12-0467-4767-BEDB-46FA87316DB7}"/>
    <hyperlink ref="B108" r:id="rId133" display="https://mmo.mn/olympiads/achievements/166834/" xr:uid="{CE955D2C-3F44-4E41-91F0-E2302446BFFC}"/>
    <hyperlink ref="B58" r:id="rId134" display="https://mmo.mn/olympiads/achievements/202257/" xr:uid="{757D4925-4E85-48AC-84FF-74C957F29A02}"/>
    <hyperlink ref="B109" r:id="rId135" display="https://mmo.mn/olympiads/achievements/215643/" xr:uid="{67D8D22A-8617-4A8A-928F-6026EE4A1E29}"/>
    <hyperlink ref="B110" r:id="rId136" display="https://mmo.mn/olympiads/achievements/107099/" xr:uid="{AD4BC60B-28BE-4F7D-A603-33D1BB6E75ED}"/>
    <hyperlink ref="B111" r:id="rId137" display="https://mmo.mn/olympiads/achievements/224676/" xr:uid="{F5B00A7C-64E8-4CC1-AC93-A7751B814979}"/>
    <hyperlink ref="B112" r:id="rId138" display="https://mmo.mn/olympiads/achievements/85729/" xr:uid="{28CA8EF7-223F-47A4-AF4E-D4CCA5B78E55}"/>
    <hyperlink ref="B44" r:id="rId139" display="https://mmo.mn/olympiads/achievements/141786/" xr:uid="{09F5B1E9-F914-448E-927E-35D946E8CF09}"/>
    <hyperlink ref="B30" r:id="rId140" display="https://mmo.mn/olympiads/achievements/28631/" xr:uid="{BB3F0057-D049-4A88-BAFC-AFFA151C8868}"/>
    <hyperlink ref="B124" r:id="rId141" display="https://mmo.mn/olympiads/achievements/210852/" xr:uid="{AB3C4559-5D00-4D92-BD12-03714A9E327A}"/>
    <hyperlink ref="B129" r:id="rId142" display="https://mmo.mn/olympiads/achievements/136753/" xr:uid="{38952EF5-4F60-4633-BCCC-6513628D55DB}"/>
    <hyperlink ref="B59" r:id="rId143" display="https://mmo.mn/olympiads/achievements/191443/" xr:uid="{78F91597-E991-4969-BBCC-8E2EB2951195}"/>
    <hyperlink ref="B130" r:id="rId144" display="https://mmo.mn/olympiads/achievements/202385/" xr:uid="{99F51C57-9959-4671-913C-B92106051EA4}"/>
    <hyperlink ref="B131" r:id="rId145" display="https://mmo.mn/olympiads/achievements/66518/" xr:uid="{BFA91A54-A5F9-4268-9EE8-63EE83C015E5}"/>
    <hyperlink ref="B37" r:id="rId146" display="https://mmo.mn/olympiads/achievements/25927/" xr:uid="{F7B79C93-8E61-42D4-9E49-943BC824F82B}"/>
    <hyperlink ref="B133" r:id="rId147" display="https://mmo.mn/olympiads/achievements/85713/" xr:uid="{D29890BD-036C-4778-A360-FF4F0814C4AB}"/>
    <hyperlink ref="B51" r:id="rId148" display="https://mmo.mn/olympiads/achievements/213702/" xr:uid="{01B6F86D-821E-4282-AC17-6F80FD7CA947}"/>
    <hyperlink ref="B38" r:id="rId149" display="https://mmo.mn/olympiads/achievements/136714/" xr:uid="{EECC4660-4CF0-4988-B1B6-0E5840739B15}"/>
    <hyperlink ref="B60" r:id="rId150" display="https://mmo.mn/olympiads/achievements/202343/" xr:uid="{7BFF780F-AA12-41E4-83A9-6EDF3F2DA0DA}"/>
    <hyperlink ref="B28" r:id="rId151" display="https://mmo.mn/olympiads/achievements/113490/" xr:uid="{60ABD7F8-FC61-4B97-BAB5-2069723243D0}"/>
    <hyperlink ref="B142" r:id="rId152" display="https://mmo.mn/olympiads/achievements/87992/" xr:uid="{46002C04-F7E6-4A0B-85E3-D85ADEDDF918}"/>
    <hyperlink ref="B141" r:id="rId153" display="https://mmo.mn/olympiads/achievements/209358/" xr:uid="{DEC30740-632A-4288-87A0-AA0A82F22FDF}"/>
    <hyperlink ref="B52" r:id="rId154" display="https://mmo.mn/olympiads/achievements/86860/" xr:uid="{9246921E-0919-44F3-889B-F6C3CEF46B9B}"/>
    <hyperlink ref="B140" r:id="rId155" display="https://mmo.mn/olympiads/achievements/202270/" xr:uid="{3E4AEB75-1EBA-4E3A-9D5C-1118DF479D3B}"/>
    <hyperlink ref="B61" r:id="rId156" display="https://mmo.mn/olympiads/achievements/86842/" xr:uid="{2B7CF652-DB7D-425C-82B5-3B80C12E46E7}"/>
    <hyperlink ref="B27" r:id="rId157" display="https://mmo.mn/olympiads/achievements/36295/" xr:uid="{2B984A8B-D395-4BB4-BAAC-4BE2A2EF119F}"/>
    <hyperlink ref="B143" r:id="rId158" display="https://mmo.mn/olympiads/achievements/210696/" xr:uid="{9ABA8F9C-C080-41F2-A45D-FCCAC56FCCA0}"/>
    <hyperlink ref="B62" r:id="rId159" display="https://mmo.mn/olympiads/achievements/133026/" xr:uid="{D3F39880-A56D-4D2B-999A-9AD31B37A93F}"/>
    <hyperlink ref="B39" r:id="rId160" display="https://mmo.mn/olympiads/achievements/127618/" xr:uid="{C2790388-61CE-4E7E-BF33-EE3DEB0BEA69}"/>
    <hyperlink ref="B148" r:id="rId161" display="https://mmo.mn/olympiads/achievements/68917/" xr:uid="{D5EE0266-6D2F-4E9D-89C1-46DB3A4E8929}"/>
    <hyperlink ref="B149" r:id="rId162" display="https://mmo.mn/olympiads/achievements/221261/" xr:uid="{18ABF53A-624A-49C3-BEA4-B816E94DECC7}"/>
    <hyperlink ref="B150" r:id="rId163" display="https://mmo.mn/olympiads/achievements/163661/" xr:uid="{F17DAE26-5412-4D79-A0CD-21DE722C0EC3}"/>
    <hyperlink ref="B151" r:id="rId164" display="https://mmo.mn/olympiads/achievements/218442/" xr:uid="{D2B71EFA-44E4-46A6-ACDE-8094D7293004}"/>
    <hyperlink ref="B63" r:id="rId165" display="https://mmo.mn/olympiads/achievements/158007/" xr:uid="{831E7095-85A5-42BC-84D8-1EC34E62DCD3}"/>
    <hyperlink ref="B156" r:id="rId166" display="https://mmo.mn/olympiads/achievements/85481/" xr:uid="{5B8BF391-FA4C-49AD-8ED6-FB307FA19C2E}"/>
    <hyperlink ref="B40" r:id="rId167" display="https://mmo.mn/olympiads/achievements/85493/" xr:uid="{EA25F513-3D3F-4FBF-896A-166B9EF62785}"/>
    <hyperlink ref="B157" r:id="rId168" display="https://mmo.mn/olympiads/achievements/215666/" xr:uid="{E452A18A-6728-41BB-96FD-8A2B1776EBD3}"/>
    <hyperlink ref="B158" r:id="rId169" display="https://mmo.mn/olympiads/achievements/170109/" xr:uid="{41811555-0DC5-47A4-90C2-073700CF6705}"/>
    <hyperlink ref="B166" r:id="rId170" display="https://mmo.mn/olympiads/achievements/136161/" xr:uid="{95ADA9E6-5C0E-41E2-B638-E4CB09FE0888}"/>
    <hyperlink ref="B64" r:id="rId171" display="https://mmo.mn/olympiads/achievements/133068/" xr:uid="{116B75EF-EDAD-4C55-A893-B261E9D73022}"/>
    <hyperlink ref="B171" r:id="rId172" display="https://mmo.mn/olympiads/achievements/132707/" xr:uid="{CD07DD86-6E9A-4C3C-9936-50A3B9F282A5}"/>
    <hyperlink ref="B172" r:id="rId173" display="https://mmo.mn/olympiads/achievements/219337/" xr:uid="{F60E6B54-C16E-45ED-8E80-3AB7CB8AA255}"/>
  </hyperlinks>
  <pageMargins left="0.39370078740157483" right="0.39370078740157483" top="0.74803149606299213" bottom="0.74803149606299213" header="0.31496062992125984" footer="0.31496062992125984"/>
  <pageSetup paperSize="9" scale="89" orientation="portrait" horizontalDpi="360" verticalDpi="360" r:id="rId17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53F3-BF0A-4FBE-AD7A-ED5E33E0F7B0}">
  <sheetPr>
    <tabColor theme="9"/>
  </sheetPr>
  <dimension ref="A1:N146"/>
  <sheetViews>
    <sheetView view="pageBreakPreview" zoomScale="60" zoomScaleNormal="100" workbookViewId="0">
      <selection activeCell="R141" sqref="R141"/>
    </sheetView>
  </sheetViews>
  <sheetFormatPr defaultColWidth="9.1796875" defaultRowHeight="14" x14ac:dyDescent="0.3"/>
  <cols>
    <col min="1" max="1" width="5.26953125" style="27" customWidth="1"/>
    <col min="2" max="2" width="7.26953125" style="27" customWidth="1"/>
    <col min="3" max="3" width="15.54296875" style="27" customWidth="1"/>
    <col min="4" max="4" width="15.36328125" style="27" customWidth="1"/>
    <col min="5" max="5" width="17.08984375" style="27" customWidth="1"/>
    <col min="6" max="12" width="4.08984375" style="27" customWidth="1"/>
    <col min="13" max="13" width="6.453125" style="27" customWidth="1"/>
    <col min="14" max="14" width="7.54296875" style="27" customWidth="1"/>
    <col min="15" max="16384" width="9.1796875" style="27"/>
  </cols>
  <sheetData>
    <row r="1" spans="1:14" ht="45.5" customHeight="1" x14ac:dyDescent="0.3">
      <c r="A1" s="164" t="s">
        <v>596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</row>
    <row r="2" spans="1:14" ht="15.5" x14ac:dyDescent="0.3">
      <c r="K2" s="28" t="s">
        <v>597</v>
      </c>
    </row>
    <row r="3" spans="1:14" ht="18.649999999999999" customHeight="1" x14ac:dyDescent="0.3">
      <c r="A3" s="158" t="s">
        <v>2</v>
      </c>
      <c r="B3" s="158" t="s">
        <v>3</v>
      </c>
      <c r="C3" s="158" t="s">
        <v>4</v>
      </c>
      <c r="D3" s="158" t="s">
        <v>5</v>
      </c>
      <c r="E3" s="158" t="s">
        <v>6</v>
      </c>
      <c r="F3" s="165" t="s">
        <v>7</v>
      </c>
      <c r="G3" s="168" t="s">
        <v>8</v>
      </c>
      <c r="H3" s="169"/>
      <c r="I3" s="169"/>
      <c r="J3" s="169"/>
      <c r="K3" s="169"/>
      <c r="L3" s="169"/>
      <c r="M3" s="170" t="s">
        <v>9</v>
      </c>
      <c r="N3" s="170" t="s">
        <v>374</v>
      </c>
    </row>
    <row r="4" spans="1:14" ht="18.649999999999999" customHeight="1" x14ac:dyDescent="0.3">
      <c r="A4" s="158"/>
      <c r="B4" s="158"/>
      <c r="C4" s="158"/>
      <c r="D4" s="158"/>
      <c r="E4" s="158"/>
      <c r="F4" s="166"/>
      <c r="G4" s="159">
        <v>12.13</v>
      </c>
      <c r="H4" s="159"/>
      <c r="I4" s="159"/>
      <c r="J4" s="159">
        <v>12.14</v>
      </c>
      <c r="K4" s="159"/>
      <c r="L4" s="159"/>
      <c r="M4" s="171"/>
      <c r="N4" s="171"/>
    </row>
    <row r="5" spans="1:14" s="6" customFormat="1" ht="17.5" x14ac:dyDescent="0.35">
      <c r="A5" s="158"/>
      <c r="B5" s="158"/>
      <c r="C5" s="158"/>
      <c r="D5" s="158"/>
      <c r="E5" s="158"/>
      <c r="F5" s="167"/>
      <c r="G5" s="29">
        <v>1</v>
      </c>
      <c r="H5" s="29">
        <v>2</v>
      </c>
      <c r="I5" s="29">
        <v>3</v>
      </c>
      <c r="J5" s="29">
        <v>1</v>
      </c>
      <c r="K5" s="30">
        <v>2</v>
      </c>
      <c r="L5" s="30">
        <v>3</v>
      </c>
      <c r="M5" s="172"/>
      <c r="N5" s="172"/>
    </row>
    <row r="6" spans="1:14" s="6" customFormat="1" ht="15.5" customHeight="1" x14ac:dyDescent="0.35">
      <c r="A6" s="33">
        <v>1</v>
      </c>
      <c r="B6" s="36">
        <v>41969</v>
      </c>
      <c r="C6" s="61" t="s">
        <v>29</v>
      </c>
      <c r="D6" s="61" t="s">
        <v>385</v>
      </c>
      <c r="E6" s="61" t="s">
        <v>12</v>
      </c>
      <c r="F6" s="61">
        <v>9</v>
      </c>
      <c r="G6" s="62">
        <v>7</v>
      </c>
      <c r="H6" s="62">
        <v>7</v>
      </c>
      <c r="I6" s="62">
        <v>7</v>
      </c>
      <c r="J6" s="34">
        <v>7</v>
      </c>
      <c r="K6" s="34">
        <v>1</v>
      </c>
      <c r="L6" s="34">
        <v>7</v>
      </c>
      <c r="M6" s="34">
        <f t="shared" ref="M6" si="0">SUM(G6:L6)</f>
        <v>36</v>
      </c>
      <c r="N6" s="162" t="s">
        <v>375</v>
      </c>
    </row>
    <row r="7" spans="1:14" s="6" customFormat="1" ht="15.5" x14ac:dyDescent="0.35">
      <c r="A7" s="33">
        <v>2</v>
      </c>
      <c r="B7" s="33">
        <v>12534</v>
      </c>
      <c r="C7" s="61" t="s">
        <v>592</v>
      </c>
      <c r="D7" s="61" t="s">
        <v>598</v>
      </c>
      <c r="E7" s="61" t="s">
        <v>35</v>
      </c>
      <c r="F7" s="61">
        <v>10</v>
      </c>
      <c r="G7" s="61">
        <v>7</v>
      </c>
      <c r="H7" s="61">
        <v>7</v>
      </c>
      <c r="I7" s="61">
        <v>7</v>
      </c>
      <c r="J7" s="34">
        <v>6</v>
      </c>
      <c r="K7" s="34">
        <v>7</v>
      </c>
      <c r="L7" s="34">
        <v>0</v>
      </c>
      <c r="M7" s="34">
        <f t="shared" ref="M7:M70" si="1">SUM(G7:L7)</f>
        <v>34</v>
      </c>
      <c r="N7" s="163"/>
    </row>
    <row r="8" spans="1:14" s="6" customFormat="1" ht="15.5" x14ac:dyDescent="0.35">
      <c r="A8" s="33">
        <v>3</v>
      </c>
      <c r="B8" s="63">
        <v>197278</v>
      </c>
      <c r="C8" s="61" t="s">
        <v>187</v>
      </c>
      <c r="D8" s="61" t="s">
        <v>156</v>
      </c>
      <c r="E8" s="61" t="s">
        <v>35</v>
      </c>
      <c r="F8" s="61">
        <v>9</v>
      </c>
      <c r="G8" s="64">
        <v>7</v>
      </c>
      <c r="H8" s="64">
        <v>7</v>
      </c>
      <c r="I8" s="64">
        <v>6</v>
      </c>
      <c r="J8" s="34">
        <v>1</v>
      </c>
      <c r="K8" s="34">
        <v>0</v>
      </c>
      <c r="L8" s="34">
        <v>5</v>
      </c>
      <c r="M8" s="34">
        <f t="shared" si="1"/>
        <v>26</v>
      </c>
      <c r="N8" s="163"/>
    </row>
    <row r="9" spans="1:14" s="6" customFormat="1" ht="15.5" x14ac:dyDescent="0.35">
      <c r="A9" s="33">
        <v>4</v>
      </c>
      <c r="B9" s="61">
        <v>23955</v>
      </c>
      <c r="C9" s="61" t="s">
        <v>599</v>
      </c>
      <c r="D9" s="61" t="s">
        <v>600</v>
      </c>
      <c r="E9" s="61" t="s">
        <v>35</v>
      </c>
      <c r="F9" s="61">
        <v>9</v>
      </c>
      <c r="G9" s="61">
        <v>7</v>
      </c>
      <c r="H9" s="61">
        <v>7</v>
      </c>
      <c r="I9" s="61">
        <v>0</v>
      </c>
      <c r="J9" s="37">
        <v>1</v>
      </c>
      <c r="K9" s="34">
        <v>2</v>
      </c>
      <c r="L9" s="34">
        <v>2</v>
      </c>
      <c r="M9" s="34">
        <f t="shared" si="1"/>
        <v>19</v>
      </c>
      <c r="N9" s="163"/>
    </row>
    <row r="10" spans="1:14" s="6" customFormat="1" ht="15.5" x14ac:dyDescent="0.35">
      <c r="A10" s="33">
        <v>5</v>
      </c>
      <c r="B10" s="33">
        <v>210472</v>
      </c>
      <c r="C10" s="61" t="s">
        <v>51</v>
      </c>
      <c r="D10" s="61" t="s">
        <v>291</v>
      </c>
      <c r="E10" s="61" t="s">
        <v>601</v>
      </c>
      <c r="F10" s="61">
        <v>10</v>
      </c>
      <c r="G10" s="61">
        <v>7</v>
      </c>
      <c r="H10" s="61">
        <v>6</v>
      </c>
      <c r="I10" s="61">
        <v>0</v>
      </c>
      <c r="J10" s="34">
        <v>6</v>
      </c>
      <c r="K10" s="34">
        <v>0</v>
      </c>
      <c r="L10" s="34">
        <v>0</v>
      </c>
      <c r="M10" s="34">
        <f t="shared" si="1"/>
        <v>19</v>
      </c>
      <c r="N10" s="163"/>
    </row>
    <row r="11" spans="1:14" s="6" customFormat="1" ht="15.5" x14ac:dyDescent="0.35">
      <c r="A11" s="33">
        <v>6</v>
      </c>
      <c r="B11" s="61">
        <v>127675</v>
      </c>
      <c r="C11" s="61" t="s">
        <v>602</v>
      </c>
      <c r="D11" s="61" t="s">
        <v>16</v>
      </c>
      <c r="E11" s="61" t="s">
        <v>259</v>
      </c>
      <c r="F11" s="61">
        <v>10</v>
      </c>
      <c r="G11" s="61">
        <v>7</v>
      </c>
      <c r="H11" s="61">
        <v>2</v>
      </c>
      <c r="I11" s="61">
        <v>0</v>
      </c>
      <c r="J11" s="34">
        <v>7</v>
      </c>
      <c r="K11" s="34">
        <v>2</v>
      </c>
      <c r="L11" s="34">
        <v>0</v>
      </c>
      <c r="M11" s="34">
        <f t="shared" si="1"/>
        <v>18</v>
      </c>
      <c r="N11" s="163"/>
    </row>
    <row r="12" spans="1:14" s="6" customFormat="1" ht="15.5" x14ac:dyDescent="0.35">
      <c r="A12" s="33">
        <v>7</v>
      </c>
      <c r="B12" s="61">
        <v>71665</v>
      </c>
      <c r="C12" s="61" t="s">
        <v>603</v>
      </c>
      <c r="D12" s="61" t="s">
        <v>604</v>
      </c>
      <c r="E12" s="61" t="s">
        <v>35</v>
      </c>
      <c r="F12" s="65">
        <v>9</v>
      </c>
      <c r="G12" s="65">
        <v>7</v>
      </c>
      <c r="H12" s="65">
        <v>7</v>
      </c>
      <c r="I12" s="65">
        <v>0</v>
      </c>
      <c r="J12" s="34">
        <v>1</v>
      </c>
      <c r="K12" s="34">
        <v>0</v>
      </c>
      <c r="L12" s="34">
        <v>2</v>
      </c>
      <c r="M12" s="34">
        <f t="shared" si="1"/>
        <v>17</v>
      </c>
      <c r="N12" s="163"/>
    </row>
    <row r="13" spans="1:14" s="6" customFormat="1" ht="15.5" x14ac:dyDescent="0.35">
      <c r="A13" s="33">
        <v>8</v>
      </c>
      <c r="B13" s="33">
        <v>20464</v>
      </c>
      <c r="C13" s="61" t="s">
        <v>386</v>
      </c>
      <c r="D13" s="61" t="s">
        <v>594</v>
      </c>
      <c r="E13" s="61" t="s">
        <v>12</v>
      </c>
      <c r="F13" s="61">
        <v>9</v>
      </c>
      <c r="G13" s="64">
        <v>7</v>
      </c>
      <c r="H13" s="64">
        <v>7</v>
      </c>
      <c r="I13" s="64">
        <v>0</v>
      </c>
      <c r="J13" s="34">
        <v>1</v>
      </c>
      <c r="K13" s="34">
        <v>1</v>
      </c>
      <c r="L13" s="34">
        <v>0</v>
      </c>
      <c r="M13" s="34">
        <f t="shared" si="1"/>
        <v>16</v>
      </c>
      <c r="N13" s="163"/>
    </row>
    <row r="14" spans="1:14" s="6" customFormat="1" ht="15.5" x14ac:dyDescent="0.35">
      <c r="A14" s="33">
        <v>9</v>
      </c>
      <c r="B14" s="61">
        <v>116199</v>
      </c>
      <c r="C14" s="61" t="s">
        <v>161</v>
      </c>
      <c r="D14" s="61" t="s">
        <v>605</v>
      </c>
      <c r="E14" s="61" t="s">
        <v>35</v>
      </c>
      <c r="F14" s="61">
        <v>9</v>
      </c>
      <c r="G14" s="61">
        <v>7</v>
      </c>
      <c r="H14" s="61">
        <v>7</v>
      </c>
      <c r="I14" s="61">
        <v>0</v>
      </c>
      <c r="J14" s="34">
        <v>1</v>
      </c>
      <c r="K14" s="34">
        <v>0</v>
      </c>
      <c r="L14" s="34">
        <v>0</v>
      </c>
      <c r="M14" s="34">
        <f t="shared" si="1"/>
        <v>15</v>
      </c>
      <c r="N14" s="163"/>
    </row>
    <row r="15" spans="1:14" s="6" customFormat="1" ht="15.5" x14ac:dyDescent="0.35">
      <c r="A15" s="33">
        <v>10</v>
      </c>
      <c r="B15" s="33">
        <v>103406</v>
      </c>
      <c r="C15" s="61" t="s">
        <v>391</v>
      </c>
      <c r="D15" s="61" t="s">
        <v>205</v>
      </c>
      <c r="E15" s="61" t="s">
        <v>26</v>
      </c>
      <c r="F15" s="61">
        <v>10</v>
      </c>
      <c r="G15" s="20">
        <v>7</v>
      </c>
      <c r="H15" s="20">
        <v>2</v>
      </c>
      <c r="I15" s="20">
        <v>0</v>
      </c>
      <c r="J15" s="34">
        <v>6</v>
      </c>
      <c r="K15" s="34">
        <v>0</v>
      </c>
      <c r="L15" s="34">
        <v>0</v>
      </c>
      <c r="M15" s="34">
        <f t="shared" si="1"/>
        <v>15</v>
      </c>
      <c r="N15" s="163"/>
    </row>
    <row r="16" spans="1:14" s="6" customFormat="1" ht="15.5" x14ac:dyDescent="0.35">
      <c r="A16" s="33">
        <v>11</v>
      </c>
      <c r="B16" s="61">
        <v>72126</v>
      </c>
      <c r="C16" s="61" t="s">
        <v>606</v>
      </c>
      <c r="D16" s="61" t="s">
        <v>607</v>
      </c>
      <c r="E16" s="61" t="s">
        <v>35</v>
      </c>
      <c r="F16" s="61">
        <v>9</v>
      </c>
      <c r="G16" s="61">
        <v>7</v>
      </c>
      <c r="H16" s="61">
        <v>7</v>
      </c>
      <c r="I16" s="61">
        <v>0</v>
      </c>
      <c r="J16" s="34">
        <v>0</v>
      </c>
      <c r="K16" s="34">
        <v>0</v>
      </c>
      <c r="L16" s="34">
        <v>0</v>
      </c>
      <c r="M16" s="34">
        <f t="shared" si="1"/>
        <v>14</v>
      </c>
      <c r="N16" s="163"/>
    </row>
    <row r="17" spans="1:14" s="6" customFormat="1" ht="15.5" x14ac:dyDescent="0.35">
      <c r="A17" s="33">
        <v>12</v>
      </c>
      <c r="B17" s="33">
        <v>84236</v>
      </c>
      <c r="C17" s="66" t="s">
        <v>359</v>
      </c>
      <c r="D17" s="66" t="s">
        <v>608</v>
      </c>
      <c r="E17" s="67" t="s">
        <v>143</v>
      </c>
      <c r="F17" s="67">
        <v>10</v>
      </c>
      <c r="G17" s="61">
        <v>7</v>
      </c>
      <c r="H17" s="61">
        <v>2</v>
      </c>
      <c r="I17" s="61">
        <v>0</v>
      </c>
      <c r="J17" s="34">
        <v>5</v>
      </c>
      <c r="K17" s="34">
        <v>0</v>
      </c>
      <c r="L17" s="34">
        <v>0</v>
      </c>
      <c r="M17" s="34">
        <f t="shared" si="1"/>
        <v>14</v>
      </c>
      <c r="N17" s="163"/>
    </row>
    <row r="18" spans="1:14" s="6" customFormat="1" ht="15.5" x14ac:dyDescent="0.35">
      <c r="A18" s="33">
        <v>13</v>
      </c>
      <c r="B18" s="33">
        <v>193869</v>
      </c>
      <c r="C18" s="61" t="s">
        <v>609</v>
      </c>
      <c r="D18" s="61" t="s">
        <v>610</v>
      </c>
      <c r="E18" s="61" t="s">
        <v>611</v>
      </c>
      <c r="F18" s="61">
        <v>9</v>
      </c>
      <c r="G18" s="61">
        <v>7</v>
      </c>
      <c r="H18" s="61">
        <v>0</v>
      </c>
      <c r="I18" s="61">
        <v>0</v>
      </c>
      <c r="J18" s="34">
        <v>6</v>
      </c>
      <c r="K18" s="34">
        <v>0</v>
      </c>
      <c r="L18" s="34">
        <v>0</v>
      </c>
      <c r="M18" s="34">
        <f t="shared" si="1"/>
        <v>13</v>
      </c>
      <c r="N18" s="163"/>
    </row>
    <row r="19" spans="1:14" s="6" customFormat="1" ht="15.5" x14ac:dyDescent="0.35">
      <c r="A19" s="33">
        <v>14</v>
      </c>
      <c r="B19" s="33">
        <v>137519</v>
      </c>
      <c r="C19" s="61" t="s">
        <v>60</v>
      </c>
      <c r="D19" s="61" t="s">
        <v>612</v>
      </c>
      <c r="E19" s="61" t="s">
        <v>26</v>
      </c>
      <c r="F19" s="61">
        <v>10</v>
      </c>
      <c r="G19" s="61">
        <v>3</v>
      </c>
      <c r="H19" s="61">
        <v>2</v>
      </c>
      <c r="I19" s="61">
        <v>0</v>
      </c>
      <c r="J19" s="34">
        <v>4</v>
      </c>
      <c r="K19" s="34">
        <v>2</v>
      </c>
      <c r="L19" s="34">
        <v>2</v>
      </c>
      <c r="M19" s="34">
        <f t="shared" si="1"/>
        <v>13</v>
      </c>
      <c r="N19" s="163"/>
    </row>
    <row r="20" spans="1:14" s="6" customFormat="1" ht="15.5" x14ac:dyDescent="0.35">
      <c r="A20" s="33">
        <v>15</v>
      </c>
      <c r="B20" s="61">
        <v>202284</v>
      </c>
      <c r="C20" s="61" t="s">
        <v>613</v>
      </c>
      <c r="D20" s="61" t="s">
        <v>184</v>
      </c>
      <c r="E20" s="61" t="s">
        <v>70</v>
      </c>
      <c r="F20" s="61">
        <v>9</v>
      </c>
      <c r="G20" s="61">
        <v>7</v>
      </c>
      <c r="H20" s="61">
        <v>2</v>
      </c>
      <c r="I20" s="61">
        <v>0</v>
      </c>
      <c r="J20" s="34">
        <v>1</v>
      </c>
      <c r="K20" s="34">
        <v>2</v>
      </c>
      <c r="L20" s="34">
        <v>0</v>
      </c>
      <c r="M20" s="34">
        <f t="shared" si="1"/>
        <v>12</v>
      </c>
      <c r="N20" s="163"/>
    </row>
    <row r="21" spans="1:14" s="6" customFormat="1" ht="17.5" customHeight="1" x14ac:dyDescent="0.35">
      <c r="A21" s="33">
        <v>16</v>
      </c>
      <c r="B21" s="33">
        <v>20459</v>
      </c>
      <c r="C21" s="61" t="s">
        <v>614</v>
      </c>
      <c r="D21" s="61" t="s">
        <v>615</v>
      </c>
      <c r="E21" s="61" t="s">
        <v>12</v>
      </c>
      <c r="F21" s="61">
        <v>9</v>
      </c>
      <c r="G21" s="20">
        <v>7</v>
      </c>
      <c r="H21" s="20">
        <v>2</v>
      </c>
      <c r="I21" s="20">
        <v>0</v>
      </c>
      <c r="J21" s="34">
        <v>2</v>
      </c>
      <c r="K21" s="34">
        <v>1</v>
      </c>
      <c r="L21" s="34">
        <v>0</v>
      </c>
      <c r="M21" s="34">
        <f t="shared" si="1"/>
        <v>12</v>
      </c>
      <c r="N21" s="163"/>
    </row>
    <row r="22" spans="1:14" s="6" customFormat="1" ht="15.5" x14ac:dyDescent="0.35">
      <c r="A22" s="46">
        <v>17</v>
      </c>
      <c r="B22" s="68">
        <v>20460</v>
      </c>
      <c r="C22" s="68" t="s">
        <v>540</v>
      </c>
      <c r="D22" s="68" t="s">
        <v>616</v>
      </c>
      <c r="E22" s="68" t="s">
        <v>12</v>
      </c>
      <c r="F22" s="68">
        <v>9</v>
      </c>
      <c r="G22" s="68">
        <v>7</v>
      </c>
      <c r="H22" s="68">
        <v>3</v>
      </c>
      <c r="I22" s="68">
        <v>0</v>
      </c>
      <c r="J22" s="47">
        <v>1</v>
      </c>
      <c r="K22" s="47">
        <v>0</v>
      </c>
      <c r="L22" s="47">
        <v>0</v>
      </c>
      <c r="M22" s="47">
        <f t="shared" si="1"/>
        <v>11</v>
      </c>
      <c r="N22" s="69"/>
    </row>
    <row r="23" spans="1:14" s="6" customFormat="1" ht="15.5" x14ac:dyDescent="0.35">
      <c r="A23" s="46">
        <v>18</v>
      </c>
      <c r="B23" s="46">
        <v>118653</v>
      </c>
      <c r="C23" s="68" t="s">
        <v>617</v>
      </c>
      <c r="D23" s="68" t="s">
        <v>403</v>
      </c>
      <c r="E23" s="68" t="s">
        <v>26</v>
      </c>
      <c r="F23" s="68">
        <v>9</v>
      </c>
      <c r="G23" s="68">
        <v>7</v>
      </c>
      <c r="H23" s="68">
        <v>2</v>
      </c>
      <c r="I23" s="68">
        <v>0</v>
      </c>
      <c r="J23" s="47">
        <v>2</v>
      </c>
      <c r="K23" s="47">
        <v>0</v>
      </c>
      <c r="L23" s="47">
        <v>0</v>
      </c>
      <c r="M23" s="47">
        <f t="shared" si="1"/>
        <v>11</v>
      </c>
      <c r="N23" s="69"/>
    </row>
    <row r="24" spans="1:14" s="6" customFormat="1" ht="15.5" x14ac:dyDescent="0.35">
      <c r="A24" s="46">
        <v>19</v>
      </c>
      <c r="B24" s="46">
        <v>163190</v>
      </c>
      <c r="C24" s="68" t="s">
        <v>618</v>
      </c>
      <c r="D24" s="68" t="s">
        <v>619</v>
      </c>
      <c r="E24" s="68" t="s">
        <v>620</v>
      </c>
      <c r="F24" s="68">
        <v>10</v>
      </c>
      <c r="G24" s="68">
        <v>7</v>
      </c>
      <c r="H24" s="68">
        <v>2</v>
      </c>
      <c r="I24" s="68">
        <v>0</v>
      </c>
      <c r="J24" s="47">
        <v>2</v>
      </c>
      <c r="K24" s="47">
        <v>0</v>
      </c>
      <c r="L24" s="47">
        <v>0</v>
      </c>
      <c r="M24" s="47">
        <f t="shared" si="1"/>
        <v>11</v>
      </c>
      <c r="N24" s="69"/>
    </row>
    <row r="25" spans="1:14" s="6" customFormat="1" ht="15.5" x14ac:dyDescent="0.35">
      <c r="A25" s="46">
        <v>20</v>
      </c>
      <c r="B25" s="70">
        <v>183885</v>
      </c>
      <c r="C25" s="71" t="s">
        <v>621</v>
      </c>
      <c r="D25" s="71" t="s">
        <v>500</v>
      </c>
      <c r="E25" s="70" t="s">
        <v>143</v>
      </c>
      <c r="F25" s="70">
        <v>10</v>
      </c>
      <c r="G25" s="68">
        <v>7</v>
      </c>
      <c r="H25" s="68">
        <v>2</v>
      </c>
      <c r="I25" s="68">
        <v>0</v>
      </c>
      <c r="J25" s="47">
        <v>1</v>
      </c>
      <c r="K25" s="47">
        <v>1</v>
      </c>
      <c r="L25" s="47">
        <v>0</v>
      </c>
      <c r="M25" s="47">
        <f t="shared" si="1"/>
        <v>11</v>
      </c>
      <c r="N25" s="69"/>
    </row>
    <row r="26" spans="1:14" s="6" customFormat="1" ht="15.5" x14ac:dyDescent="0.35">
      <c r="A26" s="46">
        <v>21</v>
      </c>
      <c r="B26" s="68">
        <v>143309</v>
      </c>
      <c r="C26" s="68" t="s">
        <v>244</v>
      </c>
      <c r="D26" s="68" t="s">
        <v>622</v>
      </c>
      <c r="E26" s="68" t="s">
        <v>623</v>
      </c>
      <c r="F26" s="68">
        <v>9</v>
      </c>
      <c r="G26" s="68">
        <v>7</v>
      </c>
      <c r="H26" s="68">
        <v>2</v>
      </c>
      <c r="I26" s="68">
        <v>0</v>
      </c>
      <c r="J26" s="52">
        <v>2</v>
      </c>
      <c r="K26" s="47">
        <v>0</v>
      </c>
      <c r="L26" s="47">
        <v>0</v>
      </c>
      <c r="M26" s="47">
        <f t="shared" si="1"/>
        <v>11</v>
      </c>
      <c r="N26" s="69"/>
    </row>
    <row r="27" spans="1:14" s="6" customFormat="1" ht="15.5" x14ac:dyDescent="0.35">
      <c r="A27" s="46">
        <v>22</v>
      </c>
      <c r="B27" s="68">
        <v>85743</v>
      </c>
      <c r="C27" s="68" t="s">
        <v>624</v>
      </c>
      <c r="D27" s="68" t="s">
        <v>625</v>
      </c>
      <c r="E27" s="68" t="s">
        <v>153</v>
      </c>
      <c r="F27" s="68">
        <v>9</v>
      </c>
      <c r="G27" s="68">
        <v>7</v>
      </c>
      <c r="H27" s="68">
        <v>2</v>
      </c>
      <c r="I27" s="68">
        <v>0</v>
      </c>
      <c r="J27" s="52">
        <v>0</v>
      </c>
      <c r="K27" s="47">
        <v>0</v>
      </c>
      <c r="L27" s="47">
        <v>2</v>
      </c>
      <c r="M27" s="47">
        <f t="shared" si="1"/>
        <v>11</v>
      </c>
      <c r="N27" s="72"/>
    </row>
    <row r="28" spans="1:14" s="6" customFormat="1" ht="15.5" x14ac:dyDescent="0.35">
      <c r="A28" s="73">
        <v>23</v>
      </c>
      <c r="B28" s="57">
        <v>169203</v>
      </c>
      <c r="C28" s="68" t="s">
        <v>212</v>
      </c>
      <c r="D28" s="68" t="s">
        <v>626</v>
      </c>
      <c r="E28" s="68" t="s">
        <v>419</v>
      </c>
      <c r="F28" s="68">
        <v>10</v>
      </c>
      <c r="G28" s="74">
        <v>7</v>
      </c>
      <c r="H28" s="74">
        <v>2</v>
      </c>
      <c r="I28" s="74">
        <v>0</v>
      </c>
      <c r="J28" s="47">
        <v>1</v>
      </c>
      <c r="K28" s="47">
        <v>0</v>
      </c>
      <c r="L28" s="47">
        <v>0</v>
      </c>
      <c r="M28" s="47">
        <f t="shared" si="1"/>
        <v>10</v>
      </c>
      <c r="N28" s="47"/>
    </row>
    <row r="29" spans="1:14" s="6" customFormat="1" ht="15.5" x14ac:dyDescent="0.35">
      <c r="A29" s="73">
        <v>24</v>
      </c>
      <c r="B29" s="73">
        <v>206116</v>
      </c>
      <c r="C29" s="68" t="s">
        <v>119</v>
      </c>
      <c r="D29" s="68" t="s">
        <v>627</v>
      </c>
      <c r="E29" s="68" t="s">
        <v>62</v>
      </c>
      <c r="F29" s="68">
        <v>10</v>
      </c>
      <c r="G29" s="75">
        <v>7</v>
      </c>
      <c r="H29" s="75">
        <v>2</v>
      </c>
      <c r="I29" s="75">
        <v>0</v>
      </c>
      <c r="J29" s="47">
        <v>1</v>
      </c>
      <c r="K29" s="47">
        <v>0</v>
      </c>
      <c r="L29" s="47">
        <v>0</v>
      </c>
      <c r="M29" s="47">
        <f t="shared" si="1"/>
        <v>10</v>
      </c>
      <c r="N29" s="47"/>
    </row>
    <row r="30" spans="1:14" s="6" customFormat="1" ht="15.5" x14ac:dyDescent="0.35">
      <c r="A30" s="73">
        <v>25</v>
      </c>
      <c r="B30" s="73">
        <v>218538</v>
      </c>
      <c r="C30" s="68" t="s">
        <v>628</v>
      </c>
      <c r="D30" s="76" t="s">
        <v>204</v>
      </c>
      <c r="E30" s="68" t="s">
        <v>12</v>
      </c>
      <c r="F30" s="68">
        <v>9</v>
      </c>
      <c r="G30" s="68">
        <v>7</v>
      </c>
      <c r="H30" s="68">
        <v>2</v>
      </c>
      <c r="I30" s="68">
        <v>0</v>
      </c>
      <c r="J30" s="47">
        <v>1</v>
      </c>
      <c r="K30" s="47">
        <v>0</v>
      </c>
      <c r="L30" s="47">
        <v>0</v>
      </c>
      <c r="M30" s="47">
        <f t="shared" si="1"/>
        <v>10</v>
      </c>
      <c r="N30" s="47"/>
    </row>
    <row r="31" spans="1:14" s="6" customFormat="1" ht="15.5" x14ac:dyDescent="0.35">
      <c r="A31" s="73">
        <v>26</v>
      </c>
      <c r="B31" s="73">
        <v>191507</v>
      </c>
      <c r="C31" s="68" t="s">
        <v>629</v>
      </c>
      <c r="D31" s="68" t="s">
        <v>630</v>
      </c>
      <c r="E31" s="68" t="s">
        <v>126</v>
      </c>
      <c r="F31" s="68">
        <v>9</v>
      </c>
      <c r="G31" s="68">
        <v>7</v>
      </c>
      <c r="H31" s="68">
        <v>2</v>
      </c>
      <c r="I31" s="68">
        <v>0</v>
      </c>
      <c r="J31" s="47">
        <v>1</v>
      </c>
      <c r="K31" s="47">
        <v>0</v>
      </c>
      <c r="L31" s="47">
        <v>0</v>
      </c>
      <c r="M31" s="47">
        <f t="shared" si="1"/>
        <v>10</v>
      </c>
      <c r="N31" s="47"/>
    </row>
    <row r="32" spans="1:14" s="6" customFormat="1" ht="15.5" x14ac:dyDescent="0.35">
      <c r="A32" s="73">
        <v>27</v>
      </c>
      <c r="B32" s="73">
        <v>137375</v>
      </c>
      <c r="C32" s="68" t="s">
        <v>631</v>
      </c>
      <c r="D32" s="68" t="s">
        <v>518</v>
      </c>
      <c r="E32" s="68" t="s">
        <v>97</v>
      </c>
      <c r="F32" s="68">
        <v>9</v>
      </c>
      <c r="G32" s="68">
        <v>7</v>
      </c>
      <c r="H32" s="68">
        <v>2</v>
      </c>
      <c r="I32" s="68">
        <v>0</v>
      </c>
      <c r="J32" s="47">
        <v>1</v>
      </c>
      <c r="K32" s="47">
        <v>0</v>
      </c>
      <c r="L32" s="47">
        <v>0</v>
      </c>
      <c r="M32" s="47">
        <f t="shared" si="1"/>
        <v>10</v>
      </c>
      <c r="N32" s="47"/>
    </row>
    <row r="33" spans="1:14" s="6" customFormat="1" ht="15.5" x14ac:dyDescent="0.35">
      <c r="A33" s="73">
        <v>28</v>
      </c>
      <c r="B33" s="73">
        <v>184976</v>
      </c>
      <c r="C33" s="68" t="s">
        <v>101</v>
      </c>
      <c r="D33" s="68" t="s">
        <v>632</v>
      </c>
      <c r="E33" s="68" t="s">
        <v>220</v>
      </c>
      <c r="F33" s="68">
        <v>10</v>
      </c>
      <c r="G33" s="77">
        <v>7</v>
      </c>
      <c r="H33" s="77">
        <v>2</v>
      </c>
      <c r="I33" s="77">
        <v>0</v>
      </c>
      <c r="J33" s="47">
        <v>1</v>
      </c>
      <c r="K33" s="47">
        <v>0</v>
      </c>
      <c r="L33" s="47">
        <v>0</v>
      </c>
      <c r="M33" s="47">
        <f t="shared" si="1"/>
        <v>10</v>
      </c>
      <c r="N33" s="47"/>
    </row>
    <row r="34" spans="1:14" s="6" customFormat="1" ht="15.5" x14ac:dyDescent="0.35">
      <c r="A34" s="73">
        <v>29</v>
      </c>
      <c r="B34" s="73">
        <v>191542</v>
      </c>
      <c r="C34" s="68" t="s">
        <v>633</v>
      </c>
      <c r="D34" s="68" t="s">
        <v>634</v>
      </c>
      <c r="E34" s="68" t="s">
        <v>126</v>
      </c>
      <c r="F34" s="68">
        <v>10</v>
      </c>
      <c r="G34" s="77">
        <v>7</v>
      </c>
      <c r="H34" s="77">
        <v>2</v>
      </c>
      <c r="I34" s="68">
        <v>0</v>
      </c>
      <c r="J34" s="47">
        <v>1</v>
      </c>
      <c r="K34" s="47">
        <v>0</v>
      </c>
      <c r="L34" s="47">
        <v>0</v>
      </c>
      <c r="M34" s="47">
        <f t="shared" si="1"/>
        <v>10</v>
      </c>
      <c r="N34" s="47"/>
    </row>
    <row r="35" spans="1:14" s="6" customFormat="1" ht="15.5" x14ac:dyDescent="0.35">
      <c r="A35" s="73">
        <v>30</v>
      </c>
      <c r="B35" s="52">
        <v>155156</v>
      </c>
      <c r="C35" s="68" t="s">
        <v>17</v>
      </c>
      <c r="D35" s="68" t="s">
        <v>635</v>
      </c>
      <c r="E35" s="68" t="s">
        <v>41</v>
      </c>
      <c r="F35" s="68">
        <v>9</v>
      </c>
      <c r="G35" s="68">
        <v>7</v>
      </c>
      <c r="H35" s="77">
        <v>2</v>
      </c>
      <c r="I35" s="77">
        <v>0</v>
      </c>
      <c r="J35" s="47">
        <v>1</v>
      </c>
      <c r="K35" s="47">
        <v>0</v>
      </c>
      <c r="L35" s="47">
        <v>0</v>
      </c>
      <c r="M35" s="47">
        <f t="shared" si="1"/>
        <v>10</v>
      </c>
      <c r="N35" s="47"/>
    </row>
    <row r="36" spans="1:14" s="6" customFormat="1" ht="15.5" x14ac:dyDescent="0.35">
      <c r="A36" s="73">
        <v>31</v>
      </c>
      <c r="B36" s="68">
        <v>217597</v>
      </c>
      <c r="C36" s="68" t="s">
        <v>321</v>
      </c>
      <c r="D36" s="68" t="s">
        <v>636</v>
      </c>
      <c r="E36" s="68" t="s">
        <v>12</v>
      </c>
      <c r="F36" s="68">
        <v>9</v>
      </c>
      <c r="G36" s="68">
        <v>7</v>
      </c>
      <c r="H36" s="68">
        <v>2</v>
      </c>
      <c r="I36" s="68">
        <v>0</v>
      </c>
      <c r="J36" s="47">
        <v>1</v>
      </c>
      <c r="K36" s="47">
        <v>0</v>
      </c>
      <c r="L36" s="47">
        <v>0</v>
      </c>
      <c r="M36" s="47">
        <f t="shared" si="1"/>
        <v>10</v>
      </c>
      <c r="N36" s="47"/>
    </row>
    <row r="37" spans="1:14" s="6" customFormat="1" ht="15.5" x14ac:dyDescent="0.35">
      <c r="A37" s="73">
        <v>32</v>
      </c>
      <c r="B37" s="68">
        <v>166306</v>
      </c>
      <c r="C37" s="68" t="s">
        <v>637</v>
      </c>
      <c r="D37" s="68" t="s">
        <v>638</v>
      </c>
      <c r="E37" s="68" t="s">
        <v>126</v>
      </c>
      <c r="F37" s="68">
        <v>9</v>
      </c>
      <c r="G37" s="68">
        <v>7</v>
      </c>
      <c r="H37" s="68">
        <v>2</v>
      </c>
      <c r="I37" s="68">
        <v>0</v>
      </c>
      <c r="J37" s="47">
        <v>1</v>
      </c>
      <c r="K37" s="47">
        <v>0</v>
      </c>
      <c r="L37" s="47">
        <v>0</v>
      </c>
      <c r="M37" s="47">
        <f t="shared" si="1"/>
        <v>10</v>
      </c>
      <c r="N37" s="47"/>
    </row>
    <row r="38" spans="1:14" s="6" customFormat="1" ht="15.5" x14ac:dyDescent="0.35">
      <c r="A38" s="73">
        <v>33</v>
      </c>
      <c r="B38" s="73">
        <v>117148</v>
      </c>
      <c r="C38" s="68" t="s">
        <v>344</v>
      </c>
      <c r="D38" s="68" t="s">
        <v>639</v>
      </c>
      <c r="E38" s="68" t="s">
        <v>12</v>
      </c>
      <c r="F38" s="68">
        <v>9</v>
      </c>
      <c r="G38" s="68">
        <v>7</v>
      </c>
      <c r="H38" s="68">
        <v>2</v>
      </c>
      <c r="I38" s="68">
        <v>0</v>
      </c>
      <c r="J38" s="47">
        <v>1</v>
      </c>
      <c r="K38" s="47">
        <v>0</v>
      </c>
      <c r="L38" s="47">
        <v>0</v>
      </c>
      <c r="M38" s="47">
        <f t="shared" si="1"/>
        <v>10</v>
      </c>
      <c r="N38" s="47"/>
    </row>
    <row r="39" spans="1:14" s="6" customFormat="1" ht="15.5" x14ac:dyDescent="0.35">
      <c r="A39" s="73">
        <v>34</v>
      </c>
      <c r="B39" s="73">
        <v>108052</v>
      </c>
      <c r="C39" s="68" t="s">
        <v>592</v>
      </c>
      <c r="D39" s="68" t="s">
        <v>249</v>
      </c>
      <c r="E39" s="68" t="s">
        <v>12</v>
      </c>
      <c r="F39" s="68">
        <v>10</v>
      </c>
      <c r="G39" s="68">
        <v>7</v>
      </c>
      <c r="H39" s="68">
        <v>2</v>
      </c>
      <c r="I39" s="68">
        <v>0</v>
      </c>
      <c r="J39" s="47">
        <v>1</v>
      </c>
      <c r="K39" s="47">
        <v>0</v>
      </c>
      <c r="L39" s="47">
        <v>0</v>
      </c>
      <c r="M39" s="47">
        <f t="shared" si="1"/>
        <v>10</v>
      </c>
      <c r="N39" s="47"/>
    </row>
    <row r="40" spans="1:14" ht="15.5" x14ac:dyDescent="0.35">
      <c r="A40" s="73">
        <v>35</v>
      </c>
      <c r="B40" s="73">
        <v>203634</v>
      </c>
      <c r="C40" s="68" t="s">
        <v>640</v>
      </c>
      <c r="D40" s="68" t="s">
        <v>641</v>
      </c>
      <c r="E40" s="68" t="s">
        <v>70</v>
      </c>
      <c r="F40" s="68">
        <v>10</v>
      </c>
      <c r="G40" s="68">
        <v>7</v>
      </c>
      <c r="H40" s="68">
        <v>2</v>
      </c>
      <c r="I40" s="68">
        <v>0</v>
      </c>
      <c r="J40" s="47">
        <v>1</v>
      </c>
      <c r="K40" s="47">
        <v>0</v>
      </c>
      <c r="L40" s="47">
        <v>0</v>
      </c>
      <c r="M40" s="47">
        <f t="shared" si="1"/>
        <v>10</v>
      </c>
      <c r="N40" s="47"/>
    </row>
    <row r="41" spans="1:14" ht="15.5" x14ac:dyDescent="0.35">
      <c r="A41" s="73">
        <v>36</v>
      </c>
      <c r="B41" s="73">
        <v>137758</v>
      </c>
      <c r="C41" s="68" t="s">
        <v>151</v>
      </c>
      <c r="D41" s="68" t="s">
        <v>599</v>
      </c>
      <c r="E41" s="68" t="s">
        <v>97</v>
      </c>
      <c r="F41" s="68">
        <v>10</v>
      </c>
      <c r="G41" s="68">
        <v>7</v>
      </c>
      <c r="H41" s="68">
        <v>2</v>
      </c>
      <c r="I41" s="68">
        <v>0</v>
      </c>
      <c r="J41" s="47">
        <v>1</v>
      </c>
      <c r="K41" s="47">
        <v>0</v>
      </c>
      <c r="L41" s="47">
        <v>0</v>
      </c>
      <c r="M41" s="47">
        <f t="shared" si="1"/>
        <v>10</v>
      </c>
      <c r="N41" s="47"/>
    </row>
    <row r="42" spans="1:14" ht="15.5" x14ac:dyDescent="0.35">
      <c r="A42" s="73">
        <v>37</v>
      </c>
      <c r="B42" s="68">
        <v>203535</v>
      </c>
      <c r="C42" s="68" t="s">
        <v>642</v>
      </c>
      <c r="D42" s="68" t="s">
        <v>495</v>
      </c>
      <c r="E42" s="68" t="s">
        <v>70</v>
      </c>
      <c r="F42" s="68">
        <v>9</v>
      </c>
      <c r="G42" s="68">
        <v>7</v>
      </c>
      <c r="H42" s="68">
        <v>2</v>
      </c>
      <c r="I42" s="68">
        <v>0</v>
      </c>
      <c r="J42" s="52">
        <v>1</v>
      </c>
      <c r="K42" s="47">
        <v>0</v>
      </c>
      <c r="L42" s="47">
        <v>0</v>
      </c>
      <c r="M42" s="47">
        <f t="shared" si="1"/>
        <v>10</v>
      </c>
      <c r="N42" s="47"/>
    </row>
    <row r="43" spans="1:14" ht="15.5" x14ac:dyDescent="0.35">
      <c r="A43" s="73">
        <v>38</v>
      </c>
      <c r="B43" s="68">
        <v>220565</v>
      </c>
      <c r="C43" s="76" t="s">
        <v>643</v>
      </c>
      <c r="D43" s="76" t="s">
        <v>88</v>
      </c>
      <c r="E43" s="68" t="s">
        <v>268</v>
      </c>
      <c r="F43" s="68">
        <v>10</v>
      </c>
      <c r="G43" s="68">
        <v>7</v>
      </c>
      <c r="H43" s="68">
        <v>2</v>
      </c>
      <c r="I43" s="68">
        <v>0</v>
      </c>
      <c r="J43" s="52">
        <v>1</v>
      </c>
      <c r="K43" s="47">
        <v>0</v>
      </c>
      <c r="L43" s="47">
        <v>0</v>
      </c>
      <c r="M43" s="47">
        <f t="shared" si="1"/>
        <v>10</v>
      </c>
      <c r="N43" s="47"/>
    </row>
    <row r="44" spans="1:14" ht="15.5" x14ac:dyDescent="0.35">
      <c r="A44" s="73">
        <v>39</v>
      </c>
      <c r="B44" s="68">
        <v>137188</v>
      </c>
      <c r="C44" s="68" t="s">
        <v>249</v>
      </c>
      <c r="D44" s="68" t="s">
        <v>644</v>
      </c>
      <c r="E44" s="68" t="s">
        <v>259</v>
      </c>
      <c r="F44" s="68">
        <v>9</v>
      </c>
      <c r="G44" s="68">
        <v>7</v>
      </c>
      <c r="H44" s="68">
        <v>2</v>
      </c>
      <c r="I44" s="68">
        <v>0</v>
      </c>
      <c r="J44" s="52">
        <v>1</v>
      </c>
      <c r="K44" s="47">
        <v>0</v>
      </c>
      <c r="L44" s="47">
        <v>0</v>
      </c>
      <c r="M44" s="47">
        <f t="shared" si="1"/>
        <v>10</v>
      </c>
      <c r="N44" s="47"/>
    </row>
    <row r="45" spans="1:14" ht="15.5" x14ac:dyDescent="0.35">
      <c r="A45" s="73">
        <v>40</v>
      </c>
      <c r="B45" s="68">
        <v>137005</v>
      </c>
      <c r="C45" s="68" t="s">
        <v>645</v>
      </c>
      <c r="D45" s="68" t="s">
        <v>646</v>
      </c>
      <c r="E45" s="68" t="s">
        <v>131</v>
      </c>
      <c r="F45" s="78">
        <v>9</v>
      </c>
      <c r="G45" s="78">
        <v>7</v>
      </c>
      <c r="H45" s="78">
        <v>2</v>
      </c>
      <c r="I45" s="78">
        <v>0</v>
      </c>
      <c r="J45" s="47">
        <v>1</v>
      </c>
      <c r="K45" s="47">
        <v>0</v>
      </c>
      <c r="L45" s="47">
        <v>0</v>
      </c>
      <c r="M45" s="47">
        <f t="shared" si="1"/>
        <v>10</v>
      </c>
      <c r="N45" s="47"/>
    </row>
    <row r="46" spans="1:14" ht="15.5" x14ac:dyDescent="0.35">
      <c r="A46" s="73">
        <v>41</v>
      </c>
      <c r="B46" s="76">
        <v>85518</v>
      </c>
      <c r="C46" s="68" t="s">
        <v>276</v>
      </c>
      <c r="D46" s="76" t="s">
        <v>229</v>
      </c>
      <c r="E46" s="68" t="s">
        <v>94</v>
      </c>
      <c r="F46" s="78">
        <v>10</v>
      </c>
      <c r="G46" s="78">
        <v>7</v>
      </c>
      <c r="H46" s="78">
        <v>2</v>
      </c>
      <c r="I46" s="78">
        <v>0</v>
      </c>
      <c r="J46" s="47">
        <v>1</v>
      </c>
      <c r="K46" s="47">
        <v>0</v>
      </c>
      <c r="L46" s="47">
        <v>0</v>
      </c>
      <c r="M46" s="47">
        <f t="shared" si="1"/>
        <v>10</v>
      </c>
      <c r="N46" s="47"/>
    </row>
    <row r="47" spans="1:14" ht="17.149999999999999" customHeight="1" x14ac:dyDescent="0.35">
      <c r="A47" s="73">
        <v>42</v>
      </c>
      <c r="B47" s="68">
        <v>169187</v>
      </c>
      <c r="C47" s="68" t="s">
        <v>647</v>
      </c>
      <c r="D47" s="68" t="s">
        <v>243</v>
      </c>
      <c r="E47" s="68" t="s">
        <v>419</v>
      </c>
      <c r="F47" s="68">
        <v>10</v>
      </c>
      <c r="G47" s="68">
        <v>7</v>
      </c>
      <c r="H47" s="68">
        <v>2</v>
      </c>
      <c r="I47" s="68">
        <v>0</v>
      </c>
      <c r="J47" s="47">
        <v>1</v>
      </c>
      <c r="K47" s="47">
        <v>0</v>
      </c>
      <c r="L47" s="47">
        <v>0</v>
      </c>
      <c r="M47" s="47">
        <f t="shared" si="1"/>
        <v>10</v>
      </c>
      <c r="N47" s="47"/>
    </row>
    <row r="48" spans="1:14" ht="15.5" x14ac:dyDescent="0.35">
      <c r="A48" s="73">
        <v>43</v>
      </c>
      <c r="B48" s="68">
        <v>85746</v>
      </c>
      <c r="C48" s="68" t="s">
        <v>459</v>
      </c>
      <c r="D48" s="68" t="s">
        <v>150</v>
      </c>
      <c r="E48" s="68" t="s">
        <v>153</v>
      </c>
      <c r="F48" s="68">
        <v>9</v>
      </c>
      <c r="G48" s="68">
        <v>7</v>
      </c>
      <c r="H48" s="68">
        <v>2</v>
      </c>
      <c r="I48" s="68">
        <v>0</v>
      </c>
      <c r="J48" s="47">
        <v>1</v>
      </c>
      <c r="K48" s="47">
        <v>0</v>
      </c>
      <c r="L48" s="47">
        <v>0</v>
      </c>
      <c r="M48" s="47">
        <f t="shared" si="1"/>
        <v>10</v>
      </c>
      <c r="N48" s="47"/>
    </row>
    <row r="49" spans="1:14" ht="15.5" x14ac:dyDescent="0.35">
      <c r="A49" s="73">
        <v>44</v>
      </c>
      <c r="B49" s="68">
        <v>202359</v>
      </c>
      <c r="C49" s="68" t="s">
        <v>648</v>
      </c>
      <c r="D49" s="68" t="s">
        <v>14</v>
      </c>
      <c r="E49" s="71" t="s">
        <v>649</v>
      </c>
      <c r="F49" s="71">
        <v>10</v>
      </c>
      <c r="G49" s="68">
        <v>7</v>
      </c>
      <c r="H49" s="68">
        <v>2</v>
      </c>
      <c r="I49" s="68">
        <v>0</v>
      </c>
      <c r="J49" s="47">
        <v>1</v>
      </c>
      <c r="K49" s="47">
        <v>0</v>
      </c>
      <c r="L49" s="47">
        <v>0</v>
      </c>
      <c r="M49" s="47">
        <f t="shared" si="1"/>
        <v>10</v>
      </c>
      <c r="N49" s="47"/>
    </row>
    <row r="50" spans="1:14" ht="15.5" x14ac:dyDescent="0.35">
      <c r="A50" s="73">
        <v>45</v>
      </c>
      <c r="B50" s="68">
        <v>125551</v>
      </c>
      <c r="C50" s="68" t="s">
        <v>650</v>
      </c>
      <c r="D50" s="68" t="s">
        <v>31</v>
      </c>
      <c r="E50" s="68" t="s">
        <v>100</v>
      </c>
      <c r="F50" s="68">
        <v>9</v>
      </c>
      <c r="G50" s="68">
        <v>7</v>
      </c>
      <c r="H50" s="68">
        <v>2</v>
      </c>
      <c r="I50" s="68">
        <v>0</v>
      </c>
      <c r="J50" s="47">
        <v>1</v>
      </c>
      <c r="K50" s="47">
        <v>0</v>
      </c>
      <c r="L50" s="47">
        <v>0</v>
      </c>
      <c r="M50" s="47">
        <f t="shared" si="1"/>
        <v>10</v>
      </c>
      <c r="N50" s="47"/>
    </row>
    <row r="51" spans="1:14" ht="15.5" x14ac:dyDescent="0.35">
      <c r="A51" s="73">
        <v>46</v>
      </c>
      <c r="B51" s="68">
        <v>206886</v>
      </c>
      <c r="C51" s="68" t="s">
        <v>651</v>
      </c>
      <c r="D51" s="68" t="s">
        <v>652</v>
      </c>
      <c r="E51" s="68" t="s">
        <v>472</v>
      </c>
      <c r="F51" s="68">
        <v>9</v>
      </c>
      <c r="G51" s="68">
        <v>7</v>
      </c>
      <c r="H51" s="68">
        <v>2</v>
      </c>
      <c r="I51" s="68">
        <v>0</v>
      </c>
      <c r="J51" s="47">
        <v>1</v>
      </c>
      <c r="K51" s="47">
        <v>0</v>
      </c>
      <c r="L51" s="47">
        <v>0</v>
      </c>
      <c r="M51" s="47">
        <f t="shared" si="1"/>
        <v>10</v>
      </c>
      <c r="N51" s="47"/>
    </row>
    <row r="52" spans="1:14" ht="15.5" x14ac:dyDescent="0.35">
      <c r="A52" s="73">
        <v>47</v>
      </c>
      <c r="B52" s="68">
        <v>169195</v>
      </c>
      <c r="C52" s="68" t="s">
        <v>653</v>
      </c>
      <c r="D52" s="68" t="s">
        <v>654</v>
      </c>
      <c r="E52" s="68" t="s">
        <v>419</v>
      </c>
      <c r="F52" s="68">
        <v>10</v>
      </c>
      <c r="G52" s="68">
        <v>7</v>
      </c>
      <c r="H52" s="68">
        <v>2</v>
      </c>
      <c r="I52" s="68">
        <v>0</v>
      </c>
      <c r="J52" s="47">
        <v>1</v>
      </c>
      <c r="K52" s="47">
        <v>0</v>
      </c>
      <c r="L52" s="47">
        <v>0</v>
      </c>
      <c r="M52" s="47">
        <f t="shared" si="1"/>
        <v>10</v>
      </c>
      <c r="N52" s="47"/>
    </row>
    <row r="53" spans="1:14" ht="15.5" x14ac:dyDescent="0.35">
      <c r="A53" s="73">
        <v>48</v>
      </c>
      <c r="B53" s="68">
        <v>201917</v>
      </c>
      <c r="C53" s="68" t="s">
        <v>655</v>
      </c>
      <c r="D53" s="68" t="s">
        <v>656</v>
      </c>
      <c r="E53" s="71" t="s">
        <v>649</v>
      </c>
      <c r="F53" s="71">
        <v>10</v>
      </c>
      <c r="G53" s="68">
        <v>7</v>
      </c>
      <c r="H53" s="68">
        <v>2</v>
      </c>
      <c r="I53" s="68">
        <v>0</v>
      </c>
      <c r="J53" s="47">
        <v>1</v>
      </c>
      <c r="K53" s="47">
        <v>0</v>
      </c>
      <c r="L53" s="47">
        <v>0</v>
      </c>
      <c r="M53" s="47">
        <f t="shared" si="1"/>
        <v>10</v>
      </c>
      <c r="N53" s="47"/>
    </row>
    <row r="54" spans="1:14" ht="15.5" x14ac:dyDescent="0.35">
      <c r="A54" s="73">
        <v>49</v>
      </c>
      <c r="B54" s="68">
        <v>5508</v>
      </c>
      <c r="C54" s="68" t="s">
        <v>60</v>
      </c>
      <c r="D54" s="68" t="s">
        <v>657</v>
      </c>
      <c r="E54" s="68" t="s">
        <v>35</v>
      </c>
      <c r="F54" s="68">
        <v>10</v>
      </c>
      <c r="G54" s="68">
        <v>7</v>
      </c>
      <c r="H54" s="68">
        <v>2</v>
      </c>
      <c r="I54" s="68">
        <v>0</v>
      </c>
      <c r="J54" s="47">
        <v>1</v>
      </c>
      <c r="K54" s="47">
        <v>0</v>
      </c>
      <c r="L54" s="47">
        <v>0</v>
      </c>
      <c r="M54" s="47">
        <f t="shared" si="1"/>
        <v>10</v>
      </c>
      <c r="N54" s="47"/>
    </row>
    <row r="55" spans="1:14" ht="15.5" x14ac:dyDescent="0.35">
      <c r="A55" s="73">
        <v>50</v>
      </c>
      <c r="B55" s="68">
        <v>202340</v>
      </c>
      <c r="C55" s="78" t="s">
        <v>58</v>
      </c>
      <c r="D55" s="68" t="s">
        <v>294</v>
      </c>
      <c r="E55" s="71" t="s">
        <v>658</v>
      </c>
      <c r="F55" s="71">
        <v>10</v>
      </c>
      <c r="G55" s="68">
        <v>7</v>
      </c>
      <c r="H55" s="68">
        <v>2</v>
      </c>
      <c r="I55" s="68">
        <v>0</v>
      </c>
      <c r="J55" s="47">
        <v>1</v>
      </c>
      <c r="K55" s="47">
        <v>0</v>
      </c>
      <c r="L55" s="47">
        <v>0</v>
      </c>
      <c r="M55" s="47">
        <f t="shared" si="1"/>
        <v>10</v>
      </c>
      <c r="N55" s="47"/>
    </row>
    <row r="56" spans="1:14" ht="15.5" x14ac:dyDescent="0.35">
      <c r="A56" s="73">
        <v>51</v>
      </c>
      <c r="B56" s="68">
        <v>125440</v>
      </c>
      <c r="C56" s="68" t="s">
        <v>659</v>
      </c>
      <c r="D56" s="68" t="s">
        <v>660</v>
      </c>
      <c r="E56" s="68" t="s">
        <v>100</v>
      </c>
      <c r="F56" s="68">
        <v>9</v>
      </c>
      <c r="G56" s="68">
        <v>7</v>
      </c>
      <c r="H56" s="68">
        <v>2</v>
      </c>
      <c r="I56" s="68">
        <v>0</v>
      </c>
      <c r="J56" s="47">
        <v>1</v>
      </c>
      <c r="K56" s="47">
        <v>0</v>
      </c>
      <c r="L56" s="47">
        <v>0</v>
      </c>
      <c r="M56" s="47">
        <f t="shared" si="1"/>
        <v>10</v>
      </c>
      <c r="N56" s="47"/>
    </row>
    <row r="57" spans="1:14" ht="15.5" x14ac:dyDescent="0.35">
      <c r="A57" s="73">
        <v>52</v>
      </c>
      <c r="B57" s="68">
        <v>44790</v>
      </c>
      <c r="C57" s="68" t="s">
        <v>210</v>
      </c>
      <c r="D57" s="68" t="s">
        <v>661</v>
      </c>
      <c r="E57" s="68" t="s">
        <v>12</v>
      </c>
      <c r="F57" s="78">
        <v>9</v>
      </c>
      <c r="G57" s="78">
        <v>7</v>
      </c>
      <c r="H57" s="78">
        <v>2</v>
      </c>
      <c r="I57" s="78">
        <v>0</v>
      </c>
      <c r="J57" s="47">
        <v>1</v>
      </c>
      <c r="K57" s="47">
        <v>0</v>
      </c>
      <c r="L57" s="47">
        <v>0</v>
      </c>
      <c r="M57" s="47">
        <f t="shared" si="1"/>
        <v>10</v>
      </c>
      <c r="N57" s="47"/>
    </row>
    <row r="58" spans="1:14" ht="15.5" x14ac:dyDescent="0.35">
      <c r="A58" s="73">
        <v>53</v>
      </c>
      <c r="B58" s="73">
        <v>145461</v>
      </c>
      <c r="C58" s="68" t="s">
        <v>662</v>
      </c>
      <c r="D58" s="68" t="s">
        <v>663</v>
      </c>
      <c r="E58" s="68" t="s">
        <v>488</v>
      </c>
      <c r="F58" s="68">
        <v>9</v>
      </c>
      <c r="G58" s="75">
        <v>7</v>
      </c>
      <c r="H58" s="75">
        <v>2</v>
      </c>
      <c r="I58" s="75">
        <v>0</v>
      </c>
      <c r="J58" s="47">
        <v>0</v>
      </c>
      <c r="K58" s="47">
        <v>0</v>
      </c>
      <c r="L58" s="47">
        <v>0</v>
      </c>
      <c r="M58" s="47">
        <f t="shared" si="1"/>
        <v>9</v>
      </c>
      <c r="N58" s="47"/>
    </row>
    <row r="59" spans="1:14" ht="15.5" x14ac:dyDescent="0.35">
      <c r="A59" s="73">
        <v>54</v>
      </c>
      <c r="B59" s="73">
        <v>17573</v>
      </c>
      <c r="C59" s="68" t="s">
        <v>165</v>
      </c>
      <c r="D59" s="68" t="s">
        <v>664</v>
      </c>
      <c r="E59" s="68" t="s">
        <v>220</v>
      </c>
      <c r="F59" s="68">
        <v>10</v>
      </c>
      <c r="G59" s="75">
        <v>7</v>
      </c>
      <c r="H59" s="75">
        <v>2</v>
      </c>
      <c r="I59" s="75">
        <v>0</v>
      </c>
      <c r="J59" s="47">
        <v>0</v>
      </c>
      <c r="K59" s="47">
        <v>0</v>
      </c>
      <c r="L59" s="47">
        <v>0</v>
      </c>
      <c r="M59" s="47">
        <f t="shared" si="1"/>
        <v>9</v>
      </c>
      <c r="N59" s="47"/>
    </row>
    <row r="60" spans="1:14" ht="15.5" x14ac:dyDescent="0.35">
      <c r="A60" s="73">
        <v>55</v>
      </c>
      <c r="B60" s="73">
        <v>129579</v>
      </c>
      <c r="C60" s="68" t="s">
        <v>231</v>
      </c>
      <c r="D60" s="68" t="s">
        <v>229</v>
      </c>
      <c r="E60" s="68" t="s">
        <v>67</v>
      </c>
      <c r="F60" s="68">
        <v>10</v>
      </c>
      <c r="G60" s="68">
        <v>7</v>
      </c>
      <c r="H60" s="68">
        <v>2</v>
      </c>
      <c r="I60" s="68">
        <v>0</v>
      </c>
      <c r="J60" s="47">
        <v>0</v>
      </c>
      <c r="K60" s="47">
        <v>0</v>
      </c>
      <c r="L60" s="47">
        <v>0</v>
      </c>
      <c r="M60" s="47">
        <f t="shared" si="1"/>
        <v>9</v>
      </c>
      <c r="N60" s="47"/>
    </row>
    <row r="61" spans="1:14" ht="15.5" x14ac:dyDescent="0.35">
      <c r="A61" s="73">
        <v>56</v>
      </c>
      <c r="B61" s="58">
        <v>217766</v>
      </c>
      <c r="C61" s="71" t="s">
        <v>242</v>
      </c>
      <c r="D61" s="71" t="s">
        <v>665</v>
      </c>
      <c r="E61" s="71" t="s">
        <v>35</v>
      </c>
      <c r="F61" s="71">
        <v>9</v>
      </c>
      <c r="G61" s="77">
        <v>7</v>
      </c>
      <c r="H61" s="77">
        <v>2</v>
      </c>
      <c r="I61" s="71">
        <v>0</v>
      </c>
      <c r="J61" s="47"/>
      <c r="K61" s="47"/>
      <c r="L61" s="47"/>
      <c r="M61" s="47">
        <f t="shared" si="1"/>
        <v>9</v>
      </c>
      <c r="N61" s="47"/>
    </row>
    <row r="62" spans="1:14" ht="15.5" x14ac:dyDescent="0.35">
      <c r="A62" s="73">
        <v>57</v>
      </c>
      <c r="B62" s="52">
        <v>181871</v>
      </c>
      <c r="C62" s="68" t="s">
        <v>543</v>
      </c>
      <c r="D62" s="68" t="s">
        <v>666</v>
      </c>
      <c r="E62" s="68" t="s">
        <v>26</v>
      </c>
      <c r="F62" s="68">
        <v>9</v>
      </c>
      <c r="G62" s="77">
        <v>7</v>
      </c>
      <c r="H62" s="77">
        <v>2</v>
      </c>
      <c r="I62" s="68">
        <v>0</v>
      </c>
      <c r="J62" s="47">
        <v>0</v>
      </c>
      <c r="K62" s="47">
        <v>0</v>
      </c>
      <c r="L62" s="47">
        <v>0</v>
      </c>
      <c r="M62" s="47">
        <f t="shared" si="1"/>
        <v>9</v>
      </c>
      <c r="N62" s="47"/>
    </row>
    <row r="63" spans="1:14" ht="15.5" x14ac:dyDescent="0.35">
      <c r="A63" s="73">
        <v>58</v>
      </c>
      <c r="B63" s="73">
        <v>204962</v>
      </c>
      <c r="C63" s="79" t="s">
        <v>667</v>
      </c>
      <c r="D63" s="79" t="s">
        <v>668</v>
      </c>
      <c r="E63" s="79" t="s">
        <v>35</v>
      </c>
      <c r="F63" s="79">
        <v>9</v>
      </c>
      <c r="G63" s="68">
        <v>7</v>
      </c>
      <c r="H63" s="68">
        <v>2</v>
      </c>
      <c r="I63" s="68">
        <v>0</v>
      </c>
      <c r="J63" s="47"/>
      <c r="K63" s="47"/>
      <c r="L63" s="47"/>
      <c r="M63" s="47">
        <f t="shared" si="1"/>
        <v>9</v>
      </c>
      <c r="N63" s="47"/>
    </row>
    <row r="64" spans="1:14" ht="15.5" x14ac:dyDescent="0.35">
      <c r="A64" s="73">
        <v>59</v>
      </c>
      <c r="B64" s="68">
        <v>194835</v>
      </c>
      <c r="C64" s="68" t="s">
        <v>247</v>
      </c>
      <c r="D64" s="68" t="s">
        <v>669</v>
      </c>
      <c r="E64" s="68" t="s">
        <v>670</v>
      </c>
      <c r="F64" s="68">
        <v>9</v>
      </c>
      <c r="G64" s="68">
        <v>7</v>
      </c>
      <c r="H64" s="68">
        <v>2</v>
      </c>
      <c r="I64" s="68">
        <v>0</v>
      </c>
      <c r="J64" s="52">
        <v>0</v>
      </c>
      <c r="K64" s="47">
        <v>0</v>
      </c>
      <c r="L64" s="47">
        <v>0</v>
      </c>
      <c r="M64" s="47">
        <f t="shared" si="1"/>
        <v>9</v>
      </c>
      <c r="N64" s="47"/>
    </row>
    <row r="65" spans="1:14" ht="15.5" x14ac:dyDescent="0.35">
      <c r="A65" s="73">
        <v>60</v>
      </c>
      <c r="B65" s="68">
        <v>103421</v>
      </c>
      <c r="C65" s="68" t="s">
        <v>58</v>
      </c>
      <c r="D65" s="68" t="s">
        <v>202</v>
      </c>
      <c r="E65" s="68" t="s">
        <v>26</v>
      </c>
      <c r="F65" s="68">
        <v>9</v>
      </c>
      <c r="G65" s="68">
        <v>7</v>
      </c>
      <c r="H65" s="68">
        <v>2</v>
      </c>
      <c r="I65" s="68">
        <v>0</v>
      </c>
      <c r="J65" s="52">
        <v>0</v>
      </c>
      <c r="K65" s="47">
        <v>0</v>
      </c>
      <c r="L65" s="47">
        <v>0</v>
      </c>
      <c r="M65" s="47">
        <f t="shared" si="1"/>
        <v>9</v>
      </c>
      <c r="N65" s="47"/>
    </row>
    <row r="66" spans="1:14" ht="15.5" x14ac:dyDescent="0.35">
      <c r="A66" s="73">
        <v>61</v>
      </c>
      <c r="B66" s="68">
        <v>44307</v>
      </c>
      <c r="C66" s="68" t="s">
        <v>671</v>
      </c>
      <c r="D66" s="68" t="s">
        <v>257</v>
      </c>
      <c r="E66" s="68" t="s">
        <v>12</v>
      </c>
      <c r="F66" s="68">
        <v>9</v>
      </c>
      <c r="G66" s="68">
        <v>7</v>
      </c>
      <c r="H66" s="68">
        <v>2</v>
      </c>
      <c r="I66" s="68">
        <v>0</v>
      </c>
      <c r="J66" s="47">
        <v>1</v>
      </c>
      <c r="K66" s="47">
        <v>0</v>
      </c>
      <c r="L66" s="47">
        <v>0</v>
      </c>
      <c r="M66" s="47">
        <f t="shared" si="1"/>
        <v>10</v>
      </c>
      <c r="N66" s="47"/>
    </row>
    <row r="67" spans="1:14" ht="15.5" x14ac:dyDescent="0.35">
      <c r="A67" s="73">
        <v>62</v>
      </c>
      <c r="B67" s="68">
        <v>202869</v>
      </c>
      <c r="C67" s="68" t="s">
        <v>672</v>
      </c>
      <c r="D67" s="68" t="s">
        <v>673</v>
      </c>
      <c r="E67" s="68" t="s">
        <v>472</v>
      </c>
      <c r="F67" s="68"/>
      <c r="G67" s="68">
        <v>7</v>
      </c>
      <c r="H67" s="68">
        <v>2</v>
      </c>
      <c r="I67" s="68">
        <v>0</v>
      </c>
      <c r="J67" s="47"/>
      <c r="K67" s="47"/>
      <c r="L67" s="47"/>
      <c r="M67" s="47">
        <f t="shared" si="1"/>
        <v>9</v>
      </c>
      <c r="N67" s="47"/>
    </row>
    <row r="68" spans="1:14" ht="15.5" x14ac:dyDescent="0.35">
      <c r="A68" s="73">
        <v>63</v>
      </c>
      <c r="B68" s="68">
        <v>136376</v>
      </c>
      <c r="C68" s="68" t="s">
        <v>674</v>
      </c>
      <c r="D68" s="68" t="s">
        <v>604</v>
      </c>
      <c r="E68" s="68" t="s">
        <v>131</v>
      </c>
      <c r="F68" s="68">
        <v>10</v>
      </c>
      <c r="G68" s="68">
        <v>7</v>
      </c>
      <c r="H68" s="68">
        <v>2</v>
      </c>
      <c r="I68" s="68">
        <v>0</v>
      </c>
      <c r="J68" s="47">
        <v>0</v>
      </c>
      <c r="K68" s="47">
        <v>0</v>
      </c>
      <c r="L68" s="47">
        <v>0</v>
      </c>
      <c r="M68" s="47">
        <f t="shared" si="1"/>
        <v>9</v>
      </c>
      <c r="N68" s="47"/>
    </row>
    <row r="69" spans="1:14" ht="15.5" x14ac:dyDescent="0.35">
      <c r="A69" s="73">
        <v>64</v>
      </c>
      <c r="B69" s="76">
        <v>190779</v>
      </c>
      <c r="C69" s="68" t="s">
        <v>292</v>
      </c>
      <c r="D69" s="76" t="s">
        <v>424</v>
      </c>
      <c r="E69" s="68" t="s">
        <v>94</v>
      </c>
      <c r="F69" s="68">
        <v>9</v>
      </c>
      <c r="G69" s="68">
        <v>7</v>
      </c>
      <c r="H69" s="68">
        <v>2</v>
      </c>
      <c r="I69" s="68">
        <v>0</v>
      </c>
      <c r="J69" s="47">
        <v>0</v>
      </c>
      <c r="K69" s="47">
        <v>0</v>
      </c>
      <c r="L69" s="47">
        <v>0</v>
      </c>
      <c r="M69" s="47">
        <f t="shared" si="1"/>
        <v>9</v>
      </c>
      <c r="N69" s="47"/>
    </row>
    <row r="70" spans="1:14" ht="18" customHeight="1" x14ac:dyDescent="0.35">
      <c r="A70" s="73">
        <v>65</v>
      </c>
      <c r="B70" s="73">
        <v>68639</v>
      </c>
      <c r="C70" s="68" t="s">
        <v>675</v>
      </c>
      <c r="D70" s="68" t="s">
        <v>88</v>
      </c>
      <c r="E70" s="68" t="s">
        <v>97</v>
      </c>
      <c r="F70" s="68">
        <v>9</v>
      </c>
      <c r="G70" s="77">
        <v>7</v>
      </c>
      <c r="H70" s="77">
        <v>1</v>
      </c>
      <c r="I70" s="77">
        <v>0</v>
      </c>
      <c r="J70" s="47">
        <v>1</v>
      </c>
      <c r="K70" s="47">
        <v>0</v>
      </c>
      <c r="L70" s="47">
        <v>0</v>
      </c>
      <c r="M70" s="47">
        <f t="shared" si="1"/>
        <v>9</v>
      </c>
      <c r="N70" s="47"/>
    </row>
    <row r="71" spans="1:14" ht="15.5" x14ac:dyDescent="0.35">
      <c r="A71" s="73">
        <v>66</v>
      </c>
      <c r="B71" s="68">
        <v>108254</v>
      </c>
      <c r="C71" s="68" t="s">
        <v>118</v>
      </c>
      <c r="D71" s="68" t="s">
        <v>317</v>
      </c>
      <c r="E71" s="68" t="s">
        <v>295</v>
      </c>
      <c r="F71" s="68">
        <v>10</v>
      </c>
      <c r="G71" s="68">
        <v>7</v>
      </c>
      <c r="H71" s="68">
        <v>1</v>
      </c>
      <c r="I71" s="68">
        <v>0</v>
      </c>
      <c r="J71" s="47">
        <v>1</v>
      </c>
      <c r="K71" s="47">
        <v>0</v>
      </c>
      <c r="L71" s="47">
        <v>0</v>
      </c>
      <c r="M71" s="47">
        <f t="shared" ref="M71:M118" si="2">SUM(G71:L71)</f>
        <v>9</v>
      </c>
      <c r="N71" s="47"/>
    </row>
    <row r="72" spans="1:14" ht="15.5" x14ac:dyDescent="0.35">
      <c r="A72" s="73">
        <v>67</v>
      </c>
      <c r="B72" s="68">
        <v>233093</v>
      </c>
      <c r="C72" s="68" t="s">
        <v>244</v>
      </c>
      <c r="D72" s="68" t="s">
        <v>300</v>
      </c>
      <c r="E72" s="68" t="s">
        <v>676</v>
      </c>
      <c r="F72" s="68">
        <v>10</v>
      </c>
      <c r="G72" s="68">
        <v>7</v>
      </c>
      <c r="H72" s="68">
        <v>1</v>
      </c>
      <c r="I72" s="68">
        <v>0</v>
      </c>
      <c r="J72" s="47">
        <v>1</v>
      </c>
      <c r="K72" s="47">
        <v>0</v>
      </c>
      <c r="L72" s="47">
        <v>0</v>
      </c>
      <c r="M72" s="47">
        <f t="shared" si="2"/>
        <v>9</v>
      </c>
      <c r="N72" s="47"/>
    </row>
    <row r="73" spans="1:14" ht="15.5" x14ac:dyDescent="0.35">
      <c r="A73" s="73">
        <v>68</v>
      </c>
      <c r="B73" s="73">
        <v>231964</v>
      </c>
      <c r="C73" s="68" t="s">
        <v>677</v>
      </c>
      <c r="D73" s="68" t="s">
        <v>678</v>
      </c>
      <c r="E73" s="68" t="s">
        <v>679</v>
      </c>
      <c r="F73" s="68">
        <v>10</v>
      </c>
      <c r="G73" s="75">
        <v>7</v>
      </c>
      <c r="H73" s="75">
        <v>0</v>
      </c>
      <c r="I73" s="75">
        <v>0</v>
      </c>
      <c r="J73" s="47">
        <v>1</v>
      </c>
      <c r="K73" s="47">
        <v>0</v>
      </c>
      <c r="L73" s="47">
        <v>0</v>
      </c>
      <c r="M73" s="47">
        <f t="shared" si="2"/>
        <v>8</v>
      </c>
      <c r="N73" s="47"/>
    </row>
    <row r="74" spans="1:14" ht="15.5" x14ac:dyDescent="0.35">
      <c r="A74" s="73">
        <v>69</v>
      </c>
      <c r="B74" s="68">
        <v>44188</v>
      </c>
      <c r="C74" s="68" t="s">
        <v>680</v>
      </c>
      <c r="D74" s="68" t="s">
        <v>681</v>
      </c>
      <c r="E74" s="68" t="s">
        <v>220</v>
      </c>
      <c r="F74" s="68">
        <v>10</v>
      </c>
      <c r="G74" s="68">
        <v>7</v>
      </c>
      <c r="H74" s="68">
        <v>0</v>
      </c>
      <c r="I74" s="68">
        <v>0</v>
      </c>
      <c r="J74" s="47">
        <v>1</v>
      </c>
      <c r="K74" s="47">
        <v>0</v>
      </c>
      <c r="L74" s="47">
        <v>0</v>
      </c>
      <c r="M74" s="47">
        <f t="shared" si="2"/>
        <v>8</v>
      </c>
      <c r="N74" s="47"/>
    </row>
    <row r="75" spans="1:14" ht="15.5" x14ac:dyDescent="0.35">
      <c r="A75" s="73">
        <v>70</v>
      </c>
      <c r="B75" s="68">
        <v>194854</v>
      </c>
      <c r="C75" s="68" t="s">
        <v>136</v>
      </c>
      <c r="D75" s="68" t="s">
        <v>88</v>
      </c>
      <c r="E75" s="68" t="s">
        <v>670</v>
      </c>
      <c r="F75" s="68">
        <v>10</v>
      </c>
      <c r="G75" s="68">
        <v>7</v>
      </c>
      <c r="H75" s="68">
        <v>0</v>
      </c>
      <c r="I75" s="68">
        <v>0</v>
      </c>
      <c r="J75" s="47">
        <v>1</v>
      </c>
      <c r="K75" s="47">
        <v>0</v>
      </c>
      <c r="L75" s="47">
        <v>0</v>
      </c>
      <c r="M75" s="47">
        <f t="shared" si="2"/>
        <v>8</v>
      </c>
      <c r="N75" s="47"/>
    </row>
    <row r="76" spans="1:14" ht="15.5" x14ac:dyDescent="0.35">
      <c r="A76" s="73">
        <v>71</v>
      </c>
      <c r="B76" s="73">
        <v>207723</v>
      </c>
      <c r="C76" s="68" t="s">
        <v>682</v>
      </c>
      <c r="D76" s="68" t="s">
        <v>445</v>
      </c>
      <c r="E76" s="68" t="s">
        <v>623</v>
      </c>
      <c r="F76" s="68">
        <v>9</v>
      </c>
      <c r="G76" s="68">
        <v>7</v>
      </c>
      <c r="H76" s="68">
        <v>0</v>
      </c>
      <c r="I76" s="68">
        <v>0</v>
      </c>
      <c r="J76" s="47">
        <v>1</v>
      </c>
      <c r="K76" s="47">
        <v>0</v>
      </c>
      <c r="L76" s="47">
        <v>0</v>
      </c>
      <c r="M76" s="47">
        <f t="shared" si="2"/>
        <v>8</v>
      </c>
      <c r="N76" s="47"/>
    </row>
    <row r="77" spans="1:14" ht="15.5" x14ac:dyDescent="0.35">
      <c r="A77" s="73">
        <v>72</v>
      </c>
      <c r="B77" s="68">
        <v>169168</v>
      </c>
      <c r="C77" s="68" t="s">
        <v>683</v>
      </c>
      <c r="D77" s="68" t="s">
        <v>175</v>
      </c>
      <c r="E77" s="68" t="s">
        <v>419</v>
      </c>
      <c r="F77" s="68">
        <v>10</v>
      </c>
      <c r="G77" s="68">
        <v>7</v>
      </c>
      <c r="H77" s="68">
        <v>0</v>
      </c>
      <c r="I77" s="68">
        <v>0</v>
      </c>
      <c r="J77" s="52">
        <v>1</v>
      </c>
      <c r="K77" s="47">
        <v>0</v>
      </c>
      <c r="L77" s="47">
        <v>0</v>
      </c>
      <c r="M77" s="47">
        <f t="shared" si="2"/>
        <v>8</v>
      </c>
      <c r="N77" s="47"/>
    </row>
    <row r="78" spans="1:14" ht="15.5" x14ac:dyDescent="0.35">
      <c r="A78" s="73">
        <v>73</v>
      </c>
      <c r="B78" s="68">
        <v>85737</v>
      </c>
      <c r="C78" s="68" t="s">
        <v>684</v>
      </c>
      <c r="D78" s="68" t="s">
        <v>685</v>
      </c>
      <c r="E78" s="68" t="s">
        <v>686</v>
      </c>
      <c r="F78" s="68">
        <v>10</v>
      </c>
      <c r="G78" s="68">
        <v>7</v>
      </c>
      <c r="H78" s="68">
        <v>0</v>
      </c>
      <c r="I78" s="68">
        <v>0</v>
      </c>
      <c r="J78" s="47">
        <v>1</v>
      </c>
      <c r="K78" s="47">
        <v>0</v>
      </c>
      <c r="L78" s="47">
        <v>0</v>
      </c>
      <c r="M78" s="47">
        <f t="shared" si="2"/>
        <v>8</v>
      </c>
      <c r="N78" s="47"/>
    </row>
    <row r="79" spans="1:14" ht="15.5" x14ac:dyDescent="0.35">
      <c r="A79" s="73">
        <v>74</v>
      </c>
      <c r="B79" s="57">
        <v>202196</v>
      </c>
      <c r="C79" s="68" t="s">
        <v>63</v>
      </c>
      <c r="D79" s="68" t="s">
        <v>687</v>
      </c>
      <c r="E79" s="68" t="s">
        <v>70</v>
      </c>
      <c r="F79" s="68">
        <v>10</v>
      </c>
      <c r="G79" s="74">
        <v>7</v>
      </c>
      <c r="H79" s="74">
        <v>0</v>
      </c>
      <c r="I79" s="74">
        <v>0</v>
      </c>
      <c r="J79" s="47"/>
      <c r="K79" s="47"/>
      <c r="L79" s="47"/>
      <c r="M79" s="47">
        <f t="shared" si="2"/>
        <v>7</v>
      </c>
      <c r="N79" s="47"/>
    </row>
    <row r="80" spans="1:14" ht="15.5" x14ac:dyDescent="0.35">
      <c r="A80" s="73">
        <v>75</v>
      </c>
      <c r="B80" s="57">
        <v>224726</v>
      </c>
      <c r="C80" s="68" t="s">
        <v>688</v>
      </c>
      <c r="D80" s="68" t="s">
        <v>689</v>
      </c>
      <c r="E80" s="68" t="s">
        <v>335</v>
      </c>
      <c r="F80" s="68">
        <v>9</v>
      </c>
      <c r="G80" s="74">
        <v>7</v>
      </c>
      <c r="H80" s="74">
        <v>0</v>
      </c>
      <c r="I80" s="74">
        <v>0</v>
      </c>
      <c r="J80" s="47">
        <v>0</v>
      </c>
      <c r="K80" s="47">
        <v>0</v>
      </c>
      <c r="L80" s="47">
        <v>0</v>
      </c>
      <c r="M80" s="47">
        <f t="shared" si="2"/>
        <v>7</v>
      </c>
      <c r="N80" s="47"/>
    </row>
    <row r="81" spans="1:14" ht="15.5" x14ac:dyDescent="0.35">
      <c r="A81" s="73">
        <v>76</v>
      </c>
      <c r="B81" s="73">
        <v>202175</v>
      </c>
      <c r="C81" s="68" t="s">
        <v>690</v>
      </c>
      <c r="D81" s="68" t="s">
        <v>15</v>
      </c>
      <c r="E81" s="68" t="s">
        <v>70</v>
      </c>
      <c r="F81" s="68">
        <v>10</v>
      </c>
      <c r="G81" s="68">
        <v>7</v>
      </c>
      <c r="H81" s="68">
        <v>0</v>
      </c>
      <c r="I81" s="68">
        <v>0</v>
      </c>
      <c r="J81" s="47"/>
      <c r="K81" s="47"/>
      <c r="L81" s="47"/>
      <c r="M81" s="47">
        <f t="shared" si="2"/>
        <v>7</v>
      </c>
      <c r="N81" s="47"/>
    </row>
    <row r="82" spans="1:14" ht="15.5" x14ac:dyDescent="0.35">
      <c r="A82" s="73">
        <v>77</v>
      </c>
      <c r="B82" s="71">
        <v>215824</v>
      </c>
      <c r="C82" s="71" t="s">
        <v>31</v>
      </c>
      <c r="D82" s="71" t="s">
        <v>211</v>
      </c>
      <c r="E82" s="71" t="s">
        <v>35</v>
      </c>
      <c r="F82" s="71">
        <v>9</v>
      </c>
      <c r="G82" s="68">
        <v>7</v>
      </c>
      <c r="H82" s="68">
        <v>0</v>
      </c>
      <c r="I82" s="68">
        <v>0</v>
      </c>
      <c r="J82" s="47">
        <v>0</v>
      </c>
      <c r="K82" s="47">
        <v>0</v>
      </c>
      <c r="L82" s="47">
        <v>0</v>
      </c>
      <c r="M82" s="47">
        <f t="shared" si="2"/>
        <v>7</v>
      </c>
      <c r="N82" s="47"/>
    </row>
    <row r="83" spans="1:14" ht="15.5" x14ac:dyDescent="0.35">
      <c r="A83" s="73">
        <v>78</v>
      </c>
      <c r="B83" s="73">
        <v>193867</v>
      </c>
      <c r="C83" s="68" t="s">
        <v>691</v>
      </c>
      <c r="D83" s="68" t="s">
        <v>395</v>
      </c>
      <c r="E83" s="68" t="s">
        <v>692</v>
      </c>
      <c r="F83" s="68">
        <v>9</v>
      </c>
      <c r="G83" s="68">
        <v>7</v>
      </c>
      <c r="H83" s="68">
        <v>0</v>
      </c>
      <c r="I83" s="68">
        <v>0</v>
      </c>
      <c r="J83" s="47">
        <v>0</v>
      </c>
      <c r="K83" s="47">
        <v>0</v>
      </c>
      <c r="L83" s="47">
        <v>0</v>
      </c>
      <c r="M83" s="47">
        <f t="shared" si="2"/>
        <v>7</v>
      </c>
      <c r="N83" s="47"/>
    </row>
    <row r="84" spans="1:14" ht="15.5" x14ac:dyDescent="0.35">
      <c r="A84" s="73">
        <v>79</v>
      </c>
      <c r="B84" s="73">
        <v>214847</v>
      </c>
      <c r="C84" s="68" t="s">
        <v>321</v>
      </c>
      <c r="D84" s="68" t="s">
        <v>693</v>
      </c>
      <c r="E84" s="68" t="s">
        <v>601</v>
      </c>
      <c r="F84" s="68">
        <v>10</v>
      </c>
      <c r="G84" s="68">
        <v>7</v>
      </c>
      <c r="H84" s="68">
        <v>0</v>
      </c>
      <c r="I84" s="68">
        <v>0</v>
      </c>
      <c r="J84" s="47">
        <v>0</v>
      </c>
      <c r="K84" s="47">
        <v>0</v>
      </c>
      <c r="L84" s="47">
        <v>0</v>
      </c>
      <c r="M84" s="47">
        <f t="shared" si="2"/>
        <v>7</v>
      </c>
      <c r="N84" s="47"/>
    </row>
    <row r="85" spans="1:14" ht="15.5" x14ac:dyDescent="0.35">
      <c r="A85" s="73">
        <v>80</v>
      </c>
      <c r="B85" s="76">
        <v>209769</v>
      </c>
      <c r="C85" s="76" t="s">
        <v>249</v>
      </c>
      <c r="D85" s="76" t="s">
        <v>694</v>
      </c>
      <c r="E85" s="76" t="s">
        <v>122</v>
      </c>
      <c r="F85" s="76">
        <v>9</v>
      </c>
      <c r="G85" s="68">
        <v>7</v>
      </c>
      <c r="H85" s="68">
        <v>0</v>
      </c>
      <c r="I85" s="68">
        <v>0</v>
      </c>
      <c r="J85" s="47">
        <v>0</v>
      </c>
      <c r="K85" s="47">
        <v>0</v>
      </c>
      <c r="L85" s="47">
        <v>0</v>
      </c>
      <c r="M85" s="47">
        <f t="shared" si="2"/>
        <v>7</v>
      </c>
      <c r="N85" s="47"/>
    </row>
    <row r="86" spans="1:14" ht="15.5" x14ac:dyDescent="0.35">
      <c r="A86" s="73">
        <v>81</v>
      </c>
      <c r="B86" s="68">
        <v>158985</v>
      </c>
      <c r="C86" s="68" t="s">
        <v>29</v>
      </c>
      <c r="D86" s="68" t="s">
        <v>150</v>
      </c>
      <c r="E86" s="68" t="s">
        <v>298</v>
      </c>
      <c r="F86" s="68">
        <v>10</v>
      </c>
      <c r="G86" s="68">
        <v>7</v>
      </c>
      <c r="H86" s="68">
        <v>0</v>
      </c>
      <c r="I86" s="68">
        <v>0</v>
      </c>
      <c r="J86" s="47">
        <v>0</v>
      </c>
      <c r="K86" s="47">
        <v>0</v>
      </c>
      <c r="L86" s="47">
        <v>0</v>
      </c>
      <c r="M86" s="47">
        <f t="shared" si="2"/>
        <v>7</v>
      </c>
      <c r="N86" s="47"/>
    </row>
    <row r="87" spans="1:14" ht="15.5" x14ac:dyDescent="0.35">
      <c r="A87" s="73">
        <v>82</v>
      </c>
      <c r="B87" s="68">
        <v>180888</v>
      </c>
      <c r="C87" s="68" t="s">
        <v>364</v>
      </c>
      <c r="D87" s="68" t="s">
        <v>498</v>
      </c>
      <c r="E87" s="68" t="s">
        <v>295</v>
      </c>
      <c r="F87" s="68">
        <v>10</v>
      </c>
      <c r="G87" s="68">
        <v>7</v>
      </c>
      <c r="H87" s="68">
        <v>0</v>
      </c>
      <c r="I87" s="68">
        <v>0</v>
      </c>
      <c r="J87" s="47">
        <v>0</v>
      </c>
      <c r="K87" s="47">
        <v>0</v>
      </c>
      <c r="L87" s="47">
        <v>0</v>
      </c>
      <c r="M87" s="47">
        <f t="shared" si="2"/>
        <v>7</v>
      </c>
      <c r="N87" s="47"/>
    </row>
    <row r="88" spans="1:14" ht="15.5" x14ac:dyDescent="0.35">
      <c r="A88" s="73">
        <v>83</v>
      </c>
      <c r="B88" s="68">
        <v>169086</v>
      </c>
      <c r="C88" s="68" t="s">
        <v>695</v>
      </c>
      <c r="D88" s="68" t="s">
        <v>696</v>
      </c>
      <c r="E88" s="68" t="s">
        <v>419</v>
      </c>
      <c r="F88" s="68">
        <v>10</v>
      </c>
      <c r="G88" s="68">
        <v>6</v>
      </c>
      <c r="H88" s="68">
        <v>0</v>
      </c>
      <c r="I88" s="68">
        <v>0</v>
      </c>
      <c r="J88" s="47">
        <v>1</v>
      </c>
      <c r="K88" s="47">
        <v>0</v>
      </c>
      <c r="L88" s="47">
        <v>0</v>
      </c>
      <c r="M88" s="47">
        <f t="shared" si="2"/>
        <v>7</v>
      </c>
      <c r="N88" s="47"/>
    </row>
    <row r="89" spans="1:14" ht="15.5" x14ac:dyDescent="0.35">
      <c r="A89" s="73">
        <v>84</v>
      </c>
      <c r="B89" s="73">
        <v>145371</v>
      </c>
      <c r="C89" s="68" t="s">
        <v>87</v>
      </c>
      <c r="D89" s="68" t="s">
        <v>329</v>
      </c>
      <c r="E89" s="68" t="s">
        <v>488</v>
      </c>
      <c r="F89" s="68">
        <v>9</v>
      </c>
      <c r="G89" s="75">
        <v>3</v>
      </c>
      <c r="H89" s="75">
        <v>2</v>
      </c>
      <c r="I89" s="75">
        <v>0</v>
      </c>
      <c r="J89" s="47">
        <v>1</v>
      </c>
      <c r="K89" s="47">
        <v>0</v>
      </c>
      <c r="L89" s="47">
        <v>0</v>
      </c>
      <c r="M89" s="47">
        <f t="shared" si="2"/>
        <v>6</v>
      </c>
      <c r="N89" s="47"/>
    </row>
    <row r="90" spans="1:14" ht="15.5" x14ac:dyDescent="0.35">
      <c r="A90" s="73">
        <v>85</v>
      </c>
      <c r="B90" s="68">
        <v>94418</v>
      </c>
      <c r="C90" s="68" t="s">
        <v>697</v>
      </c>
      <c r="D90" s="68" t="s">
        <v>574</v>
      </c>
      <c r="E90" s="68" t="s">
        <v>419</v>
      </c>
      <c r="F90" s="78">
        <v>10</v>
      </c>
      <c r="G90" s="78">
        <v>3</v>
      </c>
      <c r="H90" s="78">
        <v>2</v>
      </c>
      <c r="I90" s="78">
        <v>0</v>
      </c>
      <c r="J90" s="47">
        <v>1</v>
      </c>
      <c r="K90" s="47">
        <v>0</v>
      </c>
      <c r="L90" s="47">
        <v>0</v>
      </c>
      <c r="M90" s="47">
        <f t="shared" si="2"/>
        <v>6</v>
      </c>
      <c r="N90" s="47"/>
    </row>
    <row r="91" spans="1:14" ht="15.5" x14ac:dyDescent="0.35">
      <c r="A91" s="73">
        <v>86</v>
      </c>
      <c r="B91" s="73">
        <v>202353</v>
      </c>
      <c r="C91" s="68" t="s">
        <v>80</v>
      </c>
      <c r="D91" s="68" t="s">
        <v>275</v>
      </c>
      <c r="E91" s="68" t="s">
        <v>70</v>
      </c>
      <c r="F91" s="68">
        <v>9</v>
      </c>
      <c r="G91" s="77">
        <v>0</v>
      </c>
      <c r="H91" s="77">
        <v>0</v>
      </c>
      <c r="I91" s="77">
        <v>0</v>
      </c>
      <c r="J91" s="47">
        <v>6</v>
      </c>
      <c r="K91" s="47">
        <v>0</v>
      </c>
      <c r="L91" s="47">
        <v>0</v>
      </c>
      <c r="M91" s="47">
        <f t="shared" si="2"/>
        <v>6</v>
      </c>
      <c r="N91" s="47"/>
    </row>
    <row r="92" spans="1:14" ht="15.5" x14ac:dyDescent="0.35">
      <c r="A92" s="73">
        <v>87</v>
      </c>
      <c r="B92" s="76">
        <v>189375</v>
      </c>
      <c r="C92" s="68" t="s">
        <v>249</v>
      </c>
      <c r="D92" s="68" t="s">
        <v>518</v>
      </c>
      <c r="E92" s="68" t="s">
        <v>94</v>
      </c>
      <c r="F92" s="68">
        <v>9</v>
      </c>
      <c r="G92" s="68">
        <v>0</v>
      </c>
      <c r="H92" s="68">
        <v>0</v>
      </c>
      <c r="I92" s="68">
        <v>0</v>
      </c>
      <c r="J92" s="52">
        <v>6</v>
      </c>
      <c r="K92" s="47">
        <v>0</v>
      </c>
      <c r="L92" s="47">
        <v>0</v>
      </c>
      <c r="M92" s="47">
        <f t="shared" si="2"/>
        <v>6</v>
      </c>
      <c r="N92" s="47"/>
    </row>
    <row r="93" spans="1:14" ht="15.5" x14ac:dyDescent="0.35">
      <c r="A93" s="73">
        <v>88</v>
      </c>
      <c r="B93" s="58">
        <v>140270</v>
      </c>
      <c r="C93" s="68" t="s">
        <v>698</v>
      </c>
      <c r="D93" s="68" t="s">
        <v>39</v>
      </c>
      <c r="E93" s="68" t="s">
        <v>41</v>
      </c>
      <c r="F93" s="68">
        <v>10</v>
      </c>
      <c r="G93" s="68">
        <v>3</v>
      </c>
      <c r="H93" s="68">
        <v>2</v>
      </c>
      <c r="I93" s="68">
        <v>0</v>
      </c>
      <c r="J93" s="47">
        <v>0</v>
      </c>
      <c r="K93" s="47">
        <v>0</v>
      </c>
      <c r="L93" s="47">
        <v>0</v>
      </c>
      <c r="M93" s="47">
        <f t="shared" si="2"/>
        <v>5</v>
      </c>
      <c r="N93" s="47"/>
    </row>
    <row r="94" spans="1:14" ht="15.5" x14ac:dyDescent="0.35">
      <c r="A94" s="73">
        <v>89</v>
      </c>
      <c r="B94" s="73">
        <v>213861</v>
      </c>
      <c r="C94" s="68" t="s">
        <v>699</v>
      </c>
      <c r="D94" s="68" t="s">
        <v>700</v>
      </c>
      <c r="E94" s="68" t="s">
        <v>259</v>
      </c>
      <c r="F94" s="68">
        <v>9</v>
      </c>
      <c r="G94" s="68">
        <v>3</v>
      </c>
      <c r="H94" s="68">
        <v>2</v>
      </c>
      <c r="I94" s="68">
        <v>0</v>
      </c>
      <c r="J94" s="47">
        <v>0</v>
      </c>
      <c r="K94" s="47">
        <v>0</v>
      </c>
      <c r="L94" s="47">
        <v>0</v>
      </c>
      <c r="M94" s="47">
        <f t="shared" si="2"/>
        <v>5</v>
      </c>
      <c r="N94" s="47"/>
    </row>
    <row r="95" spans="1:14" ht="15.5" x14ac:dyDescent="0.35">
      <c r="A95" s="73">
        <v>90</v>
      </c>
      <c r="B95" s="68">
        <v>213886</v>
      </c>
      <c r="C95" s="68" t="s">
        <v>442</v>
      </c>
      <c r="D95" s="68" t="s">
        <v>88</v>
      </c>
      <c r="E95" s="68" t="s">
        <v>259</v>
      </c>
      <c r="F95" s="68">
        <v>9</v>
      </c>
      <c r="G95" s="68">
        <v>3</v>
      </c>
      <c r="H95" s="68">
        <v>0</v>
      </c>
      <c r="I95" s="68">
        <v>0</v>
      </c>
      <c r="J95" s="47">
        <v>1</v>
      </c>
      <c r="K95" s="47">
        <v>0</v>
      </c>
      <c r="L95" s="47">
        <v>0</v>
      </c>
      <c r="M95" s="47">
        <f t="shared" si="2"/>
        <v>4</v>
      </c>
      <c r="N95" s="47"/>
    </row>
    <row r="96" spans="1:14" ht="16" customHeight="1" x14ac:dyDescent="0.35">
      <c r="A96" s="73">
        <v>91</v>
      </c>
      <c r="B96" s="68">
        <v>215700</v>
      </c>
      <c r="C96" s="68" t="s">
        <v>104</v>
      </c>
      <c r="D96" s="68" t="s">
        <v>701</v>
      </c>
      <c r="E96" s="68" t="s">
        <v>131</v>
      </c>
      <c r="F96" s="68">
        <v>10</v>
      </c>
      <c r="G96" s="68">
        <v>3</v>
      </c>
      <c r="H96" s="68">
        <v>0</v>
      </c>
      <c r="I96" s="68">
        <v>0</v>
      </c>
      <c r="J96" s="52"/>
      <c r="K96" s="47"/>
      <c r="L96" s="47"/>
      <c r="M96" s="47">
        <f t="shared" si="2"/>
        <v>3</v>
      </c>
      <c r="N96" s="47"/>
    </row>
    <row r="97" spans="1:14" ht="15.5" x14ac:dyDescent="0.35">
      <c r="A97" s="73">
        <v>92</v>
      </c>
      <c r="B97" s="68">
        <v>162112</v>
      </c>
      <c r="C97" s="68" t="s">
        <v>702</v>
      </c>
      <c r="D97" s="68" t="s">
        <v>703</v>
      </c>
      <c r="E97" s="68" t="s">
        <v>298</v>
      </c>
      <c r="F97" s="78">
        <v>9</v>
      </c>
      <c r="G97" s="78">
        <v>3</v>
      </c>
      <c r="H97" s="78">
        <v>0</v>
      </c>
      <c r="I97" s="78">
        <v>0</v>
      </c>
      <c r="J97" s="47"/>
      <c r="K97" s="47"/>
      <c r="L97" s="47"/>
      <c r="M97" s="47">
        <f t="shared" si="2"/>
        <v>3</v>
      </c>
      <c r="N97" s="47"/>
    </row>
    <row r="98" spans="1:14" ht="15.5" x14ac:dyDescent="0.35">
      <c r="A98" s="73">
        <v>93</v>
      </c>
      <c r="B98" s="73">
        <v>94415</v>
      </c>
      <c r="C98" s="68" t="s">
        <v>523</v>
      </c>
      <c r="D98" s="68" t="s">
        <v>204</v>
      </c>
      <c r="E98" s="68" t="s">
        <v>419</v>
      </c>
      <c r="F98" s="68">
        <v>9</v>
      </c>
      <c r="G98" s="68">
        <v>0</v>
      </c>
      <c r="H98" s="68">
        <v>2</v>
      </c>
      <c r="I98" s="68">
        <v>0</v>
      </c>
      <c r="J98" s="47">
        <v>1</v>
      </c>
      <c r="K98" s="47">
        <v>0</v>
      </c>
      <c r="L98" s="47">
        <v>0</v>
      </c>
      <c r="M98" s="47">
        <f t="shared" si="2"/>
        <v>3</v>
      </c>
      <c r="N98" s="47"/>
    </row>
    <row r="99" spans="1:14" ht="15.5" x14ac:dyDescent="0.35">
      <c r="A99" s="73">
        <v>94</v>
      </c>
      <c r="B99" s="73">
        <v>197278</v>
      </c>
      <c r="C99" s="68" t="s">
        <v>29</v>
      </c>
      <c r="D99" s="68" t="s">
        <v>28</v>
      </c>
      <c r="E99" s="68" t="s">
        <v>259</v>
      </c>
      <c r="F99" s="68">
        <v>9</v>
      </c>
      <c r="G99" s="77">
        <v>0</v>
      </c>
      <c r="H99" s="77">
        <v>2</v>
      </c>
      <c r="I99" s="77">
        <v>0</v>
      </c>
      <c r="J99" s="47">
        <v>1</v>
      </c>
      <c r="K99" s="47">
        <v>0</v>
      </c>
      <c r="L99" s="47">
        <v>0</v>
      </c>
      <c r="M99" s="47">
        <f t="shared" si="2"/>
        <v>3</v>
      </c>
      <c r="N99" s="47"/>
    </row>
    <row r="100" spans="1:14" ht="15.5" x14ac:dyDescent="0.35">
      <c r="A100" s="73">
        <v>95</v>
      </c>
      <c r="B100" s="58">
        <v>129374</v>
      </c>
      <c r="C100" s="68" t="s">
        <v>704</v>
      </c>
      <c r="D100" s="68" t="s">
        <v>515</v>
      </c>
      <c r="E100" s="68" t="s">
        <v>67</v>
      </c>
      <c r="F100" s="68">
        <v>10</v>
      </c>
      <c r="G100" s="77">
        <v>0</v>
      </c>
      <c r="H100" s="77">
        <v>2</v>
      </c>
      <c r="I100" s="77">
        <v>0</v>
      </c>
      <c r="J100" s="47">
        <v>1</v>
      </c>
      <c r="K100" s="47">
        <v>0</v>
      </c>
      <c r="L100" s="47">
        <v>0</v>
      </c>
      <c r="M100" s="47">
        <f t="shared" si="2"/>
        <v>3</v>
      </c>
      <c r="N100" s="47"/>
    </row>
    <row r="101" spans="1:14" ht="15.5" x14ac:dyDescent="0.35">
      <c r="A101" s="73">
        <v>96</v>
      </c>
      <c r="B101" s="68">
        <v>137434</v>
      </c>
      <c r="C101" s="68" t="s">
        <v>705</v>
      </c>
      <c r="D101" s="68" t="s">
        <v>243</v>
      </c>
      <c r="E101" s="68" t="s">
        <v>97</v>
      </c>
      <c r="F101" s="68">
        <v>10</v>
      </c>
      <c r="G101" s="68">
        <v>0</v>
      </c>
      <c r="H101" s="68">
        <v>2</v>
      </c>
      <c r="I101" s="68">
        <v>0</v>
      </c>
      <c r="J101" s="47">
        <v>1</v>
      </c>
      <c r="K101" s="47">
        <v>0</v>
      </c>
      <c r="L101" s="47">
        <v>0</v>
      </c>
      <c r="M101" s="47">
        <f t="shared" si="2"/>
        <v>3</v>
      </c>
      <c r="N101" s="47"/>
    </row>
    <row r="102" spans="1:14" ht="15.5" x14ac:dyDescent="0.35">
      <c r="A102" s="73">
        <v>97</v>
      </c>
      <c r="B102" s="68">
        <v>231949</v>
      </c>
      <c r="C102" s="68" t="s">
        <v>706</v>
      </c>
      <c r="D102" s="68" t="s">
        <v>135</v>
      </c>
      <c r="E102" s="68" t="s">
        <v>707</v>
      </c>
      <c r="F102" s="68">
        <v>10</v>
      </c>
      <c r="G102" s="68">
        <v>0</v>
      </c>
      <c r="H102" s="68">
        <v>2</v>
      </c>
      <c r="I102" s="68">
        <v>0</v>
      </c>
      <c r="J102" s="52">
        <v>1</v>
      </c>
      <c r="K102" s="47">
        <v>0</v>
      </c>
      <c r="L102" s="47">
        <v>0</v>
      </c>
      <c r="M102" s="47">
        <f t="shared" si="2"/>
        <v>3</v>
      </c>
      <c r="N102" s="47"/>
    </row>
    <row r="103" spans="1:14" ht="15.5" x14ac:dyDescent="0.35">
      <c r="A103" s="73">
        <v>98</v>
      </c>
      <c r="B103" s="68">
        <v>85742</v>
      </c>
      <c r="C103" s="68" t="s">
        <v>189</v>
      </c>
      <c r="D103" s="68" t="s">
        <v>708</v>
      </c>
      <c r="E103" s="68" t="s">
        <v>153</v>
      </c>
      <c r="F103" s="78">
        <v>9</v>
      </c>
      <c r="G103" s="78">
        <v>0</v>
      </c>
      <c r="H103" s="78">
        <v>2</v>
      </c>
      <c r="I103" s="78">
        <v>0</v>
      </c>
      <c r="J103" s="47">
        <v>1</v>
      </c>
      <c r="K103" s="47">
        <v>0</v>
      </c>
      <c r="L103" s="47">
        <v>0</v>
      </c>
      <c r="M103" s="47">
        <f t="shared" si="2"/>
        <v>3</v>
      </c>
      <c r="N103" s="47"/>
    </row>
    <row r="104" spans="1:14" ht="15.5" x14ac:dyDescent="0.35">
      <c r="A104" s="73">
        <v>99</v>
      </c>
      <c r="B104" s="68">
        <v>231958</v>
      </c>
      <c r="C104" s="68" t="s">
        <v>709</v>
      </c>
      <c r="D104" s="68" t="s">
        <v>710</v>
      </c>
      <c r="E104" s="68" t="s">
        <v>707</v>
      </c>
      <c r="F104" s="78">
        <v>9</v>
      </c>
      <c r="G104" s="78">
        <v>0</v>
      </c>
      <c r="H104" s="78">
        <v>2</v>
      </c>
      <c r="I104" s="78">
        <v>0</v>
      </c>
      <c r="J104" s="47">
        <v>1</v>
      </c>
      <c r="K104" s="47">
        <v>0</v>
      </c>
      <c r="L104" s="47">
        <v>0</v>
      </c>
      <c r="M104" s="47">
        <f t="shared" si="2"/>
        <v>3</v>
      </c>
      <c r="N104" s="47"/>
    </row>
    <row r="105" spans="1:14" ht="15.5" x14ac:dyDescent="0.35">
      <c r="A105" s="73">
        <v>100</v>
      </c>
      <c r="B105" s="80">
        <v>214837</v>
      </c>
      <c r="C105" s="68" t="s">
        <v>324</v>
      </c>
      <c r="D105" s="68" t="s">
        <v>711</v>
      </c>
      <c r="E105" s="68" t="s">
        <v>73</v>
      </c>
      <c r="F105" s="68">
        <v>10</v>
      </c>
      <c r="G105" s="68">
        <v>0</v>
      </c>
      <c r="H105" s="68">
        <v>2</v>
      </c>
      <c r="I105" s="68">
        <v>0</v>
      </c>
      <c r="J105" s="47">
        <v>1</v>
      </c>
      <c r="K105" s="47">
        <v>0</v>
      </c>
      <c r="L105" s="47">
        <v>0</v>
      </c>
      <c r="M105" s="47">
        <f t="shared" si="2"/>
        <v>3</v>
      </c>
      <c r="N105" s="47"/>
    </row>
    <row r="106" spans="1:14" ht="15.5" x14ac:dyDescent="0.35">
      <c r="A106" s="73">
        <v>101</v>
      </c>
      <c r="B106" s="68">
        <v>158934</v>
      </c>
      <c r="C106" s="68" t="s">
        <v>712</v>
      </c>
      <c r="D106" s="68" t="s">
        <v>54</v>
      </c>
      <c r="E106" s="68" t="s">
        <v>298</v>
      </c>
      <c r="F106" s="68">
        <v>10</v>
      </c>
      <c r="G106" s="68">
        <v>0</v>
      </c>
      <c r="H106" s="68">
        <v>2</v>
      </c>
      <c r="I106" s="68">
        <v>0</v>
      </c>
      <c r="J106" s="47">
        <v>1</v>
      </c>
      <c r="K106" s="47">
        <v>0</v>
      </c>
      <c r="L106" s="47">
        <v>0</v>
      </c>
      <c r="M106" s="47">
        <f t="shared" si="2"/>
        <v>3</v>
      </c>
      <c r="N106" s="47"/>
    </row>
    <row r="107" spans="1:14" ht="15.5" x14ac:dyDescent="0.35">
      <c r="A107" s="73">
        <v>102</v>
      </c>
      <c r="B107" s="76">
        <v>209807</v>
      </c>
      <c r="C107" s="76" t="s">
        <v>713</v>
      </c>
      <c r="D107" s="76" t="s">
        <v>714</v>
      </c>
      <c r="E107" s="76" t="s">
        <v>122</v>
      </c>
      <c r="F107" s="76">
        <v>9</v>
      </c>
      <c r="G107" s="68">
        <v>0</v>
      </c>
      <c r="H107" s="68">
        <v>2</v>
      </c>
      <c r="I107" s="68">
        <v>0</v>
      </c>
      <c r="J107" s="47">
        <v>1</v>
      </c>
      <c r="K107" s="47">
        <v>0</v>
      </c>
      <c r="L107" s="47">
        <v>0</v>
      </c>
      <c r="M107" s="47">
        <f t="shared" si="2"/>
        <v>3</v>
      </c>
      <c r="N107" s="47"/>
    </row>
    <row r="108" spans="1:14" ht="15.5" x14ac:dyDescent="0.35">
      <c r="A108" s="73">
        <v>103</v>
      </c>
      <c r="B108" s="68">
        <v>201462</v>
      </c>
      <c r="C108" s="68" t="s">
        <v>715</v>
      </c>
      <c r="D108" s="76" t="s">
        <v>716</v>
      </c>
      <c r="E108" s="68" t="s">
        <v>476</v>
      </c>
      <c r="F108" s="68">
        <v>10</v>
      </c>
      <c r="G108" s="68">
        <v>0</v>
      </c>
      <c r="H108" s="68">
        <v>2</v>
      </c>
      <c r="I108" s="68">
        <v>0</v>
      </c>
      <c r="J108" s="47">
        <v>1</v>
      </c>
      <c r="K108" s="47">
        <v>0</v>
      </c>
      <c r="L108" s="47">
        <v>0</v>
      </c>
      <c r="M108" s="47">
        <f t="shared" si="2"/>
        <v>3</v>
      </c>
      <c r="N108" s="47"/>
    </row>
    <row r="109" spans="1:14" ht="15.5" x14ac:dyDescent="0.35">
      <c r="A109" s="73">
        <v>104</v>
      </c>
      <c r="B109" s="68">
        <v>85733</v>
      </c>
      <c r="C109" s="68" t="s">
        <v>418</v>
      </c>
      <c r="D109" s="68" t="s">
        <v>329</v>
      </c>
      <c r="E109" s="68" t="s">
        <v>686</v>
      </c>
      <c r="F109" s="68">
        <v>10</v>
      </c>
      <c r="G109" s="68">
        <v>0</v>
      </c>
      <c r="H109" s="68">
        <v>2</v>
      </c>
      <c r="I109" s="68">
        <v>0</v>
      </c>
      <c r="J109" s="47">
        <v>1</v>
      </c>
      <c r="K109" s="47">
        <v>0</v>
      </c>
      <c r="L109" s="47">
        <v>0</v>
      </c>
      <c r="M109" s="47">
        <f t="shared" si="2"/>
        <v>3</v>
      </c>
      <c r="N109" s="47"/>
    </row>
    <row r="110" spans="1:14" ht="15.5" x14ac:dyDescent="0.35">
      <c r="A110" s="73">
        <v>105</v>
      </c>
      <c r="B110" s="73">
        <v>85735</v>
      </c>
      <c r="C110" s="68" t="s">
        <v>717</v>
      </c>
      <c r="D110" s="68" t="s">
        <v>718</v>
      </c>
      <c r="E110" s="68" t="s">
        <v>686</v>
      </c>
      <c r="F110" s="68">
        <v>10</v>
      </c>
      <c r="G110" s="75">
        <v>0</v>
      </c>
      <c r="H110" s="75">
        <v>2</v>
      </c>
      <c r="I110" s="75">
        <v>0</v>
      </c>
      <c r="J110" s="47"/>
      <c r="K110" s="47"/>
      <c r="L110" s="47"/>
      <c r="M110" s="47">
        <f t="shared" si="2"/>
        <v>2</v>
      </c>
      <c r="N110" s="47"/>
    </row>
    <row r="111" spans="1:14" ht="15.5" x14ac:dyDescent="0.35">
      <c r="A111" s="73">
        <v>106</v>
      </c>
      <c r="B111" s="73">
        <v>137191</v>
      </c>
      <c r="C111" s="68" t="s">
        <v>719</v>
      </c>
      <c r="D111" s="68" t="s">
        <v>720</v>
      </c>
      <c r="E111" s="68" t="s">
        <v>259</v>
      </c>
      <c r="F111" s="68">
        <v>9</v>
      </c>
      <c r="G111" s="75">
        <v>0</v>
      </c>
      <c r="H111" s="75">
        <v>2</v>
      </c>
      <c r="I111" s="75">
        <v>0</v>
      </c>
      <c r="J111" s="47">
        <v>0</v>
      </c>
      <c r="K111" s="47">
        <v>0</v>
      </c>
      <c r="L111" s="47">
        <v>0</v>
      </c>
      <c r="M111" s="47">
        <f t="shared" si="2"/>
        <v>2</v>
      </c>
      <c r="N111" s="47"/>
    </row>
    <row r="112" spans="1:14" ht="15.5" x14ac:dyDescent="0.35">
      <c r="A112" s="73">
        <v>107</v>
      </c>
      <c r="B112" s="73">
        <v>184977</v>
      </c>
      <c r="C112" s="68" t="s">
        <v>721</v>
      </c>
      <c r="D112" s="68" t="s">
        <v>211</v>
      </c>
      <c r="E112" s="68" t="s">
        <v>220</v>
      </c>
      <c r="F112" s="68">
        <v>10</v>
      </c>
      <c r="G112" s="68">
        <v>0</v>
      </c>
      <c r="H112" s="68">
        <v>2</v>
      </c>
      <c r="I112" s="68">
        <v>0</v>
      </c>
      <c r="J112" s="47">
        <v>0</v>
      </c>
      <c r="K112" s="47">
        <v>0</v>
      </c>
      <c r="L112" s="47">
        <v>0</v>
      </c>
      <c r="M112" s="47">
        <f t="shared" si="2"/>
        <v>2</v>
      </c>
      <c r="N112" s="47"/>
    </row>
    <row r="113" spans="1:14" ht="15.5" x14ac:dyDescent="0.35">
      <c r="A113" s="73">
        <v>108</v>
      </c>
      <c r="B113" s="68">
        <v>202879</v>
      </c>
      <c r="C113" s="68" t="s">
        <v>60</v>
      </c>
      <c r="D113" s="68" t="s">
        <v>705</v>
      </c>
      <c r="E113" s="68" t="s">
        <v>472</v>
      </c>
      <c r="F113" s="78">
        <v>9</v>
      </c>
      <c r="G113" s="78">
        <v>0</v>
      </c>
      <c r="H113" s="78">
        <v>2</v>
      </c>
      <c r="I113" s="78">
        <v>0</v>
      </c>
      <c r="J113" s="47"/>
      <c r="K113" s="47"/>
      <c r="L113" s="47"/>
      <c r="M113" s="47">
        <f t="shared" si="2"/>
        <v>2</v>
      </c>
      <c r="N113" s="47"/>
    </row>
    <row r="114" spans="1:14" ht="15.5" x14ac:dyDescent="0.35">
      <c r="A114" s="73">
        <v>109</v>
      </c>
      <c r="B114" s="68">
        <v>197268</v>
      </c>
      <c r="C114" s="68" t="s">
        <v>722</v>
      </c>
      <c r="D114" s="68" t="s">
        <v>531</v>
      </c>
      <c r="E114" s="68" t="s">
        <v>259</v>
      </c>
      <c r="F114" s="78">
        <v>9</v>
      </c>
      <c r="G114" s="78">
        <v>0</v>
      </c>
      <c r="H114" s="78">
        <v>2</v>
      </c>
      <c r="I114" s="78">
        <v>0</v>
      </c>
      <c r="J114" s="47"/>
      <c r="K114" s="47"/>
      <c r="L114" s="47"/>
      <c r="M114" s="47">
        <f t="shared" si="2"/>
        <v>2</v>
      </c>
      <c r="N114" s="47"/>
    </row>
    <row r="115" spans="1:14" ht="15.5" x14ac:dyDescent="0.35">
      <c r="A115" s="73">
        <v>110</v>
      </c>
      <c r="B115" s="68">
        <v>219242</v>
      </c>
      <c r="C115" s="68" t="s">
        <v>723</v>
      </c>
      <c r="D115" s="68" t="s">
        <v>724</v>
      </c>
      <c r="E115" s="68" t="s">
        <v>259</v>
      </c>
      <c r="F115" s="68">
        <v>9</v>
      </c>
      <c r="G115" s="68">
        <v>0</v>
      </c>
      <c r="H115" s="68">
        <v>2</v>
      </c>
      <c r="I115" s="68">
        <v>0</v>
      </c>
      <c r="J115" s="47">
        <v>0</v>
      </c>
      <c r="K115" s="47">
        <v>0</v>
      </c>
      <c r="L115" s="47">
        <v>0</v>
      </c>
      <c r="M115" s="47">
        <f t="shared" si="2"/>
        <v>2</v>
      </c>
      <c r="N115" s="47"/>
    </row>
    <row r="116" spans="1:14" ht="15.5" x14ac:dyDescent="0.35">
      <c r="A116" s="73">
        <v>111</v>
      </c>
      <c r="B116" s="68">
        <v>125507</v>
      </c>
      <c r="C116" s="68" t="s">
        <v>247</v>
      </c>
      <c r="D116" s="68" t="s">
        <v>725</v>
      </c>
      <c r="E116" s="68" t="s">
        <v>100</v>
      </c>
      <c r="F116" s="68">
        <v>9</v>
      </c>
      <c r="G116" s="68">
        <v>0</v>
      </c>
      <c r="H116" s="68">
        <v>2</v>
      </c>
      <c r="I116" s="68">
        <v>0</v>
      </c>
      <c r="J116" s="47">
        <v>0</v>
      </c>
      <c r="K116" s="47">
        <v>0</v>
      </c>
      <c r="L116" s="47">
        <v>0</v>
      </c>
      <c r="M116" s="47">
        <f t="shared" si="2"/>
        <v>2</v>
      </c>
      <c r="N116" s="47"/>
    </row>
    <row r="117" spans="1:14" ht="15.5" x14ac:dyDescent="0.35">
      <c r="A117" s="73">
        <v>112</v>
      </c>
      <c r="B117" s="68">
        <v>197275</v>
      </c>
      <c r="C117" s="68" t="s">
        <v>276</v>
      </c>
      <c r="D117" s="68" t="s">
        <v>174</v>
      </c>
      <c r="E117" s="68" t="s">
        <v>259</v>
      </c>
      <c r="F117" s="68">
        <v>9</v>
      </c>
      <c r="G117" s="68">
        <v>0</v>
      </c>
      <c r="H117" s="68">
        <v>2</v>
      </c>
      <c r="I117" s="68">
        <v>0</v>
      </c>
      <c r="J117" s="47"/>
      <c r="K117" s="47"/>
      <c r="L117" s="47"/>
      <c r="M117" s="47">
        <f t="shared" si="2"/>
        <v>2</v>
      </c>
      <c r="N117" s="47"/>
    </row>
    <row r="118" spans="1:14" ht="15.5" x14ac:dyDescent="0.35">
      <c r="A118" s="73">
        <v>113</v>
      </c>
      <c r="B118" s="68">
        <v>136342</v>
      </c>
      <c r="C118" s="68" t="s">
        <v>110</v>
      </c>
      <c r="D118" s="68" t="s">
        <v>593</v>
      </c>
      <c r="E118" s="68" t="s">
        <v>131</v>
      </c>
      <c r="F118" s="68">
        <v>10</v>
      </c>
      <c r="G118" s="68"/>
      <c r="H118" s="68"/>
      <c r="I118" s="68"/>
      <c r="J118" s="47">
        <v>2</v>
      </c>
      <c r="K118" s="47">
        <v>0</v>
      </c>
      <c r="L118" s="47">
        <v>0</v>
      </c>
      <c r="M118" s="47">
        <f t="shared" si="2"/>
        <v>2</v>
      </c>
      <c r="N118" s="47"/>
    </row>
    <row r="119" spans="1:14" ht="15.5" x14ac:dyDescent="0.35">
      <c r="A119" s="73">
        <v>114</v>
      </c>
      <c r="B119" s="68">
        <v>211330</v>
      </c>
      <c r="C119" s="68" t="s">
        <v>726</v>
      </c>
      <c r="D119" s="68" t="s">
        <v>286</v>
      </c>
      <c r="E119" s="68" t="s">
        <v>35</v>
      </c>
      <c r="F119" s="68">
        <v>10</v>
      </c>
      <c r="G119" s="68"/>
      <c r="H119" s="68"/>
      <c r="I119" s="68"/>
      <c r="J119" s="47">
        <v>2</v>
      </c>
      <c r="K119" s="47">
        <v>0</v>
      </c>
      <c r="L119" s="47">
        <v>0</v>
      </c>
      <c r="M119" s="47">
        <v>2</v>
      </c>
      <c r="N119" s="47"/>
    </row>
    <row r="120" spans="1:14" ht="15.5" x14ac:dyDescent="0.35">
      <c r="A120" s="73">
        <v>115</v>
      </c>
      <c r="B120" s="76">
        <v>214606</v>
      </c>
      <c r="C120" s="68" t="s">
        <v>386</v>
      </c>
      <c r="D120" s="68" t="s">
        <v>646</v>
      </c>
      <c r="E120" s="68" t="s">
        <v>419</v>
      </c>
      <c r="F120" s="68">
        <v>9</v>
      </c>
      <c r="G120" s="68">
        <v>0</v>
      </c>
      <c r="H120" s="68">
        <v>1</v>
      </c>
      <c r="I120" s="68">
        <v>0</v>
      </c>
      <c r="J120" s="47"/>
      <c r="K120" s="47"/>
      <c r="L120" s="47"/>
      <c r="M120" s="47">
        <f t="shared" ref="M120:M130" si="3">SUM(G120:L120)</f>
        <v>1</v>
      </c>
      <c r="N120" s="47"/>
    </row>
    <row r="121" spans="1:14" ht="15.5" x14ac:dyDescent="0.35">
      <c r="A121" s="73">
        <v>116</v>
      </c>
      <c r="B121" s="57">
        <v>191551</v>
      </c>
      <c r="C121" s="68" t="s">
        <v>324</v>
      </c>
      <c r="D121" s="68" t="s">
        <v>727</v>
      </c>
      <c r="E121" s="68" t="s">
        <v>126</v>
      </c>
      <c r="F121" s="68">
        <v>10</v>
      </c>
      <c r="G121" s="74"/>
      <c r="H121" s="74"/>
      <c r="I121" s="74"/>
      <c r="J121" s="47">
        <v>1</v>
      </c>
      <c r="K121" s="47">
        <v>0</v>
      </c>
      <c r="L121" s="47">
        <v>0</v>
      </c>
      <c r="M121" s="47">
        <f t="shared" si="3"/>
        <v>1</v>
      </c>
      <c r="N121" s="47"/>
    </row>
    <row r="122" spans="1:14" ht="15.5" x14ac:dyDescent="0.35">
      <c r="A122" s="73">
        <v>117</v>
      </c>
      <c r="B122" s="73">
        <v>197272</v>
      </c>
      <c r="C122" s="68" t="s">
        <v>728</v>
      </c>
      <c r="D122" s="68" t="s">
        <v>150</v>
      </c>
      <c r="E122" s="68" t="s">
        <v>259</v>
      </c>
      <c r="F122" s="68">
        <v>9</v>
      </c>
      <c r="G122" s="68">
        <v>0</v>
      </c>
      <c r="H122" s="68">
        <v>0</v>
      </c>
      <c r="I122" s="68">
        <v>0</v>
      </c>
      <c r="J122" s="47">
        <v>1</v>
      </c>
      <c r="K122" s="47">
        <v>0</v>
      </c>
      <c r="L122" s="47">
        <v>0</v>
      </c>
      <c r="M122" s="47">
        <f t="shared" si="3"/>
        <v>1</v>
      </c>
      <c r="N122" s="47"/>
    </row>
    <row r="123" spans="1:14" ht="15.5" x14ac:dyDescent="0.35">
      <c r="A123" s="73">
        <v>118</v>
      </c>
      <c r="B123" s="58">
        <v>155156</v>
      </c>
      <c r="C123" s="68" t="s">
        <v>729</v>
      </c>
      <c r="D123" s="68" t="s">
        <v>730</v>
      </c>
      <c r="E123" s="68" t="s">
        <v>41</v>
      </c>
      <c r="F123" s="68">
        <v>10</v>
      </c>
      <c r="G123" s="77">
        <v>0</v>
      </c>
      <c r="H123" s="77">
        <v>0</v>
      </c>
      <c r="I123" s="68">
        <v>0</v>
      </c>
      <c r="J123" s="47">
        <v>1</v>
      </c>
      <c r="K123" s="47">
        <v>0</v>
      </c>
      <c r="L123" s="47">
        <v>0</v>
      </c>
      <c r="M123" s="47">
        <f t="shared" si="3"/>
        <v>1</v>
      </c>
      <c r="N123" s="47"/>
    </row>
    <row r="124" spans="1:14" ht="15.5" x14ac:dyDescent="0.35">
      <c r="A124" s="73">
        <v>119</v>
      </c>
      <c r="B124" s="68">
        <v>225101</v>
      </c>
      <c r="C124" s="68" t="s">
        <v>359</v>
      </c>
      <c r="D124" s="68" t="s">
        <v>696</v>
      </c>
      <c r="E124" s="68" t="s">
        <v>731</v>
      </c>
      <c r="F124" s="68">
        <v>9</v>
      </c>
      <c r="G124" s="68">
        <v>0</v>
      </c>
      <c r="H124" s="68">
        <v>0</v>
      </c>
      <c r="I124" s="68">
        <v>0</v>
      </c>
      <c r="J124" s="47">
        <v>1</v>
      </c>
      <c r="K124" s="47">
        <v>0</v>
      </c>
      <c r="L124" s="47">
        <v>0</v>
      </c>
      <c r="M124" s="47">
        <f t="shared" si="3"/>
        <v>1</v>
      </c>
      <c r="N124" s="47"/>
    </row>
    <row r="125" spans="1:14" ht="15.5" x14ac:dyDescent="0.35">
      <c r="A125" s="73">
        <v>120</v>
      </c>
      <c r="B125" s="73">
        <v>194859</v>
      </c>
      <c r="C125" s="68" t="s">
        <v>359</v>
      </c>
      <c r="D125" s="68" t="s">
        <v>148</v>
      </c>
      <c r="E125" s="68" t="s">
        <v>670</v>
      </c>
      <c r="F125" s="68">
        <v>10</v>
      </c>
      <c r="G125" s="68">
        <v>0</v>
      </c>
      <c r="H125" s="68">
        <v>0</v>
      </c>
      <c r="I125" s="68">
        <v>0</v>
      </c>
      <c r="J125" s="47">
        <v>1</v>
      </c>
      <c r="K125" s="47">
        <v>0</v>
      </c>
      <c r="L125" s="47">
        <v>0</v>
      </c>
      <c r="M125" s="47">
        <f t="shared" si="3"/>
        <v>1</v>
      </c>
      <c r="N125" s="47"/>
    </row>
    <row r="126" spans="1:14" ht="15.5" x14ac:dyDescent="0.35">
      <c r="A126" s="73">
        <v>121</v>
      </c>
      <c r="B126" s="80">
        <v>122440</v>
      </c>
      <c r="C126" s="68" t="s">
        <v>732</v>
      </c>
      <c r="D126" s="68" t="s">
        <v>733</v>
      </c>
      <c r="E126" s="68" t="s">
        <v>73</v>
      </c>
      <c r="F126" s="68">
        <v>10</v>
      </c>
      <c r="G126" s="68">
        <v>0</v>
      </c>
      <c r="H126" s="68">
        <v>0</v>
      </c>
      <c r="I126" s="68">
        <v>0</v>
      </c>
      <c r="J126" s="47">
        <v>1</v>
      </c>
      <c r="K126" s="47">
        <v>0</v>
      </c>
      <c r="L126" s="47">
        <v>0</v>
      </c>
      <c r="M126" s="47">
        <f t="shared" si="3"/>
        <v>1</v>
      </c>
      <c r="N126" s="47"/>
    </row>
    <row r="127" spans="1:14" ht="16" customHeight="1" x14ac:dyDescent="0.35">
      <c r="A127" s="73">
        <v>122</v>
      </c>
      <c r="B127" s="80">
        <v>214862</v>
      </c>
      <c r="C127" s="68" t="s">
        <v>734</v>
      </c>
      <c r="D127" s="68" t="s">
        <v>735</v>
      </c>
      <c r="E127" s="68" t="s">
        <v>73</v>
      </c>
      <c r="F127" s="68">
        <v>10</v>
      </c>
      <c r="G127" s="68">
        <v>0</v>
      </c>
      <c r="H127" s="68">
        <v>0</v>
      </c>
      <c r="I127" s="68">
        <v>0</v>
      </c>
      <c r="J127" s="47">
        <v>1</v>
      </c>
      <c r="K127" s="47">
        <v>0</v>
      </c>
      <c r="L127" s="47">
        <v>0</v>
      </c>
      <c r="M127" s="47">
        <f t="shared" si="3"/>
        <v>1</v>
      </c>
      <c r="N127" s="47"/>
    </row>
    <row r="128" spans="1:14" ht="15.5" x14ac:dyDescent="0.35">
      <c r="A128" s="73">
        <v>123</v>
      </c>
      <c r="B128" s="58">
        <v>193877</v>
      </c>
      <c r="C128" s="68" t="s">
        <v>736</v>
      </c>
      <c r="D128" s="68" t="s">
        <v>310</v>
      </c>
      <c r="E128" s="68" t="s">
        <v>692</v>
      </c>
      <c r="F128" s="68">
        <v>10</v>
      </c>
      <c r="G128" s="81"/>
      <c r="H128" s="81"/>
      <c r="I128" s="81"/>
      <c r="J128" s="47">
        <v>1</v>
      </c>
      <c r="K128" s="47">
        <v>0</v>
      </c>
      <c r="L128" s="47">
        <v>0</v>
      </c>
      <c r="M128" s="47">
        <f t="shared" si="3"/>
        <v>1</v>
      </c>
      <c r="N128" s="47"/>
    </row>
    <row r="129" spans="1:14" ht="15.5" x14ac:dyDescent="0.35">
      <c r="A129" s="73">
        <v>124</v>
      </c>
      <c r="B129" s="73">
        <v>193874</v>
      </c>
      <c r="C129" s="68" t="s">
        <v>737</v>
      </c>
      <c r="D129" s="76" t="s">
        <v>720</v>
      </c>
      <c r="E129" s="68" t="s">
        <v>611</v>
      </c>
      <c r="F129" s="68">
        <v>10</v>
      </c>
      <c r="G129" s="68"/>
      <c r="H129" s="68"/>
      <c r="I129" s="68"/>
      <c r="J129" s="47">
        <v>1</v>
      </c>
      <c r="K129" s="47">
        <v>0</v>
      </c>
      <c r="L129" s="47">
        <v>0</v>
      </c>
      <c r="M129" s="47">
        <f t="shared" si="3"/>
        <v>1</v>
      </c>
      <c r="N129" s="52"/>
    </row>
    <row r="130" spans="1:14" ht="15.5" x14ac:dyDescent="0.35">
      <c r="A130" s="73">
        <v>125</v>
      </c>
      <c r="B130" s="68">
        <v>193866</v>
      </c>
      <c r="C130" s="68" t="s">
        <v>736</v>
      </c>
      <c r="D130" s="68" t="s">
        <v>738</v>
      </c>
      <c r="E130" s="68" t="s">
        <v>692</v>
      </c>
      <c r="F130" s="78">
        <v>9</v>
      </c>
      <c r="G130" s="78"/>
      <c r="H130" s="78"/>
      <c r="I130" s="78"/>
      <c r="J130" s="47">
        <v>1</v>
      </c>
      <c r="K130" s="47">
        <v>0</v>
      </c>
      <c r="L130" s="47">
        <v>0</v>
      </c>
      <c r="M130" s="47">
        <f t="shared" si="3"/>
        <v>1</v>
      </c>
      <c r="N130" s="52"/>
    </row>
    <row r="131" spans="1:14" s="60" customFormat="1" ht="15.5" x14ac:dyDescent="0.35">
      <c r="A131" s="73">
        <v>126</v>
      </c>
      <c r="B131" s="68">
        <v>120371</v>
      </c>
      <c r="C131" s="68" t="s">
        <v>418</v>
      </c>
      <c r="D131" s="68" t="s">
        <v>739</v>
      </c>
      <c r="E131" s="68" t="s">
        <v>268</v>
      </c>
      <c r="F131" s="68">
        <v>9</v>
      </c>
      <c r="G131" s="68"/>
      <c r="H131" s="68"/>
      <c r="I131" s="68"/>
      <c r="J131" s="47">
        <v>1</v>
      </c>
      <c r="K131" s="47">
        <v>0</v>
      </c>
      <c r="L131" s="47">
        <v>0</v>
      </c>
      <c r="M131" s="47">
        <v>1</v>
      </c>
      <c r="N131" s="59"/>
    </row>
    <row r="132" spans="1:14" s="60" customFormat="1" ht="15.5" x14ac:dyDescent="0.35">
      <c r="A132" s="73">
        <v>127</v>
      </c>
      <c r="B132" s="73">
        <v>163127</v>
      </c>
      <c r="C132" s="68" t="s">
        <v>740</v>
      </c>
      <c r="D132" s="68" t="s">
        <v>589</v>
      </c>
      <c r="E132" s="68" t="s">
        <v>191</v>
      </c>
      <c r="F132" s="68">
        <v>10</v>
      </c>
      <c r="G132" s="68"/>
      <c r="H132" s="68"/>
      <c r="I132" s="68"/>
      <c r="J132" s="47">
        <v>1</v>
      </c>
      <c r="K132" s="47">
        <v>0</v>
      </c>
      <c r="L132" s="47">
        <v>0</v>
      </c>
      <c r="M132" s="47">
        <f t="shared" ref="M132:M143" si="4">SUM(G132:L132)</f>
        <v>1</v>
      </c>
      <c r="N132" s="59"/>
    </row>
    <row r="133" spans="1:14" s="60" customFormat="1" ht="15.5" x14ac:dyDescent="0.35">
      <c r="A133" s="73">
        <v>128</v>
      </c>
      <c r="B133" s="68">
        <v>163140</v>
      </c>
      <c r="C133" s="68" t="s">
        <v>119</v>
      </c>
      <c r="D133" s="68" t="s">
        <v>589</v>
      </c>
      <c r="E133" s="68" t="s">
        <v>191</v>
      </c>
      <c r="F133" s="78">
        <v>10</v>
      </c>
      <c r="G133" s="78"/>
      <c r="H133" s="78"/>
      <c r="I133" s="78"/>
      <c r="J133" s="47">
        <v>1</v>
      </c>
      <c r="K133" s="47">
        <v>0</v>
      </c>
      <c r="L133" s="47">
        <v>0</v>
      </c>
      <c r="M133" s="47">
        <f t="shared" si="4"/>
        <v>1</v>
      </c>
      <c r="N133" s="59"/>
    </row>
    <row r="134" spans="1:14" ht="15.5" x14ac:dyDescent="0.35">
      <c r="A134" s="73">
        <v>129</v>
      </c>
      <c r="B134" s="73">
        <v>227789</v>
      </c>
      <c r="C134" s="68" t="s">
        <v>741</v>
      </c>
      <c r="D134" s="68" t="s">
        <v>90</v>
      </c>
      <c r="E134" s="68" t="s">
        <v>488</v>
      </c>
      <c r="F134" s="68">
        <v>10</v>
      </c>
      <c r="G134" s="75">
        <v>0</v>
      </c>
      <c r="H134" s="75">
        <v>0</v>
      </c>
      <c r="I134" s="75">
        <v>0</v>
      </c>
      <c r="J134" s="47"/>
      <c r="K134" s="47"/>
      <c r="L134" s="47"/>
      <c r="M134" s="47">
        <f t="shared" si="4"/>
        <v>0</v>
      </c>
      <c r="N134" s="52"/>
    </row>
    <row r="135" spans="1:14" ht="15.5" x14ac:dyDescent="0.35">
      <c r="A135" s="73">
        <v>130</v>
      </c>
      <c r="B135" s="73">
        <v>233094</v>
      </c>
      <c r="C135" s="68" t="s">
        <v>251</v>
      </c>
      <c r="D135" s="68" t="s">
        <v>584</v>
      </c>
      <c r="E135" s="68" t="s">
        <v>742</v>
      </c>
      <c r="F135" s="68">
        <v>10</v>
      </c>
      <c r="G135" s="68">
        <v>0</v>
      </c>
      <c r="H135" s="68">
        <v>0</v>
      </c>
      <c r="I135" s="68">
        <v>0</v>
      </c>
      <c r="J135" s="47">
        <v>0</v>
      </c>
      <c r="K135" s="47">
        <v>0</v>
      </c>
      <c r="L135" s="47">
        <v>0</v>
      </c>
      <c r="M135" s="47">
        <f t="shared" si="4"/>
        <v>0</v>
      </c>
      <c r="N135" s="52"/>
    </row>
    <row r="136" spans="1:14" ht="15.5" x14ac:dyDescent="0.35">
      <c r="A136" s="73">
        <v>131</v>
      </c>
      <c r="B136" s="73">
        <v>169479</v>
      </c>
      <c r="C136" s="68" t="s">
        <v>743</v>
      </c>
      <c r="D136" s="68" t="s">
        <v>403</v>
      </c>
      <c r="E136" s="68" t="s">
        <v>419</v>
      </c>
      <c r="F136" s="68">
        <v>9</v>
      </c>
      <c r="G136" s="77">
        <v>0</v>
      </c>
      <c r="H136" s="77">
        <v>0</v>
      </c>
      <c r="I136" s="77">
        <v>0</v>
      </c>
      <c r="J136" s="47">
        <v>0</v>
      </c>
      <c r="K136" s="47">
        <v>0</v>
      </c>
      <c r="L136" s="47">
        <v>0</v>
      </c>
      <c r="M136" s="47">
        <f t="shared" si="4"/>
        <v>0</v>
      </c>
      <c r="N136" s="52"/>
    </row>
    <row r="137" spans="1:14" ht="15.5" x14ac:dyDescent="0.35">
      <c r="A137" s="73">
        <v>132</v>
      </c>
      <c r="B137" s="73">
        <v>215687</v>
      </c>
      <c r="C137" s="68" t="s">
        <v>187</v>
      </c>
      <c r="D137" s="68" t="s">
        <v>450</v>
      </c>
      <c r="E137" s="68" t="s">
        <v>131</v>
      </c>
      <c r="F137" s="68"/>
      <c r="G137" s="68">
        <v>0</v>
      </c>
      <c r="H137" s="68">
        <v>0</v>
      </c>
      <c r="I137" s="68">
        <v>0</v>
      </c>
      <c r="J137" s="47"/>
      <c r="K137" s="47"/>
      <c r="L137" s="47"/>
      <c r="M137" s="47">
        <f t="shared" si="4"/>
        <v>0</v>
      </c>
      <c r="N137" s="52"/>
    </row>
    <row r="138" spans="1:14" ht="31" x14ac:dyDescent="0.35">
      <c r="A138" s="73">
        <v>133</v>
      </c>
      <c r="B138" s="68">
        <v>201424</v>
      </c>
      <c r="C138" s="68" t="s">
        <v>391</v>
      </c>
      <c r="D138" s="68" t="s">
        <v>297</v>
      </c>
      <c r="E138" s="71" t="s">
        <v>595</v>
      </c>
      <c r="F138" s="71"/>
      <c r="G138" s="68">
        <v>0</v>
      </c>
      <c r="H138" s="68">
        <v>0</v>
      </c>
      <c r="I138" s="68">
        <v>0</v>
      </c>
      <c r="J138" s="52"/>
      <c r="K138" s="47"/>
      <c r="L138" s="47"/>
      <c r="M138" s="47">
        <f t="shared" si="4"/>
        <v>0</v>
      </c>
      <c r="N138" s="52"/>
    </row>
    <row r="139" spans="1:14" ht="15.5" x14ac:dyDescent="0.35">
      <c r="A139" s="73">
        <v>134</v>
      </c>
      <c r="B139" s="68">
        <v>207667</v>
      </c>
      <c r="C139" s="68" t="s">
        <v>617</v>
      </c>
      <c r="D139" s="68" t="s">
        <v>744</v>
      </c>
      <c r="E139" s="68" t="s">
        <v>623</v>
      </c>
      <c r="F139" s="78">
        <v>9</v>
      </c>
      <c r="G139" s="78">
        <v>0</v>
      </c>
      <c r="H139" s="78">
        <v>0</v>
      </c>
      <c r="I139" s="78">
        <v>0</v>
      </c>
      <c r="J139" s="47"/>
      <c r="K139" s="47"/>
      <c r="L139" s="47"/>
      <c r="M139" s="47">
        <f t="shared" si="4"/>
        <v>0</v>
      </c>
      <c r="N139" s="52"/>
    </row>
    <row r="140" spans="1:14" ht="15.5" x14ac:dyDescent="0.35">
      <c r="A140" s="73">
        <v>135</v>
      </c>
      <c r="B140" s="76">
        <v>597774</v>
      </c>
      <c r="C140" s="76" t="s">
        <v>418</v>
      </c>
      <c r="D140" s="76" t="s">
        <v>745</v>
      </c>
      <c r="E140" s="76" t="s">
        <v>122</v>
      </c>
      <c r="F140" s="78">
        <v>9</v>
      </c>
      <c r="G140" s="78">
        <v>0</v>
      </c>
      <c r="H140" s="82">
        <v>0</v>
      </c>
      <c r="I140" s="82">
        <v>0</v>
      </c>
      <c r="J140" s="47">
        <v>0</v>
      </c>
      <c r="K140" s="47">
        <v>0</v>
      </c>
      <c r="L140" s="47">
        <v>0</v>
      </c>
      <c r="M140" s="47">
        <f t="shared" si="4"/>
        <v>0</v>
      </c>
      <c r="N140" s="52"/>
    </row>
    <row r="141" spans="1:14" ht="15.5" x14ac:dyDescent="0.35">
      <c r="A141" s="73">
        <v>136</v>
      </c>
      <c r="B141" s="68">
        <v>224795</v>
      </c>
      <c r="C141" s="68" t="s">
        <v>740</v>
      </c>
      <c r="D141" s="68" t="s">
        <v>65</v>
      </c>
      <c r="E141" s="68" t="s">
        <v>335</v>
      </c>
      <c r="F141" s="68">
        <v>10</v>
      </c>
      <c r="G141" s="68">
        <v>0</v>
      </c>
      <c r="H141" s="68">
        <v>0</v>
      </c>
      <c r="I141" s="68">
        <v>0</v>
      </c>
      <c r="J141" s="47">
        <v>0</v>
      </c>
      <c r="K141" s="47">
        <v>0</v>
      </c>
      <c r="L141" s="47">
        <v>0</v>
      </c>
      <c r="M141" s="47">
        <f t="shared" si="4"/>
        <v>0</v>
      </c>
      <c r="N141" s="52"/>
    </row>
    <row r="142" spans="1:14" ht="15.5" x14ac:dyDescent="0.35">
      <c r="A142" s="73">
        <v>137</v>
      </c>
      <c r="B142" s="68">
        <v>214530</v>
      </c>
      <c r="C142" s="68" t="s">
        <v>363</v>
      </c>
      <c r="D142" s="68" t="s">
        <v>746</v>
      </c>
      <c r="E142" s="68" t="s">
        <v>67</v>
      </c>
      <c r="F142" s="68">
        <v>9</v>
      </c>
      <c r="G142" s="68">
        <v>0</v>
      </c>
      <c r="H142" s="68">
        <v>0</v>
      </c>
      <c r="I142" s="68">
        <v>0</v>
      </c>
      <c r="J142" s="47">
        <v>0</v>
      </c>
      <c r="K142" s="47">
        <v>0</v>
      </c>
      <c r="L142" s="47">
        <v>0</v>
      </c>
      <c r="M142" s="47">
        <f t="shared" si="4"/>
        <v>0</v>
      </c>
      <c r="N142" s="52"/>
    </row>
    <row r="143" spans="1:14" ht="15.5" x14ac:dyDescent="0.35">
      <c r="A143" s="73">
        <v>138</v>
      </c>
      <c r="B143" s="73">
        <v>116662</v>
      </c>
      <c r="C143" s="68" t="s">
        <v>668</v>
      </c>
      <c r="D143" s="68" t="s">
        <v>337</v>
      </c>
      <c r="E143" s="68" t="s">
        <v>35</v>
      </c>
      <c r="F143" s="68">
        <v>10</v>
      </c>
      <c r="G143" s="68"/>
      <c r="H143" s="68"/>
      <c r="I143" s="68"/>
      <c r="J143" s="47">
        <v>0</v>
      </c>
      <c r="K143" s="47">
        <v>0</v>
      </c>
      <c r="L143" s="47">
        <v>0</v>
      </c>
      <c r="M143" s="47">
        <f t="shared" si="4"/>
        <v>0</v>
      </c>
      <c r="N143" s="52"/>
    </row>
    <row r="144" spans="1:14" ht="15.5" x14ac:dyDescent="0.35">
      <c r="A144" s="73">
        <v>139</v>
      </c>
      <c r="B144" s="68">
        <v>193865</v>
      </c>
      <c r="C144" s="68" t="s">
        <v>296</v>
      </c>
      <c r="D144" s="68" t="s">
        <v>272</v>
      </c>
      <c r="E144" s="68" t="s">
        <v>692</v>
      </c>
      <c r="F144" s="68">
        <v>9</v>
      </c>
      <c r="G144" s="68"/>
      <c r="H144" s="68"/>
      <c r="I144" s="68"/>
      <c r="J144" s="47">
        <v>0</v>
      </c>
      <c r="K144" s="47">
        <v>0</v>
      </c>
      <c r="L144" s="47">
        <v>0</v>
      </c>
      <c r="M144" s="47">
        <v>0</v>
      </c>
      <c r="N144" s="52"/>
    </row>
    <row r="145" spans="1:14" ht="15.5" x14ac:dyDescent="0.35">
      <c r="A145" s="73">
        <v>140</v>
      </c>
      <c r="B145" s="68">
        <v>193875</v>
      </c>
      <c r="C145" s="68" t="s">
        <v>747</v>
      </c>
      <c r="D145" s="68" t="s">
        <v>205</v>
      </c>
      <c r="E145" s="68" t="s">
        <v>692</v>
      </c>
      <c r="F145" s="68">
        <v>10</v>
      </c>
      <c r="G145" s="68"/>
      <c r="H145" s="68"/>
      <c r="I145" s="68"/>
      <c r="J145" s="47">
        <v>0</v>
      </c>
      <c r="K145" s="47">
        <v>0</v>
      </c>
      <c r="L145" s="47">
        <v>0</v>
      </c>
      <c r="M145" s="47">
        <v>0</v>
      </c>
      <c r="N145" s="52"/>
    </row>
    <row r="146" spans="1:14" ht="15.5" x14ac:dyDescent="0.35">
      <c r="A146" s="73">
        <v>141</v>
      </c>
      <c r="B146" s="68">
        <v>145894</v>
      </c>
      <c r="C146" s="68" t="s">
        <v>748</v>
      </c>
      <c r="D146" s="68" t="s">
        <v>190</v>
      </c>
      <c r="E146" s="68" t="s">
        <v>295</v>
      </c>
      <c r="F146" s="68">
        <v>9</v>
      </c>
      <c r="G146" s="68"/>
      <c r="H146" s="68"/>
      <c r="I146" s="68"/>
      <c r="J146" s="47">
        <v>0</v>
      </c>
      <c r="K146" s="47">
        <v>0</v>
      </c>
      <c r="L146" s="47">
        <v>0</v>
      </c>
      <c r="M146" s="47">
        <v>0</v>
      </c>
      <c r="N146" s="52"/>
    </row>
  </sheetData>
  <mergeCells count="13">
    <mergeCell ref="G4:I4"/>
    <mergeCell ref="J4:L4"/>
    <mergeCell ref="N6:N21"/>
    <mergeCell ref="A1:N1"/>
    <mergeCell ref="A3:A5"/>
    <mergeCell ref="B3:B5"/>
    <mergeCell ref="C3:C5"/>
    <mergeCell ref="D3:D5"/>
    <mergeCell ref="E3:E5"/>
    <mergeCell ref="F3:F5"/>
    <mergeCell ref="G3:L3"/>
    <mergeCell ref="M3:M5"/>
    <mergeCell ref="N3:N5"/>
  </mergeCells>
  <hyperlinks>
    <hyperlink ref="E79" r:id="rId1" xr:uid="{8CDA3F47-52E3-4AF0-B1C2-F71D6388D29B}"/>
    <hyperlink ref="E28" r:id="rId2" xr:uid="{EC6256C0-3022-4375-8D1D-F4E9E1CF6956}"/>
    <hyperlink ref="E111" r:id="rId3" xr:uid="{06756C82-3E25-47C1-BDFA-D25F6EBA6036}"/>
    <hyperlink ref="E121" r:id="rId4" xr:uid="{7FC43991-F184-436C-82E2-4C078D315CE9}"/>
    <hyperlink ref="E29" r:id="rId5" xr:uid="{33B1C86E-D4C0-46CB-A309-B85C33BD66AB}"/>
    <hyperlink ref="E128" r:id="rId6" xr:uid="{1E775653-DB1C-4C79-B3CB-FC9FAAF7E314}"/>
    <hyperlink ref="E30" r:id="rId7" xr:uid="{98582810-4773-4A0E-AA6E-491B50941599}"/>
    <hyperlink ref="E81" r:id="rId8" xr:uid="{A3A4B573-44AD-4BB3-8A3C-646A18980819}"/>
    <hyperlink ref="E93" r:id="rId9" xr:uid="{BCC0FE3B-8393-4A83-9380-65FC4F88FE85}"/>
    <hyperlink ref="E122" r:id="rId10" xr:uid="{63D24CCC-12BF-49CA-83C7-B0A39760C2EA}"/>
    <hyperlink ref="E32" r:id="rId11" xr:uid="{8B7DC7B6-649A-4187-85FB-3F0BE10624C8}"/>
    <hyperlink ref="E60" r:id="rId12" xr:uid="{02161E32-FC53-4EEE-989C-20587922DF92}"/>
    <hyperlink ref="E91" r:id="rId13" xr:uid="{2D983C18-E449-48E3-BB6E-FFD0BC759B28}"/>
    <hyperlink ref="E99" r:id="rId14" xr:uid="{016CFE54-F632-4545-98C7-236F77AB39E4}"/>
    <hyperlink ref="E70" r:id="rId15" xr:uid="{3A65FE53-4BF8-4781-B73B-34A0A31F32F5}"/>
    <hyperlink ref="E100" r:id="rId16" xr:uid="{47387ACE-8005-47B2-8861-82977527B650}"/>
    <hyperlink ref="E36" r:id="rId17" xr:uid="{C0689A9C-75C1-4227-BE73-ACBBCB35E559}"/>
    <hyperlink ref="E118" r:id="rId18" xr:uid="{C3009379-8AB6-4B49-87BD-C50206DF1A85}"/>
    <hyperlink ref="E101" r:id="rId19" xr:uid="{170ED4DC-7F6F-486F-A39E-305972CFE708}"/>
    <hyperlink ref="E38" r:id="rId20" xr:uid="{56461D72-95A8-4B5B-8CC4-A74755D33FB4}"/>
    <hyperlink ref="E39" r:id="rId21" xr:uid="{4018A212-3956-440F-97F4-B1E1ECB261AF}"/>
    <hyperlink ref="E137" r:id="rId22" xr:uid="{437EA12C-3A0F-4530-906A-6C6104DEC05D}"/>
    <hyperlink ref="E83" r:id="rId23" xr:uid="{F15A31F4-4AC0-4B0F-8033-879FE7BA01BF}"/>
    <hyperlink ref="E41" r:id="rId24" xr:uid="{AF9C355E-E037-4F8B-8399-368821D63662}"/>
    <hyperlink ref="E143" r:id="rId25" xr:uid="{0B8BE7CE-00E5-4922-8DF0-3BE2458127C5}"/>
    <hyperlink ref="E77" r:id="rId26" xr:uid="{A7A1E3B4-FA75-4904-B6D6-8368F6DA6808}"/>
    <hyperlink ref="E65" r:id="rId27" xr:uid="{28C53E80-DA0C-44E2-9B46-D5884EB83DCA}"/>
    <hyperlink ref="E57" r:id="rId28" xr:uid="{E3189C55-6639-4DBB-A00C-99E22901B127}"/>
    <hyperlink ref="E90" r:id="rId29" xr:uid="{8D0C9D13-A787-4D37-9DDB-0C0CD56B3D52}"/>
    <hyperlink ref="E114" r:id="rId30" xr:uid="{037B1D9D-6F29-4A3A-9ADA-7BFC07DD5EB0}"/>
    <hyperlink ref="E130" r:id="rId31" xr:uid="{14796885-06D0-4F8B-8468-E01D71918B78}"/>
    <hyperlink ref="E66" r:id="rId32" xr:uid="{E2F57A6A-10FB-4B33-9B85-330E2BA337B3}"/>
    <hyperlink ref="E47" r:id="rId33" xr:uid="{60781B36-30F4-4DD2-BE08-45DE2B5E44DF}"/>
    <hyperlink ref="E115" r:id="rId34" xr:uid="{5439493B-7E8B-4BBC-B5A5-2F4FFBE60230}"/>
    <hyperlink ref="E144" r:id="rId35" xr:uid="{60113D12-1627-4EBF-B71F-637199F46A3B}"/>
    <hyperlink ref="E52" r:id="rId36" xr:uid="{D742A22F-C209-42D1-BFE4-E4CBEF0E0027}"/>
    <hyperlink ref="E95" r:id="rId37" xr:uid="{FFEDD957-631F-4979-AA56-1C792F00E945}"/>
    <hyperlink ref="E145" r:id="rId38" xr:uid="{C041E29E-40D3-4DAC-8ABC-DF14D5FDBDC5}"/>
    <hyperlink ref="E54" r:id="rId39" xr:uid="{79AA6623-34E0-47D4-A6C4-3C99D503A5DA}"/>
    <hyperlink ref="E86" r:id="rId40" xr:uid="{2E5536BC-3252-4E4A-A2A6-BDD7435FE58F}"/>
    <hyperlink ref="E88" r:id="rId41" xr:uid="{FBD8A4E8-0A2C-4030-825B-E8F0F2653B43}"/>
    <hyperlink ref="E117" r:id="rId42" xr:uid="{5608D907-D3B1-4F1D-B9D2-500131DF22C2}"/>
    <hyperlink ref="E142" r:id="rId43" xr:uid="{8CAD99FF-142F-415A-BFDF-56DBE6C21DB9}"/>
    <hyperlink ref="E119" r:id="rId44" xr:uid="{97FE465B-89CF-4759-97DF-8A109659507C}"/>
    <hyperlink ref="E6" r:id="rId45" xr:uid="{EBEBC7CF-7747-4A4A-A466-096CA7774DC5}"/>
    <hyperlink ref="E21" r:id="rId46" xr:uid="{ECDAAF89-78CC-4C10-94F9-3AF6D121FBA7}"/>
    <hyperlink ref="E15" r:id="rId47" xr:uid="{E89835AD-C2B8-457A-96D9-98097620910E}"/>
    <hyperlink ref="E23" r:id="rId48" xr:uid="{744FA31B-8EA7-44BE-82CC-0AB67A049D2C}"/>
    <hyperlink ref="E7" r:id="rId49" xr:uid="{7BFE4C89-381D-4A9B-BF16-ED05B0F2D203}"/>
    <hyperlink ref="E13" r:id="rId50" xr:uid="{5E90A88F-EE1C-4E9A-AE6A-3CC97050E335}"/>
    <hyperlink ref="E8" r:id="rId51" xr:uid="{584F3A93-E82D-42FF-8273-8D0D7D683BBD}"/>
    <hyperlink ref="E25" r:id="rId52" display="https://mmo.mn/olympiads/answers/193/?s=299" xr:uid="{195E16D1-313A-4582-A9DC-4A418A7DA80D}"/>
    <hyperlink ref="E22" r:id="rId53" xr:uid="{FA8021EC-925E-4F97-BD74-4DB99143D44A}"/>
    <hyperlink ref="E16" r:id="rId54" xr:uid="{780766A9-D778-4C8B-AA09-3B6F5DB804F6}"/>
    <hyperlink ref="E17" r:id="rId55" display="https://mmo.mn/olympiads/answers/193/?s=299" xr:uid="{072CD613-2D98-4A2C-80EC-CBEF2C72652F}"/>
    <hyperlink ref="E19" r:id="rId56" xr:uid="{C208DCAB-0F51-4420-AEDF-E7F3989B9615}"/>
    <hyperlink ref="E9" r:id="rId57" xr:uid="{9F508B23-FED2-4D76-BE0B-D5F6B62FBF8E}"/>
    <hyperlink ref="E12" r:id="rId58" xr:uid="{58D8204D-113A-4091-891A-240C891E02E0}"/>
    <hyperlink ref="E14" r:id="rId59" xr:uid="{633E3E40-FA9D-4E07-AE1E-3CAAC1A88B8D}"/>
    <hyperlink ref="B118" r:id="rId60" display="https://mmo.mn/olympiads/achievements/136342/" xr:uid="{53715418-8A9F-4AA1-90DB-D7A42CC82953}"/>
    <hyperlink ref="B36" r:id="rId61" display="https://mmo.mn/olympiads/achievements/217597/" xr:uid="{A5AA24FB-541A-4801-923A-CF0C2B95E2A4}"/>
    <hyperlink ref="B77" r:id="rId62" display="https://mmo.mn/olympiads/achievements/169168/" xr:uid="{6B231669-3531-4BF5-90E8-BE66E51A0C98}"/>
    <hyperlink ref="B130" r:id="rId63" display="https://mmo.mn/olympiads/achievements/193866/" xr:uid="{84DB5C41-1EC7-42BB-9505-25BF5F9CE25C}"/>
    <hyperlink ref="B114" r:id="rId64" display="https://mmo.mn/olympiads/achievements/197268/" xr:uid="{7A4BC75D-61FA-4F4C-84FC-22E1CEDC2260}"/>
    <hyperlink ref="B90" r:id="rId65" display="https://mmo.mn/olympiads/achievements/94418/" xr:uid="{CC2EDC95-D78B-48DF-95BC-EFDC2FC114FF}"/>
    <hyperlink ref="B57" r:id="rId66" display="https://mmo.mn/olympiads/achievements/44790/" xr:uid="{7435828C-2A69-4949-BAB8-32D71CB99C1A}"/>
    <hyperlink ref="B144" r:id="rId67" display="https://mmo.mn/olympiads/achievements/193865/" xr:uid="{A19AF946-0B2C-4197-ABD9-8DB90F4021A2}"/>
    <hyperlink ref="B115" r:id="rId68" display="https://mmo.mn/olympiads/achievements/219242/" xr:uid="{B74E2B53-D3EB-44F3-86EE-253FB2B91183}"/>
    <hyperlink ref="B47" r:id="rId69" display="https://mmo.mn/olympiads/achievements/169187/" xr:uid="{B01181A2-4204-4652-9F9A-F7999185CE92}"/>
    <hyperlink ref="B66" r:id="rId70" display="https://mmo.mn/olympiads/achievements/44307/" xr:uid="{B0228996-E92D-4D5B-8458-E41E88990F40}"/>
    <hyperlink ref="B54" r:id="rId71" display="https://mmo.mn/olympiads/achievements/5508/" xr:uid="{5FB2EAF3-6DFF-4209-AE6F-A0FEFBD71E03}"/>
    <hyperlink ref="B145" r:id="rId72" display="https://mmo.mn/olympiads/achievements/193875/" xr:uid="{725D4286-EEEB-4D54-9721-96DB4D320355}"/>
    <hyperlink ref="B95" r:id="rId73" display="https://mmo.mn/olympiads/achievements/213886/" xr:uid="{B3BA5A94-C333-4F03-8535-329911AB805D}"/>
    <hyperlink ref="B52" r:id="rId74" display="https://mmo.mn/olympiads/achievements/169195/" xr:uid="{739C9AFB-B182-4892-B10F-7751E73BD4C0}"/>
    <hyperlink ref="B119" r:id="rId75" display="https://mmo.mn/olympiads/achievements/211330/" xr:uid="{8069FA19-F8A5-42BB-AF34-16D89120DFA2}"/>
    <hyperlink ref="B142" r:id="rId76" display="https://mmo.mn/olympiads/achievements/214530/" xr:uid="{92481B6E-BCB6-4B2B-A0A2-1DD7BDAACE47}"/>
    <hyperlink ref="B117" r:id="rId77" display="https://mmo.mn/olympiads/achievements/197275/" xr:uid="{365C7D0F-9032-4561-A449-4D2A53504EF2}"/>
    <hyperlink ref="B88" r:id="rId78" display="https://mmo.mn/olympiads/achievements/169086/" xr:uid="{51681428-D148-431A-AF92-1FA7C8936B18}"/>
    <hyperlink ref="B86" r:id="rId79" display="https://mmo.mn/olympiads/achievements/158985/" xr:uid="{C75972C2-5008-43FC-B311-167F0D32CCFA}"/>
    <hyperlink ref="B16" r:id="rId80" display="https://mmo.mn/olympiads/achievements/72126/" xr:uid="{C89695B0-D4C6-4700-853C-2CCF79AD37DF}"/>
    <hyperlink ref="B22" r:id="rId81" display="https://mmo.mn/olympiads/achievements/20460/" xr:uid="{AE441EF2-3CB4-4F50-B1D2-EDEE32483344}"/>
    <hyperlink ref="B25" r:id="rId82" display="https://mmo.mn/olympiads/achievements/183885/" xr:uid="{93F2B2B7-5B98-449F-BE13-5F97FF95B26A}"/>
    <hyperlink ref="B9" r:id="rId83" display="https://mmo.mn/olympiads/achievements/23955/" xr:uid="{4C1666A0-BBCA-49F7-AC36-875B7F50265F}"/>
    <hyperlink ref="B12" r:id="rId84" display="https://mmo.mn/olympiads/achievements/71665/" xr:uid="{6E62C0F1-67B6-4DA0-B1BE-9E9AB834ABB1}"/>
    <hyperlink ref="B14" r:id="rId85" display="https://mmo.mn/olympiads/achievements/116199/" xr:uid="{A7B2CCF2-1EC7-4E97-A203-9F21E426CC2E}"/>
  </hyperlinks>
  <pageMargins left="0.25" right="0.25" top="0.27708333333333302" bottom="0.26250000000000001" header="0.3" footer="0.3"/>
  <pageSetup paperSize="9" scale="95" orientation="portrait" horizontalDpi="360" verticalDpi="360" r:id="rId86"/>
  <rowBreaks count="1" manualBreakCount="1">
    <brk id="46" max="1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E7A2-2470-497E-98C2-E44BC5D43F98}">
  <sheetPr>
    <tabColor theme="9"/>
  </sheetPr>
  <dimension ref="A1:N215"/>
  <sheetViews>
    <sheetView view="pageBreakPreview" topLeftCell="A2" zoomScale="71" zoomScaleNormal="71" zoomScaleSheetLayoutView="71" workbookViewId="0">
      <selection activeCell="Q9" sqref="Q9"/>
    </sheetView>
  </sheetViews>
  <sheetFormatPr defaultColWidth="9.1796875" defaultRowHeight="15.5" x14ac:dyDescent="0.35"/>
  <cols>
    <col min="1" max="1" width="5.26953125" style="2" customWidth="1"/>
    <col min="2" max="2" width="9" style="2" customWidth="1"/>
    <col min="3" max="3" width="13.26953125" style="2" customWidth="1"/>
    <col min="4" max="4" width="15.08984375" style="2" customWidth="1"/>
    <col min="5" max="5" width="14.90625" style="2" customWidth="1"/>
    <col min="6" max="6" width="4.1796875" style="2" customWidth="1"/>
    <col min="7" max="12" width="3.26953125" style="2" customWidth="1"/>
    <col min="13" max="13" width="6.453125" style="2" customWidth="1"/>
    <col min="14" max="14" width="7.36328125" style="2" customWidth="1"/>
    <col min="15" max="16384" width="9.1796875" style="2"/>
  </cols>
  <sheetData>
    <row r="1" spans="1:14" ht="18.649999999999999" hidden="1" customHeight="1" x14ac:dyDescent="0.35">
      <c r="A1" s="83" t="s">
        <v>2</v>
      </c>
      <c r="B1" s="83" t="s">
        <v>3</v>
      </c>
      <c r="C1" s="83" t="s">
        <v>4</v>
      </c>
      <c r="D1" s="83" t="s">
        <v>5</v>
      </c>
      <c r="E1" s="83" t="s">
        <v>6</v>
      </c>
      <c r="F1" s="84"/>
      <c r="G1" s="85" t="s">
        <v>8</v>
      </c>
      <c r="H1" s="86"/>
      <c r="I1" s="86"/>
      <c r="J1" s="86"/>
      <c r="K1" s="86"/>
      <c r="L1" s="86"/>
      <c r="M1" s="87" t="s">
        <v>9</v>
      </c>
      <c r="N1" s="87" t="s">
        <v>374</v>
      </c>
    </row>
    <row r="2" spans="1:14" ht="18.649999999999999" customHeight="1" x14ac:dyDescent="0.35">
      <c r="A2" s="174" t="s">
        <v>753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</row>
    <row r="3" spans="1:14" ht="18.649999999999999" customHeight="1" x14ac:dyDescent="0.35">
      <c r="A3" s="88"/>
      <c r="B3" s="89"/>
      <c r="C3" s="89"/>
      <c r="D3" s="89"/>
      <c r="E3" s="89"/>
      <c r="F3" s="89"/>
      <c r="G3" s="89"/>
      <c r="H3" s="89"/>
      <c r="I3" s="89"/>
      <c r="J3" s="89"/>
      <c r="K3" s="175" t="s">
        <v>1</v>
      </c>
      <c r="L3" s="175"/>
      <c r="M3" s="175"/>
      <c r="N3" s="175"/>
    </row>
    <row r="4" spans="1:14" ht="18.649999999999999" customHeight="1" x14ac:dyDescent="0.35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76" t="s">
        <v>754</v>
      </c>
      <c r="G4" s="159" t="s">
        <v>8</v>
      </c>
      <c r="H4" s="159"/>
      <c r="I4" s="159"/>
      <c r="J4" s="159"/>
      <c r="K4" s="159"/>
      <c r="L4" s="159"/>
      <c r="M4" s="159" t="s">
        <v>9</v>
      </c>
      <c r="N4" s="159" t="s">
        <v>374</v>
      </c>
    </row>
    <row r="5" spans="1:14" ht="18.649999999999999" customHeight="1" x14ac:dyDescent="0.35">
      <c r="A5" s="158"/>
      <c r="B5" s="158"/>
      <c r="C5" s="158"/>
      <c r="D5" s="158"/>
      <c r="E5" s="158"/>
      <c r="F5" s="176"/>
      <c r="G5" s="159">
        <v>12.13</v>
      </c>
      <c r="H5" s="159"/>
      <c r="I5" s="159"/>
      <c r="J5" s="159">
        <v>12.14</v>
      </c>
      <c r="K5" s="159"/>
      <c r="L5" s="159"/>
      <c r="M5" s="159"/>
      <c r="N5" s="159"/>
    </row>
    <row r="6" spans="1:14" s="90" customFormat="1" ht="17.5" x14ac:dyDescent="0.35">
      <c r="A6" s="158"/>
      <c r="B6" s="158"/>
      <c r="C6" s="158"/>
      <c r="D6" s="158"/>
      <c r="E6" s="158"/>
      <c r="F6" s="176"/>
      <c r="G6" s="29">
        <v>1</v>
      </c>
      <c r="H6" s="29">
        <v>2</v>
      </c>
      <c r="I6" s="29">
        <v>3</v>
      </c>
      <c r="J6" s="29">
        <v>1</v>
      </c>
      <c r="K6" s="30">
        <v>2</v>
      </c>
      <c r="L6" s="30">
        <v>3</v>
      </c>
      <c r="M6" s="159"/>
      <c r="N6" s="159"/>
    </row>
    <row r="7" spans="1:14" s="90" customFormat="1" ht="15.5" customHeight="1" x14ac:dyDescent="0.35">
      <c r="A7" s="20">
        <v>1</v>
      </c>
      <c r="B7" s="91">
        <v>15699</v>
      </c>
      <c r="C7" s="92" t="s">
        <v>404</v>
      </c>
      <c r="D7" s="92" t="s">
        <v>755</v>
      </c>
      <c r="E7" s="91" t="s">
        <v>35</v>
      </c>
      <c r="F7" s="91">
        <v>12</v>
      </c>
      <c r="G7" s="20">
        <v>7</v>
      </c>
      <c r="H7" s="20">
        <v>7</v>
      </c>
      <c r="I7" s="20">
        <v>7</v>
      </c>
      <c r="J7" s="65">
        <v>7</v>
      </c>
      <c r="K7" s="65">
        <v>7</v>
      </c>
      <c r="L7" s="65">
        <v>7</v>
      </c>
      <c r="M7" s="65">
        <f t="shared" ref="M7:M38" si="0">SUM(G7:L7)</f>
        <v>42</v>
      </c>
      <c r="N7" s="162" t="s">
        <v>375</v>
      </c>
    </row>
    <row r="8" spans="1:14" s="90" customFormat="1" ht="15.5" customHeight="1" x14ac:dyDescent="0.35">
      <c r="A8" s="20">
        <v>2</v>
      </c>
      <c r="B8" s="91">
        <v>709</v>
      </c>
      <c r="C8" s="92" t="s">
        <v>316</v>
      </c>
      <c r="D8" s="92" t="s">
        <v>311</v>
      </c>
      <c r="E8" s="91" t="s">
        <v>35</v>
      </c>
      <c r="F8" s="91">
        <v>12</v>
      </c>
      <c r="G8" s="20">
        <v>7</v>
      </c>
      <c r="H8" s="20">
        <v>7</v>
      </c>
      <c r="I8" s="20">
        <v>7</v>
      </c>
      <c r="J8" s="65">
        <v>7</v>
      </c>
      <c r="K8" s="65">
        <v>7</v>
      </c>
      <c r="L8" s="65">
        <v>5</v>
      </c>
      <c r="M8" s="65">
        <f t="shared" si="0"/>
        <v>40</v>
      </c>
      <c r="N8" s="163"/>
    </row>
    <row r="9" spans="1:14" s="90" customFormat="1" ht="15.5" customHeight="1" x14ac:dyDescent="0.35">
      <c r="A9" s="20">
        <v>3</v>
      </c>
      <c r="B9" s="91">
        <v>883</v>
      </c>
      <c r="C9" s="92" t="s">
        <v>171</v>
      </c>
      <c r="D9" s="92" t="s">
        <v>756</v>
      </c>
      <c r="E9" s="91" t="s">
        <v>35</v>
      </c>
      <c r="F9" s="91">
        <v>11</v>
      </c>
      <c r="G9" s="20">
        <v>7</v>
      </c>
      <c r="H9" s="20">
        <v>7</v>
      </c>
      <c r="I9" s="20">
        <v>7</v>
      </c>
      <c r="J9" s="65">
        <v>7</v>
      </c>
      <c r="K9" s="65">
        <v>7</v>
      </c>
      <c r="L9" s="65">
        <v>5</v>
      </c>
      <c r="M9" s="65">
        <f t="shared" si="0"/>
        <v>40</v>
      </c>
      <c r="N9" s="163"/>
    </row>
    <row r="10" spans="1:14" s="90" customFormat="1" ht="15.5" customHeight="1" x14ac:dyDescent="0.35">
      <c r="A10" s="20">
        <v>4</v>
      </c>
      <c r="B10" s="93">
        <v>6135</v>
      </c>
      <c r="C10" s="93" t="s">
        <v>386</v>
      </c>
      <c r="D10" s="93" t="s">
        <v>230</v>
      </c>
      <c r="E10" s="93" t="s">
        <v>100</v>
      </c>
      <c r="F10" s="93">
        <v>12</v>
      </c>
      <c r="G10" s="62">
        <v>7</v>
      </c>
      <c r="H10" s="62">
        <v>7</v>
      </c>
      <c r="I10" s="62">
        <v>7</v>
      </c>
      <c r="J10" s="65">
        <v>7</v>
      </c>
      <c r="K10" s="65">
        <v>7</v>
      </c>
      <c r="L10" s="65">
        <v>5</v>
      </c>
      <c r="M10" s="65">
        <f t="shared" si="0"/>
        <v>40</v>
      </c>
      <c r="N10" s="163"/>
    </row>
    <row r="11" spans="1:14" s="90" customFormat="1" ht="15.5" customHeight="1" x14ac:dyDescent="0.35">
      <c r="A11" s="20">
        <v>5</v>
      </c>
      <c r="B11" s="93">
        <v>108470</v>
      </c>
      <c r="C11" s="93" t="s">
        <v>757</v>
      </c>
      <c r="D11" s="93" t="s">
        <v>53</v>
      </c>
      <c r="E11" s="93" t="s">
        <v>35</v>
      </c>
      <c r="F11" s="93">
        <v>11</v>
      </c>
      <c r="G11" s="20">
        <v>7</v>
      </c>
      <c r="H11" s="20">
        <v>2</v>
      </c>
      <c r="I11" s="20">
        <v>7</v>
      </c>
      <c r="J11" s="65">
        <v>3</v>
      </c>
      <c r="K11" s="65">
        <v>7</v>
      </c>
      <c r="L11" s="65">
        <v>5</v>
      </c>
      <c r="M11" s="65">
        <f t="shared" si="0"/>
        <v>31</v>
      </c>
      <c r="N11" s="163"/>
    </row>
    <row r="12" spans="1:14" s="90" customFormat="1" ht="15.5" customHeight="1" x14ac:dyDescent="0.35">
      <c r="A12" s="20">
        <v>6</v>
      </c>
      <c r="B12" s="91">
        <v>24127</v>
      </c>
      <c r="C12" s="92" t="s">
        <v>758</v>
      </c>
      <c r="D12" s="92" t="s">
        <v>759</v>
      </c>
      <c r="E12" s="91" t="s">
        <v>35</v>
      </c>
      <c r="F12" s="91">
        <v>12</v>
      </c>
      <c r="G12" s="20">
        <v>0</v>
      </c>
      <c r="H12" s="20">
        <v>7</v>
      </c>
      <c r="I12" s="20">
        <v>7</v>
      </c>
      <c r="J12" s="65">
        <v>7</v>
      </c>
      <c r="K12" s="65">
        <v>7</v>
      </c>
      <c r="L12" s="65">
        <v>0</v>
      </c>
      <c r="M12" s="65">
        <f t="shared" si="0"/>
        <v>28</v>
      </c>
      <c r="N12" s="163"/>
    </row>
    <row r="13" spans="1:14" s="90" customFormat="1" ht="15.5" customHeight="1" x14ac:dyDescent="0.35">
      <c r="A13" s="20">
        <v>7</v>
      </c>
      <c r="B13" s="93">
        <v>13183</v>
      </c>
      <c r="C13" s="93" t="s">
        <v>760</v>
      </c>
      <c r="D13" s="93" t="s">
        <v>761</v>
      </c>
      <c r="E13" s="93" t="s">
        <v>35</v>
      </c>
      <c r="F13" s="93">
        <v>11</v>
      </c>
      <c r="G13" s="94">
        <v>0</v>
      </c>
      <c r="H13" s="94">
        <v>7</v>
      </c>
      <c r="I13" s="94">
        <v>7</v>
      </c>
      <c r="J13" s="65">
        <v>2</v>
      </c>
      <c r="K13" s="65">
        <v>6</v>
      </c>
      <c r="L13" s="65">
        <v>6</v>
      </c>
      <c r="M13" s="65">
        <f t="shared" si="0"/>
        <v>28</v>
      </c>
      <c r="N13" s="163"/>
    </row>
    <row r="14" spans="1:14" s="90" customFormat="1" ht="15.5" customHeight="1" x14ac:dyDescent="0.35">
      <c r="A14" s="20">
        <v>8</v>
      </c>
      <c r="B14" s="91">
        <v>35745</v>
      </c>
      <c r="C14" s="92" t="s">
        <v>762</v>
      </c>
      <c r="D14" s="92" t="s">
        <v>763</v>
      </c>
      <c r="E14" s="91" t="s">
        <v>26</v>
      </c>
      <c r="F14" s="91">
        <v>11</v>
      </c>
      <c r="G14" s="20">
        <v>7</v>
      </c>
      <c r="H14" s="20">
        <v>7</v>
      </c>
      <c r="I14" s="20">
        <v>7</v>
      </c>
      <c r="J14" s="65">
        <v>6</v>
      </c>
      <c r="K14" s="65">
        <v>0</v>
      </c>
      <c r="L14" s="65">
        <v>0</v>
      </c>
      <c r="M14" s="65">
        <f t="shared" si="0"/>
        <v>27</v>
      </c>
      <c r="N14" s="163"/>
    </row>
    <row r="15" spans="1:14" s="90" customFormat="1" ht="15.5" customHeight="1" x14ac:dyDescent="0.35">
      <c r="A15" s="20">
        <v>9</v>
      </c>
      <c r="B15" s="93">
        <v>25376</v>
      </c>
      <c r="C15" s="93" t="s">
        <v>764</v>
      </c>
      <c r="D15" s="93" t="s">
        <v>765</v>
      </c>
      <c r="E15" s="93" t="s">
        <v>35</v>
      </c>
      <c r="F15" s="93">
        <v>11</v>
      </c>
      <c r="G15" s="94">
        <v>7</v>
      </c>
      <c r="H15" s="94">
        <v>2</v>
      </c>
      <c r="I15" s="94">
        <v>0</v>
      </c>
      <c r="J15" s="65">
        <v>4</v>
      </c>
      <c r="K15" s="65">
        <v>7</v>
      </c>
      <c r="L15" s="65">
        <v>0</v>
      </c>
      <c r="M15" s="65">
        <f t="shared" si="0"/>
        <v>20</v>
      </c>
      <c r="N15" s="163"/>
    </row>
    <row r="16" spans="1:14" s="90" customFormat="1" ht="15.5" customHeight="1" x14ac:dyDescent="0.35">
      <c r="A16" s="20">
        <v>10</v>
      </c>
      <c r="B16" s="93">
        <v>44496</v>
      </c>
      <c r="C16" s="93" t="s">
        <v>766</v>
      </c>
      <c r="D16" s="93" t="s">
        <v>767</v>
      </c>
      <c r="E16" s="93" t="s">
        <v>12</v>
      </c>
      <c r="F16" s="93">
        <v>12</v>
      </c>
      <c r="G16" s="65">
        <v>7</v>
      </c>
      <c r="H16" s="65">
        <v>7</v>
      </c>
      <c r="I16" s="65">
        <v>0</v>
      </c>
      <c r="J16" s="65">
        <v>5</v>
      </c>
      <c r="K16" s="65">
        <v>0</v>
      </c>
      <c r="L16" s="65">
        <v>0</v>
      </c>
      <c r="M16" s="65">
        <f t="shared" si="0"/>
        <v>19</v>
      </c>
      <c r="N16" s="163"/>
    </row>
    <row r="17" spans="1:14" s="90" customFormat="1" ht="15.5" customHeight="1" x14ac:dyDescent="0.35">
      <c r="A17" s="20">
        <v>11</v>
      </c>
      <c r="B17" s="93">
        <v>21107</v>
      </c>
      <c r="C17" s="93" t="s">
        <v>465</v>
      </c>
      <c r="D17" s="93" t="s">
        <v>193</v>
      </c>
      <c r="E17" s="93" t="s">
        <v>35</v>
      </c>
      <c r="F17" s="93">
        <v>12</v>
      </c>
      <c r="G17" s="94">
        <v>7</v>
      </c>
      <c r="H17" s="94">
        <v>2</v>
      </c>
      <c r="I17" s="94">
        <v>0</v>
      </c>
      <c r="J17" s="65">
        <v>2</v>
      </c>
      <c r="K17" s="65">
        <v>7</v>
      </c>
      <c r="L17" s="65">
        <v>0</v>
      </c>
      <c r="M17" s="65">
        <f t="shared" si="0"/>
        <v>18</v>
      </c>
      <c r="N17" s="163"/>
    </row>
    <row r="18" spans="1:14" s="90" customFormat="1" ht="15.5" customHeight="1" x14ac:dyDescent="0.35">
      <c r="A18" s="20">
        <v>12</v>
      </c>
      <c r="B18" s="93">
        <v>72034</v>
      </c>
      <c r="C18" s="93" t="s">
        <v>74</v>
      </c>
      <c r="D18" s="93" t="s">
        <v>413</v>
      </c>
      <c r="E18" s="93" t="s">
        <v>35</v>
      </c>
      <c r="F18" s="93">
        <v>12</v>
      </c>
      <c r="G18" s="62">
        <v>7</v>
      </c>
      <c r="H18" s="62">
        <v>7</v>
      </c>
      <c r="I18" s="62">
        <v>0</v>
      </c>
      <c r="J18" s="65">
        <v>2</v>
      </c>
      <c r="K18" s="65">
        <v>0</v>
      </c>
      <c r="L18" s="65">
        <v>0</v>
      </c>
      <c r="M18" s="65">
        <f t="shared" si="0"/>
        <v>16</v>
      </c>
      <c r="N18" s="163"/>
    </row>
    <row r="19" spans="1:14" s="90" customFormat="1" ht="15.5" customHeight="1" x14ac:dyDescent="0.35">
      <c r="A19" s="20">
        <v>13</v>
      </c>
      <c r="B19" s="93">
        <v>23703</v>
      </c>
      <c r="C19" s="93" t="s">
        <v>768</v>
      </c>
      <c r="D19" s="93" t="s">
        <v>769</v>
      </c>
      <c r="E19" s="93" t="s">
        <v>35</v>
      </c>
      <c r="F19" s="93">
        <v>12</v>
      </c>
      <c r="G19" s="20">
        <v>7</v>
      </c>
      <c r="H19" s="20">
        <v>7</v>
      </c>
      <c r="I19" s="20">
        <v>0</v>
      </c>
      <c r="J19" s="65">
        <v>0</v>
      </c>
      <c r="K19" s="65">
        <v>0</v>
      </c>
      <c r="L19" s="65">
        <v>1</v>
      </c>
      <c r="M19" s="65">
        <f t="shared" si="0"/>
        <v>15</v>
      </c>
      <c r="N19" s="163"/>
    </row>
    <row r="20" spans="1:14" s="90" customFormat="1" ht="15.5" customHeight="1" x14ac:dyDescent="0.35">
      <c r="A20" s="20">
        <v>14</v>
      </c>
      <c r="B20" s="91">
        <v>124815</v>
      </c>
      <c r="C20" s="92" t="s">
        <v>770</v>
      </c>
      <c r="D20" s="92" t="s">
        <v>660</v>
      </c>
      <c r="E20" s="91" t="s">
        <v>26</v>
      </c>
      <c r="F20" s="91">
        <v>11</v>
      </c>
      <c r="G20" s="62">
        <v>7</v>
      </c>
      <c r="H20" s="62">
        <v>2</v>
      </c>
      <c r="I20" s="62">
        <v>0</v>
      </c>
      <c r="J20" s="65">
        <v>5</v>
      </c>
      <c r="K20" s="65">
        <v>1</v>
      </c>
      <c r="L20" s="65">
        <v>0</v>
      </c>
      <c r="M20" s="65">
        <f t="shared" si="0"/>
        <v>15</v>
      </c>
      <c r="N20" s="163"/>
    </row>
    <row r="21" spans="1:14" s="90" customFormat="1" ht="15.5" customHeight="1" x14ac:dyDescent="0.35">
      <c r="A21" s="20">
        <v>15</v>
      </c>
      <c r="B21" s="93">
        <v>85534</v>
      </c>
      <c r="C21" s="93" t="s">
        <v>771</v>
      </c>
      <c r="D21" s="93" t="s">
        <v>90</v>
      </c>
      <c r="E21" s="93" t="s">
        <v>94</v>
      </c>
      <c r="F21" s="93">
        <v>12</v>
      </c>
      <c r="G21" s="20">
        <v>7</v>
      </c>
      <c r="H21" s="20">
        <v>2</v>
      </c>
      <c r="I21" s="20">
        <v>0</v>
      </c>
      <c r="J21" s="65">
        <v>5</v>
      </c>
      <c r="K21" s="65">
        <v>0</v>
      </c>
      <c r="L21" s="65">
        <v>0</v>
      </c>
      <c r="M21" s="65">
        <f t="shared" si="0"/>
        <v>14</v>
      </c>
      <c r="N21" s="163"/>
    </row>
    <row r="22" spans="1:14" s="90" customFormat="1" ht="15.5" customHeight="1" x14ac:dyDescent="0.35">
      <c r="A22" s="20">
        <v>16</v>
      </c>
      <c r="B22" s="93">
        <v>140080</v>
      </c>
      <c r="C22" s="93" t="s">
        <v>772</v>
      </c>
      <c r="D22" s="93" t="s">
        <v>63</v>
      </c>
      <c r="E22" s="93" t="s">
        <v>41</v>
      </c>
      <c r="F22" s="93">
        <v>11</v>
      </c>
      <c r="G22" s="94">
        <v>7</v>
      </c>
      <c r="H22" s="94">
        <v>2</v>
      </c>
      <c r="I22" s="94">
        <v>0</v>
      </c>
      <c r="J22" s="65">
        <v>5</v>
      </c>
      <c r="K22" s="65">
        <v>0</v>
      </c>
      <c r="L22" s="65">
        <v>0</v>
      </c>
      <c r="M22" s="65">
        <f t="shared" si="0"/>
        <v>14</v>
      </c>
      <c r="N22" s="163"/>
    </row>
    <row r="23" spans="1:14" s="90" customFormat="1" ht="15.5" customHeight="1" x14ac:dyDescent="0.35">
      <c r="A23" s="20">
        <v>17</v>
      </c>
      <c r="B23" s="93">
        <v>108523</v>
      </c>
      <c r="C23" s="93" t="s">
        <v>543</v>
      </c>
      <c r="D23" s="93" t="s">
        <v>773</v>
      </c>
      <c r="E23" s="93" t="s">
        <v>295</v>
      </c>
      <c r="F23" s="93">
        <v>12</v>
      </c>
      <c r="G23" s="20">
        <v>7</v>
      </c>
      <c r="H23" s="20">
        <v>2</v>
      </c>
      <c r="I23" s="20">
        <v>0</v>
      </c>
      <c r="J23" s="65">
        <v>4</v>
      </c>
      <c r="K23" s="65">
        <v>0</v>
      </c>
      <c r="L23" s="65">
        <v>0</v>
      </c>
      <c r="M23" s="65">
        <f t="shared" si="0"/>
        <v>13</v>
      </c>
      <c r="N23" s="163"/>
    </row>
    <row r="24" spans="1:14" s="90" customFormat="1" ht="15.5" customHeight="1" x14ac:dyDescent="0.35">
      <c r="A24" s="20">
        <v>18</v>
      </c>
      <c r="B24" s="93">
        <v>97339</v>
      </c>
      <c r="C24" s="93" t="s">
        <v>543</v>
      </c>
      <c r="D24" s="93" t="s">
        <v>614</v>
      </c>
      <c r="E24" s="93" t="s">
        <v>12</v>
      </c>
      <c r="F24" s="93">
        <v>12</v>
      </c>
      <c r="G24" s="20">
        <v>7</v>
      </c>
      <c r="H24" s="20">
        <v>2</v>
      </c>
      <c r="I24" s="20">
        <v>0</v>
      </c>
      <c r="J24" s="65">
        <v>2</v>
      </c>
      <c r="K24" s="65">
        <v>1</v>
      </c>
      <c r="L24" s="65">
        <v>0</v>
      </c>
      <c r="M24" s="65">
        <f t="shared" si="0"/>
        <v>12</v>
      </c>
      <c r="N24" s="173"/>
    </row>
    <row r="25" spans="1:14" s="90" customFormat="1" ht="15.5" customHeight="1" x14ac:dyDescent="0.35">
      <c r="A25" s="7">
        <v>19</v>
      </c>
      <c r="B25" s="95">
        <v>42632</v>
      </c>
      <c r="C25" s="95" t="s">
        <v>774</v>
      </c>
      <c r="D25" s="95" t="s">
        <v>775</v>
      </c>
      <c r="E25" s="95" t="s">
        <v>12</v>
      </c>
      <c r="F25" s="95">
        <v>12</v>
      </c>
      <c r="G25" s="74">
        <v>7</v>
      </c>
      <c r="H25" s="74">
        <v>2</v>
      </c>
      <c r="I25" s="74">
        <v>0</v>
      </c>
      <c r="J25" s="78">
        <v>2</v>
      </c>
      <c r="K25" s="78">
        <v>0</v>
      </c>
      <c r="L25" s="78">
        <v>0</v>
      </c>
      <c r="M25" s="78">
        <f t="shared" si="0"/>
        <v>11</v>
      </c>
      <c r="N25" s="78"/>
    </row>
    <row r="26" spans="1:14" s="90" customFormat="1" ht="15.5" customHeight="1" x14ac:dyDescent="0.35">
      <c r="A26" s="7">
        <v>20</v>
      </c>
      <c r="B26" s="95">
        <v>202684</v>
      </c>
      <c r="C26" s="95" t="s">
        <v>776</v>
      </c>
      <c r="D26" s="95" t="s">
        <v>777</v>
      </c>
      <c r="E26" s="95" t="s">
        <v>70</v>
      </c>
      <c r="F26" s="95">
        <v>12</v>
      </c>
      <c r="G26" s="7">
        <v>7</v>
      </c>
      <c r="H26" s="7">
        <v>2</v>
      </c>
      <c r="I26" s="7">
        <v>0</v>
      </c>
      <c r="J26" s="78">
        <v>2</v>
      </c>
      <c r="K26" s="78">
        <v>0</v>
      </c>
      <c r="L26" s="78">
        <v>0</v>
      </c>
      <c r="M26" s="78">
        <f t="shared" si="0"/>
        <v>11</v>
      </c>
      <c r="N26" s="78"/>
    </row>
    <row r="27" spans="1:14" s="90" customFormat="1" ht="15.5" customHeight="1" x14ac:dyDescent="0.35">
      <c r="A27" s="7">
        <v>21</v>
      </c>
      <c r="B27" s="95">
        <v>85751</v>
      </c>
      <c r="C27" s="95" t="s">
        <v>778</v>
      </c>
      <c r="D27" s="95" t="s">
        <v>779</v>
      </c>
      <c r="E27" s="95" t="s">
        <v>153</v>
      </c>
      <c r="F27" s="95">
        <v>11</v>
      </c>
      <c r="G27" s="7">
        <v>7</v>
      </c>
      <c r="H27" s="7">
        <v>2</v>
      </c>
      <c r="I27" s="7">
        <v>0</v>
      </c>
      <c r="J27" s="78">
        <v>2</v>
      </c>
      <c r="K27" s="78">
        <v>0</v>
      </c>
      <c r="L27" s="78">
        <v>0</v>
      </c>
      <c r="M27" s="78">
        <f t="shared" si="0"/>
        <v>11</v>
      </c>
      <c r="N27" s="78"/>
    </row>
    <row r="28" spans="1:14" s="90" customFormat="1" ht="15.5" customHeight="1" x14ac:dyDescent="0.35">
      <c r="A28" s="7">
        <v>22</v>
      </c>
      <c r="B28" s="95">
        <v>15265</v>
      </c>
      <c r="C28" s="95" t="s">
        <v>119</v>
      </c>
      <c r="D28" s="95" t="s">
        <v>381</v>
      </c>
      <c r="E28" s="95" t="s">
        <v>35</v>
      </c>
      <c r="F28" s="95">
        <v>11</v>
      </c>
      <c r="G28" s="7">
        <v>7</v>
      </c>
      <c r="H28" s="7">
        <v>2</v>
      </c>
      <c r="I28" s="7">
        <v>0</v>
      </c>
      <c r="J28" s="78">
        <v>2</v>
      </c>
      <c r="K28" s="78">
        <v>0</v>
      </c>
      <c r="L28" s="78">
        <v>0</v>
      </c>
      <c r="M28" s="78">
        <f t="shared" si="0"/>
        <v>11</v>
      </c>
      <c r="N28" s="78"/>
    </row>
    <row r="29" spans="1:14" s="90" customFormat="1" ht="15.5" customHeight="1" x14ac:dyDescent="0.35">
      <c r="A29" s="7">
        <v>23</v>
      </c>
      <c r="B29" s="95">
        <v>194882</v>
      </c>
      <c r="C29" s="95" t="s">
        <v>624</v>
      </c>
      <c r="D29" s="95" t="s">
        <v>450</v>
      </c>
      <c r="E29" s="95" t="s">
        <v>780</v>
      </c>
      <c r="F29" s="95">
        <v>12</v>
      </c>
      <c r="G29" s="81">
        <v>7</v>
      </c>
      <c r="H29" s="81">
        <v>2</v>
      </c>
      <c r="I29" s="81">
        <v>0</v>
      </c>
      <c r="J29" s="78">
        <v>2</v>
      </c>
      <c r="K29" s="78">
        <v>0</v>
      </c>
      <c r="L29" s="78">
        <v>0</v>
      </c>
      <c r="M29" s="78">
        <f t="shared" si="0"/>
        <v>11</v>
      </c>
      <c r="N29" s="78"/>
    </row>
    <row r="30" spans="1:14" s="90" customFormat="1" ht="15.5" customHeight="1" x14ac:dyDescent="0.35">
      <c r="A30" s="7">
        <v>24</v>
      </c>
      <c r="B30" s="95">
        <v>110234</v>
      </c>
      <c r="C30" s="95" t="s">
        <v>31</v>
      </c>
      <c r="D30" s="95" t="s">
        <v>450</v>
      </c>
      <c r="E30" s="95" t="s">
        <v>295</v>
      </c>
      <c r="F30" s="95">
        <v>11</v>
      </c>
      <c r="G30" s="78">
        <v>7</v>
      </c>
      <c r="H30" s="78">
        <v>2</v>
      </c>
      <c r="I30" s="78">
        <v>0</v>
      </c>
      <c r="J30" s="78">
        <v>2</v>
      </c>
      <c r="K30" s="78">
        <v>0</v>
      </c>
      <c r="L30" s="78">
        <v>0</v>
      </c>
      <c r="M30" s="78">
        <f t="shared" si="0"/>
        <v>11</v>
      </c>
      <c r="N30" s="78"/>
    </row>
    <row r="31" spans="1:14" s="90" customFormat="1" ht="15.5" customHeight="1" x14ac:dyDescent="0.35">
      <c r="A31" s="7">
        <v>25</v>
      </c>
      <c r="B31" s="95">
        <v>25893</v>
      </c>
      <c r="C31" s="95" t="s">
        <v>671</v>
      </c>
      <c r="D31" s="95" t="s">
        <v>362</v>
      </c>
      <c r="E31" s="95" t="s">
        <v>35</v>
      </c>
      <c r="F31" s="95">
        <v>12</v>
      </c>
      <c r="G31" s="78">
        <v>7</v>
      </c>
      <c r="H31" s="78">
        <v>2</v>
      </c>
      <c r="I31" s="78">
        <v>0</v>
      </c>
      <c r="J31" s="78">
        <v>2</v>
      </c>
      <c r="K31" s="78">
        <v>0</v>
      </c>
      <c r="L31" s="78">
        <v>0</v>
      </c>
      <c r="M31" s="78">
        <f t="shared" si="0"/>
        <v>11</v>
      </c>
      <c r="N31" s="78"/>
    </row>
    <row r="32" spans="1:14" s="90" customFormat="1" ht="15.5" customHeight="1" x14ac:dyDescent="0.35">
      <c r="A32" s="7">
        <v>26</v>
      </c>
      <c r="B32" s="95">
        <v>184390</v>
      </c>
      <c r="C32" s="95" t="s">
        <v>255</v>
      </c>
      <c r="D32" s="95" t="s">
        <v>243</v>
      </c>
      <c r="E32" s="95" t="s">
        <v>12</v>
      </c>
      <c r="F32" s="95">
        <v>11</v>
      </c>
      <c r="G32" s="78">
        <v>7</v>
      </c>
      <c r="H32" s="78">
        <v>2</v>
      </c>
      <c r="I32" s="78">
        <v>0</v>
      </c>
      <c r="J32" s="78">
        <v>2</v>
      </c>
      <c r="K32" s="78">
        <v>0</v>
      </c>
      <c r="L32" s="78">
        <v>0</v>
      </c>
      <c r="M32" s="78">
        <f t="shared" si="0"/>
        <v>11</v>
      </c>
      <c r="N32" s="78"/>
    </row>
    <row r="33" spans="1:14" s="90" customFormat="1" ht="15.5" customHeight="1" x14ac:dyDescent="0.35">
      <c r="A33" s="7">
        <v>27</v>
      </c>
      <c r="B33" s="95">
        <v>1242</v>
      </c>
      <c r="C33" s="95" t="s">
        <v>60</v>
      </c>
      <c r="D33" s="95" t="s">
        <v>53</v>
      </c>
      <c r="E33" s="95" t="s">
        <v>12</v>
      </c>
      <c r="F33" s="95">
        <v>11</v>
      </c>
      <c r="G33" s="81">
        <v>7</v>
      </c>
      <c r="H33" s="81">
        <v>2</v>
      </c>
      <c r="I33" s="81">
        <v>0</v>
      </c>
      <c r="J33" s="78">
        <v>2</v>
      </c>
      <c r="K33" s="78">
        <v>0</v>
      </c>
      <c r="L33" s="78">
        <v>0</v>
      </c>
      <c r="M33" s="78">
        <f t="shared" si="0"/>
        <v>11</v>
      </c>
      <c r="N33" s="78"/>
    </row>
    <row r="34" spans="1:14" s="90" customFormat="1" ht="15.5" customHeight="1" x14ac:dyDescent="0.35">
      <c r="A34" s="7">
        <v>28</v>
      </c>
      <c r="B34" s="95">
        <v>85532</v>
      </c>
      <c r="C34" s="95" t="s">
        <v>543</v>
      </c>
      <c r="D34" s="95" t="s">
        <v>337</v>
      </c>
      <c r="E34" s="95" t="s">
        <v>94</v>
      </c>
      <c r="F34" s="95">
        <v>12</v>
      </c>
      <c r="G34" s="81">
        <v>7</v>
      </c>
      <c r="H34" s="81">
        <v>2</v>
      </c>
      <c r="I34" s="81">
        <v>0</v>
      </c>
      <c r="J34" s="78">
        <v>2</v>
      </c>
      <c r="K34" s="78">
        <v>0</v>
      </c>
      <c r="L34" s="78">
        <v>0</v>
      </c>
      <c r="M34" s="78">
        <f t="shared" si="0"/>
        <v>11</v>
      </c>
      <c r="N34" s="78"/>
    </row>
    <row r="35" spans="1:14" s="90" customFormat="1" ht="15.5" customHeight="1" x14ac:dyDescent="0.35">
      <c r="A35" s="7">
        <v>29</v>
      </c>
      <c r="B35" s="95">
        <v>130469</v>
      </c>
      <c r="C35" s="95" t="s">
        <v>80</v>
      </c>
      <c r="D35" s="95" t="s">
        <v>403</v>
      </c>
      <c r="E35" s="95" t="s">
        <v>12</v>
      </c>
      <c r="F35" s="95">
        <v>11</v>
      </c>
      <c r="G35" s="7">
        <v>7</v>
      </c>
      <c r="H35" s="7">
        <v>2</v>
      </c>
      <c r="I35" s="7">
        <v>0</v>
      </c>
      <c r="J35" s="78">
        <v>0</v>
      </c>
      <c r="K35" s="78">
        <v>1</v>
      </c>
      <c r="L35" s="78">
        <v>0</v>
      </c>
      <c r="M35" s="78">
        <f t="shared" si="0"/>
        <v>10</v>
      </c>
      <c r="N35" s="78"/>
    </row>
    <row r="36" spans="1:14" s="90" customFormat="1" ht="15.5" customHeight="1" x14ac:dyDescent="0.35">
      <c r="A36" s="7">
        <v>30</v>
      </c>
      <c r="B36" s="95">
        <v>44260</v>
      </c>
      <c r="C36" s="95" t="s">
        <v>49</v>
      </c>
      <c r="D36" s="95" t="s">
        <v>88</v>
      </c>
      <c r="E36" s="95" t="s">
        <v>12</v>
      </c>
      <c r="F36" s="95">
        <v>12</v>
      </c>
      <c r="G36" s="81">
        <v>7</v>
      </c>
      <c r="H36" s="81">
        <v>2</v>
      </c>
      <c r="I36" s="81">
        <v>0</v>
      </c>
      <c r="J36" s="78">
        <v>0</v>
      </c>
      <c r="K36" s="78">
        <v>1</v>
      </c>
      <c r="L36" s="78">
        <v>0</v>
      </c>
      <c r="M36" s="78">
        <f t="shared" si="0"/>
        <v>10</v>
      </c>
      <c r="N36" s="78"/>
    </row>
    <row r="37" spans="1:14" s="90" customFormat="1" ht="15.5" customHeight="1" x14ac:dyDescent="0.35">
      <c r="A37" s="7">
        <v>31</v>
      </c>
      <c r="B37" s="95">
        <v>115901</v>
      </c>
      <c r="C37" s="95" t="s">
        <v>781</v>
      </c>
      <c r="D37" s="95" t="s">
        <v>782</v>
      </c>
      <c r="E37" s="95" t="s">
        <v>35</v>
      </c>
      <c r="F37" s="95">
        <v>11</v>
      </c>
      <c r="G37" s="81">
        <v>7</v>
      </c>
      <c r="H37" s="81">
        <v>2</v>
      </c>
      <c r="I37" s="81">
        <v>0</v>
      </c>
      <c r="J37" s="78">
        <v>0</v>
      </c>
      <c r="K37" s="78">
        <v>1</v>
      </c>
      <c r="L37" s="78">
        <v>0</v>
      </c>
      <c r="M37" s="78">
        <f t="shared" si="0"/>
        <v>10</v>
      </c>
      <c r="N37" s="78"/>
    </row>
    <row r="38" spans="1:14" s="90" customFormat="1" ht="15.5" customHeight="1" x14ac:dyDescent="0.35">
      <c r="A38" s="7">
        <v>32</v>
      </c>
      <c r="B38" s="95">
        <v>138495</v>
      </c>
      <c r="C38" s="95" t="s">
        <v>244</v>
      </c>
      <c r="D38" s="95" t="s">
        <v>783</v>
      </c>
      <c r="E38" s="95" t="s">
        <v>259</v>
      </c>
      <c r="F38" s="95">
        <v>12</v>
      </c>
      <c r="G38" s="7">
        <v>7</v>
      </c>
      <c r="H38" s="7">
        <v>2</v>
      </c>
      <c r="I38" s="7">
        <v>0</v>
      </c>
      <c r="J38" s="78"/>
      <c r="K38" s="78"/>
      <c r="L38" s="78"/>
      <c r="M38" s="78">
        <f t="shared" si="0"/>
        <v>9</v>
      </c>
      <c r="N38" s="78"/>
    </row>
    <row r="39" spans="1:14" s="90" customFormat="1" ht="15.5" customHeight="1" x14ac:dyDescent="0.35">
      <c r="A39" s="7">
        <v>33</v>
      </c>
      <c r="B39" s="95">
        <v>214157</v>
      </c>
      <c r="C39" s="95" t="s">
        <v>58</v>
      </c>
      <c r="D39" s="95" t="s">
        <v>784</v>
      </c>
      <c r="E39" s="95" t="s">
        <v>41</v>
      </c>
      <c r="F39" s="95">
        <v>12</v>
      </c>
      <c r="G39" s="74">
        <v>7</v>
      </c>
      <c r="H39" s="74">
        <v>2</v>
      </c>
      <c r="I39" s="74">
        <v>0</v>
      </c>
      <c r="J39" s="78">
        <v>0</v>
      </c>
      <c r="K39" s="78">
        <v>0</v>
      </c>
      <c r="L39" s="78">
        <v>0</v>
      </c>
      <c r="M39" s="78">
        <f t="shared" ref="M39:M102" si="1">SUM(G39:L39)</f>
        <v>9</v>
      </c>
      <c r="N39" s="78"/>
    </row>
    <row r="40" spans="1:14" s="90" customFormat="1" ht="15.5" customHeight="1" x14ac:dyDescent="0.35">
      <c r="A40" s="7">
        <v>34</v>
      </c>
      <c r="B40" s="95">
        <v>184358</v>
      </c>
      <c r="C40" s="95" t="s">
        <v>359</v>
      </c>
      <c r="D40" s="95" t="s">
        <v>785</v>
      </c>
      <c r="E40" s="95" t="s">
        <v>12</v>
      </c>
      <c r="F40" s="95">
        <v>11</v>
      </c>
      <c r="G40" s="7">
        <v>7</v>
      </c>
      <c r="H40" s="7">
        <v>2</v>
      </c>
      <c r="I40" s="7">
        <v>0</v>
      </c>
      <c r="J40" s="78">
        <v>0</v>
      </c>
      <c r="K40" s="78">
        <v>0</v>
      </c>
      <c r="L40" s="78">
        <v>0</v>
      </c>
      <c r="M40" s="78">
        <f t="shared" si="1"/>
        <v>9</v>
      </c>
      <c r="N40" s="78"/>
    </row>
    <row r="41" spans="1:14" ht="15.5" customHeight="1" x14ac:dyDescent="0.35">
      <c r="A41" s="7">
        <v>35</v>
      </c>
      <c r="B41" s="95">
        <v>175710</v>
      </c>
      <c r="C41" s="95" t="s">
        <v>442</v>
      </c>
      <c r="D41" s="95" t="s">
        <v>329</v>
      </c>
      <c r="E41" s="95" t="s">
        <v>35</v>
      </c>
      <c r="F41" s="95">
        <v>11</v>
      </c>
      <c r="G41" s="7">
        <v>7</v>
      </c>
      <c r="H41" s="7">
        <v>2</v>
      </c>
      <c r="I41" s="7">
        <v>0</v>
      </c>
      <c r="J41" s="78">
        <v>0</v>
      </c>
      <c r="K41" s="78">
        <v>0</v>
      </c>
      <c r="L41" s="78">
        <v>0</v>
      </c>
      <c r="M41" s="78">
        <f t="shared" si="1"/>
        <v>9</v>
      </c>
      <c r="N41" s="78"/>
    </row>
    <row r="42" spans="1:14" ht="15.5" customHeight="1" x14ac:dyDescent="0.35">
      <c r="A42" s="7">
        <v>36</v>
      </c>
      <c r="B42" s="95">
        <v>184483</v>
      </c>
      <c r="C42" s="95" t="s">
        <v>85</v>
      </c>
      <c r="D42" s="95" t="s">
        <v>752</v>
      </c>
      <c r="E42" s="95" t="s">
        <v>12</v>
      </c>
      <c r="F42" s="95">
        <v>11</v>
      </c>
      <c r="G42" s="7">
        <v>7</v>
      </c>
      <c r="H42" s="7">
        <v>2</v>
      </c>
      <c r="I42" s="7">
        <v>0</v>
      </c>
      <c r="J42" s="78">
        <v>0</v>
      </c>
      <c r="K42" s="78">
        <v>0</v>
      </c>
      <c r="L42" s="78">
        <v>0</v>
      </c>
      <c r="M42" s="78">
        <f t="shared" si="1"/>
        <v>9</v>
      </c>
      <c r="N42" s="78"/>
    </row>
    <row r="43" spans="1:14" ht="15.5" customHeight="1" x14ac:dyDescent="0.35">
      <c r="A43" s="7">
        <v>37</v>
      </c>
      <c r="B43" s="95">
        <v>43164</v>
      </c>
      <c r="C43" s="95" t="s">
        <v>786</v>
      </c>
      <c r="D43" s="95" t="s">
        <v>787</v>
      </c>
      <c r="E43" s="95" t="s">
        <v>122</v>
      </c>
      <c r="F43" s="95">
        <v>11</v>
      </c>
      <c r="G43" s="7">
        <v>7</v>
      </c>
      <c r="H43" s="7">
        <v>2</v>
      </c>
      <c r="I43" s="7">
        <v>0</v>
      </c>
      <c r="J43" s="78">
        <v>0</v>
      </c>
      <c r="K43" s="78">
        <v>0</v>
      </c>
      <c r="L43" s="78">
        <v>0</v>
      </c>
      <c r="M43" s="78">
        <f t="shared" si="1"/>
        <v>9</v>
      </c>
      <c r="N43" s="78"/>
    </row>
    <row r="44" spans="1:14" ht="15.5" customHeight="1" x14ac:dyDescent="0.35">
      <c r="A44" s="7">
        <v>38</v>
      </c>
      <c r="B44" s="95">
        <v>29904</v>
      </c>
      <c r="C44" s="95" t="s">
        <v>299</v>
      </c>
      <c r="D44" s="95" t="s">
        <v>788</v>
      </c>
      <c r="E44" s="95" t="s">
        <v>35</v>
      </c>
      <c r="F44" s="95">
        <v>12</v>
      </c>
      <c r="G44" s="7">
        <v>7</v>
      </c>
      <c r="H44" s="7">
        <v>2</v>
      </c>
      <c r="I44" s="7">
        <v>0</v>
      </c>
      <c r="J44" s="78">
        <v>0</v>
      </c>
      <c r="K44" s="78">
        <v>0</v>
      </c>
      <c r="L44" s="78">
        <v>0</v>
      </c>
      <c r="M44" s="78">
        <f t="shared" si="1"/>
        <v>9</v>
      </c>
      <c r="N44" s="78"/>
    </row>
    <row r="45" spans="1:14" ht="15.5" customHeight="1" x14ac:dyDescent="0.35">
      <c r="A45" s="7">
        <v>39</v>
      </c>
      <c r="B45" s="182">
        <v>170019</v>
      </c>
      <c r="C45" s="95" t="s">
        <v>462</v>
      </c>
      <c r="D45" s="95" t="s">
        <v>88</v>
      </c>
      <c r="E45" s="95" t="s">
        <v>419</v>
      </c>
      <c r="F45" s="95">
        <v>12</v>
      </c>
      <c r="G45" s="7">
        <v>7</v>
      </c>
      <c r="H45" s="7">
        <v>2</v>
      </c>
      <c r="I45" s="7">
        <v>0</v>
      </c>
      <c r="J45" s="78">
        <v>0</v>
      </c>
      <c r="K45" s="78">
        <v>0</v>
      </c>
      <c r="L45" s="78">
        <v>0</v>
      </c>
      <c r="M45" s="78">
        <f t="shared" si="1"/>
        <v>9</v>
      </c>
      <c r="N45" s="78"/>
    </row>
    <row r="46" spans="1:14" ht="15.5" customHeight="1" x14ac:dyDescent="0.35">
      <c r="A46" s="7">
        <v>40</v>
      </c>
      <c r="B46" s="95">
        <v>202129</v>
      </c>
      <c r="C46" s="95" t="s">
        <v>789</v>
      </c>
      <c r="D46" s="95" t="s">
        <v>156</v>
      </c>
      <c r="E46" s="95" t="s">
        <v>649</v>
      </c>
      <c r="F46" s="95">
        <v>11</v>
      </c>
      <c r="G46" s="74">
        <v>7</v>
      </c>
      <c r="H46" s="74">
        <v>2</v>
      </c>
      <c r="I46" s="74">
        <v>0</v>
      </c>
      <c r="J46" s="78">
        <v>0</v>
      </c>
      <c r="K46" s="78">
        <v>0</v>
      </c>
      <c r="L46" s="78">
        <v>0</v>
      </c>
      <c r="M46" s="78">
        <f t="shared" si="1"/>
        <v>9</v>
      </c>
      <c r="N46" s="78"/>
    </row>
    <row r="47" spans="1:14" ht="15.5" customHeight="1" x14ac:dyDescent="0.35">
      <c r="A47" s="7">
        <v>41</v>
      </c>
      <c r="B47" s="95">
        <v>168605</v>
      </c>
      <c r="C47" s="95" t="s">
        <v>790</v>
      </c>
      <c r="D47" s="95" t="s">
        <v>791</v>
      </c>
      <c r="E47" s="95" t="s">
        <v>41</v>
      </c>
      <c r="F47" s="95">
        <v>12</v>
      </c>
      <c r="G47" s="78">
        <v>7</v>
      </c>
      <c r="H47" s="78">
        <v>2</v>
      </c>
      <c r="I47" s="78">
        <v>0</v>
      </c>
      <c r="J47" s="78"/>
      <c r="K47" s="78"/>
      <c r="L47" s="78"/>
      <c r="M47" s="78">
        <f t="shared" si="1"/>
        <v>9</v>
      </c>
      <c r="N47" s="78"/>
    </row>
    <row r="48" spans="1:14" ht="15.5" customHeight="1" x14ac:dyDescent="0.35">
      <c r="A48" s="7">
        <v>42</v>
      </c>
      <c r="B48" s="95">
        <v>148687</v>
      </c>
      <c r="C48" s="95" t="s">
        <v>792</v>
      </c>
      <c r="D48" s="95" t="s">
        <v>144</v>
      </c>
      <c r="E48" s="95" t="s">
        <v>35</v>
      </c>
      <c r="F48" s="95">
        <v>11</v>
      </c>
      <c r="G48" s="78">
        <v>7</v>
      </c>
      <c r="H48" s="78">
        <v>2</v>
      </c>
      <c r="I48" s="78">
        <v>0</v>
      </c>
      <c r="J48" s="78">
        <v>0</v>
      </c>
      <c r="K48" s="78">
        <v>0</v>
      </c>
      <c r="L48" s="78">
        <v>0</v>
      </c>
      <c r="M48" s="78">
        <f t="shared" si="1"/>
        <v>9</v>
      </c>
      <c r="N48" s="78"/>
    </row>
    <row r="49" spans="1:14" ht="15.5" customHeight="1" x14ac:dyDescent="0.35">
      <c r="A49" s="7">
        <v>43</v>
      </c>
      <c r="B49" s="95">
        <v>25432</v>
      </c>
      <c r="C49" s="95" t="s">
        <v>636</v>
      </c>
      <c r="D49" s="95" t="s">
        <v>337</v>
      </c>
      <c r="E49" s="95" t="s">
        <v>35</v>
      </c>
      <c r="F49" s="95">
        <v>11</v>
      </c>
      <c r="G49" s="78">
        <v>7</v>
      </c>
      <c r="H49" s="78">
        <v>2</v>
      </c>
      <c r="I49" s="78">
        <v>0</v>
      </c>
      <c r="J49" s="78">
        <v>0</v>
      </c>
      <c r="K49" s="78">
        <v>0</v>
      </c>
      <c r="L49" s="78">
        <v>0</v>
      </c>
      <c r="M49" s="78">
        <f t="shared" si="1"/>
        <v>9</v>
      </c>
      <c r="N49" s="78"/>
    </row>
    <row r="50" spans="1:14" ht="15.5" customHeight="1" x14ac:dyDescent="0.35">
      <c r="A50" s="7">
        <v>44</v>
      </c>
      <c r="B50" s="95">
        <v>203524</v>
      </c>
      <c r="C50" s="95" t="s">
        <v>793</v>
      </c>
      <c r="D50" s="95" t="s">
        <v>794</v>
      </c>
      <c r="E50" s="95" t="s">
        <v>70</v>
      </c>
      <c r="F50" s="95">
        <v>12</v>
      </c>
      <c r="G50" s="78">
        <v>7</v>
      </c>
      <c r="H50" s="78">
        <v>2</v>
      </c>
      <c r="I50" s="78">
        <v>0</v>
      </c>
      <c r="J50" s="78">
        <v>0</v>
      </c>
      <c r="K50" s="78">
        <v>0</v>
      </c>
      <c r="L50" s="78">
        <v>0</v>
      </c>
      <c r="M50" s="78">
        <f t="shared" si="1"/>
        <v>9</v>
      </c>
      <c r="N50" s="78"/>
    </row>
    <row r="51" spans="1:14" ht="15.5" customHeight="1" x14ac:dyDescent="0.35">
      <c r="A51" s="7">
        <v>45</v>
      </c>
      <c r="B51" s="95">
        <v>25383</v>
      </c>
      <c r="C51" s="95" t="s">
        <v>711</v>
      </c>
      <c r="D51" s="95" t="s">
        <v>150</v>
      </c>
      <c r="E51" s="95" t="s">
        <v>35</v>
      </c>
      <c r="F51" s="95">
        <v>11</v>
      </c>
      <c r="G51" s="78">
        <v>7</v>
      </c>
      <c r="H51" s="78">
        <v>2</v>
      </c>
      <c r="I51" s="78">
        <v>0</v>
      </c>
      <c r="J51" s="78">
        <v>0</v>
      </c>
      <c r="K51" s="78">
        <v>0</v>
      </c>
      <c r="L51" s="78">
        <v>0</v>
      </c>
      <c r="M51" s="78">
        <f t="shared" si="1"/>
        <v>9</v>
      </c>
      <c r="N51" s="78"/>
    </row>
    <row r="52" spans="1:14" ht="15.5" customHeight="1" x14ac:dyDescent="0.35">
      <c r="A52" s="7">
        <v>46</v>
      </c>
      <c r="B52" s="95">
        <v>138444</v>
      </c>
      <c r="C52" s="95" t="s">
        <v>463</v>
      </c>
      <c r="D52" s="95" t="s">
        <v>795</v>
      </c>
      <c r="E52" s="95" t="s">
        <v>259</v>
      </c>
      <c r="F52" s="95">
        <v>12</v>
      </c>
      <c r="G52" s="81">
        <v>7</v>
      </c>
      <c r="H52" s="81">
        <v>2</v>
      </c>
      <c r="I52" s="81">
        <v>0</v>
      </c>
      <c r="J52" s="78">
        <v>0</v>
      </c>
      <c r="K52" s="78">
        <v>0</v>
      </c>
      <c r="L52" s="78">
        <v>0</v>
      </c>
      <c r="M52" s="78">
        <f t="shared" si="1"/>
        <v>9</v>
      </c>
      <c r="N52" s="78"/>
    </row>
    <row r="53" spans="1:14" ht="15.5" customHeight="1" x14ac:dyDescent="0.35">
      <c r="A53" s="7">
        <v>47</v>
      </c>
      <c r="B53" s="95">
        <v>203575</v>
      </c>
      <c r="C53" s="95" t="s">
        <v>796</v>
      </c>
      <c r="D53" s="95" t="s">
        <v>279</v>
      </c>
      <c r="E53" s="95" t="s">
        <v>70</v>
      </c>
      <c r="F53" s="95">
        <v>12</v>
      </c>
      <c r="G53" s="81">
        <v>7</v>
      </c>
      <c r="H53" s="81">
        <v>2</v>
      </c>
      <c r="I53" s="81">
        <v>0</v>
      </c>
      <c r="J53" s="78">
        <v>0</v>
      </c>
      <c r="K53" s="78">
        <v>0</v>
      </c>
      <c r="L53" s="78">
        <v>0</v>
      </c>
      <c r="M53" s="78">
        <f t="shared" si="1"/>
        <v>9</v>
      </c>
      <c r="N53" s="78"/>
    </row>
    <row r="54" spans="1:14" ht="15.5" customHeight="1" x14ac:dyDescent="0.35">
      <c r="A54" s="7">
        <v>48</v>
      </c>
      <c r="B54" s="95">
        <v>162564</v>
      </c>
      <c r="C54" s="95" t="s">
        <v>797</v>
      </c>
      <c r="D54" s="95" t="s">
        <v>798</v>
      </c>
      <c r="E54" s="95" t="s">
        <v>799</v>
      </c>
      <c r="F54" s="95">
        <v>11</v>
      </c>
      <c r="G54" s="81">
        <v>7</v>
      </c>
      <c r="H54" s="81">
        <v>2</v>
      </c>
      <c r="I54" s="81">
        <v>0</v>
      </c>
      <c r="J54" s="78">
        <v>0</v>
      </c>
      <c r="K54" s="78">
        <v>0</v>
      </c>
      <c r="L54" s="78">
        <v>0</v>
      </c>
      <c r="M54" s="78">
        <f t="shared" si="1"/>
        <v>9</v>
      </c>
      <c r="N54" s="78"/>
    </row>
    <row r="55" spans="1:14" ht="15.5" customHeight="1" x14ac:dyDescent="0.35">
      <c r="A55" s="7">
        <v>49</v>
      </c>
      <c r="B55" s="95">
        <v>137694</v>
      </c>
      <c r="C55" s="95" t="s">
        <v>381</v>
      </c>
      <c r="D55" s="95" t="s">
        <v>714</v>
      </c>
      <c r="E55" s="95" t="s">
        <v>259</v>
      </c>
      <c r="F55" s="95">
        <v>11</v>
      </c>
      <c r="G55" s="81">
        <v>7</v>
      </c>
      <c r="H55" s="81">
        <v>2</v>
      </c>
      <c r="I55" s="81">
        <v>0</v>
      </c>
      <c r="J55" s="78">
        <v>0</v>
      </c>
      <c r="K55" s="78">
        <v>0</v>
      </c>
      <c r="L55" s="78">
        <v>0</v>
      </c>
      <c r="M55" s="78">
        <f t="shared" si="1"/>
        <v>9</v>
      </c>
      <c r="N55" s="78"/>
    </row>
    <row r="56" spans="1:14" ht="15.5" customHeight="1" x14ac:dyDescent="0.35">
      <c r="A56" s="7">
        <v>50</v>
      </c>
      <c r="B56" s="95">
        <v>196055</v>
      </c>
      <c r="C56" s="95" t="s">
        <v>680</v>
      </c>
      <c r="D56" s="95" t="s">
        <v>499</v>
      </c>
      <c r="E56" s="95" t="s">
        <v>12</v>
      </c>
      <c r="F56" s="95">
        <v>12</v>
      </c>
      <c r="G56" s="81">
        <v>7</v>
      </c>
      <c r="H56" s="81">
        <v>2</v>
      </c>
      <c r="I56" s="81">
        <v>0</v>
      </c>
      <c r="J56" s="78">
        <v>0</v>
      </c>
      <c r="K56" s="78">
        <v>0</v>
      </c>
      <c r="L56" s="78">
        <v>0</v>
      </c>
      <c r="M56" s="78">
        <f t="shared" si="1"/>
        <v>9</v>
      </c>
      <c r="N56" s="78"/>
    </row>
    <row r="57" spans="1:14" ht="15.5" customHeight="1" x14ac:dyDescent="0.35">
      <c r="A57" s="7">
        <v>51</v>
      </c>
      <c r="B57" s="95">
        <v>125609</v>
      </c>
      <c r="C57" s="95" t="s">
        <v>101</v>
      </c>
      <c r="D57" s="95" t="s">
        <v>205</v>
      </c>
      <c r="E57" s="95" t="s">
        <v>67</v>
      </c>
      <c r="F57" s="95">
        <v>11</v>
      </c>
      <c r="G57" s="81">
        <v>7</v>
      </c>
      <c r="H57" s="81">
        <v>2</v>
      </c>
      <c r="I57" s="81">
        <v>0</v>
      </c>
      <c r="J57" s="78">
        <v>0</v>
      </c>
      <c r="K57" s="78">
        <v>0</v>
      </c>
      <c r="L57" s="78">
        <v>0</v>
      </c>
      <c r="M57" s="78">
        <f t="shared" si="1"/>
        <v>9</v>
      </c>
      <c r="N57" s="78"/>
    </row>
    <row r="58" spans="1:14" ht="15.5" customHeight="1" x14ac:dyDescent="0.35">
      <c r="A58" s="7">
        <v>52</v>
      </c>
      <c r="B58" s="95">
        <v>191612</v>
      </c>
      <c r="C58" s="95" t="s">
        <v>800</v>
      </c>
      <c r="D58" s="95" t="s">
        <v>338</v>
      </c>
      <c r="E58" s="95" t="s">
        <v>126</v>
      </c>
      <c r="F58" s="95">
        <v>12</v>
      </c>
      <c r="G58" s="81">
        <v>7</v>
      </c>
      <c r="H58" s="81">
        <v>2</v>
      </c>
      <c r="I58" s="81">
        <v>0</v>
      </c>
      <c r="J58" s="78">
        <v>0</v>
      </c>
      <c r="K58" s="78">
        <v>0</v>
      </c>
      <c r="L58" s="78">
        <v>0</v>
      </c>
      <c r="M58" s="78">
        <f t="shared" si="1"/>
        <v>9</v>
      </c>
      <c r="N58" s="78"/>
    </row>
    <row r="59" spans="1:14" ht="15.5" customHeight="1" x14ac:dyDescent="0.35">
      <c r="A59" s="7">
        <v>53</v>
      </c>
      <c r="B59" s="95">
        <v>204590</v>
      </c>
      <c r="C59" s="95" t="s">
        <v>801</v>
      </c>
      <c r="D59" s="95" t="s">
        <v>802</v>
      </c>
      <c r="E59" s="95" t="s">
        <v>70</v>
      </c>
      <c r="F59" s="95">
        <v>12</v>
      </c>
      <c r="G59" s="7">
        <v>6</v>
      </c>
      <c r="H59" s="7">
        <v>2</v>
      </c>
      <c r="I59" s="7">
        <v>0</v>
      </c>
      <c r="J59" s="78">
        <v>0</v>
      </c>
      <c r="K59" s="78">
        <v>0</v>
      </c>
      <c r="L59" s="78">
        <v>0</v>
      </c>
      <c r="M59" s="78">
        <f t="shared" si="1"/>
        <v>8</v>
      </c>
      <c r="N59" s="78"/>
    </row>
    <row r="60" spans="1:14" ht="15.5" customHeight="1" x14ac:dyDescent="0.35">
      <c r="A60" s="7">
        <v>54</v>
      </c>
      <c r="B60" s="95">
        <v>202704</v>
      </c>
      <c r="C60" s="95" t="s">
        <v>803</v>
      </c>
      <c r="D60" s="95" t="s">
        <v>300</v>
      </c>
      <c r="E60" s="95" t="s">
        <v>70</v>
      </c>
      <c r="F60" s="95">
        <v>12</v>
      </c>
      <c r="G60" s="7">
        <v>6</v>
      </c>
      <c r="H60" s="7">
        <v>2</v>
      </c>
      <c r="I60" s="7">
        <v>0</v>
      </c>
      <c r="J60" s="78">
        <v>0</v>
      </c>
      <c r="K60" s="78">
        <v>0</v>
      </c>
      <c r="L60" s="78">
        <v>0</v>
      </c>
      <c r="M60" s="78">
        <f t="shared" si="1"/>
        <v>8</v>
      </c>
      <c r="N60" s="78"/>
    </row>
    <row r="61" spans="1:14" ht="15.5" customHeight="1" x14ac:dyDescent="0.35">
      <c r="A61" s="7">
        <v>55</v>
      </c>
      <c r="B61" s="95">
        <v>12627</v>
      </c>
      <c r="C61" s="95" t="s">
        <v>688</v>
      </c>
      <c r="D61" s="95" t="s">
        <v>804</v>
      </c>
      <c r="E61" s="95" t="s">
        <v>73</v>
      </c>
      <c r="F61" s="95">
        <v>12</v>
      </c>
      <c r="G61" s="78">
        <v>0</v>
      </c>
      <c r="H61" s="78">
        <v>2</v>
      </c>
      <c r="I61" s="78">
        <v>0</v>
      </c>
      <c r="J61" s="78">
        <v>5</v>
      </c>
      <c r="K61" s="78">
        <v>1</v>
      </c>
      <c r="L61" s="78">
        <v>0</v>
      </c>
      <c r="M61" s="78">
        <f t="shared" si="1"/>
        <v>8</v>
      </c>
      <c r="N61" s="78"/>
    </row>
    <row r="62" spans="1:14" ht="15.5" customHeight="1" x14ac:dyDescent="0.35">
      <c r="A62" s="7">
        <v>56</v>
      </c>
      <c r="B62" s="95">
        <v>207131</v>
      </c>
      <c r="C62" s="95" t="s">
        <v>805</v>
      </c>
      <c r="D62" s="95" t="s">
        <v>125</v>
      </c>
      <c r="E62" s="95" t="s">
        <v>620</v>
      </c>
      <c r="F62" s="95">
        <v>11</v>
      </c>
      <c r="G62" s="81">
        <v>6</v>
      </c>
      <c r="H62" s="81">
        <v>2</v>
      </c>
      <c r="I62" s="81">
        <v>0</v>
      </c>
      <c r="J62" s="78">
        <v>0</v>
      </c>
      <c r="K62" s="78">
        <v>0</v>
      </c>
      <c r="L62" s="78">
        <v>0</v>
      </c>
      <c r="M62" s="78">
        <f t="shared" si="1"/>
        <v>8</v>
      </c>
      <c r="N62" s="78"/>
    </row>
    <row r="63" spans="1:14" ht="15.5" customHeight="1" x14ac:dyDescent="0.35">
      <c r="A63" s="7">
        <v>57</v>
      </c>
      <c r="B63" s="95">
        <v>191589</v>
      </c>
      <c r="C63" s="95" t="s">
        <v>806</v>
      </c>
      <c r="D63" s="95" t="s">
        <v>807</v>
      </c>
      <c r="E63" s="95" t="s">
        <v>126</v>
      </c>
      <c r="F63" s="95">
        <v>11</v>
      </c>
      <c r="G63" s="81">
        <v>7</v>
      </c>
      <c r="H63" s="81">
        <v>0</v>
      </c>
      <c r="I63" s="81">
        <v>0</v>
      </c>
      <c r="J63" s="78">
        <v>0</v>
      </c>
      <c r="K63" s="78">
        <v>0</v>
      </c>
      <c r="L63" s="78">
        <v>0</v>
      </c>
      <c r="M63" s="78">
        <f t="shared" si="1"/>
        <v>7</v>
      </c>
      <c r="N63" s="78"/>
    </row>
    <row r="64" spans="1:14" ht="15.5" customHeight="1" x14ac:dyDescent="0.35">
      <c r="A64" s="7">
        <v>58</v>
      </c>
      <c r="B64" s="95">
        <v>194887</v>
      </c>
      <c r="C64" s="95" t="s">
        <v>244</v>
      </c>
      <c r="D64" s="95" t="s">
        <v>808</v>
      </c>
      <c r="E64" s="95" t="s">
        <v>83</v>
      </c>
      <c r="F64" s="95">
        <v>12</v>
      </c>
      <c r="G64" s="7">
        <v>0</v>
      </c>
      <c r="H64" s="7">
        <v>2</v>
      </c>
      <c r="I64" s="7">
        <v>0</v>
      </c>
      <c r="J64" s="78">
        <v>5</v>
      </c>
      <c r="K64" s="78">
        <v>0</v>
      </c>
      <c r="L64" s="78">
        <v>0</v>
      </c>
      <c r="M64" s="78">
        <f t="shared" si="1"/>
        <v>7</v>
      </c>
      <c r="N64" s="78"/>
    </row>
    <row r="65" spans="1:14" ht="15.5" customHeight="1" x14ac:dyDescent="0.35">
      <c r="A65" s="7">
        <v>59</v>
      </c>
      <c r="B65" s="95">
        <v>88530</v>
      </c>
      <c r="C65" s="95" t="s">
        <v>161</v>
      </c>
      <c r="D65" s="95" t="s">
        <v>809</v>
      </c>
      <c r="E65" s="95" t="s">
        <v>73</v>
      </c>
      <c r="F65" s="95">
        <v>11</v>
      </c>
      <c r="G65" s="7">
        <v>7</v>
      </c>
      <c r="H65" s="7">
        <v>0</v>
      </c>
      <c r="I65" s="7">
        <v>0</v>
      </c>
      <c r="J65" s="78">
        <v>0</v>
      </c>
      <c r="K65" s="78">
        <v>0</v>
      </c>
      <c r="L65" s="78">
        <v>0</v>
      </c>
      <c r="M65" s="78">
        <f t="shared" si="1"/>
        <v>7</v>
      </c>
      <c r="N65" s="78"/>
    </row>
    <row r="66" spans="1:14" ht="15.5" customHeight="1" x14ac:dyDescent="0.35">
      <c r="A66" s="7">
        <v>60</v>
      </c>
      <c r="B66" s="95">
        <v>85530</v>
      </c>
      <c r="C66" s="95" t="s">
        <v>810</v>
      </c>
      <c r="D66" s="95" t="s">
        <v>302</v>
      </c>
      <c r="E66" s="95" t="s">
        <v>94</v>
      </c>
      <c r="F66" s="95">
        <v>12</v>
      </c>
      <c r="G66" s="7">
        <v>7</v>
      </c>
      <c r="H66" s="7">
        <v>0</v>
      </c>
      <c r="I66" s="7">
        <v>0</v>
      </c>
      <c r="J66" s="78">
        <v>0</v>
      </c>
      <c r="K66" s="78">
        <v>0</v>
      </c>
      <c r="L66" s="78">
        <v>0</v>
      </c>
      <c r="M66" s="78">
        <f t="shared" si="1"/>
        <v>7</v>
      </c>
      <c r="N66" s="78"/>
    </row>
    <row r="67" spans="1:14" ht="15.5" customHeight="1" x14ac:dyDescent="0.35">
      <c r="A67" s="7">
        <v>61</v>
      </c>
      <c r="B67" s="95">
        <v>202718</v>
      </c>
      <c r="C67" s="95" t="s">
        <v>811</v>
      </c>
      <c r="D67" s="95" t="s">
        <v>812</v>
      </c>
      <c r="E67" s="95" t="s">
        <v>70</v>
      </c>
      <c r="F67" s="95">
        <v>12</v>
      </c>
      <c r="G67" s="74">
        <v>7</v>
      </c>
      <c r="H67" s="74">
        <v>0</v>
      </c>
      <c r="I67" s="74">
        <v>0</v>
      </c>
      <c r="J67" s="78">
        <v>0</v>
      </c>
      <c r="K67" s="78">
        <v>0</v>
      </c>
      <c r="L67" s="78">
        <v>0</v>
      </c>
      <c r="M67" s="78">
        <f t="shared" si="1"/>
        <v>7</v>
      </c>
      <c r="N67" s="78"/>
    </row>
    <row r="68" spans="1:14" ht="15.5" customHeight="1" x14ac:dyDescent="0.35">
      <c r="A68" s="7">
        <v>62</v>
      </c>
      <c r="B68" s="95">
        <v>150514</v>
      </c>
      <c r="C68" s="95" t="s">
        <v>813</v>
      </c>
      <c r="D68" s="95" t="s">
        <v>60</v>
      </c>
      <c r="E68" s="95" t="s">
        <v>41</v>
      </c>
      <c r="F68" s="95">
        <v>12</v>
      </c>
      <c r="G68" s="78">
        <v>7</v>
      </c>
      <c r="H68" s="78">
        <v>0</v>
      </c>
      <c r="I68" s="78">
        <v>0</v>
      </c>
      <c r="J68" s="78"/>
      <c r="K68" s="78"/>
      <c r="L68" s="78"/>
      <c r="M68" s="78">
        <f t="shared" si="1"/>
        <v>7</v>
      </c>
      <c r="N68" s="78"/>
    </row>
    <row r="69" spans="1:14" ht="15.5" customHeight="1" x14ac:dyDescent="0.35">
      <c r="A69" s="7">
        <v>63</v>
      </c>
      <c r="B69" s="95">
        <v>203843</v>
      </c>
      <c r="C69" s="95" t="s">
        <v>814</v>
      </c>
      <c r="D69" s="95" t="s">
        <v>815</v>
      </c>
      <c r="E69" s="95" t="s">
        <v>70</v>
      </c>
      <c r="F69" s="95">
        <v>11</v>
      </c>
      <c r="G69" s="81">
        <v>7</v>
      </c>
      <c r="H69" s="81">
        <v>0</v>
      </c>
      <c r="I69" s="81">
        <v>0</v>
      </c>
      <c r="J69" s="78">
        <v>0</v>
      </c>
      <c r="K69" s="78">
        <v>0</v>
      </c>
      <c r="L69" s="78">
        <v>0</v>
      </c>
      <c r="M69" s="78">
        <f t="shared" si="1"/>
        <v>7</v>
      </c>
      <c r="N69" s="78"/>
    </row>
    <row r="70" spans="1:14" ht="15.5" customHeight="1" x14ac:dyDescent="0.35">
      <c r="A70" s="7">
        <v>64</v>
      </c>
      <c r="B70" s="95">
        <v>125122</v>
      </c>
      <c r="C70" s="95" t="s">
        <v>816</v>
      </c>
      <c r="D70" s="95" t="s">
        <v>88</v>
      </c>
      <c r="E70" s="95" t="s">
        <v>67</v>
      </c>
      <c r="F70" s="95">
        <v>11</v>
      </c>
      <c r="G70" s="81">
        <v>7</v>
      </c>
      <c r="H70" s="81">
        <v>0</v>
      </c>
      <c r="I70" s="81">
        <v>0</v>
      </c>
      <c r="J70" s="78">
        <v>0</v>
      </c>
      <c r="K70" s="78">
        <v>0</v>
      </c>
      <c r="L70" s="78">
        <v>0</v>
      </c>
      <c r="M70" s="78">
        <f t="shared" si="1"/>
        <v>7</v>
      </c>
      <c r="N70" s="78"/>
    </row>
    <row r="71" spans="1:14" ht="15.5" customHeight="1" x14ac:dyDescent="0.35">
      <c r="A71" s="7">
        <v>65</v>
      </c>
      <c r="B71" s="95">
        <v>160310</v>
      </c>
      <c r="C71" s="95" t="s">
        <v>217</v>
      </c>
      <c r="D71" s="95" t="s">
        <v>74</v>
      </c>
      <c r="E71" s="95" t="s">
        <v>419</v>
      </c>
      <c r="F71" s="95">
        <v>11</v>
      </c>
      <c r="G71" s="7">
        <v>2</v>
      </c>
      <c r="H71" s="7">
        <v>2</v>
      </c>
      <c r="I71" s="7">
        <v>0</v>
      </c>
      <c r="J71" s="78">
        <v>2</v>
      </c>
      <c r="K71" s="78">
        <v>0</v>
      </c>
      <c r="L71" s="78">
        <v>0</v>
      </c>
      <c r="M71" s="78">
        <f t="shared" si="1"/>
        <v>6</v>
      </c>
      <c r="N71" s="78"/>
    </row>
    <row r="72" spans="1:14" ht="15.5" customHeight="1" x14ac:dyDescent="0.35">
      <c r="A72" s="7">
        <v>66</v>
      </c>
      <c r="B72" s="95">
        <v>162781</v>
      </c>
      <c r="C72" s="95" t="s">
        <v>316</v>
      </c>
      <c r="D72" s="95" t="s">
        <v>817</v>
      </c>
      <c r="E72" s="95" t="s">
        <v>191</v>
      </c>
      <c r="F72" s="95">
        <v>12</v>
      </c>
      <c r="G72" s="81">
        <v>2</v>
      </c>
      <c r="H72" s="81">
        <v>2</v>
      </c>
      <c r="I72" s="81">
        <v>0</v>
      </c>
      <c r="J72" s="78">
        <v>2</v>
      </c>
      <c r="K72" s="78">
        <v>0</v>
      </c>
      <c r="L72" s="78">
        <v>0</v>
      </c>
      <c r="M72" s="78">
        <f t="shared" si="1"/>
        <v>6</v>
      </c>
      <c r="N72" s="78"/>
    </row>
    <row r="73" spans="1:14" ht="15.5" customHeight="1" x14ac:dyDescent="0.35">
      <c r="A73" s="7">
        <v>67</v>
      </c>
      <c r="B73" s="95">
        <v>226410</v>
      </c>
      <c r="C73" s="95" t="s">
        <v>818</v>
      </c>
      <c r="D73" s="95" t="s">
        <v>819</v>
      </c>
      <c r="E73" s="95" t="s">
        <v>335</v>
      </c>
      <c r="F73" s="95">
        <v>12</v>
      </c>
      <c r="G73" s="74">
        <v>2</v>
      </c>
      <c r="H73" s="74">
        <v>2</v>
      </c>
      <c r="I73" s="74">
        <v>0</v>
      </c>
      <c r="J73" s="78">
        <v>2</v>
      </c>
      <c r="K73" s="78">
        <v>0</v>
      </c>
      <c r="L73" s="78">
        <v>0</v>
      </c>
      <c r="M73" s="78">
        <f t="shared" si="1"/>
        <v>6</v>
      </c>
      <c r="N73" s="78"/>
    </row>
    <row r="74" spans="1:14" ht="15.5" customHeight="1" x14ac:dyDescent="0.35">
      <c r="A74" s="7">
        <v>68</v>
      </c>
      <c r="B74" s="96">
        <v>127451</v>
      </c>
      <c r="C74" s="97" t="s">
        <v>512</v>
      </c>
      <c r="D74" s="97" t="s">
        <v>291</v>
      </c>
      <c r="E74" s="96" t="s">
        <v>26</v>
      </c>
      <c r="F74" s="96">
        <v>11</v>
      </c>
      <c r="G74" s="7">
        <v>1</v>
      </c>
      <c r="H74" s="7">
        <v>2</v>
      </c>
      <c r="I74" s="7">
        <v>0</v>
      </c>
      <c r="J74" s="78">
        <v>2</v>
      </c>
      <c r="K74" s="78">
        <v>0</v>
      </c>
      <c r="L74" s="78">
        <v>0</v>
      </c>
      <c r="M74" s="78">
        <f t="shared" si="1"/>
        <v>5</v>
      </c>
      <c r="N74" s="78"/>
    </row>
    <row r="75" spans="1:14" ht="15.5" customHeight="1" x14ac:dyDescent="0.35">
      <c r="A75" s="7">
        <v>69</v>
      </c>
      <c r="B75" s="95">
        <v>2380</v>
      </c>
      <c r="C75" s="95" t="s">
        <v>820</v>
      </c>
      <c r="D75" s="95" t="s">
        <v>557</v>
      </c>
      <c r="E75" s="95" t="s">
        <v>12</v>
      </c>
      <c r="F75" s="95">
        <v>11</v>
      </c>
      <c r="G75" s="7">
        <v>3</v>
      </c>
      <c r="H75" s="7">
        <v>2</v>
      </c>
      <c r="I75" s="7">
        <v>0</v>
      </c>
      <c r="J75" s="78">
        <v>0</v>
      </c>
      <c r="K75" s="78">
        <v>0</v>
      </c>
      <c r="L75" s="78">
        <v>0</v>
      </c>
      <c r="M75" s="78">
        <f t="shared" si="1"/>
        <v>5</v>
      </c>
      <c r="N75" s="78"/>
    </row>
    <row r="76" spans="1:14" ht="15.5" customHeight="1" x14ac:dyDescent="0.35">
      <c r="A76" s="7">
        <v>70</v>
      </c>
      <c r="B76" s="95">
        <v>191595</v>
      </c>
      <c r="C76" s="95" t="s">
        <v>255</v>
      </c>
      <c r="D76" s="95" t="s">
        <v>821</v>
      </c>
      <c r="E76" s="95" t="s">
        <v>126</v>
      </c>
      <c r="F76" s="95">
        <v>11</v>
      </c>
      <c r="G76" s="7">
        <v>2</v>
      </c>
      <c r="H76" s="7">
        <v>2</v>
      </c>
      <c r="I76" s="7">
        <v>0</v>
      </c>
      <c r="J76" s="78">
        <v>0</v>
      </c>
      <c r="K76" s="78">
        <v>0</v>
      </c>
      <c r="L76" s="78">
        <v>0</v>
      </c>
      <c r="M76" s="78">
        <f t="shared" si="1"/>
        <v>4</v>
      </c>
      <c r="N76" s="78"/>
    </row>
    <row r="77" spans="1:14" ht="15.5" customHeight="1" x14ac:dyDescent="0.35">
      <c r="A77" s="7">
        <v>71</v>
      </c>
      <c r="B77" s="95">
        <v>226547</v>
      </c>
      <c r="C77" s="95" t="s">
        <v>647</v>
      </c>
      <c r="D77" s="95" t="s">
        <v>306</v>
      </c>
      <c r="E77" s="95" t="s">
        <v>259</v>
      </c>
      <c r="F77" s="95">
        <v>12</v>
      </c>
      <c r="G77" s="7">
        <v>0</v>
      </c>
      <c r="H77" s="7">
        <v>2</v>
      </c>
      <c r="I77" s="7">
        <v>0</v>
      </c>
      <c r="J77" s="78">
        <v>2</v>
      </c>
      <c r="K77" s="78">
        <v>0</v>
      </c>
      <c r="L77" s="78">
        <v>0</v>
      </c>
      <c r="M77" s="78">
        <f t="shared" si="1"/>
        <v>4</v>
      </c>
      <c r="N77" s="78"/>
    </row>
    <row r="78" spans="1:14" ht="15.5" customHeight="1" x14ac:dyDescent="0.35">
      <c r="A78" s="7">
        <v>72</v>
      </c>
      <c r="B78" s="95">
        <v>108528</v>
      </c>
      <c r="C78" s="95" t="s">
        <v>69</v>
      </c>
      <c r="D78" s="95" t="s">
        <v>822</v>
      </c>
      <c r="E78" s="95" t="s">
        <v>295</v>
      </c>
      <c r="F78" s="95">
        <v>12</v>
      </c>
      <c r="G78" s="74">
        <v>0</v>
      </c>
      <c r="H78" s="74">
        <v>2</v>
      </c>
      <c r="I78" s="74">
        <v>0</v>
      </c>
      <c r="J78" s="78">
        <v>2</v>
      </c>
      <c r="K78" s="78">
        <v>0</v>
      </c>
      <c r="L78" s="78">
        <v>0</v>
      </c>
      <c r="M78" s="78">
        <f t="shared" si="1"/>
        <v>4</v>
      </c>
      <c r="N78" s="78"/>
    </row>
    <row r="79" spans="1:14" ht="15.5" customHeight="1" x14ac:dyDescent="0.35">
      <c r="A79" s="7">
        <v>73</v>
      </c>
      <c r="B79" s="96">
        <v>182167</v>
      </c>
      <c r="C79" s="97" t="s">
        <v>823</v>
      </c>
      <c r="D79" s="97" t="s">
        <v>619</v>
      </c>
      <c r="E79" s="96" t="s">
        <v>26</v>
      </c>
      <c r="F79" s="96">
        <v>11</v>
      </c>
      <c r="G79" s="7">
        <v>2</v>
      </c>
      <c r="H79" s="7">
        <v>2</v>
      </c>
      <c r="I79" s="7">
        <v>0</v>
      </c>
      <c r="J79" s="78">
        <v>0</v>
      </c>
      <c r="K79" s="78">
        <v>0</v>
      </c>
      <c r="L79" s="78">
        <v>0</v>
      </c>
      <c r="M79" s="78">
        <f t="shared" si="1"/>
        <v>4</v>
      </c>
      <c r="N79" s="78"/>
    </row>
    <row r="80" spans="1:14" ht="15.5" customHeight="1" x14ac:dyDescent="0.35">
      <c r="A80" s="7">
        <v>74</v>
      </c>
      <c r="B80" s="95">
        <v>125020</v>
      </c>
      <c r="C80" s="95" t="s">
        <v>824</v>
      </c>
      <c r="D80" s="95" t="s">
        <v>825</v>
      </c>
      <c r="E80" s="95" t="s">
        <v>67</v>
      </c>
      <c r="F80" s="95">
        <v>12</v>
      </c>
      <c r="G80" s="7">
        <v>0</v>
      </c>
      <c r="H80" s="7">
        <v>2</v>
      </c>
      <c r="I80" s="7">
        <v>0</v>
      </c>
      <c r="J80" s="78">
        <v>2</v>
      </c>
      <c r="K80" s="78">
        <v>0</v>
      </c>
      <c r="L80" s="78">
        <v>0</v>
      </c>
      <c r="M80" s="78">
        <f t="shared" si="1"/>
        <v>4</v>
      </c>
      <c r="N80" s="78"/>
    </row>
    <row r="81" spans="1:14" ht="15.5" customHeight="1" x14ac:dyDescent="0.35">
      <c r="A81" s="7">
        <v>75</v>
      </c>
      <c r="B81" s="95">
        <v>124871</v>
      </c>
      <c r="C81" s="95" t="s">
        <v>344</v>
      </c>
      <c r="D81" s="95" t="s">
        <v>498</v>
      </c>
      <c r="E81" s="95" t="s">
        <v>67</v>
      </c>
      <c r="F81" s="95">
        <v>12</v>
      </c>
      <c r="G81" s="78">
        <v>0</v>
      </c>
      <c r="H81" s="78">
        <v>2</v>
      </c>
      <c r="I81" s="78">
        <v>0</v>
      </c>
      <c r="J81" s="78">
        <v>2</v>
      </c>
      <c r="K81" s="78">
        <v>0</v>
      </c>
      <c r="L81" s="78">
        <v>0</v>
      </c>
      <c r="M81" s="78">
        <f t="shared" si="1"/>
        <v>4</v>
      </c>
      <c r="N81" s="78"/>
    </row>
    <row r="82" spans="1:14" ht="15.5" customHeight="1" x14ac:dyDescent="0.35">
      <c r="A82" s="7">
        <v>76</v>
      </c>
      <c r="B82" s="95">
        <v>36027</v>
      </c>
      <c r="C82" s="95" t="s">
        <v>468</v>
      </c>
      <c r="D82" s="95" t="s">
        <v>668</v>
      </c>
      <c r="E82" s="95" t="s">
        <v>62</v>
      </c>
      <c r="F82" s="95">
        <v>11</v>
      </c>
      <c r="G82" s="78">
        <v>0</v>
      </c>
      <c r="H82" s="78">
        <v>2</v>
      </c>
      <c r="I82" s="78">
        <v>0</v>
      </c>
      <c r="J82" s="78">
        <v>2</v>
      </c>
      <c r="K82" s="78">
        <v>0</v>
      </c>
      <c r="L82" s="78">
        <v>0</v>
      </c>
      <c r="M82" s="78">
        <f t="shared" si="1"/>
        <v>4</v>
      </c>
      <c r="N82" s="78"/>
    </row>
    <row r="83" spans="1:14" ht="15.5" customHeight="1" x14ac:dyDescent="0.35">
      <c r="A83" s="7">
        <v>77</v>
      </c>
      <c r="B83" s="95">
        <v>214066</v>
      </c>
      <c r="C83" s="95" t="s">
        <v>826</v>
      </c>
      <c r="D83" s="95" t="s">
        <v>827</v>
      </c>
      <c r="E83" s="95" t="s">
        <v>268</v>
      </c>
      <c r="F83" s="95">
        <v>11</v>
      </c>
      <c r="G83" s="78">
        <v>0</v>
      </c>
      <c r="H83" s="78">
        <v>2</v>
      </c>
      <c r="I83" s="78">
        <v>0</v>
      </c>
      <c r="J83" s="78">
        <v>2</v>
      </c>
      <c r="K83" s="78">
        <v>0</v>
      </c>
      <c r="L83" s="78">
        <v>0</v>
      </c>
      <c r="M83" s="78">
        <f t="shared" si="1"/>
        <v>4</v>
      </c>
      <c r="N83" s="78"/>
    </row>
    <row r="84" spans="1:14" ht="15.5" customHeight="1" x14ac:dyDescent="0.35">
      <c r="A84" s="7">
        <v>78</v>
      </c>
      <c r="B84" s="95">
        <v>158832</v>
      </c>
      <c r="C84" s="95" t="s">
        <v>165</v>
      </c>
      <c r="D84" s="95" t="s">
        <v>307</v>
      </c>
      <c r="E84" s="95" t="s">
        <v>298</v>
      </c>
      <c r="F84" s="95">
        <v>12</v>
      </c>
      <c r="G84" s="78">
        <v>0</v>
      </c>
      <c r="H84" s="78">
        <v>2</v>
      </c>
      <c r="I84" s="78">
        <v>0</v>
      </c>
      <c r="J84" s="78">
        <v>2</v>
      </c>
      <c r="K84" s="78">
        <v>0</v>
      </c>
      <c r="L84" s="78">
        <v>0</v>
      </c>
      <c r="M84" s="78">
        <f t="shared" si="1"/>
        <v>4</v>
      </c>
      <c r="N84" s="78"/>
    </row>
    <row r="85" spans="1:14" ht="15.5" customHeight="1" x14ac:dyDescent="0.35">
      <c r="A85" s="7">
        <v>79</v>
      </c>
      <c r="B85" s="95">
        <v>219987</v>
      </c>
      <c r="C85" s="95" t="s">
        <v>15</v>
      </c>
      <c r="D85" s="95" t="s">
        <v>199</v>
      </c>
      <c r="E85" s="95" t="s">
        <v>131</v>
      </c>
      <c r="F85" s="95">
        <v>12</v>
      </c>
      <c r="G85" s="81">
        <v>0</v>
      </c>
      <c r="H85" s="81">
        <v>2</v>
      </c>
      <c r="I85" s="81">
        <v>0</v>
      </c>
      <c r="J85" s="78">
        <v>2</v>
      </c>
      <c r="K85" s="78">
        <v>0</v>
      </c>
      <c r="L85" s="78">
        <v>0</v>
      </c>
      <c r="M85" s="78">
        <f t="shared" si="1"/>
        <v>4</v>
      </c>
      <c r="N85" s="78"/>
    </row>
    <row r="86" spans="1:14" ht="15.5" customHeight="1" x14ac:dyDescent="0.35">
      <c r="A86" s="7">
        <v>80</v>
      </c>
      <c r="B86" s="95">
        <v>29714</v>
      </c>
      <c r="C86" s="95" t="s">
        <v>463</v>
      </c>
      <c r="D86" s="95" t="s">
        <v>828</v>
      </c>
      <c r="E86" s="95" t="s">
        <v>73</v>
      </c>
      <c r="F86" s="95">
        <v>11</v>
      </c>
      <c r="G86" s="78">
        <v>0</v>
      </c>
      <c r="H86" s="78">
        <v>2</v>
      </c>
      <c r="I86" s="78">
        <v>0</v>
      </c>
      <c r="J86" s="78">
        <v>2</v>
      </c>
      <c r="K86" s="78">
        <v>0</v>
      </c>
      <c r="L86" s="78">
        <v>0</v>
      </c>
      <c r="M86" s="78">
        <f t="shared" si="1"/>
        <v>4</v>
      </c>
      <c r="N86" s="78"/>
    </row>
    <row r="87" spans="1:14" ht="15.5" customHeight="1" x14ac:dyDescent="0.35">
      <c r="A87" s="7">
        <v>81</v>
      </c>
      <c r="B87" s="95">
        <v>213974</v>
      </c>
      <c r="C87" s="95" t="s">
        <v>829</v>
      </c>
      <c r="D87" s="95" t="s">
        <v>830</v>
      </c>
      <c r="E87" s="95" t="s">
        <v>122</v>
      </c>
      <c r="F87" s="95">
        <v>11</v>
      </c>
      <c r="G87" s="81">
        <v>1</v>
      </c>
      <c r="H87" s="81">
        <v>2</v>
      </c>
      <c r="I87" s="81">
        <v>0</v>
      </c>
      <c r="J87" s="78">
        <v>1</v>
      </c>
      <c r="K87" s="78">
        <v>0</v>
      </c>
      <c r="L87" s="78">
        <v>0</v>
      </c>
      <c r="M87" s="78">
        <f t="shared" si="1"/>
        <v>4</v>
      </c>
      <c r="N87" s="78"/>
    </row>
    <row r="88" spans="1:14" ht="15.5" customHeight="1" x14ac:dyDescent="0.35">
      <c r="A88" s="7">
        <v>82</v>
      </c>
      <c r="B88" s="95">
        <v>194881</v>
      </c>
      <c r="C88" s="95" t="s">
        <v>386</v>
      </c>
      <c r="D88" s="95" t="s">
        <v>498</v>
      </c>
      <c r="E88" s="95" t="s">
        <v>83</v>
      </c>
      <c r="F88" s="95">
        <v>12</v>
      </c>
      <c r="G88" s="81">
        <v>0</v>
      </c>
      <c r="H88" s="81">
        <v>2</v>
      </c>
      <c r="I88" s="81">
        <v>0</v>
      </c>
      <c r="J88" s="78">
        <v>2</v>
      </c>
      <c r="K88" s="78">
        <v>0</v>
      </c>
      <c r="L88" s="78">
        <v>0</v>
      </c>
      <c r="M88" s="78">
        <f t="shared" si="1"/>
        <v>4</v>
      </c>
      <c r="N88" s="78"/>
    </row>
    <row r="89" spans="1:14" ht="15.5" customHeight="1" x14ac:dyDescent="0.35">
      <c r="A89" s="7">
        <v>83</v>
      </c>
      <c r="B89" s="95">
        <v>221616</v>
      </c>
      <c r="C89" s="95" t="s">
        <v>831</v>
      </c>
      <c r="D89" s="95" t="s">
        <v>781</v>
      </c>
      <c r="E89" s="95" t="s">
        <v>97</v>
      </c>
      <c r="F89" s="95">
        <v>12</v>
      </c>
      <c r="G89" s="7">
        <v>3</v>
      </c>
      <c r="H89" s="7">
        <v>0</v>
      </c>
      <c r="I89" s="7">
        <v>0</v>
      </c>
      <c r="J89" s="78">
        <v>0</v>
      </c>
      <c r="K89" s="78">
        <v>0</v>
      </c>
      <c r="L89" s="78">
        <v>0</v>
      </c>
      <c r="M89" s="78">
        <f t="shared" si="1"/>
        <v>3</v>
      </c>
      <c r="N89" s="78"/>
    </row>
    <row r="90" spans="1:14" ht="15.5" customHeight="1" x14ac:dyDescent="0.35">
      <c r="A90" s="7">
        <v>84</v>
      </c>
      <c r="B90" s="95">
        <v>162585</v>
      </c>
      <c r="C90" s="95" t="s">
        <v>832</v>
      </c>
      <c r="D90" s="95" t="s">
        <v>701</v>
      </c>
      <c r="E90" s="95" t="s">
        <v>833</v>
      </c>
      <c r="F90" s="95">
        <v>11</v>
      </c>
      <c r="G90" s="78">
        <v>0</v>
      </c>
      <c r="H90" s="78">
        <v>0</v>
      </c>
      <c r="I90" s="78">
        <v>0</v>
      </c>
      <c r="J90" s="78">
        <v>2</v>
      </c>
      <c r="K90" s="78">
        <v>1</v>
      </c>
      <c r="L90" s="78">
        <v>0</v>
      </c>
      <c r="M90" s="78">
        <f t="shared" si="1"/>
        <v>3</v>
      </c>
      <c r="N90" s="78"/>
    </row>
    <row r="91" spans="1:14" ht="15.5" customHeight="1" x14ac:dyDescent="0.35">
      <c r="A91" s="7">
        <v>85</v>
      </c>
      <c r="B91" s="95">
        <v>203542</v>
      </c>
      <c r="C91" s="95" t="s">
        <v>404</v>
      </c>
      <c r="D91" s="95" t="s">
        <v>515</v>
      </c>
      <c r="E91" s="95" t="s">
        <v>70</v>
      </c>
      <c r="F91" s="95">
        <v>12</v>
      </c>
      <c r="G91" s="78">
        <v>0</v>
      </c>
      <c r="H91" s="78">
        <v>2</v>
      </c>
      <c r="I91" s="78">
        <v>0</v>
      </c>
      <c r="J91" s="78">
        <v>0</v>
      </c>
      <c r="K91" s="78">
        <v>1</v>
      </c>
      <c r="L91" s="78">
        <v>0</v>
      </c>
      <c r="M91" s="78">
        <f t="shared" si="1"/>
        <v>3</v>
      </c>
      <c r="N91" s="78"/>
    </row>
    <row r="92" spans="1:14" ht="15.5" customHeight="1" x14ac:dyDescent="0.35">
      <c r="A92" s="7">
        <v>86</v>
      </c>
      <c r="B92" s="95">
        <v>212166</v>
      </c>
      <c r="C92" s="95" t="s">
        <v>80</v>
      </c>
      <c r="D92" s="95" t="s">
        <v>636</v>
      </c>
      <c r="E92" s="95" t="s">
        <v>35</v>
      </c>
      <c r="F92" s="95">
        <v>11</v>
      </c>
      <c r="G92" s="74">
        <v>0</v>
      </c>
      <c r="H92" s="74">
        <v>0</v>
      </c>
      <c r="I92" s="74">
        <v>0</v>
      </c>
      <c r="J92" s="78">
        <v>2</v>
      </c>
      <c r="K92" s="78">
        <v>0</v>
      </c>
      <c r="L92" s="78">
        <v>0</v>
      </c>
      <c r="M92" s="78">
        <f t="shared" si="1"/>
        <v>2</v>
      </c>
      <c r="N92" s="78"/>
    </row>
    <row r="93" spans="1:14" ht="15.5" customHeight="1" x14ac:dyDescent="0.35">
      <c r="A93" s="7">
        <v>87</v>
      </c>
      <c r="B93" s="95">
        <v>207356</v>
      </c>
      <c r="C93" s="95" t="s">
        <v>393</v>
      </c>
      <c r="D93" s="95" t="s">
        <v>834</v>
      </c>
      <c r="E93" s="95" t="s">
        <v>835</v>
      </c>
      <c r="F93" s="95">
        <v>12</v>
      </c>
      <c r="G93" s="7">
        <v>0</v>
      </c>
      <c r="H93" s="7">
        <v>2</v>
      </c>
      <c r="I93" s="7">
        <v>0</v>
      </c>
      <c r="J93" s="78"/>
      <c r="K93" s="78"/>
      <c r="L93" s="78"/>
      <c r="M93" s="78">
        <f t="shared" si="1"/>
        <v>2</v>
      </c>
      <c r="N93" s="78"/>
    </row>
    <row r="94" spans="1:14" ht="15.5" customHeight="1" x14ac:dyDescent="0.35">
      <c r="A94" s="7">
        <v>88</v>
      </c>
      <c r="B94" s="95">
        <v>215164</v>
      </c>
      <c r="C94" s="95" t="s">
        <v>154</v>
      </c>
      <c r="D94" s="95" t="s">
        <v>836</v>
      </c>
      <c r="E94" s="95" t="s">
        <v>46</v>
      </c>
      <c r="F94" s="95">
        <v>12</v>
      </c>
      <c r="G94" s="7">
        <v>0</v>
      </c>
      <c r="H94" s="7">
        <v>2</v>
      </c>
      <c r="I94" s="7">
        <v>0</v>
      </c>
      <c r="J94" s="78"/>
      <c r="K94" s="78"/>
      <c r="L94" s="78"/>
      <c r="M94" s="78">
        <f t="shared" si="1"/>
        <v>2</v>
      </c>
      <c r="N94" s="78"/>
    </row>
    <row r="95" spans="1:14" ht="15.5" customHeight="1" x14ac:dyDescent="0.35">
      <c r="A95" s="7">
        <v>89</v>
      </c>
      <c r="B95" s="96">
        <v>138433</v>
      </c>
      <c r="C95" s="97" t="s">
        <v>837</v>
      </c>
      <c r="D95" s="97" t="s">
        <v>838</v>
      </c>
      <c r="E95" s="96" t="s">
        <v>259</v>
      </c>
      <c r="F95" s="96">
        <v>12</v>
      </c>
      <c r="G95" s="7">
        <v>0</v>
      </c>
      <c r="H95" s="7">
        <v>2</v>
      </c>
      <c r="I95" s="7">
        <v>0</v>
      </c>
      <c r="J95" s="78">
        <v>0</v>
      </c>
      <c r="K95" s="78">
        <v>0</v>
      </c>
      <c r="L95" s="78">
        <v>0</v>
      </c>
      <c r="M95" s="78">
        <f t="shared" si="1"/>
        <v>2</v>
      </c>
      <c r="N95" s="78"/>
    </row>
    <row r="96" spans="1:14" ht="15.5" customHeight="1" x14ac:dyDescent="0.35">
      <c r="A96" s="7">
        <v>90</v>
      </c>
      <c r="B96" s="96">
        <v>73973</v>
      </c>
      <c r="C96" s="97" t="s">
        <v>839</v>
      </c>
      <c r="D96" s="97" t="s">
        <v>88</v>
      </c>
      <c r="E96" s="96" t="s">
        <v>26</v>
      </c>
      <c r="F96" s="96">
        <v>12</v>
      </c>
      <c r="G96" s="7">
        <v>0</v>
      </c>
      <c r="H96" s="7">
        <v>2</v>
      </c>
      <c r="I96" s="7">
        <v>0</v>
      </c>
      <c r="J96" s="78">
        <v>0</v>
      </c>
      <c r="K96" s="78">
        <v>0</v>
      </c>
      <c r="L96" s="78">
        <v>0</v>
      </c>
      <c r="M96" s="78">
        <f t="shared" si="1"/>
        <v>2</v>
      </c>
      <c r="N96" s="78"/>
    </row>
    <row r="97" spans="1:14" ht="15.5" customHeight="1" x14ac:dyDescent="0.35">
      <c r="A97" s="7">
        <v>91</v>
      </c>
      <c r="B97" s="97">
        <v>221873</v>
      </c>
      <c r="C97" s="97" t="s">
        <v>840</v>
      </c>
      <c r="D97" s="97" t="s">
        <v>841</v>
      </c>
      <c r="E97" s="97" t="s">
        <v>488</v>
      </c>
      <c r="F97" s="97">
        <v>12</v>
      </c>
      <c r="G97" s="7">
        <v>0</v>
      </c>
      <c r="H97" s="7">
        <v>2</v>
      </c>
      <c r="I97" s="7">
        <v>0</v>
      </c>
      <c r="J97" s="78">
        <v>0</v>
      </c>
      <c r="K97" s="78">
        <v>0</v>
      </c>
      <c r="L97" s="78">
        <v>0</v>
      </c>
      <c r="M97" s="78">
        <f t="shared" si="1"/>
        <v>2</v>
      </c>
      <c r="N97" s="78"/>
    </row>
    <row r="98" spans="1:14" ht="15.5" customHeight="1" x14ac:dyDescent="0.35">
      <c r="A98" s="7">
        <v>92</v>
      </c>
      <c r="B98" s="95">
        <v>162567</v>
      </c>
      <c r="C98" s="95" t="s">
        <v>842</v>
      </c>
      <c r="D98" s="95" t="s">
        <v>843</v>
      </c>
      <c r="E98" s="95" t="s">
        <v>298</v>
      </c>
      <c r="F98" s="95">
        <v>11</v>
      </c>
      <c r="G98" s="7">
        <v>0</v>
      </c>
      <c r="H98" s="7">
        <v>2</v>
      </c>
      <c r="I98" s="7">
        <v>0</v>
      </c>
      <c r="J98" s="78">
        <v>0</v>
      </c>
      <c r="K98" s="78">
        <v>0</v>
      </c>
      <c r="L98" s="78">
        <v>0</v>
      </c>
      <c r="M98" s="78">
        <f t="shared" si="1"/>
        <v>2</v>
      </c>
      <c r="N98" s="78"/>
    </row>
    <row r="99" spans="1:14" ht="15.5" customHeight="1" x14ac:dyDescent="0.35">
      <c r="A99" s="7">
        <v>93</v>
      </c>
      <c r="B99" s="95">
        <v>221693</v>
      </c>
      <c r="C99" s="95" t="s">
        <v>442</v>
      </c>
      <c r="D99" s="95" t="s">
        <v>844</v>
      </c>
      <c r="E99" s="95" t="s">
        <v>97</v>
      </c>
      <c r="F99" s="95">
        <v>12</v>
      </c>
      <c r="G99" s="7">
        <v>0</v>
      </c>
      <c r="H99" s="7">
        <v>2</v>
      </c>
      <c r="I99" s="7">
        <v>0</v>
      </c>
      <c r="J99" s="78">
        <v>0</v>
      </c>
      <c r="K99" s="78">
        <v>0</v>
      </c>
      <c r="L99" s="78">
        <v>0</v>
      </c>
      <c r="M99" s="78">
        <f t="shared" si="1"/>
        <v>2</v>
      </c>
      <c r="N99" s="78"/>
    </row>
    <row r="100" spans="1:14" ht="15.5" customHeight="1" x14ac:dyDescent="0.35">
      <c r="A100" s="7">
        <v>94</v>
      </c>
      <c r="B100" s="95">
        <v>85536</v>
      </c>
      <c r="C100" s="95" t="s">
        <v>501</v>
      </c>
      <c r="D100" s="95" t="s">
        <v>636</v>
      </c>
      <c r="E100" s="95" t="s">
        <v>94</v>
      </c>
      <c r="F100" s="95">
        <v>12</v>
      </c>
      <c r="G100" s="7">
        <v>0</v>
      </c>
      <c r="H100" s="7">
        <v>2</v>
      </c>
      <c r="I100" s="7">
        <v>0</v>
      </c>
      <c r="J100" s="78">
        <v>0</v>
      </c>
      <c r="K100" s="78">
        <v>0</v>
      </c>
      <c r="L100" s="78">
        <v>0</v>
      </c>
      <c r="M100" s="78">
        <f t="shared" si="1"/>
        <v>2</v>
      </c>
      <c r="N100" s="78"/>
    </row>
    <row r="101" spans="1:14" ht="15.5" customHeight="1" x14ac:dyDescent="0.35">
      <c r="A101" s="7">
        <v>95</v>
      </c>
      <c r="B101" s="95">
        <v>217802</v>
      </c>
      <c r="C101" s="95" t="s">
        <v>189</v>
      </c>
      <c r="D101" s="95" t="s">
        <v>395</v>
      </c>
      <c r="E101" s="95" t="s">
        <v>94</v>
      </c>
      <c r="F101" s="95">
        <v>12</v>
      </c>
      <c r="G101" s="7">
        <v>0</v>
      </c>
      <c r="H101" s="7">
        <v>2</v>
      </c>
      <c r="I101" s="7">
        <v>0</v>
      </c>
      <c r="J101" s="78">
        <v>0</v>
      </c>
      <c r="K101" s="78">
        <v>0</v>
      </c>
      <c r="L101" s="78">
        <v>0</v>
      </c>
      <c r="M101" s="78">
        <f t="shared" si="1"/>
        <v>2</v>
      </c>
      <c r="N101" s="78"/>
    </row>
    <row r="102" spans="1:14" ht="15.5" customHeight="1" x14ac:dyDescent="0.35">
      <c r="A102" s="7">
        <v>96</v>
      </c>
      <c r="B102" s="95">
        <v>60112</v>
      </c>
      <c r="C102" s="95" t="s">
        <v>344</v>
      </c>
      <c r="D102" s="95" t="s">
        <v>845</v>
      </c>
      <c r="E102" s="95" t="s">
        <v>419</v>
      </c>
      <c r="F102" s="95">
        <v>12</v>
      </c>
      <c r="G102" s="7">
        <v>0</v>
      </c>
      <c r="H102" s="7">
        <v>0</v>
      </c>
      <c r="I102" s="7">
        <v>0</v>
      </c>
      <c r="J102" s="78">
        <v>2</v>
      </c>
      <c r="K102" s="78">
        <v>0</v>
      </c>
      <c r="L102" s="78">
        <v>0</v>
      </c>
      <c r="M102" s="78">
        <f t="shared" si="1"/>
        <v>2</v>
      </c>
      <c r="N102" s="78"/>
    </row>
    <row r="103" spans="1:14" ht="15.5" customHeight="1" x14ac:dyDescent="0.35">
      <c r="A103" s="7">
        <v>97</v>
      </c>
      <c r="B103" s="95">
        <v>162966</v>
      </c>
      <c r="C103" s="95" t="s">
        <v>846</v>
      </c>
      <c r="D103" s="95" t="s">
        <v>499</v>
      </c>
      <c r="E103" s="95" t="s">
        <v>191</v>
      </c>
      <c r="F103" s="95">
        <v>11</v>
      </c>
      <c r="G103" s="74">
        <v>0</v>
      </c>
      <c r="H103" s="74">
        <v>2</v>
      </c>
      <c r="I103" s="74">
        <v>0</v>
      </c>
      <c r="J103" s="78"/>
      <c r="K103" s="78"/>
      <c r="L103" s="78"/>
      <c r="M103" s="78">
        <f t="shared" ref="M103:M166" si="2">SUM(G103:L103)</f>
        <v>2</v>
      </c>
      <c r="N103" s="78"/>
    </row>
    <row r="104" spans="1:14" ht="15.5" customHeight="1" x14ac:dyDescent="0.35">
      <c r="A104" s="7">
        <v>98</v>
      </c>
      <c r="B104" s="96">
        <v>182731</v>
      </c>
      <c r="C104" s="97" t="s">
        <v>847</v>
      </c>
      <c r="D104" s="97" t="s">
        <v>229</v>
      </c>
      <c r="E104" s="96" t="s">
        <v>26</v>
      </c>
      <c r="F104" s="96">
        <v>11</v>
      </c>
      <c r="G104" s="7">
        <v>0</v>
      </c>
      <c r="H104" s="7">
        <v>2</v>
      </c>
      <c r="I104" s="7">
        <v>0</v>
      </c>
      <c r="J104" s="78">
        <v>0</v>
      </c>
      <c r="K104" s="78">
        <v>0</v>
      </c>
      <c r="L104" s="78">
        <v>0</v>
      </c>
      <c r="M104" s="78">
        <f t="shared" si="2"/>
        <v>2</v>
      </c>
      <c r="N104" s="78"/>
    </row>
    <row r="105" spans="1:14" ht="15.5" customHeight="1" x14ac:dyDescent="0.35">
      <c r="A105" s="7">
        <v>99</v>
      </c>
      <c r="B105" s="95">
        <v>160315</v>
      </c>
      <c r="C105" s="95" t="s">
        <v>848</v>
      </c>
      <c r="D105" s="95" t="s">
        <v>418</v>
      </c>
      <c r="E105" s="95" t="s">
        <v>419</v>
      </c>
      <c r="F105" s="95">
        <v>11</v>
      </c>
      <c r="G105" s="7">
        <v>0</v>
      </c>
      <c r="H105" s="7">
        <v>2</v>
      </c>
      <c r="I105" s="7">
        <v>0</v>
      </c>
      <c r="J105" s="78">
        <v>0</v>
      </c>
      <c r="K105" s="78">
        <v>0</v>
      </c>
      <c r="L105" s="78">
        <v>0</v>
      </c>
      <c r="M105" s="78">
        <f t="shared" si="2"/>
        <v>2</v>
      </c>
      <c r="N105" s="78"/>
    </row>
    <row r="106" spans="1:14" ht="15.5" customHeight="1" x14ac:dyDescent="0.35">
      <c r="A106" s="7">
        <v>100</v>
      </c>
      <c r="B106" s="95">
        <v>168548</v>
      </c>
      <c r="C106" s="95" t="s">
        <v>849</v>
      </c>
      <c r="D106" s="95" t="s">
        <v>850</v>
      </c>
      <c r="E106" s="95" t="s">
        <v>41</v>
      </c>
      <c r="F106" s="95">
        <v>12</v>
      </c>
      <c r="G106" s="7">
        <v>0</v>
      </c>
      <c r="H106" s="7">
        <v>2</v>
      </c>
      <c r="I106" s="7">
        <v>0</v>
      </c>
      <c r="J106" s="78"/>
      <c r="K106" s="78"/>
      <c r="L106" s="78"/>
      <c r="M106" s="78">
        <f t="shared" si="2"/>
        <v>2</v>
      </c>
      <c r="N106" s="78"/>
    </row>
    <row r="107" spans="1:14" ht="15.5" customHeight="1" x14ac:dyDescent="0.35">
      <c r="A107" s="7">
        <v>101</v>
      </c>
      <c r="B107" s="95">
        <v>222168</v>
      </c>
      <c r="C107" s="95" t="s">
        <v>851</v>
      </c>
      <c r="D107" s="95" t="s">
        <v>148</v>
      </c>
      <c r="E107" s="95" t="s">
        <v>649</v>
      </c>
      <c r="F107" s="95">
        <v>12</v>
      </c>
      <c r="G107" s="81">
        <v>0</v>
      </c>
      <c r="H107" s="81">
        <v>2</v>
      </c>
      <c r="I107" s="81">
        <v>0</v>
      </c>
      <c r="J107" s="78">
        <v>0</v>
      </c>
      <c r="K107" s="78">
        <v>0</v>
      </c>
      <c r="L107" s="78">
        <v>0</v>
      </c>
      <c r="M107" s="78">
        <f t="shared" si="2"/>
        <v>2</v>
      </c>
      <c r="N107" s="78"/>
    </row>
    <row r="108" spans="1:14" ht="15.5" customHeight="1" x14ac:dyDescent="0.35">
      <c r="A108" s="7">
        <v>102</v>
      </c>
      <c r="B108" s="183">
        <v>233099</v>
      </c>
      <c r="C108" s="95" t="s">
        <v>852</v>
      </c>
      <c r="D108" s="95" t="s">
        <v>193</v>
      </c>
      <c r="E108" s="95" t="s">
        <v>676</v>
      </c>
      <c r="F108" s="95">
        <v>12</v>
      </c>
      <c r="G108" s="81">
        <v>0</v>
      </c>
      <c r="H108" s="81">
        <v>2</v>
      </c>
      <c r="I108" s="81">
        <v>0</v>
      </c>
      <c r="J108" s="78">
        <v>0</v>
      </c>
      <c r="K108" s="78">
        <v>0</v>
      </c>
      <c r="L108" s="78">
        <v>0</v>
      </c>
      <c r="M108" s="78">
        <f t="shared" si="2"/>
        <v>2</v>
      </c>
      <c r="N108" s="78"/>
    </row>
    <row r="109" spans="1:14" ht="15.5" customHeight="1" x14ac:dyDescent="0.35">
      <c r="A109" s="7">
        <v>103</v>
      </c>
      <c r="B109" s="95">
        <v>218074</v>
      </c>
      <c r="C109" s="95" t="s">
        <v>101</v>
      </c>
      <c r="D109" s="95" t="s">
        <v>853</v>
      </c>
      <c r="E109" s="95" t="s">
        <v>259</v>
      </c>
      <c r="F109" s="95">
        <v>11</v>
      </c>
      <c r="G109" s="74">
        <v>0</v>
      </c>
      <c r="H109" s="74">
        <v>0</v>
      </c>
      <c r="I109" s="74">
        <v>0</v>
      </c>
      <c r="J109" s="78">
        <v>2</v>
      </c>
      <c r="K109" s="78">
        <v>0</v>
      </c>
      <c r="L109" s="78">
        <v>0</v>
      </c>
      <c r="M109" s="78">
        <f t="shared" si="2"/>
        <v>2</v>
      </c>
      <c r="N109" s="78"/>
    </row>
    <row r="110" spans="1:14" ht="15.5" customHeight="1" x14ac:dyDescent="0.35">
      <c r="A110" s="7">
        <v>104</v>
      </c>
      <c r="B110" s="95">
        <v>198180</v>
      </c>
      <c r="C110" s="95" t="s">
        <v>854</v>
      </c>
      <c r="D110" s="95" t="s">
        <v>177</v>
      </c>
      <c r="E110" s="95" t="s">
        <v>241</v>
      </c>
      <c r="F110" s="95">
        <v>12</v>
      </c>
      <c r="G110" s="74">
        <v>0</v>
      </c>
      <c r="H110" s="74">
        <v>2</v>
      </c>
      <c r="I110" s="74">
        <v>0</v>
      </c>
      <c r="J110" s="78">
        <v>0</v>
      </c>
      <c r="K110" s="78">
        <v>0</v>
      </c>
      <c r="L110" s="78">
        <v>0</v>
      </c>
      <c r="M110" s="78">
        <f t="shared" si="2"/>
        <v>2</v>
      </c>
      <c r="N110" s="78"/>
    </row>
    <row r="111" spans="1:14" ht="15.5" customHeight="1" x14ac:dyDescent="0.35">
      <c r="A111" s="7">
        <v>105</v>
      </c>
      <c r="B111" s="95">
        <v>220501</v>
      </c>
      <c r="C111" s="95" t="s">
        <v>592</v>
      </c>
      <c r="D111" s="95" t="s">
        <v>207</v>
      </c>
      <c r="E111" s="95" t="s">
        <v>268</v>
      </c>
      <c r="F111" s="95">
        <v>12</v>
      </c>
      <c r="G111" s="78">
        <v>0</v>
      </c>
      <c r="H111" s="78">
        <v>2</v>
      </c>
      <c r="I111" s="78">
        <v>0</v>
      </c>
      <c r="J111" s="78">
        <v>0</v>
      </c>
      <c r="K111" s="78">
        <v>0</v>
      </c>
      <c r="L111" s="78">
        <v>0</v>
      </c>
      <c r="M111" s="78">
        <f t="shared" si="2"/>
        <v>2</v>
      </c>
      <c r="N111" s="78"/>
    </row>
    <row r="112" spans="1:14" ht="15.5" customHeight="1" x14ac:dyDescent="0.35">
      <c r="A112" s="7">
        <v>106</v>
      </c>
      <c r="B112" s="95">
        <v>222032</v>
      </c>
      <c r="C112" s="95" t="s">
        <v>667</v>
      </c>
      <c r="D112" s="95" t="s">
        <v>276</v>
      </c>
      <c r="E112" s="95" t="s">
        <v>419</v>
      </c>
      <c r="F112" s="95">
        <v>11</v>
      </c>
      <c r="G112" s="78">
        <v>0</v>
      </c>
      <c r="H112" s="78">
        <v>2</v>
      </c>
      <c r="I112" s="78">
        <v>0</v>
      </c>
      <c r="J112" s="78"/>
      <c r="K112" s="78"/>
      <c r="L112" s="78"/>
      <c r="M112" s="78">
        <f t="shared" si="2"/>
        <v>2</v>
      </c>
      <c r="N112" s="78"/>
    </row>
    <row r="113" spans="1:14" ht="15.5" customHeight="1" x14ac:dyDescent="0.35">
      <c r="A113" s="7">
        <v>107</v>
      </c>
      <c r="B113" s="95">
        <v>226924</v>
      </c>
      <c r="C113" s="95" t="s">
        <v>855</v>
      </c>
      <c r="D113" s="95" t="s">
        <v>362</v>
      </c>
      <c r="E113" s="95" t="s">
        <v>35</v>
      </c>
      <c r="F113" s="95">
        <v>12</v>
      </c>
      <c r="G113" s="78">
        <v>0</v>
      </c>
      <c r="H113" s="78">
        <v>2</v>
      </c>
      <c r="I113" s="78">
        <v>0</v>
      </c>
      <c r="J113" s="78">
        <v>0</v>
      </c>
      <c r="K113" s="78">
        <v>0</v>
      </c>
      <c r="L113" s="78">
        <v>0</v>
      </c>
      <c r="M113" s="78">
        <f t="shared" si="2"/>
        <v>2</v>
      </c>
      <c r="N113" s="78"/>
    </row>
    <row r="114" spans="1:14" ht="15.5" customHeight="1" x14ac:dyDescent="0.35">
      <c r="A114" s="7">
        <v>108</v>
      </c>
      <c r="B114" s="95">
        <v>151852</v>
      </c>
      <c r="C114" s="95" t="s">
        <v>580</v>
      </c>
      <c r="D114" s="95" t="s">
        <v>856</v>
      </c>
      <c r="E114" s="95" t="s">
        <v>153</v>
      </c>
      <c r="F114" s="95">
        <v>11</v>
      </c>
      <c r="G114" s="78">
        <v>0</v>
      </c>
      <c r="H114" s="78">
        <v>2</v>
      </c>
      <c r="I114" s="78">
        <v>0</v>
      </c>
      <c r="J114" s="78">
        <v>0</v>
      </c>
      <c r="K114" s="78">
        <v>0</v>
      </c>
      <c r="L114" s="78">
        <v>0</v>
      </c>
      <c r="M114" s="78">
        <f t="shared" si="2"/>
        <v>2</v>
      </c>
      <c r="N114" s="78"/>
    </row>
    <row r="115" spans="1:14" ht="15.5" customHeight="1" x14ac:dyDescent="0.35">
      <c r="A115" s="7">
        <v>109</v>
      </c>
      <c r="B115" s="95">
        <v>150586</v>
      </c>
      <c r="C115" s="95" t="s">
        <v>857</v>
      </c>
      <c r="D115" s="95" t="s">
        <v>752</v>
      </c>
      <c r="E115" s="95" t="s">
        <v>41</v>
      </c>
      <c r="F115" s="95">
        <v>12</v>
      </c>
      <c r="G115" s="78">
        <v>0</v>
      </c>
      <c r="H115" s="78">
        <v>2</v>
      </c>
      <c r="I115" s="78">
        <v>0</v>
      </c>
      <c r="J115" s="78"/>
      <c r="K115" s="78"/>
      <c r="L115" s="78"/>
      <c r="M115" s="78">
        <f t="shared" si="2"/>
        <v>2</v>
      </c>
      <c r="N115" s="78"/>
    </row>
    <row r="116" spans="1:14" ht="15.5" customHeight="1" x14ac:dyDescent="0.35">
      <c r="A116" s="7">
        <v>110</v>
      </c>
      <c r="B116" s="95">
        <v>215056</v>
      </c>
      <c r="C116" s="95" t="s">
        <v>159</v>
      </c>
      <c r="D116" s="95" t="s">
        <v>858</v>
      </c>
      <c r="E116" s="95" t="s">
        <v>67</v>
      </c>
      <c r="F116" s="95">
        <v>11</v>
      </c>
      <c r="G116" s="78">
        <v>0</v>
      </c>
      <c r="H116" s="78">
        <v>2</v>
      </c>
      <c r="I116" s="78">
        <v>0</v>
      </c>
      <c r="J116" s="78"/>
      <c r="K116" s="78"/>
      <c r="L116" s="78"/>
      <c r="M116" s="78">
        <f t="shared" si="2"/>
        <v>2</v>
      </c>
      <c r="N116" s="78"/>
    </row>
    <row r="117" spans="1:14" ht="15.5" customHeight="1" x14ac:dyDescent="0.35">
      <c r="A117" s="7">
        <v>111</v>
      </c>
      <c r="B117" s="95">
        <v>222775</v>
      </c>
      <c r="C117" s="95" t="s">
        <v>859</v>
      </c>
      <c r="D117" s="95" t="s">
        <v>860</v>
      </c>
      <c r="E117" s="95" t="s">
        <v>41</v>
      </c>
      <c r="F117" s="95">
        <v>12</v>
      </c>
      <c r="G117" s="78">
        <v>0</v>
      </c>
      <c r="H117" s="78">
        <v>2</v>
      </c>
      <c r="I117" s="78">
        <v>0</v>
      </c>
      <c r="J117" s="78"/>
      <c r="K117" s="78"/>
      <c r="L117" s="78"/>
      <c r="M117" s="78">
        <f t="shared" si="2"/>
        <v>2</v>
      </c>
      <c r="N117" s="78"/>
    </row>
    <row r="118" spans="1:14" ht="15.5" customHeight="1" x14ac:dyDescent="0.35">
      <c r="A118" s="7">
        <v>112</v>
      </c>
      <c r="B118" s="95">
        <v>221749</v>
      </c>
      <c r="C118" s="95" t="s">
        <v>861</v>
      </c>
      <c r="D118" s="95" t="s">
        <v>862</v>
      </c>
      <c r="E118" s="95" t="s">
        <v>419</v>
      </c>
      <c r="F118" s="95">
        <v>12</v>
      </c>
      <c r="G118" s="78">
        <v>0</v>
      </c>
      <c r="H118" s="78">
        <v>2</v>
      </c>
      <c r="I118" s="78">
        <v>0</v>
      </c>
      <c r="J118" s="78">
        <v>0</v>
      </c>
      <c r="K118" s="78">
        <v>0</v>
      </c>
      <c r="L118" s="78">
        <v>0</v>
      </c>
      <c r="M118" s="78">
        <f t="shared" si="2"/>
        <v>2</v>
      </c>
      <c r="N118" s="78"/>
    </row>
    <row r="119" spans="1:14" ht="15.5" customHeight="1" x14ac:dyDescent="0.35">
      <c r="A119" s="7">
        <v>113</v>
      </c>
      <c r="B119" s="95">
        <v>215886</v>
      </c>
      <c r="C119" s="95" t="s">
        <v>132</v>
      </c>
      <c r="D119" s="95" t="s">
        <v>863</v>
      </c>
      <c r="E119" s="95" t="s">
        <v>35</v>
      </c>
      <c r="F119" s="95">
        <v>11</v>
      </c>
      <c r="G119" s="78">
        <v>0</v>
      </c>
      <c r="H119" s="78">
        <v>2</v>
      </c>
      <c r="I119" s="78">
        <v>0</v>
      </c>
      <c r="J119" s="78">
        <v>0</v>
      </c>
      <c r="K119" s="78">
        <v>0</v>
      </c>
      <c r="L119" s="78">
        <v>0</v>
      </c>
      <c r="M119" s="78">
        <f t="shared" si="2"/>
        <v>2</v>
      </c>
      <c r="N119" s="78"/>
    </row>
    <row r="120" spans="1:14" ht="15.5" customHeight="1" x14ac:dyDescent="0.35">
      <c r="A120" s="7">
        <v>114</v>
      </c>
      <c r="B120" s="95">
        <v>215604</v>
      </c>
      <c r="C120" s="95" t="s">
        <v>400</v>
      </c>
      <c r="D120" s="95" t="s">
        <v>135</v>
      </c>
      <c r="E120" s="95" t="s">
        <v>67</v>
      </c>
      <c r="F120" s="95">
        <v>11</v>
      </c>
      <c r="G120" s="78">
        <v>0</v>
      </c>
      <c r="H120" s="78">
        <v>2</v>
      </c>
      <c r="I120" s="78">
        <v>0</v>
      </c>
      <c r="J120" s="78"/>
      <c r="K120" s="78"/>
      <c r="L120" s="78"/>
      <c r="M120" s="78">
        <f t="shared" si="2"/>
        <v>2</v>
      </c>
      <c r="N120" s="78"/>
    </row>
    <row r="121" spans="1:14" ht="15.5" customHeight="1" x14ac:dyDescent="0.35">
      <c r="A121" s="7">
        <v>115</v>
      </c>
      <c r="B121" s="95">
        <v>82369</v>
      </c>
      <c r="C121" s="95" t="s">
        <v>864</v>
      </c>
      <c r="D121" s="95" t="s">
        <v>291</v>
      </c>
      <c r="E121" s="95" t="s">
        <v>649</v>
      </c>
      <c r="F121" s="95">
        <v>11</v>
      </c>
      <c r="G121" s="78">
        <v>0</v>
      </c>
      <c r="H121" s="78">
        <v>2</v>
      </c>
      <c r="I121" s="78">
        <v>0</v>
      </c>
      <c r="J121" s="78">
        <v>0</v>
      </c>
      <c r="K121" s="78">
        <v>0</v>
      </c>
      <c r="L121" s="78">
        <v>0</v>
      </c>
      <c r="M121" s="78">
        <f t="shared" si="2"/>
        <v>2</v>
      </c>
      <c r="N121" s="78"/>
    </row>
    <row r="122" spans="1:14" ht="15.5" customHeight="1" x14ac:dyDescent="0.35">
      <c r="A122" s="7">
        <v>116</v>
      </c>
      <c r="B122" s="95">
        <v>223809</v>
      </c>
      <c r="C122" s="95" t="s">
        <v>865</v>
      </c>
      <c r="D122" s="95" t="s">
        <v>866</v>
      </c>
      <c r="E122" s="95" t="s">
        <v>35</v>
      </c>
      <c r="F122" s="95">
        <v>11</v>
      </c>
      <c r="G122" s="78">
        <v>0</v>
      </c>
      <c r="H122" s="78">
        <v>2</v>
      </c>
      <c r="I122" s="78">
        <v>0</v>
      </c>
      <c r="J122" s="78"/>
      <c r="K122" s="78"/>
      <c r="L122" s="78"/>
      <c r="M122" s="78">
        <f t="shared" si="2"/>
        <v>2</v>
      </c>
      <c r="N122" s="78"/>
    </row>
    <row r="123" spans="1:14" ht="15.5" customHeight="1" x14ac:dyDescent="0.35">
      <c r="A123" s="7">
        <v>117</v>
      </c>
      <c r="B123" s="95">
        <v>125964</v>
      </c>
      <c r="C123" s="95" t="s">
        <v>117</v>
      </c>
      <c r="D123" s="95" t="s">
        <v>20</v>
      </c>
      <c r="E123" s="95" t="s">
        <v>67</v>
      </c>
      <c r="F123" s="95">
        <v>11</v>
      </c>
      <c r="G123" s="81">
        <v>0</v>
      </c>
      <c r="H123" s="81">
        <v>2</v>
      </c>
      <c r="I123" s="81">
        <v>0</v>
      </c>
      <c r="J123" s="78">
        <v>0</v>
      </c>
      <c r="K123" s="78">
        <v>0</v>
      </c>
      <c r="L123" s="78">
        <v>0</v>
      </c>
      <c r="M123" s="78">
        <f t="shared" si="2"/>
        <v>2</v>
      </c>
      <c r="N123" s="78"/>
    </row>
    <row r="124" spans="1:14" ht="15.5" customHeight="1" x14ac:dyDescent="0.35">
      <c r="A124" s="7">
        <v>118</v>
      </c>
      <c r="B124" s="95">
        <v>125481</v>
      </c>
      <c r="C124" s="95" t="s">
        <v>867</v>
      </c>
      <c r="D124" s="95" t="s">
        <v>584</v>
      </c>
      <c r="E124" s="95" t="s">
        <v>67</v>
      </c>
      <c r="F124" s="95">
        <v>11</v>
      </c>
      <c r="G124" s="81">
        <v>0</v>
      </c>
      <c r="H124" s="81">
        <v>2</v>
      </c>
      <c r="I124" s="81">
        <v>0</v>
      </c>
      <c r="J124" s="78">
        <v>0</v>
      </c>
      <c r="K124" s="78">
        <v>0</v>
      </c>
      <c r="L124" s="78">
        <v>0</v>
      </c>
      <c r="M124" s="78">
        <f t="shared" si="2"/>
        <v>2</v>
      </c>
      <c r="N124" s="78"/>
    </row>
    <row r="125" spans="1:14" ht="15.5" customHeight="1" x14ac:dyDescent="0.35">
      <c r="A125" s="7">
        <v>119</v>
      </c>
      <c r="B125" s="95">
        <v>138522</v>
      </c>
      <c r="C125" s="95" t="s">
        <v>323</v>
      </c>
      <c r="D125" s="95" t="s">
        <v>207</v>
      </c>
      <c r="E125" s="95" t="s">
        <v>259</v>
      </c>
      <c r="F125" s="95">
        <v>12</v>
      </c>
      <c r="G125" s="81">
        <v>0</v>
      </c>
      <c r="H125" s="81">
        <v>2</v>
      </c>
      <c r="I125" s="81">
        <v>0</v>
      </c>
      <c r="J125" s="78"/>
      <c r="K125" s="78"/>
      <c r="L125" s="78"/>
      <c r="M125" s="78">
        <f t="shared" si="2"/>
        <v>2</v>
      </c>
      <c r="N125" s="78"/>
    </row>
    <row r="126" spans="1:14" ht="15.5" customHeight="1" x14ac:dyDescent="0.35">
      <c r="A126" s="7">
        <v>120</v>
      </c>
      <c r="B126" s="95">
        <v>138137</v>
      </c>
      <c r="C126" s="95" t="s">
        <v>868</v>
      </c>
      <c r="D126" s="95" t="s">
        <v>869</v>
      </c>
      <c r="E126" s="95" t="s">
        <v>649</v>
      </c>
      <c r="F126" s="95">
        <v>11</v>
      </c>
      <c r="G126" s="81">
        <v>0</v>
      </c>
      <c r="H126" s="81">
        <v>2</v>
      </c>
      <c r="I126" s="81">
        <v>0</v>
      </c>
      <c r="J126" s="78">
        <v>0</v>
      </c>
      <c r="K126" s="78">
        <v>0</v>
      </c>
      <c r="L126" s="78">
        <v>0</v>
      </c>
      <c r="M126" s="78">
        <f t="shared" si="2"/>
        <v>2</v>
      </c>
      <c r="N126" s="78"/>
    </row>
    <row r="127" spans="1:14" ht="15.5" customHeight="1" x14ac:dyDescent="0.35">
      <c r="A127" s="7">
        <v>121</v>
      </c>
      <c r="B127" s="95">
        <v>150570</v>
      </c>
      <c r="C127" s="95" t="s">
        <v>647</v>
      </c>
      <c r="D127" s="95" t="s">
        <v>781</v>
      </c>
      <c r="E127" s="95" t="s">
        <v>41</v>
      </c>
      <c r="F127" s="95">
        <v>11</v>
      </c>
      <c r="G127" s="81">
        <v>0</v>
      </c>
      <c r="H127" s="81">
        <v>2</v>
      </c>
      <c r="I127" s="81">
        <v>0</v>
      </c>
      <c r="J127" s="78"/>
      <c r="K127" s="78"/>
      <c r="L127" s="78"/>
      <c r="M127" s="78">
        <f t="shared" si="2"/>
        <v>2</v>
      </c>
      <c r="N127" s="78"/>
    </row>
    <row r="128" spans="1:14" ht="15.5" customHeight="1" x14ac:dyDescent="0.35">
      <c r="A128" s="7">
        <v>122</v>
      </c>
      <c r="B128" s="95">
        <v>90325</v>
      </c>
      <c r="C128" s="95" t="s">
        <v>566</v>
      </c>
      <c r="D128" s="95" t="s">
        <v>870</v>
      </c>
      <c r="E128" s="97" t="s">
        <v>871</v>
      </c>
      <c r="F128" s="97">
        <v>12</v>
      </c>
      <c r="G128" s="81">
        <v>0</v>
      </c>
      <c r="H128" s="81">
        <v>2</v>
      </c>
      <c r="I128" s="81">
        <v>0</v>
      </c>
      <c r="J128" s="78">
        <v>0</v>
      </c>
      <c r="K128" s="78">
        <v>0</v>
      </c>
      <c r="L128" s="78">
        <v>0</v>
      </c>
      <c r="M128" s="78">
        <f t="shared" si="2"/>
        <v>2</v>
      </c>
      <c r="N128" s="78"/>
    </row>
    <row r="129" spans="1:14" ht="15.5" customHeight="1" x14ac:dyDescent="0.35">
      <c r="A129" s="7">
        <v>123</v>
      </c>
      <c r="B129" s="95">
        <v>193899</v>
      </c>
      <c r="C129" s="95" t="s">
        <v>125</v>
      </c>
      <c r="D129" s="95" t="s">
        <v>701</v>
      </c>
      <c r="E129" s="95" t="s">
        <v>872</v>
      </c>
      <c r="F129" s="95">
        <v>12</v>
      </c>
      <c r="G129" s="81">
        <v>0</v>
      </c>
      <c r="H129" s="81">
        <v>2</v>
      </c>
      <c r="I129" s="81">
        <v>0</v>
      </c>
      <c r="J129" s="78">
        <v>0</v>
      </c>
      <c r="K129" s="78">
        <v>0</v>
      </c>
      <c r="L129" s="78">
        <v>0</v>
      </c>
      <c r="M129" s="78">
        <f t="shared" si="2"/>
        <v>2</v>
      </c>
      <c r="N129" s="98"/>
    </row>
    <row r="130" spans="1:14" ht="15.5" customHeight="1" x14ac:dyDescent="0.35">
      <c r="A130" s="7">
        <v>124</v>
      </c>
      <c r="B130" s="95">
        <v>203826</v>
      </c>
      <c r="C130" s="95" t="s">
        <v>873</v>
      </c>
      <c r="D130" s="95" t="s">
        <v>874</v>
      </c>
      <c r="E130" s="95" t="s">
        <v>70</v>
      </c>
      <c r="F130" s="95">
        <v>11</v>
      </c>
      <c r="G130" s="81">
        <v>0</v>
      </c>
      <c r="H130" s="81">
        <v>2</v>
      </c>
      <c r="I130" s="81">
        <v>0</v>
      </c>
      <c r="J130" s="78">
        <v>0</v>
      </c>
      <c r="K130" s="78">
        <v>0</v>
      </c>
      <c r="L130" s="78">
        <v>0</v>
      </c>
      <c r="M130" s="78">
        <f t="shared" si="2"/>
        <v>2</v>
      </c>
      <c r="N130" s="78"/>
    </row>
    <row r="131" spans="1:14" s="99" customFormat="1" ht="15.5" customHeight="1" x14ac:dyDescent="0.35">
      <c r="A131" s="7">
        <v>125</v>
      </c>
      <c r="B131" s="95">
        <v>221806</v>
      </c>
      <c r="C131" s="95" t="s">
        <v>875</v>
      </c>
      <c r="D131" s="95" t="s">
        <v>205</v>
      </c>
      <c r="E131" s="95" t="s">
        <v>488</v>
      </c>
      <c r="F131" s="95">
        <v>11</v>
      </c>
      <c r="G131" s="81">
        <v>0</v>
      </c>
      <c r="H131" s="81">
        <v>2</v>
      </c>
      <c r="I131" s="81">
        <v>0</v>
      </c>
      <c r="J131" s="78"/>
      <c r="K131" s="78"/>
      <c r="L131" s="78"/>
      <c r="M131" s="78">
        <f t="shared" si="2"/>
        <v>2</v>
      </c>
      <c r="N131" s="78"/>
    </row>
    <row r="132" spans="1:14" ht="15.5" customHeight="1" x14ac:dyDescent="0.35">
      <c r="A132" s="7">
        <v>126</v>
      </c>
      <c r="B132" s="95">
        <v>128851</v>
      </c>
      <c r="C132" s="95" t="s">
        <v>643</v>
      </c>
      <c r="D132" s="95" t="s">
        <v>876</v>
      </c>
      <c r="E132" s="95" t="s">
        <v>73</v>
      </c>
      <c r="F132" s="95">
        <v>12</v>
      </c>
      <c r="G132" s="81">
        <v>0</v>
      </c>
      <c r="H132" s="81">
        <v>2</v>
      </c>
      <c r="I132" s="81">
        <v>0</v>
      </c>
      <c r="J132" s="78"/>
      <c r="K132" s="78"/>
      <c r="L132" s="78"/>
      <c r="M132" s="78">
        <f t="shared" si="2"/>
        <v>2</v>
      </c>
      <c r="N132" s="78"/>
    </row>
    <row r="133" spans="1:14" ht="15.5" customHeight="1" x14ac:dyDescent="0.35">
      <c r="A133" s="7">
        <v>127</v>
      </c>
      <c r="B133" s="95">
        <v>137923</v>
      </c>
      <c r="C133" s="95" t="s">
        <v>851</v>
      </c>
      <c r="D133" s="95" t="s">
        <v>362</v>
      </c>
      <c r="E133" s="95" t="s">
        <v>97</v>
      </c>
      <c r="F133" s="95">
        <v>12</v>
      </c>
      <c r="G133" s="81">
        <v>0</v>
      </c>
      <c r="H133" s="81">
        <v>2</v>
      </c>
      <c r="I133" s="81">
        <v>0</v>
      </c>
      <c r="J133" s="78">
        <v>0</v>
      </c>
      <c r="K133" s="78">
        <v>0</v>
      </c>
      <c r="L133" s="78">
        <v>0</v>
      </c>
      <c r="M133" s="78">
        <f t="shared" si="2"/>
        <v>2</v>
      </c>
      <c r="N133" s="78"/>
    </row>
    <row r="134" spans="1:14" ht="15.5" customHeight="1" x14ac:dyDescent="0.35">
      <c r="A134" s="7">
        <v>128</v>
      </c>
      <c r="B134" s="95">
        <v>84031</v>
      </c>
      <c r="C134" s="95" t="s">
        <v>877</v>
      </c>
      <c r="D134" s="95" t="s">
        <v>538</v>
      </c>
      <c r="E134" s="95" t="s">
        <v>620</v>
      </c>
      <c r="F134" s="95">
        <v>12</v>
      </c>
      <c r="G134" s="81">
        <v>0</v>
      </c>
      <c r="H134" s="81">
        <v>2</v>
      </c>
      <c r="I134" s="81">
        <v>0</v>
      </c>
      <c r="J134" s="78"/>
      <c r="K134" s="78"/>
      <c r="L134" s="78"/>
      <c r="M134" s="78">
        <f t="shared" si="2"/>
        <v>2</v>
      </c>
      <c r="N134" s="78"/>
    </row>
    <row r="135" spans="1:14" ht="15.5" customHeight="1" x14ac:dyDescent="0.35">
      <c r="A135" s="7">
        <v>129</v>
      </c>
      <c r="B135" s="95">
        <v>158883</v>
      </c>
      <c r="C135" s="95" t="s">
        <v>342</v>
      </c>
      <c r="D135" s="95" t="s">
        <v>291</v>
      </c>
      <c r="E135" s="95" t="s">
        <v>131</v>
      </c>
      <c r="F135" s="95">
        <v>11</v>
      </c>
      <c r="G135" s="81">
        <v>0</v>
      </c>
      <c r="H135" s="81">
        <v>2</v>
      </c>
      <c r="I135" s="81">
        <v>0</v>
      </c>
      <c r="J135" s="78">
        <v>0</v>
      </c>
      <c r="K135" s="78">
        <v>0</v>
      </c>
      <c r="L135" s="78">
        <v>0</v>
      </c>
      <c r="M135" s="78">
        <f t="shared" si="2"/>
        <v>2</v>
      </c>
      <c r="N135" s="78"/>
    </row>
    <row r="136" spans="1:14" ht="15.5" customHeight="1" x14ac:dyDescent="0.35">
      <c r="A136" s="7">
        <v>130</v>
      </c>
      <c r="B136" s="95">
        <v>125254</v>
      </c>
      <c r="C136" s="95" t="s">
        <v>418</v>
      </c>
      <c r="D136" s="95" t="s">
        <v>358</v>
      </c>
      <c r="E136" s="95" t="s">
        <v>67</v>
      </c>
      <c r="F136" s="95">
        <v>11</v>
      </c>
      <c r="G136" s="81">
        <v>0</v>
      </c>
      <c r="H136" s="81">
        <v>2</v>
      </c>
      <c r="I136" s="81">
        <v>0</v>
      </c>
      <c r="J136" s="78">
        <v>0</v>
      </c>
      <c r="K136" s="78">
        <v>0</v>
      </c>
      <c r="L136" s="78">
        <v>0</v>
      </c>
      <c r="M136" s="78">
        <f t="shared" si="2"/>
        <v>2</v>
      </c>
      <c r="N136" s="78"/>
    </row>
    <row r="137" spans="1:14" ht="15.5" customHeight="1" x14ac:dyDescent="0.35">
      <c r="A137" s="7">
        <v>131</v>
      </c>
      <c r="B137" s="95">
        <v>85644</v>
      </c>
      <c r="C137" s="95" t="s">
        <v>381</v>
      </c>
      <c r="D137" s="95" t="s">
        <v>88</v>
      </c>
      <c r="E137" s="95" t="s">
        <v>649</v>
      </c>
      <c r="F137" s="95">
        <v>12</v>
      </c>
      <c r="G137" s="81">
        <v>0</v>
      </c>
      <c r="H137" s="81">
        <v>0</v>
      </c>
      <c r="I137" s="81">
        <v>0</v>
      </c>
      <c r="J137" s="78">
        <v>1</v>
      </c>
      <c r="K137" s="78">
        <v>0</v>
      </c>
      <c r="L137" s="78">
        <v>0</v>
      </c>
      <c r="M137" s="78">
        <f t="shared" si="2"/>
        <v>1</v>
      </c>
      <c r="N137" s="98"/>
    </row>
    <row r="138" spans="1:14" ht="15.5" customHeight="1" x14ac:dyDescent="0.35">
      <c r="A138" s="7">
        <v>132</v>
      </c>
      <c r="B138" s="96">
        <v>219265</v>
      </c>
      <c r="C138" s="97" t="s">
        <v>132</v>
      </c>
      <c r="D138" s="97" t="s">
        <v>330</v>
      </c>
      <c r="E138" s="96" t="s">
        <v>259</v>
      </c>
      <c r="F138" s="96">
        <v>11</v>
      </c>
      <c r="G138" s="74">
        <v>0</v>
      </c>
      <c r="H138" s="74">
        <v>0</v>
      </c>
      <c r="I138" s="74">
        <v>0</v>
      </c>
      <c r="J138" s="78">
        <v>0</v>
      </c>
      <c r="K138" s="78">
        <v>0</v>
      </c>
      <c r="L138" s="78">
        <v>0</v>
      </c>
      <c r="M138" s="78">
        <f t="shared" si="2"/>
        <v>0</v>
      </c>
      <c r="N138" s="78"/>
    </row>
    <row r="139" spans="1:14" ht="15.5" customHeight="1" x14ac:dyDescent="0.35">
      <c r="A139" s="7">
        <v>133</v>
      </c>
      <c r="B139" s="97">
        <v>221806</v>
      </c>
      <c r="C139" s="97" t="s">
        <v>875</v>
      </c>
      <c r="D139" s="97" t="s">
        <v>205</v>
      </c>
      <c r="E139" s="97" t="s">
        <v>488</v>
      </c>
      <c r="F139" s="97">
        <v>11</v>
      </c>
      <c r="G139" s="7"/>
      <c r="H139" s="7"/>
      <c r="I139" s="7"/>
      <c r="J139" s="78"/>
      <c r="K139" s="78"/>
      <c r="L139" s="78"/>
      <c r="M139" s="78">
        <f t="shared" si="2"/>
        <v>0</v>
      </c>
      <c r="N139" s="78"/>
    </row>
    <row r="140" spans="1:14" ht="15.5" customHeight="1" x14ac:dyDescent="0.35">
      <c r="A140" s="7">
        <v>134</v>
      </c>
      <c r="B140" s="95">
        <v>186407</v>
      </c>
      <c r="C140" s="95" t="s">
        <v>878</v>
      </c>
      <c r="D140" s="95" t="s">
        <v>879</v>
      </c>
      <c r="E140" s="95" t="s">
        <v>220</v>
      </c>
      <c r="F140" s="95">
        <v>11</v>
      </c>
      <c r="G140" s="7">
        <v>0</v>
      </c>
      <c r="H140" s="7">
        <v>0</v>
      </c>
      <c r="I140" s="7">
        <v>0</v>
      </c>
      <c r="J140" s="78">
        <v>0</v>
      </c>
      <c r="K140" s="78">
        <v>0</v>
      </c>
      <c r="L140" s="78">
        <v>0</v>
      </c>
      <c r="M140" s="78">
        <f t="shared" si="2"/>
        <v>0</v>
      </c>
      <c r="N140" s="78"/>
    </row>
    <row r="141" spans="1:14" ht="15.5" customHeight="1" x14ac:dyDescent="0.35">
      <c r="A141" s="7">
        <v>135</v>
      </c>
      <c r="B141" s="95">
        <v>202709</v>
      </c>
      <c r="C141" s="95" t="s">
        <v>880</v>
      </c>
      <c r="D141" s="95" t="s">
        <v>255</v>
      </c>
      <c r="E141" s="95" t="s">
        <v>70</v>
      </c>
      <c r="F141" s="95">
        <v>12</v>
      </c>
      <c r="G141" s="74">
        <v>0</v>
      </c>
      <c r="H141" s="74">
        <v>0</v>
      </c>
      <c r="I141" s="74">
        <v>0</v>
      </c>
      <c r="J141" s="78">
        <v>0</v>
      </c>
      <c r="K141" s="78">
        <v>0</v>
      </c>
      <c r="L141" s="78">
        <v>0</v>
      </c>
      <c r="M141" s="78">
        <f t="shared" si="2"/>
        <v>0</v>
      </c>
      <c r="N141" s="78"/>
    </row>
    <row r="142" spans="1:14" ht="15.5" customHeight="1" x14ac:dyDescent="0.35">
      <c r="A142" s="7">
        <v>136</v>
      </c>
      <c r="B142" s="95">
        <v>225675</v>
      </c>
      <c r="C142" s="95" t="s">
        <v>344</v>
      </c>
      <c r="D142" s="95" t="s">
        <v>881</v>
      </c>
      <c r="E142" s="95" t="s">
        <v>335</v>
      </c>
      <c r="F142" s="95"/>
      <c r="G142" s="81"/>
      <c r="H142" s="81"/>
      <c r="I142" s="81"/>
      <c r="J142" s="78"/>
      <c r="K142" s="78"/>
      <c r="L142" s="78"/>
      <c r="M142" s="78"/>
      <c r="N142" s="78"/>
    </row>
    <row r="143" spans="1:14" ht="15.5" customHeight="1" x14ac:dyDescent="0.35">
      <c r="A143" s="7">
        <v>137</v>
      </c>
      <c r="B143" s="95">
        <v>205988</v>
      </c>
      <c r="C143" s="95" t="s">
        <v>342</v>
      </c>
      <c r="D143" s="95" t="s">
        <v>300</v>
      </c>
      <c r="E143" s="95" t="s">
        <v>62</v>
      </c>
      <c r="F143" s="95"/>
      <c r="G143" s="7"/>
      <c r="H143" s="7"/>
      <c r="I143" s="7"/>
      <c r="J143" s="78"/>
      <c r="K143" s="78"/>
      <c r="L143" s="78"/>
      <c r="M143" s="78"/>
      <c r="N143" s="78"/>
    </row>
    <row r="144" spans="1:14" ht="15.5" customHeight="1" x14ac:dyDescent="0.35">
      <c r="A144" s="7">
        <v>138</v>
      </c>
      <c r="B144" s="95">
        <v>186368</v>
      </c>
      <c r="C144" s="95" t="s">
        <v>882</v>
      </c>
      <c r="D144" s="95" t="s">
        <v>883</v>
      </c>
      <c r="E144" s="95" t="s">
        <v>220</v>
      </c>
      <c r="F144" s="95">
        <v>11</v>
      </c>
      <c r="G144" s="7">
        <v>0</v>
      </c>
      <c r="H144" s="7">
        <v>0</v>
      </c>
      <c r="I144" s="7">
        <v>0</v>
      </c>
      <c r="J144" s="78">
        <v>0</v>
      </c>
      <c r="K144" s="78">
        <v>0</v>
      </c>
      <c r="L144" s="78">
        <v>0</v>
      </c>
      <c r="M144" s="78">
        <f t="shared" si="2"/>
        <v>0</v>
      </c>
      <c r="N144" s="78"/>
    </row>
    <row r="145" spans="1:14" ht="15.5" customHeight="1" x14ac:dyDescent="0.35">
      <c r="A145" s="7">
        <v>139</v>
      </c>
      <c r="B145" s="95">
        <v>215046</v>
      </c>
      <c r="C145" s="95" t="s">
        <v>301</v>
      </c>
      <c r="D145" s="95" t="s">
        <v>884</v>
      </c>
      <c r="E145" s="95" t="s">
        <v>67</v>
      </c>
      <c r="F145" s="95">
        <v>11</v>
      </c>
      <c r="G145" s="7">
        <v>0</v>
      </c>
      <c r="H145" s="7">
        <v>0</v>
      </c>
      <c r="I145" s="7">
        <v>0</v>
      </c>
      <c r="J145" s="78"/>
      <c r="K145" s="78"/>
      <c r="L145" s="78"/>
      <c r="M145" s="78">
        <f t="shared" si="2"/>
        <v>0</v>
      </c>
      <c r="N145" s="78"/>
    </row>
    <row r="146" spans="1:14" ht="15.5" customHeight="1" x14ac:dyDescent="0.35">
      <c r="A146" s="7">
        <v>140</v>
      </c>
      <c r="B146" s="95">
        <v>214833</v>
      </c>
      <c r="C146" s="95" t="s">
        <v>885</v>
      </c>
      <c r="D146" s="95" t="s">
        <v>329</v>
      </c>
      <c r="E146" s="95" t="s">
        <v>41</v>
      </c>
      <c r="F146" s="95">
        <v>11</v>
      </c>
      <c r="G146" s="7">
        <v>0</v>
      </c>
      <c r="H146" s="7">
        <v>0</v>
      </c>
      <c r="I146" s="7">
        <v>0</v>
      </c>
      <c r="J146" s="78"/>
      <c r="K146" s="78"/>
      <c r="L146" s="78"/>
      <c r="M146" s="78">
        <f t="shared" si="2"/>
        <v>0</v>
      </c>
      <c r="N146" s="98"/>
    </row>
    <row r="147" spans="1:14" ht="15.5" customHeight="1" x14ac:dyDescent="0.35">
      <c r="A147" s="7">
        <v>141</v>
      </c>
      <c r="B147" s="95">
        <v>138261</v>
      </c>
      <c r="C147" s="95" t="s">
        <v>451</v>
      </c>
      <c r="D147" s="95" t="s">
        <v>886</v>
      </c>
      <c r="E147" s="95" t="s">
        <v>97</v>
      </c>
      <c r="F147" s="95">
        <v>11</v>
      </c>
      <c r="G147" s="7">
        <v>0</v>
      </c>
      <c r="H147" s="7">
        <v>0</v>
      </c>
      <c r="I147" s="7">
        <v>0</v>
      </c>
      <c r="J147" s="78">
        <v>0</v>
      </c>
      <c r="K147" s="78">
        <v>0</v>
      </c>
      <c r="L147" s="78">
        <v>0</v>
      </c>
      <c r="M147" s="78">
        <f t="shared" si="2"/>
        <v>0</v>
      </c>
      <c r="N147" s="78"/>
    </row>
    <row r="148" spans="1:14" ht="15.5" customHeight="1" x14ac:dyDescent="0.35">
      <c r="A148" s="7">
        <v>142</v>
      </c>
      <c r="B148" s="95">
        <v>214712</v>
      </c>
      <c r="C148" s="95" t="s">
        <v>887</v>
      </c>
      <c r="D148" s="95" t="s">
        <v>888</v>
      </c>
      <c r="E148" s="95" t="s">
        <v>67</v>
      </c>
      <c r="F148" s="95">
        <v>11</v>
      </c>
      <c r="G148" s="7">
        <v>0</v>
      </c>
      <c r="H148" s="7">
        <v>0</v>
      </c>
      <c r="I148" s="7">
        <v>0</v>
      </c>
      <c r="J148" s="78"/>
      <c r="K148" s="78"/>
      <c r="L148" s="78"/>
      <c r="M148" s="78">
        <f t="shared" si="2"/>
        <v>0</v>
      </c>
      <c r="N148" s="78"/>
    </row>
    <row r="149" spans="1:14" ht="15.5" customHeight="1" x14ac:dyDescent="0.35">
      <c r="A149" s="7">
        <v>143</v>
      </c>
      <c r="B149" s="95">
        <v>191605</v>
      </c>
      <c r="C149" s="95" t="s">
        <v>49</v>
      </c>
      <c r="D149" s="95" t="s">
        <v>889</v>
      </c>
      <c r="E149" s="95" t="s">
        <v>126</v>
      </c>
      <c r="F149" s="95">
        <v>11</v>
      </c>
      <c r="G149" s="7">
        <v>0</v>
      </c>
      <c r="H149" s="7">
        <v>0</v>
      </c>
      <c r="I149" s="7">
        <v>0</v>
      </c>
      <c r="J149" s="78"/>
      <c r="K149" s="78"/>
      <c r="L149" s="78"/>
      <c r="M149" s="78">
        <f t="shared" si="2"/>
        <v>0</v>
      </c>
      <c r="N149" s="78"/>
    </row>
    <row r="150" spans="1:14" ht="15.5" customHeight="1" x14ac:dyDescent="0.35">
      <c r="A150" s="7">
        <v>144</v>
      </c>
      <c r="B150" s="95">
        <v>68849</v>
      </c>
      <c r="C150" s="95" t="s">
        <v>890</v>
      </c>
      <c r="D150" s="95" t="s">
        <v>891</v>
      </c>
      <c r="E150" s="95" t="s">
        <v>153</v>
      </c>
      <c r="F150" s="95">
        <v>12</v>
      </c>
      <c r="G150" s="81">
        <v>0</v>
      </c>
      <c r="H150" s="81">
        <v>0</v>
      </c>
      <c r="I150" s="81">
        <v>0</v>
      </c>
      <c r="J150" s="78"/>
      <c r="K150" s="78"/>
      <c r="L150" s="78"/>
      <c r="M150" s="78">
        <f t="shared" si="2"/>
        <v>0</v>
      </c>
      <c r="N150" s="78"/>
    </row>
    <row r="151" spans="1:14" ht="15.5" customHeight="1" x14ac:dyDescent="0.35">
      <c r="A151" s="7">
        <v>145</v>
      </c>
      <c r="B151" s="95">
        <v>218141</v>
      </c>
      <c r="C151" s="95" t="s">
        <v>161</v>
      </c>
      <c r="D151" s="95" t="s">
        <v>451</v>
      </c>
      <c r="E151" s="95" t="s">
        <v>259</v>
      </c>
      <c r="F151" s="95">
        <v>12</v>
      </c>
      <c r="G151" s="74">
        <v>0</v>
      </c>
      <c r="H151" s="74">
        <v>0</v>
      </c>
      <c r="I151" s="74">
        <v>0</v>
      </c>
      <c r="J151" s="78"/>
      <c r="K151" s="78"/>
      <c r="L151" s="78"/>
      <c r="M151" s="78">
        <f t="shared" si="2"/>
        <v>0</v>
      </c>
      <c r="N151" s="78"/>
    </row>
    <row r="152" spans="1:14" ht="15.5" customHeight="1" x14ac:dyDescent="0.35">
      <c r="A152" s="7">
        <v>146</v>
      </c>
      <c r="B152" s="95">
        <v>158919</v>
      </c>
      <c r="C152" s="95" t="s">
        <v>537</v>
      </c>
      <c r="D152" s="95" t="s">
        <v>892</v>
      </c>
      <c r="E152" s="95" t="s">
        <v>131</v>
      </c>
      <c r="F152" s="95">
        <v>12</v>
      </c>
      <c r="G152" s="74">
        <v>0</v>
      </c>
      <c r="H152" s="74">
        <v>0</v>
      </c>
      <c r="I152" s="74">
        <v>0</v>
      </c>
      <c r="J152" s="78"/>
      <c r="K152" s="78"/>
      <c r="L152" s="78"/>
      <c r="M152" s="78">
        <f t="shared" si="2"/>
        <v>0</v>
      </c>
      <c r="N152" s="78"/>
    </row>
    <row r="153" spans="1:14" ht="15.5" customHeight="1" x14ac:dyDescent="0.35">
      <c r="A153" s="7">
        <v>147</v>
      </c>
      <c r="B153" s="95">
        <v>222812</v>
      </c>
      <c r="C153" s="95" t="s">
        <v>893</v>
      </c>
      <c r="D153" s="95" t="s">
        <v>88</v>
      </c>
      <c r="E153" s="95" t="s">
        <v>41</v>
      </c>
      <c r="F153" s="95">
        <v>12</v>
      </c>
      <c r="G153" s="7">
        <v>0</v>
      </c>
      <c r="H153" s="7">
        <v>0</v>
      </c>
      <c r="I153" s="7">
        <v>0</v>
      </c>
      <c r="J153" s="78"/>
      <c r="K153" s="78"/>
      <c r="L153" s="78"/>
      <c r="M153" s="78">
        <f t="shared" si="2"/>
        <v>0</v>
      </c>
      <c r="N153" s="78"/>
    </row>
    <row r="154" spans="1:14" ht="15.5" customHeight="1" x14ac:dyDescent="0.35">
      <c r="A154" s="7">
        <v>148</v>
      </c>
      <c r="B154" s="95">
        <v>214363</v>
      </c>
      <c r="C154" s="95" t="s">
        <v>894</v>
      </c>
      <c r="D154" s="95" t="s">
        <v>895</v>
      </c>
      <c r="E154" s="95" t="s">
        <v>122</v>
      </c>
      <c r="F154" s="95">
        <v>12</v>
      </c>
      <c r="G154" s="7">
        <v>0</v>
      </c>
      <c r="H154" s="7">
        <v>0</v>
      </c>
      <c r="I154" s="7">
        <v>0</v>
      </c>
      <c r="J154" s="78"/>
      <c r="K154" s="78"/>
      <c r="L154" s="78"/>
      <c r="M154" s="78">
        <f t="shared" si="2"/>
        <v>0</v>
      </c>
      <c r="N154" s="78"/>
    </row>
    <row r="155" spans="1:14" ht="15.5" customHeight="1" x14ac:dyDescent="0.35">
      <c r="A155" s="7">
        <v>149</v>
      </c>
      <c r="B155" s="95">
        <v>125406</v>
      </c>
      <c r="C155" s="95" t="s">
        <v>156</v>
      </c>
      <c r="D155" s="95" t="s">
        <v>896</v>
      </c>
      <c r="E155" s="95" t="s">
        <v>67</v>
      </c>
      <c r="F155" s="95">
        <v>11</v>
      </c>
      <c r="G155" s="7">
        <v>0</v>
      </c>
      <c r="H155" s="7">
        <v>0</v>
      </c>
      <c r="I155" s="7">
        <v>0</v>
      </c>
      <c r="J155" s="78"/>
      <c r="K155" s="78"/>
      <c r="L155" s="78"/>
      <c r="M155" s="78">
        <f t="shared" si="2"/>
        <v>0</v>
      </c>
      <c r="N155" s="98"/>
    </row>
    <row r="156" spans="1:14" ht="15.5" customHeight="1" x14ac:dyDescent="0.35">
      <c r="A156" s="7">
        <v>150</v>
      </c>
      <c r="B156" s="95">
        <v>138285</v>
      </c>
      <c r="C156" s="95" t="s">
        <v>885</v>
      </c>
      <c r="D156" s="95" t="s">
        <v>897</v>
      </c>
      <c r="E156" s="95" t="s">
        <v>97</v>
      </c>
      <c r="F156" s="95">
        <v>12</v>
      </c>
      <c r="G156" s="7">
        <v>0</v>
      </c>
      <c r="H156" s="7">
        <v>0</v>
      </c>
      <c r="I156" s="7">
        <v>0</v>
      </c>
      <c r="J156" s="78"/>
      <c r="K156" s="78"/>
      <c r="L156" s="78"/>
      <c r="M156" s="78">
        <f t="shared" si="2"/>
        <v>0</v>
      </c>
      <c r="N156" s="78"/>
    </row>
    <row r="157" spans="1:14" ht="15.5" customHeight="1" x14ac:dyDescent="0.35">
      <c r="A157" s="7">
        <v>151</v>
      </c>
      <c r="B157" s="95">
        <v>125489</v>
      </c>
      <c r="C157" s="95" t="s">
        <v>778</v>
      </c>
      <c r="D157" s="95" t="s">
        <v>898</v>
      </c>
      <c r="E157" s="95" t="s">
        <v>67</v>
      </c>
      <c r="F157" s="95">
        <v>11</v>
      </c>
      <c r="G157" s="7">
        <v>0</v>
      </c>
      <c r="H157" s="7">
        <v>0</v>
      </c>
      <c r="I157" s="7">
        <v>0</v>
      </c>
      <c r="J157" s="78"/>
      <c r="K157" s="78"/>
      <c r="L157" s="78"/>
      <c r="M157" s="78">
        <f t="shared" si="2"/>
        <v>0</v>
      </c>
      <c r="N157" s="78"/>
    </row>
    <row r="158" spans="1:14" ht="15.5" customHeight="1" x14ac:dyDescent="0.35">
      <c r="A158" s="7">
        <v>152</v>
      </c>
      <c r="B158" s="95">
        <v>186397</v>
      </c>
      <c r="C158" s="95" t="s">
        <v>507</v>
      </c>
      <c r="D158" s="95" t="s">
        <v>899</v>
      </c>
      <c r="E158" s="95" t="s">
        <v>220</v>
      </c>
      <c r="F158" s="95">
        <v>11</v>
      </c>
      <c r="G158" s="7">
        <v>0</v>
      </c>
      <c r="H158" s="7">
        <v>0</v>
      </c>
      <c r="I158" s="7">
        <v>0</v>
      </c>
      <c r="J158" s="78">
        <v>0</v>
      </c>
      <c r="K158" s="78">
        <v>0</v>
      </c>
      <c r="L158" s="78">
        <v>0</v>
      </c>
      <c r="M158" s="78">
        <f t="shared" si="2"/>
        <v>0</v>
      </c>
      <c r="N158" s="78"/>
    </row>
    <row r="159" spans="1:14" ht="15.5" customHeight="1" x14ac:dyDescent="0.35">
      <c r="A159" s="7">
        <v>153</v>
      </c>
      <c r="B159" s="78">
        <v>215052</v>
      </c>
      <c r="C159" s="78" t="s">
        <v>896</v>
      </c>
      <c r="D159" s="78" t="s">
        <v>88</v>
      </c>
      <c r="E159" s="78" t="s">
        <v>277</v>
      </c>
      <c r="F159" s="78">
        <v>11</v>
      </c>
      <c r="G159" s="74">
        <v>0</v>
      </c>
      <c r="H159" s="74">
        <v>0</v>
      </c>
      <c r="I159" s="74">
        <v>0</v>
      </c>
      <c r="J159" s="78">
        <v>0</v>
      </c>
      <c r="K159" s="78">
        <v>0</v>
      </c>
      <c r="L159" s="78">
        <v>0</v>
      </c>
      <c r="M159" s="78">
        <f t="shared" si="2"/>
        <v>0</v>
      </c>
      <c r="N159" s="78"/>
    </row>
    <row r="160" spans="1:14" ht="15.5" customHeight="1" x14ac:dyDescent="0.35">
      <c r="A160" s="7">
        <v>154</v>
      </c>
      <c r="B160" s="95">
        <v>215507</v>
      </c>
      <c r="C160" s="95" t="s">
        <v>543</v>
      </c>
      <c r="D160" s="95" t="s">
        <v>900</v>
      </c>
      <c r="E160" s="95" t="s">
        <v>67</v>
      </c>
      <c r="F160" s="95">
        <v>11</v>
      </c>
      <c r="G160" s="74">
        <v>0</v>
      </c>
      <c r="H160" s="74">
        <v>0</v>
      </c>
      <c r="I160" s="74">
        <v>0</v>
      </c>
      <c r="J160" s="78">
        <v>0</v>
      </c>
      <c r="K160" s="78">
        <v>0</v>
      </c>
      <c r="L160" s="78">
        <v>0</v>
      </c>
      <c r="M160" s="78">
        <f t="shared" si="2"/>
        <v>0</v>
      </c>
      <c r="N160" s="78"/>
    </row>
    <row r="161" spans="1:14" ht="15.5" customHeight="1" x14ac:dyDescent="0.35">
      <c r="A161" s="7">
        <v>155</v>
      </c>
      <c r="B161" s="95">
        <v>186365</v>
      </c>
      <c r="C161" s="95" t="s">
        <v>829</v>
      </c>
      <c r="D161" s="95" t="s">
        <v>88</v>
      </c>
      <c r="E161" s="95" t="s">
        <v>220</v>
      </c>
      <c r="F161" s="95">
        <v>12</v>
      </c>
      <c r="G161" s="74">
        <v>0</v>
      </c>
      <c r="H161" s="74">
        <v>0</v>
      </c>
      <c r="I161" s="74">
        <v>0</v>
      </c>
      <c r="J161" s="78"/>
      <c r="K161" s="78"/>
      <c r="L161" s="78"/>
      <c r="M161" s="78">
        <f t="shared" si="2"/>
        <v>0</v>
      </c>
      <c r="N161" s="78"/>
    </row>
    <row r="162" spans="1:14" ht="15.5" customHeight="1" x14ac:dyDescent="0.35">
      <c r="A162" s="7">
        <v>156</v>
      </c>
      <c r="B162" s="95">
        <v>213881</v>
      </c>
      <c r="C162" s="95" t="s">
        <v>901</v>
      </c>
      <c r="D162" s="95" t="s">
        <v>902</v>
      </c>
      <c r="E162" s="95" t="s">
        <v>41</v>
      </c>
      <c r="F162" s="95">
        <v>12</v>
      </c>
      <c r="G162" s="74">
        <v>0</v>
      </c>
      <c r="H162" s="74">
        <v>0</v>
      </c>
      <c r="I162" s="74">
        <v>0</v>
      </c>
      <c r="J162" s="78"/>
      <c r="K162" s="78"/>
      <c r="L162" s="78"/>
      <c r="M162" s="78">
        <f t="shared" si="2"/>
        <v>0</v>
      </c>
      <c r="N162" s="78"/>
    </row>
    <row r="163" spans="1:14" ht="15.5" customHeight="1" x14ac:dyDescent="0.35">
      <c r="A163" s="7">
        <v>157</v>
      </c>
      <c r="B163" s="95">
        <v>194889</v>
      </c>
      <c r="C163" s="95" t="s">
        <v>903</v>
      </c>
      <c r="D163" s="95" t="s">
        <v>904</v>
      </c>
      <c r="E163" s="95" t="s">
        <v>780</v>
      </c>
      <c r="F163" s="95">
        <v>12</v>
      </c>
      <c r="G163" s="74">
        <v>0</v>
      </c>
      <c r="H163" s="74">
        <v>0</v>
      </c>
      <c r="I163" s="74">
        <v>0</v>
      </c>
      <c r="J163" s="78">
        <v>0</v>
      </c>
      <c r="K163" s="78">
        <v>0</v>
      </c>
      <c r="L163" s="78">
        <v>0</v>
      </c>
      <c r="M163" s="78">
        <f t="shared" si="2"/>
        <v>0</v>
      </c>
      <c r="N163" s="78"/>
    </row>
    <row r="164" spans="1:14" ht="15.5" customHeight="1" x14ac:dyDescent="0.35">
      <c r="A164" s="7">
        <v>158</v>
      </c>
      <c r="B164" s="95">
        <v>203838</v>
      </c>
      <c r="C164" s="95" t="s">
        <v>905</v>
      </c>
      <c r="D164" s="95" t="s">
        <v>619</v>
      </c>
      <c r="E164" s="95" t="s">
        <v>70</v>
      </c>
      <c r="F164" s="95">
        <v>11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f t="shared" si="2"/>
        <v>0</v>
      </c>
      <c r="N164" s="98"/>
    </row>
    <row r="165" spans="1:14" ht="15.5" customHeight="1" x14ac:dyDescent="0.35">
      <c r="A165" s="7">
        <v>159</v>
      </c>
      <c r="B165" s="95">
        <v>193901</v>
      </c>
      <c r="C165" s="95" t="s">
        <v>906</v>
      </c>
      <c r="D165" s="95" t="s">
        <v>907</v>
      </c>
      <c r="E165" s="95" t="s">
        <v>908</v>
      </c>
      <c r="F165" s="95">
        <v>12</v>
      </c>
      <c r="G165" s="78">
        <v>0</v>
      </c>
      <c r="H165" s="78">
        <v>0</v>
      </c>
      <c r="I165" s="78">
        <v>0</v>
      </c>
      <c r="J165" s="78"/>
      <c r="K165" s="78"/>
      <c r="L165" s="78"/>
      <c r="M165" s="78">
        <f t="shared" si="2"/>
        <v>0</v>
      </c>
      <c r="N165" s="98"/>
    </row>
    <row r="166" spans="1:14" ht="15.5" customHeight="1" x14ac:dyDescent="0.35">
      <c r="A166" s="7">
        <v>160</v>
      </c>
      <c r="B166" s="95">
        <v>41065</v>
      </c>
      <c r="C166" s="95" t="s">
        <v>897</v>
      </c>
      <c r="D166" s="95" t="s">
        <v>319</v>
      </c>
      <c r="E166" s="95" t="s">
        <v>220</v>
      </c>
      <c r="F166" s="95">
        <v>12</v>
      </c>
      <c r="G166" s="78">
        <v>0</v>
      </c>
      <c r="H166" s="78">
        <v>0</v>
      </c>
      <c r="I166" s="78">
        <v>0</v>
      </c>
      <c r="J166" s="78"/>
      <c r="K166" s="78"/>
      <c r="L166" s="78"/>
      <c r="M166" s="78">
        <f t="shared" si="2"/>
        <v>0</v>
      </c>
      <c r="N166" s="98"/>
    </row>
    <row r="167" spans="1:14" ht="15.5" customHeight="1" x14ac:dyDescent="0.35">
      <c r="A167" s="7">
        <v>161</v>
      </c>
      <c r="B167" s="95">
        <v>201546</v>
      </c>
      <c r="C167" s="95" t="s">
        <v>165</v>
      </c>
      <c r="D167" s="95" t="s">
        <v>909</v>
      </c>
      <c r="E167" s="95" t="s">
        <v>595</v>
      </c>
      <c r="F167" s="95">
        <v>12</v>
      </c>
      <c r="G167" s="81">
        <v>0</v>
      </c>
      <c r="H167" s="81">
        <v>0</v>
      </c>
      <c r="I167" s="81">
        <v>0</v>
      </c>
      <c r="J167" s="78">
        <v>0</v>
      </c>
      <c r="K167" s="78">
        <v>0</v>
      </c>
      <c r="L167" s="78">
        <v>0</v>
      </c>
      <c r="M167" s="78">
        <f t="shared" ref="M167:M182" si="3">SUM(G167:L167)</f>
        <v>0</v>
      </c>
      <c r="N167" s="98"/>
    </row>
    <row r="168" spans="1:14" ht="15.5" customHeight="1" x14ac:dyDescent="0.35">
      <c r="A168" s="7">
        <v>162</v>
      </c>
      <c r="B168" s="95">
        <v>215065</v>
      </c>
      <c r="C168" s="95" t="s">
        <v>910</v>
      </c>
      <c r="D168" s="95" t="s">
        <v>911</v>
      </c>
      <c r="E168" s="95" t="s">
        <v>67</v>
      </c>
      <c r="F168" s="95">
        <v>11</v>
      </c>
      <c r="G168" s="81">
        <v>0</v>
      </c>
      <c r="H168" s="81">
        <v>0</v>
      </c>
      <c r="I168" s="81">
        <v>0</v>
      </c>
      <c r="J168" s="78"/>
      <c r="K168" s="78"/>
      <c r="L168" s="78"/>
      <c r="M168" s="78">
        <f t="shared" si="3"/>
        <v>0</v>
      </c>
      <c r="N168" s="98"/>
    </row>
    <row r="169" spans="1:14" ht="15.5" customHeight="1" x14ac:dyDescent="0.35">
      <c r="A169" s="7">
        <v>163</v>
      </c>
      <c r="B169" s="95">
        <v>158855</v>
      </c>
      <c r="C169" s="95" t="s">
        <v>74</v>
      </c>
      <c r="D169" s="95" t="s">
        <v>165</v>
      </c>
      <c r="E169" s="95" t="s">
        <v>131</v>
      </c>
      <c r="F169" s="95">
        <v>12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f t="shared" si="3"/>
        <v>0</v>
      </c>
      <c r="N169" s="98"/>
    </row>
    <row r="170" spans="1:14" ht="15.5" customHeight="1" x14ac:dyDescent="0.35">
      <c r="A170" s="7">
        <v>164</v>
      </c>
      <c r="B170" s="95">
        <v>154862</v>
      </c>
      <c r="C170" s="95" t="s">
        <v>244</v>
      </c>
      <c r="D170" s="95" t="s">
        <v>28</v>
      </c>
      <c r="E170" s="95" t="s">
        <v>73</v>
      </c>
      <c r="F170" s="95">
        <v>12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f t="shared" si="3"/>
        <v>0</v>
      </c>
      <c r="N170" s="98"/>
    </row>
    <row r="171" spans="1:14" ht="15.5" customHeight="1" x14ac:dyDescent="0.35">
      <c r="A171" s="7">
        <v>165</v>
      </c>
      <c r="B171" s="95">
        <v>203819</v>
      </c>
      <c r="C171" s="95" t="s">
        <v>144</v>
      </c>
      <c r="D171" s="95" t="s">
        <v>912</v>
      </c>
      <c r="E171" s="95" t="s">
        <v>70</v>
      </c>
      <c r="F171" s="95">
        <v>11</v>
      </c>
      <c r="G171" s="81">
        <v>0</v>
      </c>
      <c r="H171" s="81">
        <v>0</v>
      </c>
      <c r="I171" s="81">
        <v>0</v>
      </c>
      <c r="J171" s="78">
        <v>0</v>
      </c>
      <c r="K171" s="78">
        <v>0</v>
      </c>
      <c r="L171" s="78">
        <v>0</v>
      </c>
      <c r="M171" s="78">
        <f t="shared" si="3"/>
        <v>0</v>
      </c>
      <c r="N171" s="98"/>
    </row>
    <row r="172" spans="1:14" ht="15.5" customHeight="1" x14ac:dyDescent="0.35">
      <c r="A172" s="7">
        <v>166</v>
      </c>
      <c r="B172" s="95">
        <v>224686</v>
      </c>
      <c r="C172" s="95" t="s">
        <v>442</v>
      </c>
      <c r="D172" s="95" t="s">
        <v>150</v>
      </c>
      <c r="E172" s="95" t="s">
        <v>97</v>
      </c>
      <c r="F172" s="95">
        <v>11</v>
      </c>
      <c r="G172" s="78">
        <v>0</v>
      </c>
      <c r="H172" s="78">
        <v>0</v>
      </c>
      <c r="I172" s="78">
        <v>0</v>
      </c>
      <c r="J172" s="78"/>
      <c r="K172" s="78"/>
      <c r="L172" s="78"/>
      <c r="M172" s="78">
        <f t="shared" si="3"/>
        <v>0</v>
      </c>
      <c r="N172" s="98"/>
    </row>
    <row r="173" spans="1:14" ht="15.5" customHeight="1" x14ac:dyDescent="0.35">
      <c r="A173" s="7">
        <v>167</v>
      </c>
      <c r="B173" s="95">
        <v>185394</v>
      </c>
      <c r="C173" s="95" t="s">
        <v>359</v>
      </c>
      <c r="D173" s="95" t="s">
        <v>735</v>
      </c>
      <c r="E173" s="95" t="s">
        <v>220</v>
      </c>
      <c r="F173" s="95">
        <v>12</v>
      </c>
      <c r="G173" s="81">
        <v>0</v>
      </c>
      <c r="H173" s="81">
        <v>0</v>
      </c>
      <c r="I173" s="81">
        <v>0</v>
      </c>
      <c r="J173" s="78"/>
      <c r="K173" s="78"/>
      <c r="L173" s="78"/>
      <c r="M173" s="78">
        <f t="shared" si="3"/>
        <v>0</v>
      </c>
      <c r="N173" s="98"/>
    </row>
    <row r="174" spans="1:14" ht="15.5" customHeight="1" x14ac:dyDescent="0.35">
      <c r="A174" s="7">
        <v>168</v>
      </c>
      <c r="B174" s="95">
        <v>154903</v>
      </c>
      <c r="C174" s="95" t="s">
        <v>10</v>
      </c>
      <c r="D174" s="95" t="s">
        <v>817</v>
      </c>
      <c r="E174" s="95" t="s">
        <v>73</v>
      </c>
      <c r="F174" s="95">
        <v>12</v>
      </c>
      <c r="G174" s="81">
        <v>0</v>
      </c>
      <c r="H174" s="81">
        <v>0</v>
      </c>
      <c r="I174" s="81">
        <v>0</v>
      </c>
      <c r="J174" s="78">
        <v>0</v>
      </c>
      <c r="K174" s="78">
        <v>0</v>
      </c>
      <c r="L174" s="78">
        <v>0</v>
      </c>
      <c r="M174" s="78">
        <f t="shared" si="3"/>
        <v>0</v>
      </c>
      <c r="N174" s="98"/>
    </row>
    <row r="175" spans="1:14" ht="15.5" customHeight="1" x14ac:dyDescent="0.35">
      <c r="A175" s="7">
        <v>169</v>
      </c>
      <c r="B175" s="95">
        <v>148846</v>
      </c>
      <c r="C175" s="95" t="s">
        <v>913</v>
      </c>
      <c r="D175" s="95" t="s">
        <v>89</v>
      </c>
      <c r="E175" s="95" t="s">
        <v>35</v>
      </c>
      <c r="F175" s="95">
        <v>11</v>
      </c>
      <c r="G175" s="81">
        <v>0</v>
      </c>
      <c r="H175" s="81">
        <v>0</v>
      </c>
      <c r="I175" s="81">
        <v>0</v>
      </c>
      <c r="J175" s="78">
        <v>0</v>
      </c>
      <c r="K175" s="78">
        <v>0</v>
      </c>
      <c r="L175" s="78">
        <v>0</v>
      </c>
      <c r="M175" s="78">
        <f t="shared" si="3"/>
        <v>0</v>
      </c>
      <c r="N175" s="98"/>
    </row>
    <row r="176" spans="1:14" ht="15.5" customHeight="1" x14ac:dyDescent="0.35">
      <c r="A176" s="7">
        <v>170</v>
      </c>
      <c r="B176" s="95">
        <v>231952</v>
      </c>
      <c r="C176" s="95" t="s">
        <v>914</v>
      </c>
      <c r="D176" s="95" t="s">
        <v>915</v>
      </c>
      <c r="E176" s="95" t="s">
        <v>707</v>
      </c>
      <c r="F176" s="95">
        <v>12</v>
      </c>
      <c r="G176" s="81">
        <v>0</v>
      </c>
      <c r="H176" s="81">
        <v>0</v>
      </c>
      <c r="I176" s="81">
        <v>0</v>
      </c>
      <c r="J176" s="78">
        <v>0</v>
      </c>
      <c r="K176" s="78">
        <v>0</v>
      </c>
      <c r="L176" s="78">
        <v>0</v>
      </c>
      <c r="M176" s="78">
        <f t="shared" si="3"/>
        <v>0</v>
      </c>
      <c r="N176" s="98"/>
    </row>
    <row r="177" spans="1:14" ht="15.5" customHeight="1" x14ac:dyDescent="0.35">
      <c r="A177" s="7">
        <v>171</v>
      </c>
      <c r="B177" s="95">
        <v>203853</v>
      </c>
      <c r="C177" s="95" t="s">
        <v>916</v>
      </c>
      <c r="D177" s="95" t="s">
        <v>286</v>
      </c>
      <c r="E177" s="95" t="s">
        <v>70</v>
      </c>
      <c r="F177" s="95">
        <v>11</v>
      </c>
      <c r="G177" s="81"/>
      <c r="H177" s="81"/>
      <c r="I177" s="81"/>
      <c r="J177" s="78">
        <v>0</v>
      </c>
      <c r="K177" s="78">
        <v>0</v>
      </c>
      <c r="L177" s="78">
        <v>0</v>
      </c>
      <c r="M177" s="78">
        <f t="shared" si="3"/>
        <v>0</v>
      </c>
      <c r="N177" s="98"/>
    </row>
    <row r="178" spans="1:14" ht="15.5" customHeight="1" x14ac:dyDescent="0.35">
      <c r="A178" s="7">
        <v>172</v>
      </c>
      <c r="B178" s="95">
        <v>137823</v>
      </c>
      <c r="C178" s="95" t="s">
        <v>386</v>
      </c>
      <c r="D178" s="95" t="s">
        <v>243</v>
      </c>
      <c r="E178" s="95" t="s">
        <v>259</v>
      </c>
      <c r="F178" s="95">
        <v>11</v>
      </c>
      <c r="G178" s="81">
        <v>0</v>
      </c>
      <c r="H178" s="81">
        <v>0</v>
      </c>
      <c r="I178" s="81">
        <v>0</v>
      </c>
      <c r="J178" s="78">
        <v>0</v>
      </c>
      <c r="K178" s="78">
        <v>0</v>
      </c>
      <c r="L178" s="78">
        <v>0</v>
      </c>
      <c r="M178" s="78">
        <f t="shared" si="3"/>
        <v>0</v>
      </c>
      <c r="N178" s="98"/>
    </row>
    <row r="179" spans="1:14" ht="15.5" customHeight="1" x14ac:dyDescent="0.35">
      <c r="A179" s="7">
        <v>173</v>
      </c>
      <c r="B179" s="95">
        <v>203530</v>
      </c>
      <c r="C179" s="95" t="s">
        <v>364</v>
      </c>
      <c r="D179" s="95" t="s">
        <v>413</v>
      </c>
      <c r="E179" s="95" t="s">
        <v>70</v>
      </c>
      <c r="F179" s="95">
        <v>12</v>
      </c>
      <c r="G179" s="81">
        <v>0</v>
      </c>
      <c r="H179" s="81">
        <v>0</v>
      </c>
      <c r="I179" s="81">
        <v>0</v>
      </c>
      <c r="J179" s="78">
        <v>0</v>
      </c>
      <c r="K179" s="78">
        <v>0</v>
      </c>
      <c r="L179" s="78">
        <v>0</v>
      </c>
      <c r="M179" s="78">
        <f t="shared" si="3"/>
        <v>0</v>
      </c>
      <c r="N179" s="98"/>
    </row>
    <row r="180" spans="1:14" ht="15.5" customHeight="1" x14ac:dyDescent="0.35">
      <c r="A180" s="7">
        <v>174</v>
      </c>
      <c r="B180" s="95">
        <v>225641</v>
      </c>
      <c r="C180" s="95" t="s">
        <v>740</v>
      </c>
      <c r="D180" s="95" t="s">
        <v>917</v>
      </c>
      <c r="E180" s="95" t="s">
        <v>335</v>
      </c>
      <c r="F180" s="95">
        <v>11</v>
      </c>
      <c r="G180" s="81">
        <v>0</v>
      </c>
      <c r="H180" s="81">
        <v>0</v>
      </c>
      <c r="I180" s="81">
        <v>0</v>
      </c>
      <c r="J180" s="78"/>
      <c r="K180" s="78"/>
      <c r="L180" s="78"/>
      <c r="M180" s="78">
        <f t="shared" si="3"/>
        <v>0</v>
      </c>
      <c r="N180" s="98"/>
    </row>
    <row r="181" spans="1:14" ht="15.5" customHeight="1" x14ac:dyDescent="0.35">
      <c r="A181" s="7">
        <v>175</v>
      </c>
      <c r="B181" s="95">
        <v>159944</v>
      </c>
      <c r="C181" s="95" t="s">
        <v>171</v>
      </c>
      <c r="D181" s="95" t="s">
        <v>255</v>
      </c>
      <c r="E181" s="95" t="s">
        <v>41</v>
      </c>
      <c r="F181" s="95">
        <v>12</v>
      </c>
      <c r="G181" s="81">
        <v>0</v>
      </c>
      <c r="H181" s="81">
        <v>0</v>
      </c>
      <c r="I181" s="81">
        <v>0</v>
      </c>
      <c r="J181" s="78"/>
      <c r="K181" s="78"/>
      <c r="L181" s="78"/>
      <c r="M181" s="78">
        <f t="shared" si="3"/>
        <v>0</v>
      </c>
      <c r="N181" s="98"/>
    </row>
    <row r="182" spans="1:14" ht="15.5" customHeight="1" x14ac:dyDescent="0.35">
      <c r="A182" s="7"/>
      <c r="B182" s="95">
        <v>207181</v>
      </c>
      <c r="C182" s="95" t="s">
        <v>918</v>
      </c>
      <c r="D182" s="95" t="s">
        <v>919</v>
      </c>
      <c r="E182" s="95" t="s">
        <v>920</v>
      </c>
      <c r="F182" s="95">
        <v>12</v>
      </c>
      <c r="G182" s="81"/>
      <c r="H182" s="81"/>
      <c r="I182" s="81"/>
      <c r="J182" s="78">
        <v>0</v>
      </c>
      <c r="K182" s="78">
        <v>0</v>
      </c>
      <c r="L182" s="78">
        <v>0</v>
      </c>
      <c r="M182" s="78">
        <f t="shared" si="3"/>
        <v>0</v>
      </c>
      <c r="N182" s="98"/>
    </row>
    <row r="183" spans="1:14" ht="15.5" customHeight="1" x14ac:dyDescent="0.35">
      <c r="A183" s="7">
        <v>176</v>
      </c>
      <c r="B183" s="95">
        <v>225649</v>
      </c>
      <c r="C183" s="95" t="s">
        <v>15</v>
      </c>
      <c r="D183" s="95" t="s">
        <v>921</v>
      </c>
      <c r="E183" s="95" t="s">
        <v>335</v>
      </c>
      <c r="F183" s="95"/>
      <c r="G183" s="7"/>
      <c r="H183" s="7"/>
      <c r="I183" s="7"/>
      <c r="J183" s="78"/>
      <c r="K183" s="78"/>
      <c r="L183" s="78"/>
      <c r="M183" s="78"/>
      <c r="N183" s="98"/>
    </row>
    <row r="184" spans="1:14" ht="15.5" customHeight="1" x14ac:dyDescent="0.35">
      <c r="A184" s="7">
        <v>177</v>
      </c>
      <c r="B184" s="95">
        <v>203568</v>
      </c>
      <c r="C184" s="95" t="s">
        <v>242</v>
      </c>
      <c r="D184" s="95" t="s">
        <v>714</v>
      </c>
      <c r="E184" s="95" t="s">
        <v>70</v>
      </c>
      <c r="F184" s="95">
        <v>11</v>
      </c>
      <c r="G184" s="7"/>
      <c r="H184" s="7"/>
      <c r="I184" s="7"/>
      <c r="J184" s="78"/>
      <c r="K184" s="78"/>
      <c r="L184" s="78"/>
      <c r="M184" s="78"/>
      <c r="N184" s="98"/>
    </row>
    <row r="185" spans="1:14" ht="15.5" customHeight="1" x14ac:dyDescent="0.35">
      <c r="A185" s="7">
        <v>178</v>
      </c>
      <c r="B185" s="95">
        <v>194874</v>
      </c>
      <c r="C185" s="95" t="s">
        <v>592</v>
      </c>
      <c r="D185" s="95" t="s">
        <v>148</v>
      </c>
      <c r="E185" s="95" t="s">
        <v>83</v>
      </c>
      <c r="F185" s="95"/>
      <c r="G185" s="7"/>
      <c r="H185" s="7"/>
      <c r="I185" s="7"/>
      <c r="J185" s="78"/>
      <c r="K185" s="78"/>
      <c r="L185" s="78"/>
      <c r="M185" s="78"/>
      <c r="N185" s="98"/>
    </row>
    <row r="186" spans="1:14" ht="15.5" customHeight="1" x14ac:dyDescent="0.35">
      <c r="A186" s="7">
        <v>179</v>
      </c>
      <c r="B186" s="95">
        <v>142661</v>
      </c>
      <c r="C186" s="95" t="s">
        <v>922</v>
      </c>
      <c r="D186" s="95" t="s">
        <v>923</v>
      </c>
      <c r="E186" s="95" t="s">
        <v>46</v>
      </c>
      <c r="F186" s="95">
        <v>11</v>
      </c>
      <c r="G186" s="7"/>
      <c r="H186" s="7"/>
      <c r="I186" s="7"/>
      <c r="J186" s="78"/>
      <c r="K186" s="78"/>
      <c r="L186" s="78"/>
      <c r="M186" s="78"/>
      <c r="N186" s="98"/>
    </row>
    <row r="187" spans="1:14" ht="15.5" customHeight="1" x14ac:dyDescent="0.35">
      <c r="A187" s="7">
        <v>180</v>
      </c>
      <c r="B187" s="95">
        <v>214818</v>
      </c>
      <c r="C187" s="95" t="s">
        <v>924</v>
      </c>
      <c r="D187" s="95" t="s">
        <v>925</v>
      </c>
      <c r="E187" s="95" t="s">
        <v>41</v>
      </c>
      <c r="F187" s="95"/>
      <c r="G187" s="7"/>
      <c r="H187" s="7"/>
      <c r="I187" s="7"/>
      <c r="J187" s="78"/>
      <c r="K187" s="78"/>
      <c r="L187" s="78"/>
      <c r="M187" s="78"/>
      <c r="N187" s="98"/>
    </row>
    <row r="188" spans="1:14" ht="15.5" customHeight="1" x14ac:dyDescent="0.35">
      <c r="A188" s="7">
        <v>181</v>
      </c>
      <c r="B188" s="95">
        <v>144036</v>
      </c>
      <c r="C188" s="95" t="s">
        <v>926</v>
      </c>
      <c r="D188" s="95" t="s">
        <v>466</v>
      </c>
      <c r="E188" s="95" t="s">
        <v>220</v>
      </c>
      <c r="F188" s="95"/>
      <c r="G188" s="81"/>
      <c r="H188" s="81"/>
      <c r="I188" s="81"/>
      <c r="J188" s="78"/>
      <c r="K188" s="78"/>
      <c r="L188" s="78"/>
      <c r="M188" s="78"/>
      <c r="N188" s="98"/>
    </row>
    <row r="189" spans="1:14" ht="15.5" customHeight="1" x14ac:dyDescent="0.35">
      <c r="A189" s="7">
        <v>182</v>
      </c>
      <c r="B189" s="95">
        <v>142658</v>
      </c>
      <c r="C189" s="95" t="s">
        <v>927</v>
      </c>
      <c r="D189" s="95" t="s">
        <v>928</v>
      </c>
      <c r="E189" s="95" t="s">
        <v>46</v>
      </c>
      <c r="F189" s="95">
        <v>11</v>
      </c>
      <c r="G189" s="81"/>
      <c r="H189" s="81"/>
      <c r="I189" s="81"/>
      <c r="J189" s="78"/>
      <c r="K189" s="78"/>
      <c r="L189" s="78"/>
      <c r="M189" s="78"/>
      <c r="N189" s="98"/>
    </row>
    <row r="190" spans="1:14" ht="15.5" customHeight="1" x14ac:dyDescent="0.35">
      <c r="A190" s="7">
        <v>183</v>
      </c>
      <c r="M190" s="78"/>
      <c r="N190" s="98"/>
    </row>
    <row r="191" spans="1:14" ht="15.5" customHeight="1" x14ac:dyDescent="0.35">
      <c r="A191" s="7">
        <v>184</v>
      </c>
      <c r="B191" s="95"/>
      <c r="C191" s="95" t="s">
        <v>929</v>
      </c>
      <c r="D191" s="95" t="s">
        <v>751</v>
      </c>
      <c r="E191" s="95" t="s">
        <v>676</v>
      </c>
      <c r="F191" s="95">
        <v>12</v>
      </c>
      <c r="G191" s="74"/>
      <c r="H191" s="74"/>
      <c r="I191" s="74"/>
      <c r="J191" s="78"/>
      <c r="K191" s="78"/>
      <c r="L191" s="78"/>
      <c r="M191" s="78"/>
      <c r="N191" s="98"/>
    </row>
    <row r="192" spans="1:14" ht="15.5" customHeight="1" x14ac:dyDescent="0.35">
      <c r="A192" s="7">
        <v>185</v>
      </c>
      <c r="B192" s="95">
        <v>72745</v>
      </c>
      <c r="C192" s="95" t="s">
        <v>930</v>
      </c>
      <c r="D192" s="95" t="s">
        <v>931</v>
      </c>
      <c r="E192" s="95" t="s">
        <v>649</v>
      </c>
      <c r="F192" s="95">
        <v>12</v>
      </c>
      <c r="G192" s="74"/>
      <c r="H192" s="74"/>
      <c r="I192" s="74"/>
      <c r="J192" s="78"/>
      <c r="K192" s="78"/>
      <c r="L192" s="78"/>
      <c r="M192" s="78"/>
      <c r="N192" s="98"/>
    </row>
    <row r="193" spans="1:14" ht="15.5" customHeight="1" x14ac:dyDescent="0.35">
      <c r="A193" s="7">
        <v>186</v>
      </c>
      <c r="B193" s="95">
        <v>213619</v>
      </c>
      <c r="C193" s="95" t="s">
        <v>321</v>
      </c>
      <c r="D193" s="95" t="s">
        <v>211</v>
      </c>
      <c r="E193" s="95" t="s">
        <v>100</v>
      </c>
      <c r="F193" s="95">
        <v>12</v>
      </c>
      <c r="G193" s="74"/>
      <c r="H193" s="74"/>
      <c r="I193" s="74"/>
      <c r="J193" s="78"/>
      <c r="K193" s="78"/>
      <c r="L193" s="78"/>
      <c r="M193" s="78"/>
      <c r="N193" s="98"/>
    </row>
    <row r="194" spans="1:14" ht="15.5" customHeight="1" x14ac:dyDescent="0.35">
      <c r="A194" s="7">
        <v>187</v>
      </c>
      <c r="B194" s="95">
        <v>225636</v>
      </c>
      <c r="C194" s="95" t="s">
        <v>60</v>
      </c>
      <c r="D194" s="95" t="s">
        <v>932</v>
      </c>
      <c r="E194" s="95" t="s">
        <v>335</v>
      </c>
      <c r="F194" s="95"/>
      <c r="G194" s="7"/>
      <c r="H194" s="7"/>
      <c r="I194" s="7"/>
      <c r="J194" s="78"/>
      <c r="K194" s="78"/>
      <c r="L194" s="78"/>
      <c r="M194" s="78"/>
      <c r="N194" s="98"/>
    </row>
    <row r="195" spans="1:14" ht="15.5" customHeight="1" x14ac:dyDescent="0.35">
      <c r="A195" s="7">
        <v>188</v>
      </c>
      <c r="B195" s="95">
        <v>214426</v>
      </c>
      <c r="C195" s="95" t="s">
        <v>203</v>
      </c>
      <c r="D195" s="95" t="s">
        <v>117</v>
      </c>
      <c r="E195" s="95" t="s">
        <v>67</v>
      </c>
      <c r="F195" s="95"/>
      <c r="G195" s="7"/>
      <c r="H195" s="7"/>
      <c r="I195" s="7"/>
      <c r="J195" s="78"/>
      <c r="K195" s="78"/>
      <c r="L195" s="78"/>
      <c r="M195" s="78"/>
      <c r="N195" s="98"/>
    </row>
    <row r="196" spans="1:14" ht="15.5" customHeight="1" x14ac:dyDescent="0.35">
      <c r="A196" s="7">
        <v>189</v>
      </c>
      <c r="B196" s="95">
        <v>195192</v>
      </c>
      <c r="C196" s="95" t="s">
        <v>933</v>
      </c>
      <c r="D196" s="95" t="s">
        <v>518</v>
      </c>
      <c r="E196" s="95" t="s">
        <v>259</v>
      </c>
      <c r="F196" s="95"/>
      <c r="G196" s="7"/>
      <c r="H196" s="7"/>
      <c r="I196" s="7"/>
      <c r="J196" s="78"/>
      <c r="K196" s="78"/>
      <c r="L196" s="78"/>
      <c r="M196" s="78"/>
      <c r="N196" s="98"/>
    </row>
    <row r="197" spans="1:14" ht="15.5" customHeight="1" x14ac:dyDescent="0.35">
      <c r="A197" s="7">
        <v>190</v>
      </c>
      <c r="B197" s="95">
        <v>33727</v>
      </c>
      <c r="C197" s="95" t="s">
        <v>512</v>
      </c>
      <c r="D197" s="95" t="s">
        <v>749</v>
      </c>
      <c r="E197" s="95" t="s">
        <v>12</v>
      </c>
      <c r="F197" s="95"/>
      <c r="G197" s="7"/>
      <c r="H197" s="7"/>
      <c r="I197" s="7"/>
      <c r="J197" s="78"/>
      <c r="K197" s="78"/>
      <c r="L197" s="78"/>
      <c r="M197" s="78"/>
      <c r="N197" s="98"/>
    </row>
    <row r="198" spans="1:14" ht="15.5" customHeight="1" x14ac:dyDescent="0.35">
      <c r="A198" s="7">
        <v>191</v>
      </c>
      <c r="B198" s="95">
        <v>152651</v>
      </c>
      <c r="C198" s="95" t="s">
        <v>934</v>
      </c>
      <c r="D198" s="95" t="s">
        <v>935</v>
      </c>
      <c r="E198" s="95" t="s">
        <v>46</v>
      </c>
      <c r="F198" s="95">
        <v>11</v>
      </c>
      <c r="G198" s="7"/>
      <c r="H198" s="7"/>
      <c r="I198" s="7"/>
      <c r="J198" s="78"/>
      <c r="K198" s="78"/>
      <c r="L198" s="78"/>
      <c r="M198" s="78"/>
      <c r="N198" s="98"/>
    </row>
    <row r="199" spans="1:14" ht="15.5" customHeight="1" x14ac:dyDescent="0.35">
      <c r="A199" s="7">
        <v>192</v>
      </c>
      <c r="B199" s="95">
        <v>202935</v>
      </c>
      <c r="C199" s="95" t="s">
        <v>936</v>
      </c>
      <c r="D199" s="95" t="s">
        <v>536</v>
      </c>
      <c r="E199" s="95" t="s">
        <v>472</v>
      </c>
      <c r="F199" s="95">
        <v>12</v>
      </c>
      <c r="G199" s="81"/>
      <c r="H199" s="81"/>
      <c r="I199" s="81"/>
      <c r="J199" s="78"/>
      <c r="K199" s="78"/>
      <c r="L199" s="78"/>
      <c r="M199" s="78"/>
      <c r="N199" s="98"/>
    </row>
    <row r="200" spans="1:14" ht="15.5" customHeight="1" x14ac:dyDescent="0.35">
      <c r="A200" s="7">
        <v>193</v>
      </c>
      <c r="B200" s="95">
        <v>220525</v>
      </c>
      <c r="C200" s="95" t="s">
        <v>413</v>
      </c>
      <c r="D200" s="95" t="s">
        <v>565</v>
      </c>
      <c r="E200" s="95" t="s">
        <v>268</v>
      </c>
      <c r="F200" s="95">
        <v>11</v>
      </c>
      <c r="G200" s="81"/>
      <c r="H200" s="81"/>
      <c r="I200" s="81"/>
      <c r="J200" s="78"/>
      <c r="K200" s="78"/>
      <c r="L200" s="78"/>
      <c r="M200" s="78"/>
      <c r="N200" s="98"/>
    </row>
    <row r="201" spans="1:14" ht="15.5" customHeight="1" x14ac:dyDescent="0.35">
      <c r="A201" s="7">
        <v>194</v>
      </c>
      <c r="B201" s="95">
        <v>214288</v>
      </c>
      <c r="C201" s="95" t="s">
        <v>937</v>
      </c>
      <c r="D201" s="95" t="s">
        <v>938</v>
      </c>
      <c r="E201" s="95" t="s">
        <v>67</v>
      </c>
      <c r="F201" s="95"/>
      <c r="G201" s="74"/>
      <c r="H201" s="74"/>
      <c r="I201" s="74"/>
      <c r="J201" s="78"/>
      <c r="K201" s="78"/>
      <c r="L201" s="78"/>
      <c r="M201" s="78"/>
      <c r="N201" s="98"/>
    </row>
    <row r="202" spans="1:14" ht="15.5" customHeight="1" x14ac:dyDescent="0.35">
      <c r="A202" s="7">
        <v>195</v>
      </c>
      <c r="B202" s="95">
        <v>162789</v>
      </c>
      <c r="C202" s="95" t="s">
        <v>939</v>
      </c>
      <c r="D202" s="95" t="s">
        <v>940</v>
      </c>
      <c r="E202" s="95" t="s">
        <v>191</v>
      </c>
      <c r="F202" s="95">
        <v>12</v>
      </c>
      <c r="G202" s="74"/>
      <c r="H202" s="74"/>
      <c r="I202" s="74"/>
      <c r="J202" s="78"/>
      <c r="K202" s="78"/>
      <c r="L202" s="78"/>
      <c r="M202" s="78"/>
      <c r="N202" s="98"/>
    </row>
    <row r="203" spans="1:14" ht="15.5" customHeight="1" x14ac:dyDescent="0.35">
      <c r="A203" s="7">
        <v>196</v>
      </c>
      <c r="B203" s="95"/>
      <c r="C203" s="95" t="s">
        <v>941</v>
      </c>
      <c r="D203" s="95" t="s">
        <v>164</v>
      </c>
      <c r="E203" s="95" t="s">
        <v>676</v>
      </c>
      <c r="F203" s="95">
        <v>11</v>
      </c>
      <c r="G203" s="78"/>
      <c r="H203" s="78"/>
      <c r="I203" s="78"/>
      <c r="J203" s="78"/>
      <c r="K203" s="78"/>
      <c r="L203" s="78"/>
      <c r="M203" s="78"/>
      <c r="N203" s="98"/>
    </row>
    <row r="204" spans="1:14" ht="15.5" customHeight="1" x14ac:dyDescent="0.35">
      <c r="A204" s="7">
        <v>197</v>
      </c>
      <c r="B204" s="95">
        <v>116640</v>
      </c>
      <c r="C204" s="95" t="s">
        <v>642</v>
      </c>
      <c r="D204" s="95" t="s">
        <v>107</v>
      </c>
      <c r="E204" s="95" t="s">
        <v>12</v>
      </c>
      <c r="F204" s="95"/>
      <c r="G204" s="78"/>
      <c r="H204" s="78"/>
      <c r="I204" s="78"/>
      <c r="J204" s="78"/>
      <c r="K204" s="78"/>
      <c r="L204" s="78"/>
      <c r="M204" s="78"/>
      <c r="N204" s="98"/>
    </row>
    <row r="205" spans="1:14" ht="15.5" customHeight="1" x14ac:dyDescent="0.35">
      <c r="A205" s="7">
        <v>198</v>
      </c>
      <c r="B205" s="95">
        <v>194899</v>
      </c>
      <c r="C205" s="95" t="s">
        <v>942</v>
      </c>
      <c r="D205" s="95" t="s">
        <v>74</v>
      </c>
      <c r="E205" s="95" t="s">
        <v>780</v>
      </c>
      <c r="F205" s="95">
        <v>12</v>
      </c>
      <c r="G205" s="78"/>
      <c r="H205" s="78"/>
      <c r="I205" s="78"/>
      <c r="J205" s="78"/>
      <c r="K205" s="78"/>
      <c r="L205" s="78"/>
      <c r="M205" s="78"/>
      <c r="N205" s="98"/>
    </row>
    <row r="206" spans="1:14" ht="15.5" customHeight="1" x14ac:dyDescent="0.35">
      <c r="A206" s="7">
        <v>199</v>
      </c>
      <c r="B206" s="95">
        <v>218187</v>
      </c>
      <c r="C206" s="95" t="s">
        <v>943</v>
      </c>
      <c r="D206" s="95" t="s">
        <v>540</v>
      </c>
      <c r="E206" s="95" t="s">
        <v>259</v>
      </c>
      <c r="F206" s="95">
        <v>12</v>
      </c>
      <c r="G206" s="78"/>
      <c r="H206" s="78"/>
      <c r="I206" s="78"/>
      <c r="J206" s="78"/>
      <c r="K206" s="78"/>
      <c r="L206" s="78"/>
      <c r="M206" s="78"/>
      <c r="N206" s="98"/>
    </row>
    <row r="207" spans="1:14" ht="15.5" customHeight="1" x14ac:dyDescent="0.35">
      <c r="A207" s="7">
        <v>200</v>
      </c>
      <c r="B207" s="95">
        <v>32854</v>
      </c>
      <c r="C207" s="95" t="s">
        <v>944</v>
      </c>
      <c r="D207" s="95" t="s">
        <v>945</v>
      </c>
      <c r="E207" s="95" t="s">
        <v>12</v>
      </c>
      <c r="F207" s="95"/>
      <c r="G207" s="78"/>
      <c r="H207" s="78"/>
      <c r="I207" s="78"/>
      <c r="J207" s="78"/>
      <c r="K207" s="78"/>
      <c r="L207" s="78"/>
      <c r="M207" s="78"/>
      <c r="N207" s="98"/>
    </row>
    <row r="208" spans="1:14" ht="15.5" customHeight="1" x14ac:dyDescent="0.35">
      <c r="A208" s="7">
        <v>201</v>
      </c>
      <c r="B208" s="95">
        <v>125212</v>
      </c>
      <c r="C208" s="95" t="s">
        <v>946</v>
      </c>
      <c r="D208" s="95" t="s">
        <v>947</v>
      </c>
      <c r="E208" s="95" t="s">
        <v>67</v>
      </c>
      <c r="F208" s="95"/>
      <c r="G208" s="78"/>
      <c r="H208" s="78"/>
      <c r="I208" s="78"/>
      <c r="J208" s="78"/>
      <c r="K208" s="78"/>
      <c r="L208" s="78"/>
      <c r="M208" s="78"/>
      <c r="N208" s="98"/>
    </row>
    <row r="209" spans="1:14" ht="15.5" customHeight="1" x14ac:dyDescent="0.35">
      <c r="A209" s="7">
        <v>202</v>
      </c>
      <c r="B209" s="95">
        <v>194891</v>
      </c>
      <c r="C209" s="95" t="s">
        <v>265</v>
      </c>
      <c r="D209" s="95" t="s">
        <v>88</v>
      </c>
      <c r="E209" s="95" t="s">
        <v>83</v>
      </c>
      <c r="F209" s="95">
        <v>12</v>
      </c>
      <c r="G209" s="81"/>
      <c r="H209" s="81"/>
      <c r="I209" s="81"/>
      <c r="J209" s="78"/>
      <c r="K209" s="78"/>
      <c r="L209" s="78"/>
      <c r="M209" s="78"/>
      <c r="N209" s="98"/>
    </row>
    <row r="210" spans="1:14" ht="15.5" customHeight="1" x14ac:dyDescent="0.35">
      <c r="A210" s="7">
        <v>203</v>
      </c>
      <c r="B210" s="95">
        <v>158797</v>
      </c>
      <c r="C210" s="95" t="s">
        <v>948</v>
      </c>
      <c r="D210" s="95" t="s">
        <v>228</v>
      </c>
      <c r="E210" s="95" t="s">
        <v>298</v>
      </c>
      <c r="F210" s="95">
        <v>12</v>
      </c>
      <c r="G210" s="81"/>
      <c r="H210" s="81"/>
      <c r="I210" s="81"/>
      <c r="J210" s="78"/>
      <c r="K210" s="78"/>
      <c r="L210" s="78"/>
      <c r="M210" s="78"/>
      <c r="N210" s="98"/>
    </row>
    <row r="211" spans="1:14" ht="15.5" customHeight="1" x14ac:dyDescent="0.35">
      <c r="A211" s="7">
        <v>204</v>
      </c>
      <c r="B211" s="95">
        <v>226160</v>
      </c>
      <c r="C211" s="95" t="s">
        <v>132</v>
      </c>
      <c r="D211" s="95" t="s">
        <v>158</v>
      </c>
      <c r="E211" s="95" t="s">
        <v>100</v>
      </c>
      <c r="F211" s="95">
        <v>12</v>
      </c>
      <c r="G211" s="81"/>
      <c r="H211" s="81"/>
      <c r="I211" s="81"/>
      <c r="J211" s="78"/>
      <c r="K211" s="78"/>
      <c r="L211" s="78"/>
      <c r="M211" s="78"/>
      <c r="N211" s="98"/>
    </row>
    <row r="212" spans="1:14" ht="15.5" customHeight="1" x14ac:dyDescent="0.35">
      <c r="A212" s="7">
        <v>205</v>
      </c>
      <c r="B212" s="95">
        <v>128114</v>
      </c>
      <c r="C212" s="95" t="s">
        <v>949</v>
      </c>
      <c r="D212" s="95" t="s">
        <v>950</v>
      </c>
      <c r="E212" s="95" t="s">
        <v>100</v>
      </c>
      <c r="F212" s="95">
        <v>12</v>
      </c>
      <c r="G212" s="81"/>
      <c r="H212" s="81"/>
      <c r="I212" s="81"/>
      <c r="J212" s="78"/>
      <c r="K212" s="78"/>
      <c r="L212" s="78"/>
      <c r="M212" s="78"/>
      <c r="N212" s="98"/>
    </row>
    <row r="213" spans="1:14" ht="15.5" customHeight="1" x14ac:dyDescent="0.35">
      <c r="A213" s="7">
        <v>206</v>
      </c>
      <c r="B213" s="95">
        <v>184953</v>
      </c>
      <c r="C213" s="95" t="s">
        <v>750</v>
      </c>
      <c r="D213" s="95" t="s">
        <v>925</v>
      </c>
      <c r="E213" s="95" t="s">
        <v>220</v>
      </c>
      <c r="F213" s="95"/>
      <c r="G213" s="81"/>
      <c r="H213" s="81"/>
      <c r="I213" s="81"/>
      <c r="J213" s="78"/>
      <c r="K213" s="78"/>
      <c r="L213" s="78"/>
      <c r="M213" s="78"/>
      <c r="N213" s="98"/>
    </row>
    <row r="214" spans="1:14" ht="15.5" customHeight="1" x14ac:dyDescent="0.35">
      <c r="A214" s="7">
        <v>207</v>
      </c>
      <c r="B214" s="95">
        <v>70742</v>
      </c>
      <c r="C214" s="95" t="s">
        <v>118</v>
      </c>
      <c r="D214" s="95" t="s">
        <v>909</v>
      </c>
      <c r="E214" s="95" t="s">
        <v>12</v>
      </c>
      <c r="F214" s="95"/>
      <c r="G214" s="81"/>
      <c r="H214" s="81"/>
      <c r="I214" s="81"/>
      <c r="J214" s="78"/>
      <c r="K214" s="78"/>
      <c r="L214" s="78"/>
      <c r="M214" s="78"/>
      <c r="N214" s="98"/>
    </row>
    <row r="215" spans="1:14" ht="15.5" customHeight="1" x14ac:dyDescent="0.35">
      <c r="A215" s="7">
        <v>208</v>
      </c>
      <c r="B215" s="95">
        <v>191579</v>
      </c>
      <c r="C215" s="95" t="s">
        <v>255</v>
      </c>
      <c r="D215" s="95" t="s">
        <v>499</v>
      </c>
      <c r="E215" s="95" t="s">
        <v>126</v>
      </c>
      <c r="F215" s="95"/>
      <c r="G215" s="81"/>
      <c r="H215" s="81"/>
      <c r="I215" s="81"/>
      <c r="J215" s="78"/>
      <c r="K215" s="78"/>
      <c r="L215" s="78"/>
      <c r="M215" s="78"/>
      <c r="N215" s="98"/>
    </row>
  </sheetData>
  <mergeCells count="14">
    <mergeCell ref="N4:N6"/>
    <mergeCell ref="G5:I5"/>
    <mergeCell ref="J5:L5"/>
    <mergeCell ref="N7:N24"/>
    <mergeCell ref="A2:N2"/>
    <mergeCell ref="K3:N3"/>
    <mergeCell ref="A4:A6"/>
    <mergeCell ref="B4:B6"/>
    <mergeCell ref="C4:C6"/>
    <mergeCell ref="D4:D6"/>
    <mergeCell ref="E4:E6"/>
    <mergeCell ref="F4:F6"/>
    <mergeCell ref="G4:L4"/>
    <mergeCell ref="M4:M6"/>
  </mergeCells>
  <hyperlinks>
    <hyperlink ref="E7" r:id="rId1" display="https://mmo.mn/olympiads/answers/194/?s=301" xr:uid="{43249379-3A05-42AC-B67F-16B052C6D461}"/>
    <hyperlink ref="E138" r:id="rId2" display="https://mmo.mn/olympiads/answers/194/?s=284" xr:uid="{22C8DCA0-A498-4D27-B9A4-045300CEA9A4}"/>
    <hyperlink ref="E14" r:id="rId3" display="https://mmo.mn/olympiads/answers/194/?s=293" xr:uid="{B501F37A-35EA-436B-9545-C3FE96FD5322}"/>
    <hyperlink ref="E11" r:id="rId4" xr:uid="{97C877A7-E25A-4723-94C4-8222BD261AEC}"/>
    <hyperlink ref="E140" r:id="rId5" xr:uid="{A7E2BA3C-4166-4605-8DEA-3A8F8FAFECC8}"/>
    <hyperlink ref="E38" r:id="rId6" xr:uid="{7796BA76-0B65-4B92-B9F7-001FBFCD81E3}"/>
    <hyperlink ref="E25" r:id="rId7" xr:uid="{3061D1F1-2806-46D2-A523-00C2FB15F802}"/>
    <hyperlink ref="E39" r:id="rId8" xr:uid="{83105D76-3EDF-4FF5-9359-CAC8C666A47A}"/>
    <hyperlink ref="E21" r:id="rId9" xr:uid="{3BDAC9D0-F58D-4EFB-AD44-5695869A4B76}"/>
    <hyperlink ref="E59" r:id="rId10" xr:uid="{A9232663-4884-4D4B-A097-428AD2332478}"/>
    <hyperlink ref="E76" r:id="rId11" xr:uid="{7E238396-135C-4814-9078-82CBD7E8E529}"/>
    <hyperlink ref="E141" r:id="rId12" xr:uid="{BB1F33F1-8E6A-4D7B-8FC3-810FCD2695A9}"/>
    <hyperlink ref="E77" r:id="rId13" xr:uid="{392563AF-8C94-4BE2-AE65-F6107B34329D}"/>
    <hyperlink ref="E142" r:id="rId14" xr:uid="{529F463E-ACA4-4A5D-BFD9-DD7F19B997E7}"/>
    <hyperlink ref="E92" r:id="rId15" xr:uid="{F3E0F4D8-D623-4F6C-A22C-6B81146307E9}"/>
    <hyperlink ref="E93" r:id="rId16" xr:uid="{390FB0FA-BC1A-48E6-B350-695BFF3C5944}"/>
    <hyperlink ref="E143" r:id="rId17" xr:uid="{229BEF17-4208-4B6E-8B99-7B0F7A2DC4FD}"/>
    <hyperlink ref="E8" r:id="rId18" display="https://mmo.mn/olympiads/answers/194/?s=301" xr:uid="{175BE2CA-338C-4D93-80EE-AB727F47B5AF}"/>
    <hyperlink ref="E95" r:id="rId19" display="https://mmo.mn/olympiads/answers/194/?s=284" xr:uid="{075B9CF4-39F5-4005-8BE5-34787EBD7C71}"/>
    <hyperlink ref="E96" r:id="rId20" display="https://mmo.mn/olympiads/answers/194/?s=293" xr:uid="{D732BAA0-11D3-472F-8A14-4DD7E8B307C6}"/>
    <hyperlink ref="E40" r:id="rId21" xr:uid="{554915BF-97EA-4FBC-BDF4-992977B6AC4F}"/>
    <hyperlink ref="E63" r:id="rId22" xr:uid="{84CEE744-AF23-4B1D-B061-C197027052CD}"/>
    <hyperlink ref="E183" r:id="rId23" xr:uid="{62C92DD7-9E1E-41F4-BCCE-10E6B17E7CC9}"/>
    <hyperlink ref="E144" r:id="rId24" xr:uid="{46C758B0-3523-4CCB-B26D-9FE7602B9631}"/>
    <hyperlink ref="E184" r:id="rId25" xr:uid="{79D24273-BF24-4730-8425-B0DCF7152ADD}"/>
    <hyperlink ref="E145" r:id="rId26" xr:uid="{4A63C135-182C-4D66-A938-3B2A8D3C6A53}"/>
    <hyperlink ref="E146" r:id="rId27" xr:uid="{7E82FE3C-EB27-4D88-9BB8-2CAACCBD1F1F}"/>
    <hyperlink ref="E185" r:id="rId28" xr:uid="{E297AE55-2C61-40FB-97D0-5852DA1349E5}"/>
    <hyperlink ref="E41" r:id="rId29" xr:uid="{634FD42F-64FE-4230-9042-8D2E47E1E270}"/>
    <hyperlink ref="E98" r:id="rId30" xr:uid="{A20FE2BB-7D6B-4559-AD7E-BA33AFA34C85}"/>
    <hyperlink ref="E71" r:id="rId31" xr:uid="{17DAC9D2-36D1-4329-B9B6-0B79D8310942}"/>
    <hyperlink ref="E186" r:id="rId32" xr:uid="{71B26AE2-5DDE-4268-95E5-BB640E36C9E5}"/>
    <hyperlink ref="E147" r:id="rId33" xr:uid="{B8A560A5-2970-4806-8E53-74DD00A19DFB}"/>
    <hyperlink ref="E12" r:id="rId34" display="https://mmo.mn/olympiads/answers/194/?s=301" xr:uid="{C758299F-21DC-4C55-B906-9BFCEFBB763A}"/>
    <hyperlink ref="E74" r:id="rId35" display="https://mmo.mn/olympiads/answers/194/?s=293" xr:uid="{20D32894-F72C-4F48-B68E-04B0037E94E7}"/>
    <hyperlink ref="E42" r:id="rId36" xr:uid="{A8C1977B-7F7A-4D94-8699-9807BACD1968}"/>
    <hyperlink ref="E60" r:id="rId37" xr:uid="{1A60E536-43C2-48A1-9620-CFECBEB47854}"/>
    <hyperlink ref="E187" r:id="rId38" xr:uid="{89FF8AFE-EA96-4378-9875-08970B8535D2}"/>
    <hyperlink ref="E148" r:id="rId39" xr:uid="{DE5C5EEF-7B5E-490B-9A52-D442F5FCCEAE}"/>
    <hyperlink ref="E149" r:id="rId40" xr:uid="{88B23446-F134-4BA9-BE68-8D1433379C8E}"/>
    <hyperlink ref="E9" r:id="rId41" display="https://mmo.mn/olympiads/answers/194/?s=301" xr:uid="{B6F54DB1-7D98-4C1F-875B-810822B67AF9}"/>
    <hyperlink ref="E104" r:id="rId42" display="https://mmo.mn/olympiads/answers/194/?s=293" xr:uid="{5685F372-3AFF-47C2-970A-C5546D2A0B0E}"/>
    <hyperlink ref="E194" r:id="rId43" xr:uid="{DB654493-6CD3-4A97-999B-F121881108D9}"/>
    <hyperlink ref="E153" r:id="rId44" xr:uid="{FF2A5A12-6F4F-4C9C-BAA4-40C139062E80}"/>
    <hyperlink ref="E75" r:id="rId45" xr:uid="{EE795499-3E6A-4F2E-A916-B142B28FAB78}"/>
    <hyperlink ref="E154" r:id="rId46" xr:uid="{1506F375-B549-4873-8E6D-9312BE478964}"/>
    <hyperlink ref="E195" r:id="rId47" xr:uid="{CEA2EB56-3378-4ECD-9D38-ACB027BEDA54}"/>
    <hyperlink ref="E26" r:id="rId48" xr:uid="{E36625E4-DA61-4063-A26C-41A9CE359AA8}"/>
    <hyperlink ref="E196" r:id="rId49" xr:uid="{1ACF151B-DA6B-425A-B735-E571B766200C}"/>
    <hyperlink ref="E64" r:id="rId50" xr:uid="{82F0E4B4-9F0F-4CBA-ACE8-6E2A721AC171}"/>
    <hyperlink ref="E155" r:id="rId51" xr:uid="{6BBEC4CC-E329-48B2-8672-54E588FC0CED}"/>
    <hyperlink ref="E23" r:id="rId52" xr:uid="{6507E537-7A95-4F4B-B547-E7FC063AFAD8}"/>
    <hyperlink ref="E24" r:id="rId53" xr:uid="{378C9BD4-12AD-446F-B9B1-AF63372E7D04}"/>
    <hyperlink ref="E65" r:id="rId54" xr:uid="{C2AE0638-58C2-4713-90F4-B992B82B8D37}"/>
    <hyperlink ref="E27" r:id="rId55" xr:uid="{33EC9E0F-9E45-4560-A2BD-C234670B8719}"/>
    <hyperlink ref="E43" r:id="rId56" xr:uid="{EA5F8BFF-686D-4AD4-BFE4-48DBB3FBFFEB}"/>
    <hyperlink ref="E197" r:id="rId57" xr:uid="{F41CB571-8510-41B3-9578-BEBBBC1C50CA}"/>
    <hyperlink ref="E44" r:id="rId58" xr:uid="{EC05A68D-0925-4BF9-B0D2-0B1C148F9207}"/>
    <hyperlink ref="B194" r:id="rId59" display="https://mmo.mn/olympiads/achievements/225636/" xr:uid="{D343AB08-708C-4934-8E97-C30149200AC2}"/>
    <hyperlink ref="B195" r:id="rId60" display="https://mmo.mn/olympiads/achievements/214426/" xr:uid="{1D3F859A-5B3F-4674-B893-307B1693DDD5}"/>
    <hyperlink ref="B196" r:id="rId61" display="https://mmo.mn/olympiads/achievements/195192/" xr:uid="{9249260E-8ED3-4D73-9744-AAED2FD2A64B}"/>
    <hyperlink ref="B197" r:id="rId62" display="https://mmo.mn/olympiads/achievements/33727/" xr:uid="{71C75942-6268-4238-BB1C-B0F5BCA14292}"/>
    <hyperlink ref="E79" r:id="rId63" display="https://mmo.mn/olympiads/answers/194/?s=293" xr:uid="{9C76EBD9-895A-47EB-AB29-1FB77D9AF733}"/>
    <hyperlink ref="E80" r:id="rId64" xr:uid="{B125EE32-A4F6-4E54-A020-640D039B731E}"/>
    <hyperlink ref="E19" r:id="rId65" xr:uid="{286F46FC-3BE9-4B2F-96C0-1ED4951C5C73}"/>
    <hyperlink ref="E106" r:id="rId66" xr:uid="{4C87FF32-60EC-4E36-A301-9B247D46C4A1}"/>
    <hyperlink ref="E35" r:id="rId67" xr:uid="{E6D15DF8-01C1-4F67-8506-196391DF7521}"/>
    <hyperlink ref="E157" r:id="rId68" xr:uid="{82D54179-948A-47D4-BDFA-178EA0BE64F0}"/>
    <hyperlink ref="E28" r:id="rId69" xr:uid="{0C81B2DD-493E-4F1F-8A53-EFFA499AB644}"/>
    <hyperlink ref="E20" r:id="rId70" display="https://mmo.mn/olympiads/answers/194/?s=293" xr:uid="{E286BDDC-9C71-4CD1-90B2-3E66B6AA94C9}"/>
    <hyperlink ref="E109" r:id="rId71" xr:uid="{332992F3-054D-4765-99B9-25892D70C7C1}"/>
    <hyperlink ref="E160" r:id="rId72" xr:uid="{6550E2A8-7DAC-4341-9AC3-334D5263B5E4}"/>
    <hyperlink ref="E73" r:id="rId73" xr:uid="{5DF301AB-F4FA-40CA-9376-1019B6490FEE}"/>
    <hyperlink ref="E67" r:id="rId74" xr:uid="{D5BA7EBA-8417-408E-AD07-C2E57074F8B3}"/>
    <hyperlink ref="E161" r:id="rId75" xr:uid="{50088093-B71B-4B49-82E8-471DE29444B6}"/>
    <hyperlink ref="E10" r:id="rId76" xr:uid="{8272FC50-2784-456A-9E70-1F14C5667D61}"/>
    <hyperlink ref="E18" r:id="rId77" xr:uid="{73E1BFE6-E36B-4B5B-8C17-18A6E599EBE5}"/>
    <hyperlink ref="E201" r:id="rId78" xr:uid="{A007CEA3-15A4-4655-BDB4-04C72E267643}"/>
    <hyperlink ref="E162" r:id="rId79" xr:uid="{C54A49F2-72A9-40A9-9493-CF0DA9C9A1E2}"/>
    <hyperlink ref="B201" r:id="rId80" display="https://mmo.mn/olympiads/achievements/214288/" xr:uid="{6C459302-3819-4432-BE4B-FA09D991E5BA}"/>
    <hyperlink ref="E204" r:id="rId81" xr:uid="{4184E20D-0D98-4B54-93A4-5D006002A399}"/>
    <hyperlink ref="E112" r:id="rId82" xr:uid="{7FBF80BD-5451-40AD-A255-EAE4FCC36019}"/>
    <hyperlink ref="E61" r:id="rId83" xr:uid="{DDFBAA9A-2491-4AEB-8CFB-D8F039990DA6}"/>
    <hyperlink ref="E81" r:id="rId84" xr:uid="{A863B900-6010-4D1A-86D9-B0CAF4EA10DB}"/>
    <hyperlink ref="E47" r:id="rId85" xr:uid="{848B0DF8-1A81-4C77-898D-5CD8D6B22EC0}"/>
    <hyperlink ref="E113" r:id="rId86" xr:uid="{F14C261C-A2E3-4AEA-9E99-7F794CD067E7}"/>
    <hyperlink ref="E82" r:id="rId87" xr:uid="{67AEDA89-F38E-4065-8C1E-0B904F888CD7}"/>
    <hyperlink ref="B204" r:id="rId88" display="https://mmo.mn/olympiads/achievements/116640/" xr:uid="{5B5A9E22-967B-4183-978D-8FCE1DC720D2}"/>
    <hyperlink ref="E16" r:id="rId89" xr:uid="{B1678967-E7BD-4458-94B0-3A6ACBF0C152}"/>
    <hyperlink ref="E168" r:id="rId90" xr:uid="{37785E1A-958E-425D-AC3B-74648B2E8417}"/>
    <hyperlink ref="E91" r:id="rId91" xr:uid="{E78CFECB-F82F-4330-A423-5C6D69642431}"/>
    <hyperlink ref="E169" r:id="rId92" xr:uid="{BFD9D312-5372-432B-BD78-3DF0F4094AD2}"/>
    <hyperlink ref="E170" r:id="rId93" xr:uid="{C8078815-BDC5-4E85-B671-91FD1334B159}"/>
    <hyperlink ref="E114" r:id="rId94" xr:uid="{CA23F7E9-9AD1-46D5-B9C0-715A1CDCC887}"/>
    <hyperlink ref="E115" r:id="rId95" xr:uid="{5A715D41-0F2F-4BEC-A751-70EA12524073}"/>
    <hyperlink ref="E48" r:id="rId96" xr:uid="{3692486A-44DC-48DF-8287-61EE37CFB6D9}"/>
    <hyperlink ref="E207" r:id="rId97" xr:uid="{FC07423A-BC5C-43AA-B6B5-F2F6BA0D81B6}"/>
    <hyperlink ref="E171" r:id="rId98" xr:uid="{573A7627-5726-4CA5-B776-C609B5F743F0}"/>
    <hyperlink ref="E68" r:id="rId99" xr:uid="{5258A538-EF0E-45E7-9CE7-E7F84B7398B1}"/>
    <hyperlink ref="E116" r:id="rId100" xr:uid="{8EE67F61-C706-445D-A04A-D27FF08782D9}"/>
    <hyperlink ref="E49" r:id="rId101" xr:uid="{3F9C20FC-234A-4697-B661-30111107925D}"/>
    <hyperlink ref="B207" r:id="rId102" display="https://mmo.mn/olympiads/achievements/32854/" xr:uid="{6F6D6E81-1B86-457F-846A-FEF2376D1ABE}"/>
    <hyperlink ref="E32" r:id="rId103" xr:uid="{D2FE214C-1C95-4BDE-998E-BCC5914126F4}"/>
    <hyperlink ref="E172" r:id="rId104" xr:uid="{F0B471A5-6020-42AF-A37E-F1B9DE1028B5}"/>
    <hyperlink ref="E117" r:id="rId105" xr:uid="{75FE5446-C551-4598-AB07-B71941FCB0BE}"/>
    <hyperlink ref="E118" r:id="rId106" xr:uid="{BD88542B-2439-4EC6-A6DE-2BC994A0B3C9}"/>
    <hyperlink ref="E85" r:id="rId107" xr:uid="{E3C9D0F5-FA19-466D-B49B-B984639E6832}"/>
    <hyperlink ref="E119" r:id="rId108" xr:uid="{EB1BE7C5-47D8-4809-9388-20EE01618F8B}"/>
    <hyperlink ref="E120" r:id="rId109" xr:uid="{93596FA6-B63D-455C-A5D8-8427D2BFB45C}"/>
    <hyperlink ref="E50" r:id="rId110" xr:uid="{F005F57A-A79F-4D72-A73D-3FEF931FF9AE}"/>
    <hyperlink ref="E208" r:id="rId111" xr:uid="{40FAA77B-E078-4315-ADA9-73DE255F29C9}"/>
    <hyperlink ref="E51" r:id="rId112" xr:uid="{BA6E7906-3769-4FFC-BE91-442AC958641A}"/>
    <hyperlink ref="E123" r:id="rId113" xr:uid="{89F77904-D969-4D5F-80F7-EC09AD056E56}"/>
    <hyperlink ref="E52" r:id="rId114" xr:uid="{27F9118B-F825-47E3-94E5-B93F4068CDF6}"/>
    <hyperlink ref="E69" r:id="rId115" xr:uid="{D7D45690-CA4B-4CB7-86E2-AB9DE4B27B53}"/>
    <hyperlink ref="E33" r:id="rId116" xr:uid="{C437D114-D048-4E86-B644-5E882DCDD8B2}"/>
    <hyperlink ref="E173" r:id="rId117" xr:uid="{789021CF-DCD1-4607-B332-919C42E2CFBB}"/>
    <hyperlink ref="E15" r:id="rId118" xr:uid="{62E68466-FD8D-460E-9404-85453ABA3331}"/>
    <hyperlink ref="B208" r:id="rId119" display="https://mmo.mn/olympiads/achievements/125212/" xr:uid="{D5404AC7-4961-448F-BFFC-DBDCA8DBF76E}"/>
    <hyperlink ref="E13" r:id="rId120" xr:uid="{AAC52259-A951-486F-8461-59F1B2487C56}"/>
    <hyperlink ref="E124" r:id="rId121" xr:uid="{6FD0E212-592F-445E-9B69-78C297E8C537}"/>
    <hyperlink ref="E36" r:id="rId122" xr:uid="{CD98EC98-665A-4232-B347-D7FEF293B8AC}"/>
    <hyperlink ref="E209" r:id="rId123" xr:uid="{0B8537C7-88FF-4454-BF83-8C17E65640C0}"/>
    <hyperlink ref="E53" r:id="rId124" xr:uid="{36EB2D4A-8437-4FA0-9C3D-A9F5F997D63E}"/>
    <hyperlink ref="E70" r:id="rId125" xr:uid="{1C79E8F3-C16B-4985-B749-254D3FF0E666}"/>
    <hyperlink ref="E37" r:id="rId126" xr:uid="{FFCE5479-7B3E-4971-9D8A-5C2644E4B5CB}"/>
    <hyperlink ref="E127" r:id="rId127" xr:uid="{E7DB7DD4-A19B-4D62-9126-21C23680F592}"/>
    <hyperlink ref="E175" r:id="rId128" xr:uid="{C1516CD3-7129-44DB-A2B9-D08E6576681A}"/>
    <hyperlink ref="B209" r:id="rId129" display="https://mmo.mn/olympiads/achievements/194891/" xr:uid="{32848489-0BD3-4393-93DD-3495A53DD674}"/>
    <hyperlink ref="E58" r:id="rId130" xr:uid="{9DE60B50-4FD6-4E07-96FA-6114389746CA}"/>
    <hyperlink ref="E88" r:id="rId131" xr:uid="{A5B0E1CF-73B8-4031-BB48-0E40FA9588F9}"/>
    <hyperlink ref="E180" r:id="rId132" xr:uid="{704A6619-DDDA-455B-A314-C392063DFD39}"/>
    <hyperlink ref="E215" r:id="rId133" xr:uid="{3EBDAEC7-2346-4773-8A78-66C75EDDC742}"/>
    <hyperlink ref="E181" r:id="rId134" xr:uid="{D2F2F633-F4EE-43C3-824B-E14414F48AE4}"/>
    <hyperlink ref="E135" r:id="rId135" xr:uid="{9F64AA77-5ED6-4F5D-9CE5-A47712335BAD}"/>
    <hyperlink ref="E136" r:id="rId136" xr:uid="{35C36AEF-EFEA-43DE-9C2D-C6FEB2650486}"/>
    <hyperlink ref="B215" r:id="rId137" display="https://mmo.mn/olympiads/achievements/191579/" xr:uid="{BF7938A2-7A88-4260-8C13-9B993CF526D4}"/>
    <hyperlink ref="B214" r:id="rId138" display="https://mmo.mn/olympiads/achievements/70742/" xr:uid="{C41EA46A-8FF9-40C4-BE61-B4B3B317551C}"/>
    <hyperlink ref="B213" r:id="rId139" display="https://mmo.mn/olympiads/achievements/184953/" xr:uid="{81AE47FE-A444-476A-9320-44E109DD8912}"/>
    <hyperlink ref="E214" r:id="rId140" xr:uid="{7A690D7B-43DB-4123-8593-FBADE514E09F}"/>
    <hyperlink ref="E34" r:id="rId141" xr:uid="{89310612-8BA2-4100-B544-973A6AF45D0E}"/>
    <hyperlink ref="E213" r:id="rId142" xr:uid="{874A1C6E-7392-4042-8946-062A1FE199A5}"/>
    <hyperlink ref="E179" r:id="rId143" xr:uid="{4BDAC970-B52A-48FF-8D35-50F9F15F88A2}"/>
    <hyperlink ref="E57" r:id="rId144" xr:uid="{45C252E5-DF54-44AA-B811-6473FE764BE1}"/>
    <hyperlink ref="E56" r:id="rId145" xr:uid="{D8075168-B52E-44F4-9250-8BBD88BA0DEF}"/>
    <hyperlink ref="E178" r:id="rId146" xr:uid="{15EF8557-6A0B-4BCE-B04D-22A6C2DCCB9C}"/>
    <hyperlink ref="E133" r:id="rId147" xr:uid="{B37E898A-2486-4456-B44E-6610FCE0C14E}"/>
    <hyperlink ref="E55" r:id="rId148" xr:uid="{7FE6FD75-BCFF-4A7B-B2BF-AB6167A7F340}"/>
    <hyperlink ref="E132" r:id="rId149" xr:uid="{0B060803-ADE8-4EAD-A977-CB5FDC7F62D4}"/>
    <hyperlink ref="B7" r:id="rId150" display="https://mmo.mn/olympiads/achievements/15699/" xr:uid="{C7F0F27E-0E1B-4D4C-B244-D4FC3F5A8413}"/>
    <hyperlink ref="B138" r:id="rId151" display="https://mmo.mn/olympiads/achievements/219265/" xr:uid="{6D451188-A1F7-4DC1-ADDA-1D71F8F14425}"/>
    <hyperlink ref="B14" r:id="rId152" display="https://mmo.mn/olympiads/achievements/35745/" xr:uid="{12E751B5-7F0A-4CB1-B7A5-3BE187BE4327}"/>
    <hyperlink ref="B11" r:id="rId153" display="https://mmo.mn/olympiads/achievements/108470/" xr:uid="{C5C79C7A-71EF-4C2C-9036-DF73ADD3D736}"/>
    <hyperlink ref="B140" r:id="rId154" display="https://mmo.mn/olympiads/achievements/186407/" xr:uid="{D4930029-008A-424D-874F-9742AF44EFA2}"/>
    <hyperlink ref="B38" r:id="rId155" display="https://mmo.mn/olympiads/achievements/138495/" xr:uid="{7EB62ACC-4155-4CC8-9258-FA06C56F42AC}"/>
    <hyperlink ref="B25" r:id="rId156" display="https://mmo.mn/olympiads/achievements/42632/" xr:uid="{77FC8F68-9449-4ADC-8F80-BA8209AA967B}"/>
    <hyperlink ref="B39" r:id="rId157" display="https://mmo.mn/olympiads/achievements/214157/" xr:uid="{2A776E3F-5E1A-4627-B976-908B6390604B}"/>
    <hyperlink ref="B21" r:id="rId158" display="https://mmo.mn/olympiads/achievements/85534/" xr:uid="{0A620509-1E20-4292-9E58-CDAB05859D80}"/>
    <hyperlink ref="B59" r:id="rId159" display="https://mmo.mn/olympiads/achievements/204590/" xr:uid="{99B35748-A2E1-4D72-8C94-3982F06A8637}"/>
    <hyperlink ref="B76" r:id="rId160" display="https://mmo.mn/olympiads/achievements/191595/" xr:uid="{18DD2D34-DE99-49E6-8912-EA34B9997281}"/>
    <hyperlink ref="B141" r:id="rId161" display="https://mmo.mn/olympiads/achievements/202709/" xr:uid="{368D12AF-5F5E-4FBD-822A-BE3D717A9388}"/>
    <hyperlink ref="B77" r:id="rId162" display="https://mmo.mn/olympiads/achievements/226547/" xr:uid="{06B538B8-0AB0-4585-AD59-C4EA84D5AC46}"/>
    <hyperlink ref="B142" r:id="rId163" display="https://mmo.mn/olympiads/achievements/225675/" xr:uid="{F57B57F1-DF2C-4AEE-A9E2-580464B685DC}"/>
    <hyperlink ref="B92" r:id="rId164" display="https://mmo.mn/olympiads/achievements/212166/" xr:uid="{3C98046B-9DC6-4DB8-9354-BDCE58744990}"/>
    <hyperlink ref="B93" r:id="rId165" display="https://mmo.mn/olympiads/achievements/207356/" xr:uid="{1E43F9B4-B4AE-4FF0-9548-177D97FB9C73}"/>
    <hyperlink ref="B143" r:id="rId166" display="https://mmo.mn/olympiads/achievements/205988/" xr:uid="{161272A2-34E0-46DD-BDF8-ED71E65353E4}"/>
    <hyperlink ref="B8" r:id="rId167" display="https://mmo.mn/olympiads/achievements/709/" xr:uid="{8C34AF60-8028-4C1B-A9C5-D9A9A27FFF3C}"/>
    <hyperlink ref="B95" r:id="rId168" display="https://mmo.mn/olympiads/achievements/138433/" xr:uid="{25A3A386-B992-4784-85D4-1C10A5FE72E0}"/>
    <hyperlink ref="B96" r:id="rId169" display="https://mmo.mn/olympiads/achievements/73973/" xr:uid="{665F2E6D-F159-4F47-93F1-0B1A15B84884}"/>
    <hyperlink ref="B40" r:id="rId170" display="https://mmo.mn/olympiads/achievements/184358/" xr:uid="{F5CCE71A-42CF-4CBA-9660-5B13ECD1170F}"/>
    <hyperlink ref="B63" r:id="rId171" display="https://mmo.mn/olympiads/achievements/191589/" xr:uid="{23CD277E-B50E-4F2D-B2F9-13E0458E88B5}"/>
    <hyperlink ref="B183" r:id="rId172" display="https://mmo.mn/olympiads/achievements/225649/" xr:uid="{A506D1E8-2A01-4B35-A8B7-A97AB2BB0803}"/>
    <hyperlink ref="B144" r:id="rId173" display="https://mmo.mn/olympiads/achievements/186368/" xr:uid="{4BED004C-6437-4D01-BEA2-C25090B94437}"/>
    <hyperlink ref="B184" r:id="rId174" display="https://mmo.mn/olympiads/achievements/203568/" xr:uid="{96593390-D533-4660-BDA8-75E9DE2B5289}"/>
    <hyperlink ref="B145" r:id="rId175" display="https://mmo.mn/olympiads/achievements/215046/" xr:uid="{57440DBE-34CA-4507-9E1E-DA6DBDFE1141}"/>
    <hyperlink ref="B146" r:id="rId176" display="https://mmo.mn/olympiads/achievements/214833/" xr:uid="{1664FB3B-CF15-40D2-9C7C-AA4795581367}"/>
    <hyperlink ref="B185" r:id="rId177" display="https://mmo.mn/olympiads/achievements/194874/" xr:uid="{98E48D36-4748-4ECC-AE77-FDACE62A7044}"/>
    <hyperlink ref="B41" r:id="rId178" display="https://mmo.mn/olympiads/achievements/175710/" xr:uid="{6C3275FF-F870-4D80-9E86-CDD706FBD7B0}"/>
    <hyperlink ref="B98" r:id="rId179" display="https://mmo.mn/olympiads/achievements/162567/" xr:uid="{F92E5970-8B5F-4275-B32A-E0A2E96DD358}"/>
    <hyperlink ref="B71" r:id="rId180" display="https://mmo.mn/olympiads/achievements/160310/" xr:uid="{0CAD7D04-178C-47B6-90DE-3F784DAFC015}"/>
    <hyperlink ref="B186" r:id="rId181" display="https://mmo.mn/olympiads/achievements/142661/" xr:uid="{D18C7E53-2BC5-420F-8095-A264C75F5C4D}"/>
    <hyperlink ref="B147" r:id="rId182" display="https://mmo.mn/olympiads/achievements/138261/" xr:uid="{D66437BF-A9DD-4C08-A529-929A7CB90340}"/>
    <hyperlink ref="B12" r:id="rId183" display="https://mmo.mn/olympiads/achievements/24127/" xr:uid="{6953E3B5-518E-43D7-A6FB-5BED12FFC733}"/>
    <hyperlink ref="B74" r:id="rId184" display="https://mmo.mn/olympiads/achievements/127451/" xr:uid="{0012D7B1-C286-459C-B6A7-4882D389FA41}"/>
    <hyperlink ref="B42" r:id="rId185" display="https://mmo.mn/olympiads/achievements/184483/" xr:uid="{398C4F69-C76F-4B71-BE2C-99C96D590586}"/>
    <hyperlink ref="B60" r:id="rId186" display="https://mmo.mn/olympiads/achievements/202704/" xr:uid="{E5D8D2BF-FD43-488A-9ACB-FC039A9F741E}"/>
    <hyperlink ref="B187" r:id="rId187" display="https://mmo.mn/olympiads/achievements/214818/" xr:uid="{EE0F5DC6-A87D-4947-8556-7BE8DF7169C8}"/>
    <hyperlink ref="B148" r:id="rId188" display="https://mmo.mn/olympiads/achievements/214712/" xr:uid="{2C4D58C0-8624-4B04-A257-09302E121E03}"/>
    <hyperlink ref="B149" r:id="rId189" display="https://mmo.mn/olympiads/achievements/191605/" xr:uid="{ED783CFE-1E49-43F2-BC8E-0FC0F4003D71}"/>
    <hyperlink ref="B9" r:id="rId190" display="https://mmo.mn/olympiads/achievements/883/" xr:uid="{76A45421-9B46-4282-B15E-4BA9BC9B05DB}"/>
    <hyperlink ref="B104" r:id="rId191" display="https://mmo.mn/olympiads/achievements/182731/" xr:uid="{19BE645D-77CD-42A5-A64F-A7712AA355BD}"/>
    <hyperlink ref="B153" r:id="rId192" display="https://mmo.mn/olympiads/achievements/222812/" xr:uid="{AF9F4D7B-A9D6-4BA9-9B24-EABD29A7977F}"/>
    <hyperlink ref="B75" r:id="rId193" display="https://mmo.mn/olympiads/achievements/2380/" xr:uid="{AE409D86-5F18-4AE4-8257-41D973431EE0}"/>
    <hyperlink ref="B154" r:id="rId194" display="https://mmo.mn/olympiads/achievements/214363/" xr:uid="{0E1FB37B-BC11-48A0-ACE2-7CB56302E50B}"/>
    <hyperlink ref="B26" r:id="rId195" display="https://mmo.mn/olympiads/achievements/202684/" xr:uid="{EB711058-5B91-4D3F-B0A3-36E7400838DC}"/>
    <hyperlink ref="B64" r:id="rId196" display="https://mmo.mn/olympiads/achievements/194887/" xr:uid="{DBA926F4-15F1-4851-B34B-AF71D36A9BAE}"/>
    <hyperlink ref="B155" r:id="rId197" display="https://mmo.mn/olympiads/achievements/125406/" xr:uid="{CEED2BCE-F412-4371-8254-68034258AC6B}"/>
    <hyperlink ref="B23" r:id="rId198" display="https://mmo.mn/olympiads/achievements/108523/" xr:uid="{D45C96C9-568E-4428-9199-C23FCCE99F8E}"/>
    <hyperlink ref="B24" r:id="rId199" display="https://mmo.mn/olympiads/achievements/97339/" xr:uid="{F99E99EE-2B94-4E3D-832F-29D3702C353F}"/>
    <hyperlink ref="B65" r:id="rId200" display="https://mmo.mn/olympiads/achievements/88530/" xr:uid="{64584C1C-5905-4E7C-AF72-04D63C81BE49}"/>
    <hyperlink ref="B27" r:id="rId201" display="https://mmo.mn/olympiads/achievements/85751/" xr:uid="{163BAAA0-39D9-4665-94B8-63CC315DD23B}"/>
    <hyperlink ref="B43" r:id="rId202" display="https://mmo.mn/olympiads/achievements/43164/" xr:uid="{E3C7850E-C1DD-44E9-B86E-9453B309E18E}"/>
    <hyperlink ref="B44" r:id="rId203" display="https://mmo.mn/olympiads/achievements/29904/" xr:uid="{F3C7D193-907B-42A4-848F-BD9265C5CFC4}"/>
    <hyperlink ref="B79" r:id="rId204" display="https://mmo.mn/olympiads/achievements/182167/" xr:uid="{729EBE13-C6C4-460E-9093-65ADD39237CA}"/>
    <hyperlink ref="B80" r:id="rId205" display="https://mmo.mn/olympiads/achievements/125020/" xr:uid="{6BA990B5-B320-436B-8D41-69B83CD3761E}"/>
    <hyperlink ref="B19" r:id="rId206" display="https://mmo.mn/olympiads/achievements/23703/" xr:uid="{9A1F2B0D-F5FE-4AD7-B68B-F6E0367797C6}"/>
    <hyperlink ref="B106" r:id="rId207" display="https://mmo.mn/olympiads/achievements/168548/" xr:uid="{4A61C331-7716-43BD-BD7A-982F4713FC99}"/>
    <hyperlink ref="B35" r:id="rId208" display="https://mmo.mn/olympiads/achievements/130469/" xr:uid="{2058467B-6588-4A0F-A624-D25ADC3D692B}"/>
    <hyperlink ref="B157" r:id="rId209" display="https://mmo.mn/olympiads/achievements/125489/" xr:uid="{43A2E6ED-2A98-45AA-AFC2-E7288A562EC0}"/>
    <hyperlink ref="B28" r:id="rId210" display="https://mmo.mn/olympiads/achievements/15265/" xr:uid="{2B11CC45-DAB0-421C-AA9F-36DEF20BCB4F}"/>
    <hyperlink ref="B20" r:id="rId211" display="https://mmo.mn/olympiads/achievements/124815/" xr:uid="{3BAD534A-9597-431A-B86B-9265A73FB28E}"/>
    <hyperlink ref="B109" r:id="rId212" display="https://mmo.mn/olympiads/achievements/218074/" xr:uid="{CC296B23-50F0-4F89-A050-8EFD3CACFFCA}"/>
    <hyperlink ref="B160" r:id="rId213" display="https://mmo.mn/olympiads/achievements/215507/" xr:uid="{67AD4C32-E01E-41CB-9724-DF9FB2BB4CE6}"/>
    <hyperlink ref="B73" r:id="rId214" display="https://mmo.mn/olympiads/achievements/226410/" xr:uid="{20038DFD-FA84-4E3E-B24B-C980489EA2F5}"/>
    <hyperlink ref="B67" r:id="rId215" display="https://mmo.mn/olympiads/achievements/202718/" xr:uid="{D1C26D62-3615-4384-8BDA-0DE1598EB8EE}"/>
    <hyperlink ref="B161" r:id="rId216" display="https://mmo.mn/olympiads/achievements/186365/" xr:uid="{3298DD59-7793-46CF-A346-93C965C73284}"/>
    <hyperlink ref="B10" r:id="rId217" display="https://mmo.mn/olympiads/achievements/6135/" xr:uid="{3E70FB27-BB13-41F4-9C60-025BB8EB2734}"/>
    <hyperlink ref="B18" r:id="rId218" display="https://mmo.mn/olympiads/achievements/72034/" xr:uid="{FBF48299-91A6-498F-8196-12E3CD597767}"/>
    <hyperlink ref="B162" r:id="rId219" display="https://mmo.mn/olympiads/achievements/213881/" xr:uid="{5FAB9323-BB76-4774-8989-D7B16ABE2B94}"/>
    <hyperlink ref="B112" r:id="rId220" display="https://mmo.mn/olympiads/achievements/222032/" xr:uid="{000E18CC-909D-4E33-B62D-1ED3030C7C93}"/>
    <hyperlink ref="B61" r:id="rId221" display="https://mmo.mn/olympiads/achievements/12627/" xr:uid="{A2C51DF9-061B-491B-B583-F422E0826CFB}"/>
    <hyperlink ref="B81" r:id="rId222" display="https://mmo.mn/olympiads/achievements/124871/" xr:uid="{52E6AEF1-C06C-4BC0-A2F6-511067D99B4A}"/>
    <hyperlink ref="B47" r:id="rId223" display="https://mmo.mn/olympiads/achievements/168605/" xr:uid="{1D2441FB-EEE4-4B8B-A871-B981748F0223}"/>
    <hyperlink ref="B113" r:id="rId224" display="https://mmo.mn/olympiads/achievements/226924/" xr:uid="{DC87AA69-0E0D-46F1-8F61-BFA92001F3CA}"/>
    <hyperlink ref="B82" r:id="rId225" display="https://mmo.mn/olympiads/achievements/36027/" xr:uid="{4FD37EE8-BE24-4CD7-B762-F66150274A58}"/>
    <hyperlink ref="B16" r:id="rId226" display="https://mmo.mn/olympiads/achievements/44496/" xr:uid="{9B3DEAC1-54CE-410E-95BC-9B4C6471FB21}"/>
    <hyperlink ref="B168" r:id="rId227" display="https://mmo.mn/olympiads/achievements/215065/" xr:uid="{7C7AA92F-6955-4450-94ED-EC70A7A32164}"/>
    <hyperlink ref="B91" r:id="rId228" display="https://mmo.mn/olympiads/achievements/203542/" xr:uid="{B4FE5184-33A9-402D-8D7E-BE2A5D41ACA4}"/>
    <hyperlink ref="B169" r:id="rId229" display="https://mmo.mn/olympiads/achievements/158855/" xr:uid="{CD634806-6891-4E2D-8F1C-0D39F045318F}"/>
    <hyperlink ref="B170" r:id="rId230" display="https://mmo.mn/olympiads/achievements/154862/" xr:uid="{04BF7651-4095-4735-890D-5B59B9CC7320}"/>
    <hyperlink ref="B114" r:id="rId231" display="https://mmo.mn/olympiads/achievements/151852/" xr:uid="{7D14DB16-0093-4C28-97F4-F7FA90A9B458}"/>
    <hyperlink ref="B115" r:id="rId232" display="https://mmo.mn/olympiads/achievements/150586/" xr:uid="{6A152DEE-F3C9-4F3A-BBD5-1D3AFF166CA5}"/>
    <hyperlink ref="B48" r:id="rId233" display="https://mmo.mn/olympiads/achievements/148687/" xr:uid="{A61DB2BB-41A8-4CC8-A3B0-9C338E5509BC}"/>
    <hyperlink ref="B171" r:id="rId234" display="https://mmo.mn/olympiads/achievements/203819/" xr:uid="{87B2653B-FE56-4691-933F-F984A96504C4}"/>
    <hyperlink ref="B68" r:id="rId235" display="https://mmo.mn/olympiads/achievements/150514/" xr:uid="{D9960237-469D-48F1-9718-3B67727105FC}"/>
    <hyperlink ref="B116" r:id="rId236" display="https://mmo.mn/olympiads/achievements/215056/" xr:uid="{49D3EA97-EEF2-40E6-950C-4DA92F9B3000}"/>
    <hyperlink ref="B49" r:id="rId237" display="https://mmo.mn/olympiads/achievements/25432/" xr:uid="{88F789B0-C583-4E13-9F43-2563713B1E87}"/>
    <hyperlink ref="B32" r:id="rId238" display="https://mmo.mn/olympiads/achievements/184390/" xr:uid="{8F277BB2-3B7B-4B2B-8FE9-E52CB4F8BCD3}"/>
    <hyperlink ref="B172" r:id="rId239" display="https://mmo.mn/olympiads/achievements/224686/" xr:uid="{7CF73393-B3BC-4956-89C3-C5F8A33C5944}"/>
    <hyperlink ref="B117" r:id="rId240" display="https://mmo.mn/olympiads/achievements/222775/" xr:uid="{210B0750-D836-424C-97C3-B49317F84D0A}"/>
    <hyperlink ref="B118" r:id="rId241" display="https://mmo.mn/olympiads/achievements/221749/" xr:uid="{FDA5389F-2D7F-4BD7-A88F-85B4C4975E94}"/>
    <hyperlink ref="B85" r:id="rId242" display="https://mmo.mn/olympiads/achievements/219987/" xr:uid="{E7CC7CD6-7471-4EC7-90DD-7D465DFC0C49}"/>
    <hyperlink ref="B119" r:id="rId243" display="https://mmo.mn/olympiads/achievements/215886/" xr:uid="{732AE7AA-D245-4E7E-A70F-161EFD04CBD0}"/>
    <hyperlink ref="B120" r:id="rId244" display="https://mmo.mn/olympiads/achievements/215604/" xr:uid="{77CAEC7B-9BA2-47F2-B2C4-DAA715CA833F}"/>
    <hyperlink ref="B50" r:id="rId245" display="https://mmo.mn/olympiads/achievements/203524/" xr:uid="{C3D1EFF4-B144-4E66-AAD1-533157E6C084}"/>
    <hyperlink ref="B51" r:id="rId246" display="https://mmo.mn/olympiads/achievements/25383/" xr:uid="{F621A28B-F100-4520-B69E-B4448D746C42}"/>
    <hyperlink ref="B123" r:id="rId247" display="https://mmo.mn/olympiads/achievements/125964/" xr:uid="{03E913E6-0C34-4FA6-9540-51281A1BA149}"/>
    <hyperlink ref="B52" r:id="rId248" display="https://mmo.mn/olympiads/achievements/138444/" xr:uid="{A8184D21-BF6B-4BCE-8CE8-6517C24A9DA0}"/>
    <hyperlink ref="B69" r:id="rId249" display="https://mmo.mn/olympiads/achievements/203843/" xr:uid="{928A0082-1DE7-43D7-A26A-3EDD219F4E26}"/>
    <hyperlink ref="B33" r:id="rId250" display="https://mmo.mn/olympiads/achievements/1242/" xr:uid="{52DAA4BE-D80D-4518-B77C-BF19F649E5B9}"/>
    <hyperlink ref="B173" r:id="rId251" display="https://mmo.mn/olympiads/achievements/185394/" xr:uid="{256841FF-5221-453E-A41C-4E8BCE3F3B51}"/>
    <hyperlink ref="B15" r:id="rId252" display="https://mmo.mn/olympiads/achievements/25376/" xr:uid="{7493003A-C348-40B7-B3A0-58A9ABAB95A6}"/>
    <hyperlink ref="B13" r:id="rId253" display="https://mmo.mn/olympiads/achievements/13183/" xr:uid="{5C1C3E9E-F4AD-4DD9-8A8E-51ADFD745FA1}"/>
    <hyperlink ref="B124" r:id="rId254" display="https://mmo.mn/olympiads/achievements/125481/" xr:uid="{665FD524-6C5B-4167-954A-4CD014CB3D7A}"/>
    <hyperlink ref="B36" r:id="rId255" display="https://mmo.mn/olympiads/achievements/44260/" xr:uid="{AADDDE12-5405-4BDB-9809-BF0B0E5E46A3}"/>
    <hyperlink ref="B53" r:id="rId256" display="https://mmo.mn/olympiads/achievements/203575/" xr:uid="{165F7829-DFDC-44D6-A7F3-C1EFCE1F7365}"/>
    <hyperlink ref="B70" r:id="rId257" display="https://mmo.mn/olympiads/achievements/125122/" xr:uid="{0576D439-F573-4F5E-A31E-B6C08C459C1A}"/>
    <hyperlink ref="B37" r:id="rId258" display="https://mmo.mn/olympiads/achievements/115901/" xr:uid="{F3139506-C3DA-454A-AA6F-690B92192DFA}"/>
    <hyperlink ref="B127" r:id="rId259" display="https://mmo.mn/olympiads/achievements/150570/" xr:uid="{01F8C3C0-8A90-4914-84A4-E7FD84D6D3D0}"/>
    <hyperlink ref="B175" r:id="rId260" display="https://mmo.mn/olympiads/achievements/148846/" xr:uid="{8382C030-E660-4A13-8C75-62EE80E547ED}"/>
    <hyperlink ref="B58" r:id="rId261" display="https://mmo.mn/olympiads/achievements/191612/" xr:uid="{6AFFCACD-6338-410C-A60A-F7D9BC6C8C87}"/>
    <hyperlink ref="B88" r:id="rId262" display="https://mmo.mn/olympiads/achievements/194881/" xr:uid="{862DB45F-FA90-436F-89E6-EAD65D96A1FD}"/>
    <hyperlink ref="B180" r:id="rId263" display="https://mmo.mn/olympiads/achievements/225641/" xr:uid="{C8D13618-24D8-43E4-A80B-7C763EBE0CDD}"/>
    <hyperlink ref="B181" r:id="rId264" display="https://mmo.mn/olympiads/achievements/159944/" xr:uid="{82B50BBC-ED70-45FB-B504-33121F3DF8A3}"/>
    <hyperlink ref="B135" r:id="rId265" display="https://mmo.mn/olympiads/achievements/158883/" xr:uid="{29D5615C-014A-4CBB-8425-36D66D6AE76E}"/>
    <hyperlink ref="B136" r:id="rId266" display="https://mmo.mn/olympiads/achievements/125254/" xr:uid="{287D462F-4017-4D8D-BB83-FAF3973D7880}"/>
    <hyperlink ref="B34" r:id="rId267" display="https://mmo.mn/olympiads/achievements/85532/" xr:uid="{5DC42FC3-4769-4C2B-AC28-ED7D38FC1D7D}"/>
    <hyperlink ref="B179" r:id="rId268" display="https://mmo.mn/olympiads/achievements/203530/" xr:uid="{FC18F37C-81AD-45F4-9162-E634C8B4BFCB}"/>
    <hyperlink ref="B57" r:id="rId269" display="https://mmo.mn/olympiads/achievements/125609/" xr:uid="{C0487AB0-7426-4ABD-A3A3-80CC22643E82}"/>
    <hyperlink ref="B56" r:id="rId270" display="https://mmo.mn/olympiads/achievements/196055/" xr:uid="{05BD6490-3522-4090-9BDE-1FBB7D38D337}"/>
    <hyperlink ref="B178" r:id="rId271" display="https://mmo.mn/olympiads/achievements/137823/" xr:uid="{627A5888-2DC7-4878-AED3-9AE19D9A6B7F}"/>
    <hyperlink ref="B133" r:id="rId272" display="https://mmo.mn/olympiads/achievements/137923/" xr:uid="{3452FE96-538B-4D17-B466-41AE8EB62655}"/>
    <hyperlink ref="B55" r:id="rId273" display="https://mmo.mn/olympiads/achievements/137694/" xr:uid="{CAE3F5A6-8528-4253-9CC8-1C41A91C66EE}"/>
    <hyperlink ref="B132" r:id="rId274" display="https://mmo.mn/olympiads/achievements/128851/" xr:uid="{3DDC30F8-8077-4060-83BB-D5C9E52C0C99}"/>
  </hyperlinks>
  <pageMargins left="0.39370078740157483" right="0.39370078740157483" top="0.74803149606299213" bottom="0.74803149606299213" header="0.31496062992125984" footer="0.31496062992125984"/>
  <pageSetup paperSize="9" scale="94" orientation="portrait" horizontalDpi="360" verticalDpi="360" r:id="rId275"/>
  <rowBreaks count="3" manualBreakCount="3">
    <brk id="45" max="13" man="1"/>
    <brk id="135" max="13" man="1"/>
    <brk id="182" max="1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E0283-71B6-442B-867D-6234D5633F9E}">
  <dimension ref="A1:M31"/>
  <sheetViews>
    <sheetView tabSelected="1" topLeftCell="A12" zoomScaleNormal="100" workbookViewId="0">
      <selection activeCell="E23" sqref="E23"/>
    </sheetView>
  </sheetViews>
  <sheetFormatPr defaultColWidth="9.1796875" defaultRowHeight="15.5" x14ac:dyDescent="0.35"/>
  <cols>
    <col min="1" max="1" width="5.26953125" style="100" customWidth="1"/>
    <col min="2" max="2" width="7.26953125" style="100" customWidth="1"/>
    <col min="3" max="3" width="17.54296875" style="100" customWidth="1"/>
    <col min="4" max="4" width="15.453125" style="100" customWidth="1"/>
    <col min="5" max="5" width="18.54296875" style="100" customWidth="1"/>
    <col min="6" max="11" width="4.08984375" style="100" customWidth="1"/>
    <col min="12" max="12" width="6.453125" style="100" customWidth="1"/>
    <col min="13" max="13" width="9.81640625" style="100" customWidth="1"/>
    <col min="14" max="16384" width="9.1796875" style="100"/>
  </cols>
  <sheetData>
    <row r="1" spans="1:13" ht="48.5" customHeight="1" x14ac:dyDescent="0.35">
      <c r="A1" s="164" t="s">
        <v>951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</row>
    <row r="2" spans="1:13" x14ac:dyDescent="0.35">
      <c r="M2" s="28" t="s">
        <v>1</v>
      </c>
    </row>
    <row r="3" spans="1:13" ht="18.649999999999999" customHeight="1" x14ac:dyDescent="0.35">
      <c r="A3" s="158" t="s">
        <v>2</v>
      </c>
      <c r="B3" s="158" t="s">
        <v>3</v>
      </c>
      <c r="C3" s="158" t="s">
        <v>4</v>
      </c>
      <c r="D3" s="158" t="s">
        <v>5</v>
      </c>
      <c r="E3" s="158" t="s">
        <v>6</v>
      </c>
      <c r="F3" s="168" t="s">
        <v>8</v>
      </c>
      <c r="G3" s="169"/>
      <c r="H3" s="169"/>
      <c r="I3" s="169"/>
      <c r="J3" s="169"/>
      <c r="K3" s="169"/>
      <c r="L3" s="170" t="s">
        <v>9</v>
      </c>
      <c r="M3" s="170" t="s">
        <v>374</v>
      </c>
    </row>
    <row r="4" spans="1:13" ht="18.649999999999999" customHeight="1" x14ac:dyDescent="0.35">
      <c r="A4" s="158"/>
      <c r="B4" s="158"/>
      <c r="C4" s="158"/>
      <c r="D4" s="158"/>
      <c r="E4" s="158"/>
      <c r="F4" s="159">
        <v>12.13</v>
      </c>
      <c r="G4" s="159"/>
      <c r="H4" s="159"/>
      <c r="I4" s="159">
        <v>12.14</v>
      </c>
      <c r="J4" s="159"/>
      <c r="K4" s="159"/>
      <c r="L4" s="171"/>
      <c r="M4" s="171"/>
    </row>
    <row r="5" spans="1:13" s="90" customFormat="1" ht="17.5" x14ac:dyDescent="0.35">
      <c r="A5" s="158"/>
      <c r="B5" s="158"/>
      <c r="C5" s="158"/>
      <c r="D5" s="158"/>
      <c r="E5" s="158"/>
      <c r="F5" s="29">
        <v>1</v>
      </c>
      <c r="G5" s="29">
        <v>2</v>
      </c>
      <c r="H5" s="29">
        <v>3</v>
      </c>
      <c r="I5" s="29">
        <v>1</v>
      </c>
      <c r="J5" s="30">
        <v>2</v>
      </c>
      <c r="K5" s="30">
        <v>3</v>
      </c>
      <c r="L5" s="172"/>
      <c r="M5" s="172"/>
    </row>
    <row r="6" spans="1:13" s="90" customFormat="1" x14ac:dyDescent="0.35">
      <c r="A6" s="20">
        <v>1</v>
      </c>
      <c r="B6" s="101">
        <v>220681</v>
      </c>
      <c r="C6" s="101" t="s">
        <v>316</v>
      </c>
      <c r="D6" s="101" t="s">
        <v>764</v>
      </c>
      <c r="E6" s="102" t="s">
        <v>35</v>
      </c>
      <c r="F6" s="20">
        <v>7</v>
      </c>
      <c r="G6" s="20">
        <v>7</v>
      </c>
      <c r="H6" s="20">
        <v>7</v>
      </c>
      <c r="I6" s="65">
        <v>7</v>
      </c>
      <c r="J6" s="65">
        <v>0</v>
      </c>
      <c r="K6" s="65">
        <v>7</v>
      </c>
      <c r="L6" s="65">
        <f t="shared" ref="L6:L30" si="0">SUM(F6:K6)</f>
        <v>35</v>
      </c>
      <c r="M6" s="103" t="s">
        <v>952</v>
      </c>
    </row>
    <row r="7" spans="1:13" s="90" customFormat="1" x14ac:dyDescent="0.35">
      <c r="A7" s="20">
        <v>2</v>
      </c>
      <c r="B7" s="104">
        <v>183775</v>
      </c>
      <c r="C7" s="104" t="s">
        <v>953</v>
      </c>
      <c r="D7" s="104" t="s">
        <v>954</v>
      </c>
      <c r="E7" s="104" t="s">
        <v>143</v>
      </c>
      <c r="F7" s="20">
        <v>7</v>
      </c>
      <c r="G7" s="20">
        <v>2</v>
      </c>
      <c r="H7" s="20">
        <v>7</v>
      </c>
      <c r="I7" s="65">
        <v>7</v>
      </c>
      <c r="J7" s="65">
        <v>1</v>
      </c>
      <c r="K7" s="65">
        <v>0</v>
      </c>
      <c r="L7" s="65">
        <f t="shared" si="0"/>
        <v>24</v>
      </c>
      <c r="M7" s="103" t="s">
        <v>955</v>
      </c>
    </row>
    <row r="8" spans="1:13" s="90" customFormat="1" x14ac:dyDescent="0.35">
      <c r="A8" s="20">
        <v>3</v>
      </c>
      <c r="B8" s="101">
        <v>368</v>
      </c>
      <c r="C8" s="101" t="s">
        <v>227</v>
      </c>
      <c r="D8" s="101" t="s">
        <v>956</v>
      </c>
      <c r="E8" s="102" t="s">
        <v>94</v>
      </c>
      <c r="F8" s="20">
        <v>4</v>
      </c>
      <c r="G8" s="20">
        <v>7</v>
      </c>
      <c r="H8" s="20">
        <v>0</v>
      </c>
      <c r="I8" s="65">
        <v>6</v>
      </c>
      <c r="J8" s="65">
        <v>1</v>
      </c>
      <c r="K8" s="65">
        <v>0</v>
      </c>
      <c r="L8" s="65">
        <f t="shared" si="0"/>
        <v>18</v>
      </c>
      <c r="M8" s="105" t="s">
        <v>955</v>
      </c>
    </row>
    <row r="9" spans="1:13" s="90" customFormat="1" x14ac:dyDescent="0.35">
      <c r="A9" s="20">
        <v>4</v>
      </c>
      <c r="B9" s="102">
        <v>20614</v>
      </c>
      <c r="C9" s="101" t="s">
        <v>957</v>
      </c>
      <c r="D9" s="101" t="s">
        <v>958</v>
      </c>
      <c r="E9" s="102" t="s">
        <v>94</v>
      </c>
      <c r="F9" s="20">
        <v>7</v>
      </c>
      <c r="G9" s="20">
        <v>1</v>
      </c>
      <c r="H9" s="20">
        <v>0</v>
      </c>
      <c r="I9" s="65">
        <v>6</v>
      </c>
      <c r="J9" s="65">
        <v>3</v>
      </c>
      <c r="K9" s="65">
        <v>0</v>
      </c>
      <c r="L9" s="65">
        <f>SUM(F9:K9)</f>
        <v>17</v>
      </c>
      <c r="M9" s="103" t="s">
        <v>959</v>
      </c>
    </row>
    <row r="10" spans="1:13" s="90" customFormat="1" ht="15.5" customHeight="1" x14ac:dyDescent="0.35">
      <c r="A10" s="20">
        <v>5</v>
      </c>
      <c r="B10" s="102">
        <v>142599</v>
      </c>
      <c r="C10" s="101" t="s">
        <v>960</v>
      </c>
      <c r="D10" s="101" t="s">
        <v>223</v>
      </c>
      <c r="E10" s="102" t="s">
        <v>191</v>
      </c>
      <c r="F10" s="20">
        <v>7</v>
      </c>
      <c r="G10" s="20">
        <v>1</v>
      </c>
      <c r="H10" s="20">
        <v>0</v>
      </c>
      <c r="I10" s="65">
        <v>6</v>
      </c>
      <c r="J10" s="65">
        <v>2</v>
      </c>
      <c r="K10" s="65">
        <v>0</v>
      </c>
      <c r="L10" s="65">
        <f t="shared" si="0"/>
        <v>16</v>
      </c>
      <c r="M10" s="103" t="s">
        <v>959</v>
      </c>
    </row>
    <row r="11" spans="1:13" s="90" customFormat="1" ht="16" customHeight="1" x14ac:dyDescent="0.35">
      <c r="A11" s="20">
        <v>6</v>
      </c>
      <c r="B11" s="102">
        <v>107859</v>
      </c>
      <c r="C11" s="101" t="s">
        <v>961</v>
      </c>
      <c r="D11" s="101" t="s">
        <v>962</v>
      </c>
      <c r="E11" s="102" t="s">
        <v>26</v>
      </c>
      <c r="F11" s="20">
        <v>7</v>
      </c>
      <c r="G11" s="20">
        <v>1</v>
      </c>
      <c r="H11" s="20">
        <v>0</v>
      </c>
      <c r="I11" s="65">
        <v>6</v>
      </c>
      <c r="J11" s="65">
        <v>1</v>
      </c>
      <c r="K11" s="65">
        <v>0</v>
      </c>
      <c r="L11" s="65">
        <f t="shared" si="0"/>
        <v>15</v>
      </c>
      <c r="M11" s="103" t="s">
        <v>959</v>
      </c>
    </row>
    <row r="12" spans="1:13" s="90" customFormat="1" ht="16" customHeight="1" x14ac:dyDescent="0.35">
      <c r="A12" s="106">
        <v>7</v>
      </c>
      <c r="B12" s="107">
        <v>231738</v>
      </c>
      <c r="C12" s="108" t="s">
        <v>963</v>
      </c>
      <c r="D12" s="108" t="s">
        <v>357</v>
      </c>
      <c r="E12" s="107" t="s">
        <v>126</v>
      </c>
      <c r="F12" s="106">
        <v>4</v>
      </c>
      <c r="G12" s="106">
        <v>3</v>
      </c>
      <c r="H12" s="106">
        <v>0</v>
      </c>
      <c r="I12" s="109">
        <v>6</v>
      </c>
      <c r="J12" s="109">
        <v>1</v>
      </c>
      <c r="K12" s="109">
        <v>0</v>
      </c>
      <c r="L12" s="109">
        <f t="shared" si="0"/>
        <v>14</v>
      </c>
      <c r="M12" s="177" t="s">
        <v>375</v>
      </c>
    </row>
    <row r="13" spans="1:13" s="90" customFormat="1" ht="16" customHeight="1" x14ac:dyDescent="0.35">
      <c r="A13" s="106">
        <v>8</v>
      </c>
      <c r="B13" s="107"/>
      <c r="C13" s="108" t="s">
        <v>964</v>
      </c>
      <c r="D13" s="108" t="s">
        <v>187</v>
      </c>
      <c r="E13" s="107" t="s">
        <v>490</v>
      </c>
      <c r="F13" s="110">
        <v>4</v>
      </c>
      <c r="G13" s="110">
        <v>1</v>
      </c>
      <c r="H13" s="110">
        <v>1</v>
      </c>
      <c r="I13" s="109">
        <v>7</v>
      </c>
      <c r="J13" s="109">
        <v>0</v>
      </c>
      <c r="K13" s="109">
        <v>0</v>
      </c>
      <c r="L13" s="109">
        <f t="shared" si="0"/>
        <v>13</v>
      </c>
      <c r="M13" s="177"/>
    </row>
    <row r="14" spans="1:13" s="90" customFormat="1" ht="16" customHeight="1" x14ac:dyDescent="0.35">
      <c r="A14" s="106">
        <v>9</v>
      </c>
      <c r="B14" s="111">
        <v>1671</v>
      </c>
      <c r="C14" s="112" t="s">
        <v>965</v>
      </c>
      <c r="D14" s="111" t="s">
        <v>966</v>
      </c>
      <c r="E14" s="107" t="s">
        <v>35</v>
      </c>
      <c r="F14" s="106">
        <v>2</v>
      </c>
      <c r="G14" s="106">
        <v>1</v>
      </c>
      <c r="H14" s="106">
        <v>1</v>
      </c>
      <c r="I14" s="109">
        <v>7</v>
      </c>
      <c r="J14" s="109">
        <v>2</v>
      </c>
      <c r="K14" s="109">
        <v>0</v>
      </c>
      <c r="L14" s="109">
        <f t="shared" si="0"/>
        <v>13</v>
      </c>
      <c r="M14" s="177"/>
    </row>
    <row r="15" spans="1:13" s="90" customFormat="1" ht="16" customHeight="1" x14ac:dyDescent="0.35">
      <c r="A15" s="106">
        <v>10</v>
      </c>
      <c r="B15" s="113">
        <v>176573</v>
      </c>
      <c r="C15" s="112" t="s">
        <v>967</v>
      </c>
      <c r="D15" s="111" t="s">
        <v>695</v>
      </c>
      <c r="E15" s="107" t="s">
        <v>131</v>
      </c>
      <c r="F15" s="106">
        <v>3</v>
      </c>
      <c r="G15" s="106">
        <v>1</v>
      </c>
      <c r="H15" s="106">
        <v>0</v>
      </c>
      <c r="I15" s="109">
        <v>7</v>
      </c>
      <c r="J15" s="109">
        <v>2</v>
      </c>
      <c r="K15" s="109">
        <v>0</v>
      </c>
      <c r="L15" s="109">
        <f t="shared" si="0"/>
        <v>13</v>
      </c>
      <c r="M15" s="178"/>
    </row>
    <row r="16" spans="1:13" s="90" customFormat="1" x14ac:dyDescent="0.35">
      <c r="A16" s="7">
        <v>11</v>
      </c>
      <c r="B16" s="114">
        <v>232022</v>
      </c>
      <c r="C16" s="115" t="s">
        <v>968</v>
      </c>
      <c r="D16" s="116" t="s">
        <v>684</v>
      </c>
      <c r="E16" s="117" t="s">
        <v>35</v>
      </c>
      <c r="F16" s="74">
        <v>2</v>
      </c>
      <c r="G16" s="74">
        <v>1</v>
      </c>
      <c r="H16" s="74">
        <v>0</v>
      </c>
      <c r="I16" s="78">
        <v>7</v>
      </c>
      <c r="J16" s="78">
        <v>1</v>
      </c>
      <c r="K16" s="78">
        <v>0</v>
      </c>
      <c r="L16" s="78">
        <f t="shared" si="0"/>
        <v>11</v>
      </c>
      <c r="M16" s="78"/>
    </row>
    <row r="17" spans="1:13" s="90" customFormat="1" x14ac:dyDescent="0.35">
      <c r="A17" s="7">
        <v>12</v>
      </c>
      <c r="B17" s="118">
        <v>177498</v>
      </c>
      <c r="C17" s="115" t="s">
        <v>161</v>
      </c>
      <c r="D17" s="116" t="s">
        <v>969</v>
      </c>
      <c r="E17" s="117" t="s">
        <v>970</v>
      </c>
      <c r="F17" s="75">
        <v>2</v>
      </c>
      <c r="G17" s="75">
        <v>7</v>
      </c>
      <c r="H17" s="75">
        <v>0</v>
      </c>
      <c r="I17" s="78">
        <v>0</v>
      </c>
      <c r="J17" s="78">
        <v>1</v>
      </c>
      <c r="K17" s="78">
        <v>0</v>
      </c>
      <c r="L17" s="78">
        <f t="shared" si="0"/>
        <v>10</v>
      </c>
      <c r="M17" s="78"/>
    </row>
    <row r="18" spans="1:13" s="90" customFormat="1" x14ac:dyDescent="0.35">
      <c r="A18" s="7">
        <v>13</v>
      </c>
      <c r="B18" s="116">
        <v>107864</v>
      </c>
      <c r="C18" s="119" t="s">
        <v>501</v>
      </c>
      <c r="D18" s="74" t="s">
        <v>376</v>
      </c>
      <c r="E18" s="117" t="s">
        <v>295</v>
      </c>
      <c r="F18" s="74">
        <v>7</v>
      </c>
      <c r="G18" s="74">
        <v>1</v>
      </c>
      <c r="H18" s="74">
        <v>0</v>
      </c>
      <c r="I18" s="78">
        <v>0</v>
      </c>
      <c r="J18" s="78">
        <v>2</v>
      </c>
      <c r="K18" s="78">
        <v>0</v>
      </c>
      <c r="L18" s="78">
        <f t="shared" si="0"/>
        <v>10</v>
      </c>
      <c r="M18" s="78"/>
    </row>
    <row r="19" spans="1:13" s="90" customFormat="1" x14ac:dyDescent="0.35">
      <c r="A19" s="7">
        <v>14</v>
      </c>
      <c r="B19" s="118">
        <v>187097</v>
      </c>
      <c r="C19" s="115" t="s">
        <v>971</v>
      </c>
      <c r="D19" s="116" t="s">
        <v>972</v>
      </c>
      <c r="E19" s="117" t="s">
        <v>908</v>
      </c>
      <c r="F19" s="7">
        <v>0</v>
      </c>
      <c r="G19" s="7">
        <v>2</v>
      </c>
      <c r="H19" s="7">
        <v>0</v>
      </c>
      <c r="I19" s="78">
        <v>6</v>
      </c>
      <c r="J19" s="78">
        <v>2</v>
      </c>
      <c r="K19" s="78">
        <v>0</v>
      </c>
      <c r="L19" s="78">
        <f t="shared" si="0"/>
        <v>10</v>
      </c>
      <c r="M19" s="78"/>
    </row>
    <row r="20" spans="1:13" s="90" customFormat="1" x14ac:dyDescent="0.35">
      <c r="A20" s="7">
        <v>15</v>
      </c>
      <c r="B20" s="75">
        <v>204256</v>
      </c>
      <c r="C20" s="75" t="s">
        <v>973</v>
      </c>
      <c r="D20" s="75" t="s">
        <v>974</v>
      </c>
      <c r="E20" s="75" t="s">
        <v>100</v>
      </c>
      <c r="F20" s="7">
        <v>0</v>
      </c>
      <c r="G20" s="7">
        <v>1</v>
      </c>
      <c r="H20" s="7">
        <v>0</v>
      </c>
      <c r="I20" s="78">
        <v>7</v>
      </c>
      <c r="J20" s="78">
        <v>2</v>
      </c>
      <c r="K20" s="78">
        <v>0</v>
      </c>
      <c r="L20" s="78">
        <f t="shared" si="0"/>
        <v>10</v>
      </c>
      <c r="M20" s="78"/>
    </row>
    <row r="21" spans="1:13" s="90" customFormat="1" x14ac:dyDescent="0.35">
      <c r="A21" s="7">
        <v>16</v>
      </c>
      <c r="B21" s="114">
        <v>68749</v>
      </c>
      <c r="C21" s="116" t="s">
        <v>975</v>
      </c>
      <c r="D21" s="116" t="s">
        <v>976</v>
      </c>
      <c r="E21" s="114" t="s">
        <v>220</v>
      </c>
      <c r="F21" s="74">
        <v>2</v>
      </c>
      <c r="G21" s="74">
        <v>1</v>
      </c>
      <c r="H21" s="74">
        <v>0</v>
      </c>
      <c r="I21" s="78">
        <v>5</v>
      </c>
      <c r="J21" s="78">
        <v>2</v>
      </c>
      <c r="K21" s="78">
        <v>0</v>
      </c>
      <c r="L21" s="78">
        <f t="shared" si="0"/>
        <v>10</v>
      </c>
      <c r="M21" s="78"/>
    </row>
    <row r="22" spans="1:13" s="90" customFormat="1" x14ac:dyDescent="0.35">
      <c r="A22" s="7">
        <v>17</v>
      </c>
      <c r="B22" s="120">
        <v>20717</v>
      </c>
      <c r="C22" s="121" t="s">
        <v>473</v>
      </c>
      <c r="D22" s="121" t="s">
        <v>977</v>
      </c>
      <c r="E22" s="117" t="s">
        <v>94</v>
      </c>
      <c r="F22" s="74">
        <v>2</v>
      </c>
      <c r="G22" s="74">
        <v>0</v>
      </c>
      <c r="H22" s="74">
        <v>0</v>
      </c>
      <c r="I22" s="78">
        <v>5</v>
      </c>
      <c r="J22" s="78">
        <v>2</v>
      </c>
      <c r="K22" s="78">
        <v>0</v>
      </c>
      <c r="L22" s="78">
        <f t="shared" si="0"/>
        <v>9</v>
      </c>
      <c r="M22" s="78"/>
    </row>
    <row r="23" spans="1:13" s="90" customFormat="1" ht="17.5" customHeight="1" x14ac:dyDescent="0.35">
      <c r="A23" s="7">
        <v>18</v>
      </c>
      <c r="B23" s="118">
        <v>232032</v>
      </c>
      <c r="C23" s="116" t="s">
        <v>978</v>
      </c>
      <c r="D23" s="116" t="s">
        <v>979</v>
      </c>
      <c r="E23" s="114" t="s">
        <v>980</v>
      </c>
      <c r="F23" s="75">
        <v>0</v>
      </c>
      <c r="G23" s="75">
        <v>1</v>
      </c>
      <c r="H23" s="75">
        <v>0</v>
      </c>
      <c r="I23" s="78">
        <v>6</v>
      </c>
      <c r="J23" s="78">
        <v>2</v>
      </c>
      <c r="K23" s="78">
        <v>0</v>
      </c>
      <c r="L23" s="78">
        <f t="shared" si="0"/>
        <v>9</v>
      </c>
      <c r="M23" s="78"/>
    </row>
    <row r="24" spans="1:13" s="90" customFormat="1" x14ac:dyDescent="0.35">
      <c r="A24" s="7">
        <v>19</v>
      </c>
      <c r="B24" s="114">
        <v>231988</v>
      </c>
      <c r="C24" s="116" t="s">
        <v>981</v>
      </c>
      <c r="D24" s="116" t="s">
        <v>244</v>
      </c>
      <c r="E24" s="114" t="s">
        <v>153</v>
      </c>
      <c r="F24" s="75">
        <v>4</v>
      </c>
      <c r="G24" s="75">
        <v>1</v>
      </c>
      <c r="H24" s="75">
        <v>0</v>
      </c>
      <c r="I24" s="78">
        <v>0</v>
      </c>
      <c r="J24" s="78">
        <v>0</v>
      </c>
      <c r="K24" s="78">
        <v>0</v>
      </c>
      <c r="L24" s="78">
        <f t="shared" si="0"/>
        <v>5</v>
      </c>
      <c r="M24" s="78"/>
    </row>
    <row r="25" spans="1:13" s="90" customFormat="1" x14ac:dyDescent="0.35">
      <c r="A25" s="7">
        <v>20</v>
      </c>
      <c r="B25" s="120">
        <v>231626</v>
      </c>
      <c r="C25" s="121" t="s">
        <v>195</v>
      </c>
      <c r="D25" s="121" t="s">
        <v>982</v>
      </c>
      <c r="E25" s="117" t="s">
        <v>351</v>
      </c>
      <c r="F25" s="75">
        <v>1</v>
      </c>
      <c r="G25" s="75">
        <v>1</v>
      </c>
      <c r="H25" s="75">
        <v>0</v>
      </c>
      <c r="I25" s="78">
        <v>0</v>
      </c>
      <c r="J25" s="78">
        <v>0</v>
      </c>
      <c r="K25" s="78">
        <v>0</v>
      </c>
      <c r="L25" s="78">
        <f t="shared" si="0"/>
        <v>2</v>
      </c>
      <c r="M25" s="78"/>
    </row>
    <row r="26" spans="1:13" s="90" customFormat="1" x14ac:dyDescent="0.35">
      <c r="A26" s="7">
        <v>21</v>
      </c>
      <c r="B26" s="120">
        <v>231836</v>
      </c>
      <c r="C26" s="121" t="s">
        <v>983</v>
      </c>
      <c r="D26" s="121" t="s">
        <v>413</v>
      </c>
      <c r="E26" s="117" t="s">
        <v>980</v>
      </c>
      <c r="F26" s="75">
        <v>0</v>
      </c>
      <c r="G26" s="75">
        <v>2</v>
      </c>
      <c r="H26" s="75">
        <v>0</v>
      </c>
      <c r="I26" s="78">
        <v>0</v>
      </c>
      <c r="J26" s="78">
        <v>0</v>
      </c>
      <c r="K26" s="78">
        <v>0</v>
      </c>
      <c r="L26" s="78">
        <f t="shared" si="0"/>
        <v>2</v>
      </c>
      <c r="M26" s="78"/>
    </row>
    <row r="27" spans="1:13" s="90" customFormat="1" x14ac:dyDescent="0.35">
      <c r="A27" s="7">
        <v>22</v>
      </c>
      <c r="B27" s="121">
        <v>176446</v>
      </c>
      <c r="C27" s="122" t="s">
        <v>249</v>
      </c>
      <c r="D27" s="123" t="s">
        <v>984</v>
      </c>
      <c r="E27" s="117" t="s">
        <v>295</v>
      </c>
      <c r="F27" s="7">
        <v>1</v>
      </c>
      <c r="G27" s="7">
        <v>1</v>
      </c>
      <c r="H27" s="7">
        <v>0</v>
      </c>
      <c r="I27" s="78">
        <v>0</v>
      </c>
      <c r="J27" s="78">
        <v>0</v>
      </c>
      <c r="K27" s="78">
        <v>0</v>
      </c>
      <c r="L27" s="78">
        <f t="shared" si="0"/>
        <v>2</v>
      </c>
      <c r="M27" s="78"/>
    </row>
    <row r="28" spans="1:13" s="90" customFormat="1" x14ac:dyDescent="0.35">
      <c r="A28" s="7">
        <v>23</v>
      </c>
      <c r="B28" s="124">
        <v>180116</v>
      </c>
      <c r="C28" s="125" t="s">
        <v>129</v>
      </c>
      <c r="D28" s="124" t="s">
        <v>17</v>
      </c>
      <c r="E28" s="125" t="s">
        <v>83</v>
      </c>
      <c r="F28" s="81">
        <v>0</v>
      </c>
      <c r="G28" s="81">
        <v>1</v>
      </c>
      <c r="H28" s="81">
        <v>0</v>
      </c>
      <c r="I28" s="78"/>
      <c r="J28" s="78"/>
      <c r="K28" s="78"/>
      <c r="L28" s="78">
        <f t="shared" si="0"/>
        <v>1</v>
      </c>
      <c r="M28" s="78"/>
    </row>
    <row r="29" spans="1:13" s="90" customFormat="1" x14ac:dyDescent="0.35">
      <c r="A29" s="7">
        <v>25</v>
      </c>
      <c r="B29" s="120">
        <v>231637</v>
      </c>
      <c r="C29" s="126" t="s">
        <v>985</v>
      </c>
      <c r="D29" s="127" t="s">
        <v>912</v>
      </c>
      <c r="E29" s="117" t="s">
        <v>94</v>
      </c>
      <c r="F29" s="74">
        <v>0</v>
      </c>
      <c r="G29" s="74">
        <v>0</v>
      </c>
      <c r="H29" s="74">
        <v>0</v>
      </c>
      <c r="I29" s="78"/>
      <c r="J29" s="78"/>
      <c r="K29" s="78"/>
      <c r="L29" s="78">
        <f t="shared" si="0"/>
        <v>0</v>
      </c>
      <c r="M29" s="78"/>
    </row>
    <row r="30" spans="1:13" s="90" customFormat="1" x14ac:dyDescent="0.35">
      <c r="A30" s="7">
        <v>28</v>
      </c>
      <c r="B30" s="114">
        <v>91117</v>
      </c>
      <c r="C30" s="116" t="s">
        <v>986</v>
      </c>
      <c r="D30" s="116" t="s">
        <v>987</v>
      </c>
      <c r="E30" s="114" t="s">
        <v>419</v>
      </c>
      <c r="F30" s="74">
        <v>0</v>
      </c>
      <c r="G30" s="74">
        <v>0</v>
      </c>
      <c r="H30" s="74">
        <v>0</v>
      </c>
      <c r="I30" s="78"/>
      <c r="J30" s="78"/>
      <c r="K30" s="78"/>
      <c r="L30" s="78">
        <f t="shared" si="0"/>
        <v>0</v>
      </c>
      <c r="M30" s="78"/>
    </row>
    <row r="31" spans="1:13" s="99" customFormat="1" x14ac:dyDescent="0.35">
      <c r="M31" s="128"/>
    </row>
  </sheetData>
  <mergeCells count="12">
    <mergeCell ref="I4:K4"/>
    <mergeCell ref="M12:M15"/>
    <mergeCell ref="A1:M1"/>
    <mergeCell ref="A3:A5"/>
    <mergeCell ref="B3:B5"/>
    <mergeCell ref="C3:C5"/>
    <mergeCell ref="D3:D5"/>
    <mergeCell ref="E3:E5"/>
    <mergeCell ref="F3:K3"/>
    <mergeCell ref="L3:L5"/>
    <mergeCell ref="M3:M5"/>
    <mergeCell ref="F4:H4"/>
  </mergeCells>
  <pageMargins left="0.39370078740157499" right="0.39370078740157499" top="0.74803149606299202" bottom="0.74803149606299202" header="0.31496062992126" footer="0.31496062992126"/>
  <pageSetup paperSize="9" scale="133" orientation="landscape" horizontalDpi="360" verticalDpi="360" r:id="rId1"/>
  <rowBreaks count="1" manualBreakCount="1">
    <brk id="15" max="16383" man="1"/>
  </rowBreaks>
  <colBreaks count="1" manualBreakCount="1">
    <brk id="1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D612-09D8-4F85-88AB-240565E587D7}">
  <dimension ref="A1:K27"/>
  <sheetViews>
    <sheetView topLeftCell="A8" zoomScaleNormal="100" workbookViewId="0">
      <selection activeCell="N17" sqref="N17"/>
    </sheetView>
  </sheetViews>
  <sheetFormatPr defaultColWidth="9.1796875" defaultRowHeight="14" x14ac:dyDescent="0.3"/>
  <cols>
    <col min="1" max="1" width="4" style="1" customWidth="1"/>
    <col min="2" max="2" width="9.81640625" style="1" customWidth="1"/>
    <col min="3" max="3" width="14.90625" style="1" customWidth="1"/>
    <col min="4" max="4" width="13.7265625" style="1" customWidth="1"/>
    <col min="5" max="5" width="18.26953125" style="1" customWidth="1"/>
    <col min="6" max="9" width="3.54296875" style="1" customWidth="1"/>
    <col min="10" max="10" width="6.453125" style="1" customWidth="1"/>
    <col min="11" max="11" width="7" style="1" customWidth="1"/>
    <col min="12" max="16384" width="9.1796875" style="1"/>
  </cols>
  <sheetData>
    <row r="1" spans="1:11" ht="39" customHeight="1" x14ac:dyDescent="0.3">
      <c r="A1" s="146" t="s">
        <v>988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</row>
    <row r="2" spans="1:11" ht="15.5" x14ac:dyDescent="0.3">
      <c r="K2" s="3" t="s">
        <v>1</v>
      </c>
    </row>
    <row r="3" spans="1:11" ht="18.649999999999999" customHeight="1" x14ac:dyDescent="0.3">
      <c r="A3" s="147" t="s">
        <v>2</v>
      </c>
      <c r="B3" s="147" t="s">
        <v>3</v>
      </c>
      <c r="C3" s="147" t="s">
        <v>4</v>
      </c>
      <c r="D3" s="147" t="s">
        <v>5</v>
      </c>
      <c r="E3" s="147" t="s">
        <v>6</v>
      </c>
      <c r="F3" s="152" t="s">
        <v>8</v>
      </c>
      <c r="G3" s="152"/>
      <c r="H3" s="152"/>
      <c r="I3" s="152"/>
      <c r="J3" s="153" t="s">
        <v>9</v>
      </c>
      <c r="K3" s="153" t="s">
        <v>374</v>
      </c>
    </row>
    <row r="4" spans="1:11" s="6" customFormat="1" ht="15" x14ac:dyDescent="0.35">
      <c r="A4" s="147"/>
      <c r="B4" s="147"/>
      <c r="C4" s="147"/>
      <c r="D4" s="147"/>
      <c r="E4" s="147"/>
      <c r="F4" s="4">
        <v>1</v>
      </c>
      <c r="G4" s="5">
        <v>2</v>
      </c>
      <c r="H4" s="5">
        <v>3</v>
      </c>
      <c r="I4" s="5">
        <v>4</v>
      </c>
      <c r="J4" s="154"/>
      <c r="K4" s="154"/>
    </row>
    <row r="5" spans="1:11" s="6" customFormat="1" ht="15.5" x14ac:dyDescent="0.35">
      <c r="A5" s="129">
        <v>1</v>
      </c>
      <c r="B5" s="130">
        <v>68940</v>
      </c>
      <c r="C5" s="131" t="s">
        <v>668</v>
      </c>
      <c r="D5" s="131" t="s">
        <v>989</v>
      </c>
      <c r="E5" s="130" t="s">
        <v>990</v>
      </c>
      <c r="F5" s="132">
        <v>7</v>
      </c>
      <c r="G5" s="132">
        <v>0</v>
      </c>
      <c r="H5" s="132">
        <v>0</v>
      </c>
      <c r="I5" s="132">
        <v>7</v>
      </c>
      <c r="J5" s="132">
        <f t="shared" ref="J5:J27" si="0">SUM(F5:I5)</f>
        <v>14</v>
      </c>
      <c r="K5" s="133" t="s">
        <v>952</v>
      </c>
    </row>
    <row r="6" spans="1:11" s="6" customFormat="1" ht="15.5" x14ac:dyDescent="0.35">
      <c r="A6" s="129">
        <v>2</v>
      </c>
      <c r="B6" s="130">
        <v>231894</v>
      </c>
      <c r="C6" s="131" t="s">
        <v>991</v>
      </c>
      <c r="D6" s="131" t="s">
        <v>992</v>
      </c>
      <c r="E6" s="130" t="s">
        <v>131</v>
      </c>
      <c r="F6" s="132">
        <v>7</v>
      </c>
      <c r="G6" s="132">
        <v>0</v>
      </c>
      <c r="H6" s="132">
        <v>0</v>
      </c>
      <c r="I6" s="132">
        <v>7</v>
      </c>
      <c r="J6" s="132">
        <f t="shared" si="0"/>
        <v>14</v>
      </c>
      <c r="K6" s="133" t="s">
        <v>952</v>
      </c>
    </row>
    <row r="7" spans="1:11" s="6" customFormat="1" ht="15.5" x14ac:dyDescent="0.35">
      <c r="A7" s="129">
        <v>3</v>
      </c>
      <c r="B7" s="130">
        <v>112425</v>
      </c>
      <c r="C7" s="131" t="s">
        <v>993</v>
      </c>
      <c r="D7" s="131" t="s">
        <v>393</v>
      </c>
      <c r="E7" s="130" t="s">
        <v>170</v>
      </c>
      <c r="F7" s="132">
        <v>7</v>
      </c>
      <c r="G7" s="132">
        <v>0</v>
      </c>
      <c r="H7" s="132">
        <v>0</v>
      </c>
      <c r="I7" s="132">
        <v>6</v>
      </c>
      <c r="J7" s="132">
        <f t="shared" si="0"/>
        <v>13</v>
      </c>
      <c r="K7" s="133" t="s">
        <v>959</v>
      </c>
    </row>
    <row r="8" spans="1:11" s="6" customFormat="1" ht="15.5" x14ac:dyDescent="0.35">
      <c r="A8" s="134">
        <v>4</v>
      </c>
      <c r="B8" s="135">
        <v>68776</v>
      </c>
      <c r="C8" s="136" t="s">
        <v>994</v>
      </c>
      <c r="D8" s="136" t="s">
        <v>158</v>
      </c>
      <c r="E8" s="137" t="s">
        <v>995</v>
      </c>
      <c r="F8" s="138">
        <v>4</v>
      </c>
      <c r="G8" s="138">
        <v>0</v>
      </c>
      <c r="H8" s="138">
        <v>0</v>
      </c>
      <c r="I8" s="138">
        <v>7</v>
      </c>
      <c r="J8" s="138">
        <f t="shared" si="0"/>
        <v>11</v>
      </c>
      <c r="K8" s="179" t="s">
        <v>996</v>
      </c>
    </row>
    <row r="9" spans="1:11" s="6" customFormat="1" ht="15.5" x14ac:dyDescent="0.35">
      <c r="A9" s="134">
        <v>5</v>
      </c>
      <c r="B9" s="137">
        <v>215362</v>
      </c>
      <c r="C9" s="136" t="s">
        <v>997</v>
      </c>
      <c r="D9" s="136" t="s">
        <v>998</v>
      </c>
      <c r="E9" s="137" t="s">
        <v>999</v>
      </c>
      <c r="F9" s="138">
        <v>7</v>
      </c>
      <c r="G9" s="138">
        <v>0</v>
      </c>
      <c r="H9" s="138">
        <v>0</v>
      </c>
      <c r="I9" s="138">
        <v>4</v>
      </c>
      <c r="J9" s="138">
        <f>SUM(F9:I9)</f>
        <v>11</v>
      </c>
      <c r="K9" s="180"/>
    </row>
    <row r="10" spans="1:11" s="6" customFormat="1" ht="15.5" x14ac:dyDescent="0.35">
      <c r="A10" s="139">
        <v>6</v>
      </c>
      <c r="B10" s="140">
        <v>231829</v>
      </c>
      <c r="C10" s="141" t="s">
        <v>1000</v>
      </c>
      <c r="D10" s="141" t="s">
        <v>1001</v>
      </c>
      <c r="E10" s="140" t="s">
        <v>126</v>
      </c>
      <c r="F10" s="142">
        <v>7</v>
      </c>
      <c r="G10" s="142">
        <v>0</v>
      </c>
      <c r="H10" s="142">
        <v>0</v>
      </c>
      <c r="I10" s="142">
        <v>3</v>
      </c>
      <c r="J10" s="142">
        <f t="shared" si="0"/>
        <v>10</v>
      </c>
      <c r="K10" s="181" t="s">
        <v>375</v>
      </c>
    </row>
    <row r="11" spans="1:11" s="6" customFormat="1" ht="15.5" x14ac:dyDescent="0.35">
      <c r="A11" s="139">
        <v>7</v>
      </c>
      <c r="B11" s="143">
        <v>68741</v>
      </c>
      <c r="C11" s="141" t="s">
        <v>1002</v>
      </c>
      <c r="D11" s="141" t="s">
        <v>354</v>
      </c>
      <c r="E11" s="140" t="s">
        <v>995</v>
      </c>
      <c r="F11" s="142">
        <v>7</v>
      </c>
      <c r="G11" s="142">
        <v>0</v>
      </c>
      <c r="H11" s="142">
        <v>0</v>
      </c>
      <c r="I11" s="142">
        <v>3</v>
      </c>
      <c r="J11" s="142">
        <f t="shared" si="0"/>
        <v>10</v>
      </c>
      <c r="K11" s="177"/>
    </row>
    <row r="12" spans="1:11" s="6" customFormat="1" ht="15.5" x14ac:dyDescent="0.35">
      <c r="A12" s="139">
        <v>9</v>
      </c>
      <c r="B12" s="140">
        <v>233110</v>
      </c>
      <c r="C12" s="141" t="s">
        <v>1003</v>
      </c>
      <c r="D12" s="141" t="s">
        <v>442</v>
      </c>
      <c r="E12" s="140" t="s">
        <v>73</v>
      </c>
      <c r="F12" s="142">
        <v>7</v>
      </c>
      <c r="G12" s="142">
        <v>0</v>
      </c>
      <c r="H12" s="142">
        <v>0</v>
      </c>
      <c r="I12" s="142">
        <v>3</v>
      </c>
      <c r="J12" s="142">
        <f t="shared" si="0"/>
        <v>10</v>
      </c>
      <c r="K12" s="177"/>
    </row>
    <row r="13" spans="1:11" s="6" customFormat="1" ht="15.5" x14ac:dyDescent="0.35">
      <c r="A13" s="73">
        <v>11</v>
      </c>
      <c r="B13" s="14">
        <v>231892</v>
      </c>
      <c r="C13" s="144" t="s">
        <v>1004</v>
      </c>
      <c r="D13" s="144" t="s">
        <v>1005</v>
      </c>
      <c r="E13" s="14" t="s">
        <v>131</v>
      </c>
      <c r="F13" s="12">
        <v>7</v>
      </c>
      <c r="G13" s="12">
        <v>0</v>
      </c>
      <c r="H13" s="12">
        <v>0</v>
      </c>
      <c r="I13" s="12">
        <v>0</v>
      </c>
      <c r="J13" s="12">
        <f t="shared" si="0"/>
        <v>7</v>
      </c>
      <c r="K13" s="47"/>
    </row>
    <row r="14" spans="1:11" s="6" customFormat="1" ht="15.5" x14ac:dyDescent="0.35">
      <c r="A14" s="73">
        <v>12</v>
      </c>
      <c r="B14" s="145">
        <v>231554</v>
      </c>
      <c r="C14" s="144" t="s">
        <v>1006</v>
      </c>
      <c r="D14" s="144" t="s">
        <v>1007</v>
      </c>
      <c r="E14" s="14" t="s">
        <v>611</v>
      </c>
      <c r="F14" s="12">
        <v>7</v>
      </c>
      <c r="G14" s="12">
        <v>0</v>
      </c>
      <c r="H14" s="12">
        <v>0</v>
      </c>
      <c r="I14" s="12">
        <v>0</v>
      </c>
      <c r="J14" s="12">
        <f t="shared" si="0"/>
        <v>7</v>
      </c>
      <c r="K14" s="47"/>
    </row>
    <row r="15" spans="1:11" s="6" customFormat="1" ht="15.5" x14ac:dyDescent="0.35">
      <c r="A15" s="73">
        <v>13</v>
      </c>
      <c r="B15" s="14"/>
      <c r="C15" s="144" t="s">
        <v>1008</v>
      </c>
      <c r="D15" s="144" t="s">
        <v>1009</v>
      </c>
      <c r="E15" s="14" t="s">
        <v>1010</v>
      </c>
      <c r="F15" s="12">
        <v>7</v>
      </c>
      <c r="G15" s="12">
        <v>0</v>
      </c>
      <c r="H15" s="12">
        <v>0</v>
      </c>
      <c r="I15" s="12">
        <v>0</v>
      </c>
      <c r="J15" s="12">
        <f t="shared" si="0"/>
        <v>7</v>
      </c>
      <c r="K15" s="47"/>
    </row>
    <row r="16" spans="1:11" s="6" customFormat="1" ht="15.5" x14ac:dyDescent="0.35">
      <c r="A16" s="73">
        <v>14</v>
      </c>
      <c r="B16" s="14">
        <v>231619</v>
      </c>
      <c r="C16" s="144" t="s">
        <v>353</v>
      </c>
      <c r="D16" s="144" t="s">
        <v>538</v>
      </c>
      <c r="E16" s="14" t="s">
        <v>472</v>
      </c>
      <c r="F16" s="12">
        <v>4</v>
      </c>
      <c r="G16" s="12">
        <v>0</v>
      </c>
      <c r="H16" s="12">
        <v>0</v>
      </c>
      <c r="I16" s="12">
        <v>3</v>
      </c>
      <c r="J16" s="12">
        <f t="shared" si="0"/>
        <v>7</v>
      </c>
      <c r="K16" s="47"/>
    </row>
    <row r="17" spans="1:11" s="6" customFormat="1" ht="15.5" x14ac:dyDescent="0.35">
      <c r="A17" s="73">
        <v>15</v>
      </c>
      <c r="B17" s="14">
        <v>231654</v>
      </c>
      <c r="C17" s="144" t="s">
        <v>1011</v>
      </c>
      <c r="D17" s="144" t="s">
        <v>1012</v>
      </c>
      <c r="E17" s="14" t="s">
        <v>351</v>
      </c>
      <c r="F17" s="12">
        <v>7</v>
      </c>
      <c r="G17" s="12">
        <v>0</v>
      </c>
      <c r="H17" s="12">
        <v>0</v>
      </c>
      <c r="I17" s="12">
        <v>0</v>
      </c>
      <c r="J17" s="12">
        <f t="shared" si="0"/>
        <v>7</v>
      </c>
      <c r="K17" s="47"/>
    </row>
    <row r="18" spans="1:11" s="6" customFormat="1" ht="17.5" customHeight="1" x14ac:dyDescent="0.35">
      <c r="A18" s="73">
        <v>16</v>
      </c>
      <c r="B18" s="14">
        <v>184509</v>
      </c>
      <c r="C18" s="144" t="s">
        <v>51</v>
      </c>
      <c r="D18" s="144" t="s">
        <v>1013</v>
      </c>
      <c r="E18" s="14" t="s">
        <v>126</v>
      </c>
      <c r="F18" s="12">
        <v>7</v>
      </c>
      <c r="G18" s="12">
        <v>0</v>
      </c>
      <c r="H18" s="12">
        <v>0</v>
      </c>
      <c r="I18" s="12">
        <v>0</v>
      </c>
      <c r="J18" s="12">
        <f t="shared" si="0"/>
        <v>7</v>
      </c>
      <c r="K18" s="47"/>
    </row>
    <row r="19" spans="1:11" s="6" customFormat="1" ht="15.5" x14ac:dyDescent="0.35">
      <c r="A19" s="73">
        <v>17</v>
      </c>
      <c r="B19" s="14"/>
      <c r="C19" s="144" t="s">
        <v>1014</v>
      </c>
      <c r="D19" s="144" t="s">
        <v>1015</v>
      </c>
      <c r="E19" s="14" t="s">
        <v>1010</v>
      </c>
      <c r="F19" s="12">
        <v>3</v>
      </c>
      <c r="G19" s="12">
        <v>0</v>
      </c>
      <c r="H19" s="12">
        <v>0</v>
      </c>
      <c r="I19" s="12">
        <v>3</v>
      </c>
      <c r="J19" s="12">
        <f t="shared" si="0"/>
        <v>6</v>
      </c>
      <c r="K19" s="47"/>
    </row>
    <row r="20" spans="1:11" s="6" customFormat="1" ht="15.5" x14ac:dyDescent="0.35">
      <c r="A20" s="73">
        <v>18</v>
      </c>
      <c r="B20" s="14"/>
      <c r="C20" s="144" t="s">
        <v>1016</v>
      </c>
      <c r="D20" s="144" t="s">
        <v>1017</v>
      </c>
      <c r="E20" s="14" t="s">
        <v>620</v>
      </c>
      <c r="F20" s="12">
        <v>3</v>
      </c>
      <c r="G20" s="12">
        <v>0</v>
      </c>
      <c r="H20" s="12">
        <v>0</v>
      </c>
      <c r="I20" s="12">
        <v>3</v>
      </c>
      <c r="J20" s="12">
        <f t="shared" si="0"/>
        <v>6</v>
      </c>
      <c r="K20" s="47"/>
    </row>
    <row r="21" spans="1:11" s="6" customFormat="1" ht="15.5" x14ac:dyDescent="0.35">
      <c r="A21" s="73">
        <v>19</v>
      </c>
      <c r="B21" s="14">
        <v>231594</v>
      </c>
      <c r="C21" s="144" t="s">
        <v>1018</v>
      </c>
      <c r="D21" s="144" t="s">
        <v>1019</v>
      </c>
      <c r="E21" s="14" t="s">
        <v>472</v>
      </c>
      <c r="F21" s="12">
        <v>3</v>
      </c>
      <c r="G21" s="12">
        <v>0</v>
      </c>
      <c r="H21" s="12">
        <v>0</v>
      </c>
      <c r="I21" s="12">
        <v>1</v>
      </c>
      <c r="J21" s="12">
        <f t="shared" si="0"/>
        <v>4</v>
      </c>
      <c r="K21" s="47"/>
    </row>
    <row r="22" spans="1:11" s="6" customFormat="1" ht="15.5" x14ac:dyDescent="0.35">
      <c r="A22" s="73">
        <v>20</v>
      </c>
      <c r="B22" s="14">
        <v>231830</v>
      </c>
      <c r="C22" s="144" t="s">
        <v>1020</v>
      </c>
      <c r="D22" s="144" t="s">
        <v>1021</v>
      </c>
      <c r="E22" s="14" t="s">
        <v>126</v>
      </c>
      <c r="F22" s="12">
        <v>4</v>
      </c>
      <c r="G22" s="12">
        <v>0</v>
      </c>
      <c r="H22" s="12">
        <v>0</v>
      </c>
      <c r="I22" s="12">
        <v>0</v>
      </c>
      <c r="J22" s="12">
        <f t="shared" si="0"/>
        <v>4</v>
      </c>
      <c r="K22" s="47"/>
    </row>
    <row r="23" spans="1:11" s="6" customFormat="1" ht="15.5" x14ac:dyDescent="0.35">
      <c r="A23" s="73">
        <v>21</v>
      </c>
      <c r="B23" s="145">
        <v>178185</v>
      </c>
      <c r="C23" s="144" t="s">
        <v>1022</v>
      </c>
      <c r="D23" s="144" t="s">
        <v>1023</v>
      </c>
      <c r="E23" s="14" t="s">
        <v>995</v>
      </c>
      <c r="F23" s="12">
        <v>0</v>
      </c>
      <c r="G23" s="12">
        <v>0</v>
      </c>
      <c r="H23" s="12">
        <v>0</v>
      </c>
      <c r="I23" s="12">
        <v>3</v>
      </c>
      <c r="J23" s="12">
        <f t="shared" si="0"/>
        <v>3</v>
      </c>
      <c r="K23" s="47"/>
    </row>
    <row r="24" spans="1:11" s="6" customFormat="1" ht="15.5" x14ac:dyDescent="0.35">
      <c r="A24" s="73">
        <v>22</v>
      </c>
      <c r="B24" s="14">
        <v>231899</v>
      </c>
      <c r="C24" s="144" t="s">
        <v>916</v>
      </c>
      <c r="D24" s="144" t="s">
        <v>323</v>
      </c>
      <c r="E24" s="14" t="s">
        <v>131</v>
      </c>
      <c r="F24" s="12">
        <v>0</v>
      </c>
      <c r="G24" s="12">
        <v>0</v>
      </c>
      <c r="H24" s="12">
        <v>0</v>
      </c>
      <c r="I24" s="12">
        <v>3</v>
      </c>
      <c r="J24" s="12">
        <f t="shared" si="0"/>
        <v>3</v>
      </c>
      <c r="K24" s="47"/>
    </row>
    <row r="25" spans="1:11" s="6" customFormat="1" ht="15.5" x14ac:dyDescent="0.35">
      <c r="A25" s="73">
        <v>23</v>
      </c>
      <c r="B25" s="145">
        <v>231635</v>
      </c>
      <c r="C25" s="144" t="s">
        <v>1024</v>
      </c>
      <c r="D25" s="144" t="s">
        <v>95</v>
      </c>
      <c r="E25" s="14" t="s">
        <v>995</v>
      </c>
      <c r="F25" s="12">
        <v>0</v>
      </c>
      <c r="G25" s="12">
        <v>0</v>
      </c>
      <c r="H25" s="12">
        <v>0</v>
      </c>
      <c r="I25" s="12">
        <v>0</v>
      </c>
      <c r="J25" s="12">
        <f t="shared" si="0"/>
        <v>0</v>
      </c>
      <c r="K25" s="47"/>
    </row>
    <row r="26" spans="1:11" s="6" customFormat="1" ht="15.5" x14ac:dyDescent="0.35">
      <c r="A26" s="73">
        <v>24</v>
      </c>
      <c r="B26" s="14">
        <v>231651</v>
      </c>
      <c r="C26" s="144" t="s">
        <v>1025</v>
      </c>
      <c r="D26" s="144" t="s">
        <v>393</v>
      </c>
      <c r="E26" s="14" t="s">
        <v>351</v>
      </c>
      <c r="F26" s="12">
        <v>0</v>
      </c>
      <c r="G26" s="12">
        <v>0</v>
      </c>
      <c r="H26" s="12">
        <v>0</v>
      </c>
      <c r="I26" s="12">
        <v>0</v>
      </c>
      <c r="J26" s="12">
        <f t="shared" si="0"/>
        <v>0</v>
      </c>
      <c r="K26" s="47"/>
    </row>
    <row r="27" spans="1:11" s="6" customFormat="1" ht="15.5" x14ac:dyDescent="0.35">
      <c r="A27" s="73">
        <v>25</v>
      </c>
      <c r="B27" s="14">
        <v>231657</v>
      </c>
      <c r="C27" s="144" t="s">
        <v>1026</v>
      </c>
      <c r="D27" s="144" t="s">
        <v>352</v>
      </c>
      <c r="E27" s="14" t="s">
        <v>351</v>
      </c>
      <c r="F27" s="12">
        <v>0</v>
      </c>
      <c r="G27" s="12">
        <v>0</v>
      </c>
      <c r="H27" s="12">
        <v>0</v>
      </c>
      <c r="I27" s="12">
        <v>0</v>
      </c>
      <c r="J27" s="12">
        <f t="shared" si="0"/>
        <v>0</v>
      </c>
      <c r="K27" s="47"/>
    </row>
  </sheetData>
  <mergeCells count="11">
    <mergeCell ref="K8:K9"/>
    <mergeCell ref="K10:K12"/>
    <mergeCell ref="A1:K1"/>
    <mergeCell ref="A3:A4"/>
    <mergeCell ref="B3:B4"/>
    <mergeCell ref="C3:C4"/>
    <mergeCell ref="D3:D4"/>
    <mergeCell ref="E3:E4"/>
    <mergeCell ref="F3:I3"/>
    <mergeCell ref="J3:J4"/>
    <mergeCell ref="K3:K4"/>
  </mergeCells>
  <pageMargins left="0.39370078740157499" right="0.39370078740157499" top="0.74803149606299202" bottom="0.74803149606299202" header="0.31496062992126" footer="0.31496062992126"/>
  <pageSetup paperSize="9" scale="150" orientation="landscape" horizontalDpi="360" verticalDpi="360" r:id="rId1"/>
  <rowBreaks count="1" manualBreakCount="1">
    <brk id="1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C (5-6)</vt:lpstr>
      <vt:lpstr>D (7-8)</vt:lpstr>
      <vt:lpstr>E(9-10)</vt:lpstr>
      <vt:lpstr>F(11-12)</vt:lpstr>
      <vt:lpstr>T (ДБ)</vt:lpstr>
      <vt:lpstr>S(ББ)</vt:lpstr>
      <vt:lpstr>'C (5-6)'!Print_Area</vt:lpstr>
      <vt:lpstr>'E(9-10)'!Print_Area</vt:lpstr>
      <vt:lpstr>'F(11-12)'!Print_Area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Naraa E</dc:creator>
  <cp:lastModifiedBy>Naraa E</cp:lastModifiedBy>
  <cp:lastPrinted>2025-12-14T14:33:51Z</cp:lastPrinted>
  <dcterms:created xsi:type="dcterms:W3CDTF">2025-12-14T09:35:44Z</dcterms:created>
  <dcterms:modified xsi:type="dcterms:W3CDTF">2025-12-17T09:57:32Z</dcterms:modified>
</cp:coreProperties>
</file>