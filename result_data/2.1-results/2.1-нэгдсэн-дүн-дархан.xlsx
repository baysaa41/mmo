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<sst xmlns="http://schemas.openxmlformats.org/spreadsheetml/2006/main" count="951" uniqueCount="645">
  <si>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</si>
  <si>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</si>
  <si>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</si>
  <si>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</si>
  <si>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</si>
  <si>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</si>
  <si>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</si>
  <si>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</si>
  <si>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</si>
  <si>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Батсүрэн</t>
  </si>
  <si>
    <t xml:space="preserve">Дэлгэрбаяр</t>
  </si>
  <si>
    <t xml:space="preserve">Ургац</t>
  </si>
  <si>
    <t xml:space="preserve">Дүүрэнбаяр</t>
  </si>
  <si>
    <t xml:space="preserve">Нямбаяр</t>
  </si>
  <si>
    <t xml:space="preserve">Энхпүрэв</t>
  </si>
  <si>
    <t xml:space="preserve">Батбаяр</t>
  </si>
  <si>
    <t xml:space="preserve">Төртүвшин</t>
  </si>
  <si>
    <t xml:space="preserve">Лхагвасүрэн</t>
  </si>
  <si>
    <t xml:space="preserve">Уранжаргал</t>
  </si>
  <si>
    <t xml:space="preserve">Отгонбат</t>
  </si>
  <si>
    <t xml:space="preserve">Төгс-Эрдэнэ</t>
  </si>
  <si>
    <t xml:space="preserve">Наянтай</t>
  </si>
  <si>
    <t xml:space="preserve">Түвшинбаяр</t>
  </si>
  <si>
    <t xml:space="preserve">Энхбаяр</t>
  </si>
  <si>
    <t xml:space="preserve">Ананд</t>
  </si>
  <si>
    <t xml:space="preserve">Чимэддорж</t>
  </si>
  <si>
    <t xml:space="preserve">Мөнх-Од</t>
  </si>
  <si>
    <t xml:space="preserve">Пагмабадрал</t>
  </si>
  <si>
    <t xml:space="preserve">Уранхолбоо</t>
  </si>
  <si>
    <t xml:space="preserve">Цэрэнчимэд</t>
  </si>
  <si>
    <t xml:space="preserve">Тэмүүлэн</t>
  </si>
  <si>
    <t xml:space="preserve">Адьяа</t>
  </si>
  <si>
    <t xml:space="preserve">Асутай</t>
  </si>
  <si>
    <t xml:space="preserve">Нямсүрэн</t>
  </si>
  <si>
    <t xml:space="preserve">Нарандарь</t>
  </si>
  <si>
    <t xml:space="preserve">Нямдаваа </t>
  </si>
  <si>
    <t xml:space="preserve">Төмөрдээ</t>
  </si>
  <si>
    <t xml:space="preserve">Отгонжаргал</t>
  </si>
  <si>
    <t xml:space="preserve">Төгөлдөр</t>
  </si>
  <si>
    <t xml:space="preserve">Ганзориг</t>
  </si>
  <si>
    <t xml:space="preserve">Маргад</t>
  </si>
  <si>
    <t xml:space="preserve">Батдэлгэр</t>
  </si>
  <si>
    <t xml:space="preserve">Энгүүнгүнж</t>
  </si>
  <si>
    <t xml:space="preserve">Хос-Эрдэнэ</t>
  </si>
  <si>
    <t xml:space="preserve">Эрхэс</t>
  </si>
  <si>
    <t xml:space="preserve">Чинзориг</t>
  </si>
  <si>
    <t xml:space="preserve">Сэргэлэн</t>
  </si>
  <si>
    <t xml:space="preserve">Одмаа</t>
  </si>
  <si>
    <t xml:space="preserve">Ариундэлгэр</t>
  </si>
  <si>
    <t xml:space="preserve">Үүрцайх</t>
  </si>
  <si>
    <t xml:space="preserve">Ирмүүн</t>
  </si>
  <si>
    <t xml:space="preserve">Батбаатар</t>
  </si>
  <si>
    <t xml:space="preserve">Жаргалмаа</t>
  </si>
  <si>
    <t xml:space="preserve">Оюунболд</t>
  </si>
  <si>
    <t xml:space="preserve">Цэцэнбилэг</t>
  </si>
  <si>
    <t xml:space="preserve">Чинбат</t>
  </si>
  <si>
    <t xml:space="preserve">Бат-Итгэл</t>
  </si>
  <si>
    <t xml:space="preserve">Баттулга</t>
  </si>
  <si>
    <t xml:space="preserve">Номун</t>
  </si>
  <si>
    <t xml:space="preserve">Баттүшиг</t>
  </si>
  <si>
    <t xml:space="preserve">Үйлстөгөлдөр</t>
  </si>
  <si>
    <t xml:space="preserve">Ууганбаяр</t>
  </si>
  <si>
    <t xml:space="preserve">Тэнгис</t>
  </si>
  <si>
    <t xml:space="preserve">Батсайхан</t>
  </si>
  <si>
    <t xml:space="preserve">Ану</t>
  </si>
  <si>
    <t xml:space="preserve">Эвсанаа</t>
  </si>
  <si>
    <t xml:space="preserve">Буянбилэгт</t>
  </si>
  <si>
    <t xml:space="preserve">Даваг</t>
  </si>
  <si>
    <t xml:space="preserve">Нямдаваа</t>
  </si>
  <si>
    <t xml:space="preserve">Бөртэ</t>
  </si>
  <si>
    <t xml:space="preserve">Мөнгөнхуяг</t>
  </si>
  <si>
    <t xml:space="preserve">Ганхуяг</t>
  </si>
  <si>
    <t xml:space="preserve">Хүрэлчулуун</t>
  </si>
  <si>
    <t xml:space="preserve">Анужин</t>
  </si>
  <si>
    <t xml:space="preserve">Оюунжаргал</t>
  </si>
  <si>
    <t xml:space="preserve">Гурван-Эрдэнэ</t>
  </si>
  <si>
    <t xml:space="preserve">Батгавьяа</t>
  </si>
  <si>
    <t xml:space="preserve">Нацагханд</t>
  </si>
  <si>
    <t xml:space="preserve">Баттөр</t>
  </si>
  <si>
    <t xml:space="preserve">Гүн-Уянга</t>
  </si>
  <si>
    <t xml:space="preserve">Мандуул</t>
  </si>
  <si>
    <t xml:space="preserve">Дарханбаатар</t>
  </si>
  <si>
    <t xml:space="preserve">Уяабор</t>
  </si>
  <si>
    <t xml:space="preserve">Мөнгөнцацрал</t>
  </si>
  <si>
    <t xml:space="preserve">Өлзийхишиг</t>
  </si>
  <si>
    <t xml:space="preserve">Хишигзаяа</t>
  </si>
  <si>
    <t xml:space="preserve">Балсан</t>
  </si>
  <si>
    <t xml:space="preserve">Эрхсаран</t>
  </si>
  <si>
    <t xml:space="preserve">Азжаргал</t>
  </si>
  <si>
    <t xml:space="preserve">Эрдэнэчимэг</t>
  </si>
  <si>
    <t xml:space="preserve">Пүрэвжамц</t>
  </si>
  <si>
    <t xml:space="preserve">Нанзаддорж</t>
  </si>
  <si>
    <t xml:space="preserve">Оюунзаяа</t>
  </si>
  <si>
    <t xml:space="preserve">Баттөмөр</t>
  </si>
  <si>
    <t xml:space="preserve">Уранцэцэг</t>
  </si>
  <si>
    <t xml:space="preserve">Золбоо</t>
  </si>
  <si>
    <t xml:space="preserve">Оюу-Үжин</t>
  </si>
  <si>
    <t xml:space="preserve">Баярхүү</t>
  </si>
  <si>
    <t xml:space="preserve">Амин-Эрдэнэ</t>
  </si>
  <si>
    <t xml:space="preserve">Эрдэнэбат</t>
  </si>
  <si>
    <t xml:space="preserve">Мөнхгэрэл</t>
  </si>
  <si>
    <t xml:space="preserve">Баянжаргал</t>
  </si>
  <si>
    <t xml:space="preserve">Ганбаатар</t>
  </si>
  <si>
    <t xml:space="preserve">Ган-Од</t>
  </si>
  <si>
    <t xml:space="preserve">Батцэрэн</t>
  </si>
  <si>
    <t xml:space="preserve">Батзориг</t>
  </si>
  <si>
    <t xml:space="preserve">Азбаяр</t>
  </si>
  <si>
    <t xml:space="preserve">Баян-Өлзий</t>
  </si>
  <si>
    <t xml:space="preserve">Бат-Эрдэм</t>
  </si>
  <si>
    <t xml:space="preserve">Дамрин</t>
  </si>
  <si>
    <t xml:space="preserve">Заяа</t>
  </si>
  <si>
    <t xml:space="preserve">Болат</t>
  </si>
  <si>
    <t xml:space="preserve">Дарханбат</t>
  </si>
  <si>
    <t xml:space="preserve">Оргилбулаг</t>
  </si>
  <si>
    <t xml:space="preserve">Мөнхбат</t>
  </si>
  <si>
    <t xml:space="preserve">Дашдаваа</t>
  </si>
  <si>
    <t xml:space="preserve">Дөлгөөн</t>
  </si>
  <si>
    <t xml:space="preserve">Гантуул</t>
  </si>
  <si>
    <t xml:space="preserve">Ихболд</t>
  </si>
  <si>
    <t xml:space="preserve">Энх-Амгалан</t>
  </si>
  <si>
    <t xml:space="preserve">Марта</t>
  </si>
  <si>
    <t xml:space="preserve">Бямбасүрэн</t>
  </si>
  <si>
    <t xml:space="preserve">Мөнхбаяр</t>
  </si>
  <si>
    <t xml:space="preserve">Наранмөнх</t>
  </si>
  <si>
    <t xml:space="preserve">Сүрэнжав</t>
  </si>
  <si>
    <t xml:space="preserve">Батмөнх</t>
  </si>
  <si>
    <t xml:space="preserve">Үүрийнтуяа</t>
  </si>
  <si>
    <t xml:space="preserve">Мөнхсайхан</t>
  </si>
  <si>
    <t xml:space="preserve">Хурц-Эрдэм</t>
  </si>
  <si>
    <t xml:space="preserve">Буянцогт</t>
  </si>
  <si>
    <t xml:space="preserve">Хүслэн</t>
  </si>
  <si>
    <t xml:space="preserve">Наранбаатар</t>
  </si>
  <si>
    <t xml:space="preserve">Цэгц</t>
  </si>
  <si>
    <t xml:space="preserve">Бат-Эрдэнэ</t>
  </si>
  <si>
    <t xml:space="preserve">Төрмөнх</t>
  </si>
  <si>
    <t xml:space="preserve">Сэргэлэнбат</t>
  </si>
  <si>
    <t xml:space="preserve">Номунгоо</t>
  </si>
  <si>
    <t xml:space="preserve">Өсөх-Ирээдүй</t>
  </si>
  <si>
    <t xml:space="preserve">Азбилэг</t>
  </si>
  <si>
    <t xml:space="preserve">Одгэрэл</t>
  </si>
  <si>
    <t xml:space="preserve">Должинсүрэн</t>
  </si>
  <si>
    <t xml:space="preserve">Пүрэвсайхан</t>
  </si>
  <si>
    <t xml:space="preserve">Баясгалан</t>
  </si>
  <si>
    <t xml:space="preserve">Тэмүүжин</t>
  </si>
  <si>
    <t xml:space="preserve">Түвшинчимэг</t>
  </si>
  <si>
    <t xml:space="preserve">Батгал</t>
  </si>
  <si>
    <t xml:space="preserve">Билэгбаатар</t>
  </si>
  <si>
    <t xml:space="preserve">АминЭрдэнэ</t>
  </si>
  <si>
    <t xml:space="preserve">Отгончулуун</t>
  </si>
  <si>
    <t xml:space="preserve">Амирлан</t>
  </si>
  <si>
    <t xml:space="preserve">Наранбат</t>
  </si>
  <si>
    <t xml:space="preserve">Гантулга</t>
  </si>
  <si>
    <t xml:space="preserve">Санчир</t>
  </si>
  <si>
    <t xml:space="preserve">Банзрагч</t>
  </si>
  <si>
    <t xml:space="preserve">Саранхишиг</t>
  </si>
  <si>
    <t xml:space="preserve">Хасбаяр</t>
  </si>
  <si>
    <t xml:space="preserve">Батсүх</t>
  </si>
  <si>
    <t xml:space="preserve">Ундрах-Эрдэм</t>
  </si>
  <si>
    <t xml:space="preserve">Баасансүрэн</t>
  </si>
  <si>
    <t xml:space="preserve">Мөнгөнтулга</t>
  </si>
  <si>
    <t xml:space="preserve">Баярсайхан</t>
  </si>
  <si>
    <t xml:space="preserve">Сүхбаатар</t>
  </si>
  <si>
    <t xml:space="preserve">Цэлмэг</t>
  </si>
  <si>
    <t xml:space="preserve">Баяртогтох</t>
  </si>
  <si>
    <t xml:space="preserve">Очболд</t>
  </si>
  <si>
    <t xml:space="preserve">Төгсбуян</t>
  </si>
  <si>
    <t xml:space="preserve">Нямдагва</t>
  </si>
  <si>
    <t xml:space="preserve">Эрхэмбаяр</t>
  </si>
  <si>
    <t xml:space="preserve">Гэрэлт-Од</t>
  </si>
  <si>
    <t xml:space="preserve">Төгсбилгүүн</t>
  </si>
  <si>
    <t xml:space="preserve">Мөнхдөл</t>
  </si>
  <si>
    <t xml:space="preserve">Тэргэлсайхан</t>
  </si>
  <si>
    <t xml:space="preserve">Цолмон</t>
  </si>
  <si>
    <t xml:space="preserve">Үйлэн</t>
  </si>
  <si>
    <t xml:space="preserve">Өсөхбаяр</t>
  </si>
  <si>
    <t xml:space="preserve">Билгүүн</t>
  </si>
  <si>
    <t xml:space="preserve">Рассбек</t>
  </si>
  <si>
    <t xml:space="preserve">Жанка</t>
  </si>
  <si>
    <t xml:space="preserve">Идэржавхлан</t>
  </si>
  <si>
    <t xml:space="preserve">Явуухулан</t>
  </si>
  <si>
    <t xml:space="preserve">Мөнх-Эрдэнэ</t>
  </si>
  <si>
    <t xml:space="preserve">Ганчимэг</t>
  </si>
  <si>
    <t xml:space="preserve">Биндэръяа</t>
  </si>
  <si>
    <t xml:space="preserve">Цээноров</t>
  </si>
  <si>
    <t xml:space="preserve">Бүтэнжаргал</t>
  </si>
  <si>
    <t xml:space="preserve">Хатанболор</t>
  </si>
  <si>
    <t xml:space="preserve">Сугар</t>
  </si>
  <si>
    <t xml:space="preserve">Отгонбаяр </t>
  </si>
  <si>
    <t xml:space="preserve">Энхжин</t>
  </si>
  <si>
    <t xml:space="preserve">Батнасан</t>
  </si>
  <si>
    <t xml:space="preserve">Болор-Эрдэнэ</t>
  </si>
  <si>
    <t xml:space="preserve">Рагчаа</t>
  </si>
  <si>
    <t xml:space="preserve">Энгүүн</t>
  </si>
  <si>
    <t xml:space="preserve">Даваацэрэн</t>
  </si>
  <si>
    <t xml:space="preserve">Анир</t>
  </si>
  <si>
    <t xml:space="preserve">Мөнх-Оргил</t>
  </si>
  <si>
    <t xml:space="preserve">Сэцэнгүнж</t>
  </si>
  <si>
    <t xml:space="preserve">Ирэхзаяа</t>
  </si>
  <si>
    <t xml:space="preserve">Ариунбаяр</t>
  </si>
  <si>
    <t xml:space="preserve">Энхболд</t>
  </si>
  <si>
    <t xml:space="preserve">Батжаргал</t>
  </si>
  <si>
    <t xml:space="preserve">Батчимэг</t>
  </si>
  <si>
    <t xml:space="preserve">Бодьбуянт</t>
  </si>
  <si>
    <t xml:space="preserve">Баянмөнх</t>
  </si>
  <si>
    <t xml:space="preserve">Бөхболд</t>
  </si>
  <si>
    <t xml:space="preserve">Янжиндулам</t>
  </si>
  <si>
    <t xml:space="preserve">Анхбаяр</t>
  </si>
  <si>
    <t xml:space="preserve">Золжаргал</t>
  </si>
  <si>
    <t xml:space="preserve">Гоомарал</t>
  </si>
  <si>
    <t xml:space="preserve">Баяраа</t>
  </si>
  <si>
    <t xml:space="preserve">Золзаяа</t>
  </si>
  <si>
    <t xml:space="preserve">Мөнхзолбоо</t>
  </si>
  <si>
    <t xml:space="preserve">Баярцэцэг</t>
  </si>
  <si>
    <t xml:space="preserve">Ганном</t>
  </si>
  <si>
    <t xml:space="preserve">Төмөрбаатар</t>
  </si>
  <si>
    <t xml:space="preserve">Гэгээнхүслэн</t>
  </si>
  <si>
    <t xml:space="preserve">Өсөхжаргал</t>
  </si>
  <si>
    <t xml:space="preserve">Дүүрэнзул</t>
  </si>
  <si>
    <t xml:space="preserve">Энхбадрал</t>
  </si>
  <si>
    <t xml:space="preserve">Мичид</t>
  </si>
  <si>
    <t xml:space="preserve">Тэргэлсаран</t>
  </si>
  <si>
    <t xml:space="preserve">Буянбат</t>
  </si>
  <si>
    <t xml:space="preserve">Сансар-Уудам</t>
  </si>
  <si>
    <t xml:space="preserve">Өгөөмөр</t>
  </si>
  <si>
    <t xml:space="preserve">Сэнгэ</t>
  </si>
  <si>
    <t xml:space="preserve">Оюунгоо</t>
  </si>
  <si>
    <t xml:space="preserve">Соёл-Эрдэнэ</t>
  </si>
  <si>
    <t xml:space="preserve">Дагвасүрэн</t>
  </si>
  <si>
    <t xml:space="preserve">Уянга</t>
  </si>
  <si>
    <t xml:space="preserve">Отгонбаатар</t>
  </si>
  <si>
    <t xml:space="preserve">Эгшиглэн</t>
  </si>
  <si>
    <t xml:space="preserve">Уярал</t>
  </si>
  <si>
    <t xml:space="preserve">Батхаан</t>
  </si>
  <si>
    <t xml:space="preserve">Батдэлгэрэх</t>
  </si>
  <si>
    <t xml:space="preserve">Энхбат</t>
  </si>
  <si>
    <t xml:space="preserve">Амарсайхан</t>
  </si>
  <si>
    <t xml:space="preserve">Батнайрамдал</t>
  </si>
  <si>
    <t xml:space="preserve">Билэгжаргал</t>
  </si>
  <si>
    <t xml:space="preserve">Ванчинсүрэн</t>
  </si>
  <si>
    <t xml:space="preserve">Агваансамдан</t>
  </si>
  <si>
    <t xml:space="preserve">Артаг</t>
  </si>
  <si>
    <t xml:space="preserve">Анхилуун</t>
  </si>
  <si>
    <t xml:space="preserve">Одхүү</t>
  </si>
  <si>
    <t xml:space="preserve">Отгонзаяа</t>
  </si>
  <si>
    <t xml:space="preserve">Анударь</t>
  </si>
  <si>
    <t xml:space="preserve">Ариунболд</t>
  </si>
  <si>
    <t xml:space="preserve">Гүенбаатар</t>
  </si>
  <si>
    <t xml:space="preserve">Яруу-Эрдэнэ</t>
  </si>
  <si>
    <t xml:space="preserve">Маргад-Эрдэнэ</t>
  </si>
  <si>
    <t xml:space="preserve">Жамъянсүрэн</t>
  </si>
  <si>
    <t xml:space="preserve">Мөнхнаран</t>
  </si>
  <si>
    <t xml:space="preserve">Пүрэвдорж</t>
  </si>
  <si>
    <t xml:space="preserve">Бүрэнтөгс</t>
  </si>
  <si>
    <t xml:space="preserve">Лхамжав</t>
  </si>
  <si>
    <t xml:space="preserve">Мөнхжаргал</t>
  </si>
  <si>
    <t xml:space="preserve">Бямба-Очир</t>
  </si>
  <si>
    <t xml:space="preserve">Долгион</t>
  </si>
  <si>
    <t xml:space="preserve">Галбадрах</t>
  </si>
  <si>
    <t xml:space="preserve">Гүнжээ</t>
  </si>
  <si>
    <t xml:space="preserve">Амаржаргал</t>
  </si>
  <si>
    <t xml:space="preserve">Гэгээн</t>
  </si>
  <si>
    <t xml:space="preserve">Тэргэл</t>
  </si>
  <si>
    <t xml:space="preserve">Мялдорж</t>
  </si>
  <si>
    <t xml:space="preserve">Очирсүрэн</t>
  </si>
  <si>
    <t xml:space="preserve">Одбаяр</t>
  </si>
  <si>
    <t xml:space="preserve">Намуун</t>
  </si>
  <si>
    <t xml:space="preserve">Бат-Амгалан</t>
  </si>
  <si>
    <t xml:space="preserve">Тогтуун</t>
  </si>
  <si>
    <t xml:space="preserve">Эрдэнэбаатар</t>
  </si>
  <si>
    <t xml:space="preserve">Номинжин</t>
  </si>
  <si>
    <t xml:space="preserve">Доржбат</t>
  </si>
  <si>
    <t xml:space="preserve">Бөхбат</t>
  </si>
  <si>
    <t xml:space="preserve">Пүрэвжаргал</t>
  </si>
  <si>
    <t xml:space="preserve">Сансарбаяр</t>
  </si>
  <si>
    <t xml:space="preserve">Саранбат</t>
  </si>
  <si>
    <t xml:space="preserve">Сумъябаатар</t>
  </si>
  <si>
    <t xml:space="preserve">Чимэдлхам</t>
  </si>
  <si>
    <t xml:space="preserve">Цэгцбаатар</t>
  </si>
  <si>
    <t xml:space="preserve">Цолмонбаатар</t>
  </si>
  <si>
    <t xml:space="preserve">Энх-Учрал</t>
  </si>
  <si>
    <t xml:space="preserve">Уянга-Эгшиг</t>
  </si>
  <si>
    <t xml:space="preserve">Үжин</t>
  </si>
  <si>
    <t xml:space="preserve">Оюунбанзрагч</t>
  </si>
  <si>
    <t xml:space="preserve">Энхжаргалан</t>
  </si>
  <si>
    <t xml:space="preserve">Энххүслэн</t>
  </si>
  <si>
    <t xml:space="preserve">Бат-Алдар</t>
  </si>
  <si>
    <t xml:space="preserve">Алтайбаяр</t>
  </si>
  <si>
    <t xml:space="preserve">Бат-Орших</t>
  </si>
  <si>
    <t xml:space="preserve">Юмжирдулам</t>
  </si>
  <si>
    <t xml:space="preserve">Ууганбаатар</t>
  </si>
  <si>
    <t xml:space="preserve">Ууган-Эрдэнэ</t>
  </si>
  <si>
    <t xml:space="preserve">Нансаожав</t>
  </si>
  <si>
    <t xml:space="preserve">Амартөр</t>
  </si>
  <si>
    <t xml:space="preserve">Алёш</t>
  </si>
  <si>
    <t xml:space="preserve">тэмүүлэн</t>
  </si>
  <si>
    <t xml:space="preserve">Батболд</t>
  </si>
  <si>
    <t xml:space="preserve">Эрдэнэжаргал</t>
  </si>
  <si>
    <t xml:space="preserve">Лхагва-Очир</t>
  </si>
  <si>
    <t xml:space="preserve"> №5</t>
  </si>
  <si>
    <t xml:space="preserve"> №6</t>
  </si>
  <si>
    <t xml:space="preserve">Хангай</t>
  </si>
  <si>
    <t xml:space="preserve">Тэмүгэ</t>
  </si>
  <si>
    <t xml:space="preserve">Амартүвшин</t>
  </si>
  <si>
    <t xml:space="preserve">Мөнхсүлд</t>
  </si>
  <si>
    <t xml:space="preserve">Баярмагнай</t>
  </si>
  <si>
    <t xml:space="preserve">Чингүүн</t>
  </si>
  <si>
    <t xml:space="preserve">Насанбат</t>
  </si>
  <si>
    <t xml:space="preserve">Өнөбат</t>
  </si>
  <si>
    <t xml:space="preserve">Чинцогт</t>
  </si>
  <si>
    <t xml:space="preserve">Шижир-Эрдэнэ</t>
  </si>
  <si>
    <t xml:space="preserve">Готов</t>
  </si>
  <si>
    <t xml:space="preserve">Мөнхтогтох</t>
  </si>
  <si>
    <t xml:space="preserve">Өнөбаяр</t>
  </si>
  <si>
    <t xml:space="preserve">Алтайсайхан</t>
  </si>
  <si>
    <t xml:space="preserve">Тамир</t>
  </si>
  <si>
    <t xml:space="preserve">Ганаа</t>
  </si>
  <si>
    <t xml:space="preserve">Мөнх-Очир</t>
  </si>
  <si>
    <t xml:space="preserve">Түмэнбаяр</t>
  </si>
  <si>
    <t xml:space="preserve">Хишигдалай</t>
  </si>
  <si>
    <t xml:space="preserve">Чинбат </t>
  </si>
  <si>
    <t xml:space="preserve">Итгэл</t>
  </si>
  <si>
    <t xml:space="preserve">Алтансүх</t>
  </si>
  <si>
    <t xml:space="preserve">Цэлмэгсаруул</t>
  </si>
  <si>
    <t xml:space="preserve">Уранзаяа</t>
  </si>
  <si>
    <t xml:space="preserve">Цагаанхүү</t>
  </si>
  <si>
    <t xml:space="preserve">Түвшин</t>
  </si>
  <si>
    <t xml:space="preserve">Хэрлэнбат</t>
  </si>
  <si>
    <t xml:space="preserve">Эмүжин</t>
  </si>
  <si>
    <t xml:space="preserve">Бадамцэцэг</t>
  </si>
  <si>
    <t xml:space="preserve">Батсайхан </t>
  </si>
  <si>
    <t xml:space="preserve">Билгүүнтөгс</t>
  </si>
  <si>
    <t xml:space="preserve">Анар</t>
  </si>
  <si>
    <t xml:space="preserve">Хан-Очир</t>
  </si>
  <si>
    <t xml:space="preserve">Од-Эрдэнэ</t>
  </si>
  <si>
    <t xml:space="preserve">Мөнгөлөнгоо</t>
  </si>
  <si>
    <t xml:space="preserve">Раднаалувсан</t>
  </si>
  <si>
    <t xml:space="preserve">Архади</t>
  </si>
  <si>
    <t xml:space="preserve">Баянбулаг</t>
  </si>
  <si>
    <t xml:space="preserve">Нямгэрэл</t>
  </si>
  <si>
    <t xml:space="preserve">Эрдэнэбаяр</t>
  </si>
  <si>
    <t xml:space="preserve">Энхнаран</t>
  </si>
  <si>
    <t xml:space="preserve">Гүнтэнбаатар</t>
  </si>
  <si>
    <t xml:space="preserve">Очир-Эрдэнэ</t>
  </si>
  <si>
    <t xml:space="preserve">Есөн-Эрдэнэ</t>
  </si>
  <si>
    <t xml:space="preserve">Анхмаа</t>
  </si>
  <si>
    <t xml:space="preserve">Гэрэлчулуун</t>
  </si>
  <si>
    <t xml:space="preserve">Чингэрэл</t>
  </si>
  <si>
    <t xml:space="preserve">Дөлгөөнжаргал</t>
  </si>
  <si>
    <t xml:space="preserve">Эрх-Од</t>
  </si>
  <si>
    <t xml:space="preserve">Ууганбадрах </t>
  </si>
  <si>
    <t xml:space="preserve">Есүгэн</t>
  </si>
  <si>
    <t xml:space="preserve">Уранзоригт</t>
  </si>
  <si>
    <t xml:space="preserve">Намуун-эрдэнэ</t>
  </si>
  <si>
    <t xml:space="preserve">Хүсэл-Эрдэнэ</t>
  </si>
  <si>
    <t xml:space="preserve">Алтанзул</t>
  </si>
  <si>
    <t xml:space="preserve">Галсандорж</t>
  </si>
  <si>
    <t xml:space="preserve">Ариун-Эрдэнэ</t>
  </si>
  <si>
    <t xml:space="preserve">Дандар</t>
  </si>
  <si>
    <t xml:space="preserve">Амармэнд</t>
  </si>
  <si>
    <t xml:space="preserve">Далай</t>
  </si>
  <si>
    <t xml:space="preserve">Эрдэнэсан</t>
  </si>
  <si>
    <t xml:space="preserve">Дорждэрэм</t>
  </si>
  <si>
    <t xml:space="preserve">Уранчимэг</t>
  </si>
  <si>
    <t xml:space="preserve">Мандах</t>
  </si>
  <si>
    <t xml:space="preserve">Мөнх-эрдэнэ</t>
  </si>
  <si>
    <t xml:space="preserve">Төмөрсүрэн</t>
  </si>
  <si>
    <t xml:space="preserve">Мөнхцэнгэл</t>
  </si>
  <si>
    <t xml:space="preserve">Хосбаяр</t>
  </si>
  <si>
    <t xml:space="preserve">Цэдэнбал</t>
  </si>
  <si>
    <t xml:space="preserve">Хүрэлхүү</t>
  </si>
  <si>
    <t xml:space="preserve">Чинбаатар</t>
  </si>
  <si>
    <t xml:space="preserve">Минжинсор</t>
  </si>
  <si>
    <t xml:space="preserve">Энхням</t>
  </si>
  <si>
    <t xml:space="preserve">Орхон</t>
  </si>
  <si>
    <t xml:space="preserve">Мамыр</t>
  </si>
  <si>
    <t xml:space="preserve">Ардак</t>
  </si>
  <si>
    <t xml:space="preserve">Нандин-эрдэнэ</t>
  </si>
  <si>
    <t xml:space="preserve">Сүлд</t>
  </si>
  <si>
    <t xml:space="preserve">Ууганжаргал</t>
  </si>
  <si>
    <t xml:space="preserve">Чандмань</t>
  </si>
  <si>
    <t xml:space="preserve">Хашхүү</t>
  </si>
  <si>
    <t xml:space="preserve">Эсэн-Эрхэм</t>
  </si>
  <si>
    <t xml:space="preserve">Отгонбаяр</t>
  </si>
  <si>
    <t xml:space="preserve">Эрдэнэбилэг</t>
  </si>
  <si>
    <t xml:space="preserve">Мөнхбилэг</t>
  </si>
  <si>
    <t xml:space="preserve">Цэнд-Аюуш</t>
  </si>
  <si>
    <t xml:space="preserve">Бат-Очир</t>
  </si>
  <si>
    <t xml:space="preserve">Ариунсайхан</t>
  </si>
  <si>
    <t xml:space="preserve">Оюунсувд</t>
  </si>
  <si>
    <t xml:space="preserve">Сувд</t>
  </si>
  <si>
    <t xml:space="preserve">Марал</t>
  </si>
  <si>
    <t xml:space="preserve">Тэлмүүн</t>
  </si>
  <si>
    <t xml:space="preserve">Энхзаяа</t>
  </si>
  <si>
    <t xml:space="preserve">Баасандорж</t>
  </si>
  <si>
    <t xml:space="preserve">Ганзолбоо</t>
  </si>
  <si>
    <t xml:space="preserve">Хишигбаяр</t>
  </si>
  <si>
    <t xml:space="preserve">Атарбаямба</t>
  </si>
  <si>
    <t xml:space="preserve">Мөнгөнтүлхүүр</t>
  </si>
  <si>
    <t xml:space="preserve">Цэнгүүн</t>
  </si>
  <si>
    <t xml:space="preserve">Даваажав</t>
  </si>
  <si>
    <t xml:space="preserve">Анхжаргал</t>
  </si>
  <si>
    <t xml:space="preserve">Оюунтунгалаг</t>
  </si>
  <si>
    <t xml:space="preserve">Оргил</t>
  </si>
  <si>
    <t xml:space="preserve">Туяа</t>
  </si>
  <si>
    <t xml:space="preserve">Саранцэцэг</t>
  </si>
  <si>
    <t xml:space="preserve">Энхбаатар</t>
  </si>
  <si>
    <t xml:space="preserve">Номин-Эрдэнэ</t>
  </si>
  <si>
    <t xml:space="preserve">Оюунтуяа</t>
  </si>
  <si>
    <t xml:space="preserve">Тоохүү</t>
  </si>
  <si>
    <t xml:space="preserve">Батзул</t>
  </si>
  <si>
    <t xml:space="preserve">Цогт</t>
  </si>
  <si>
    <t xml:space="preserve">Бүжинлхам</t>
  </si>
  <si>
    <t xml:space="preserve">Кебек</t>
  </si>
  <si>
    <t xml:space="preserve">Бүрлэн</t>
  </si>
  <si>
    <t xml:space="preserve">Халиунаа</t>
  </si>
  <si>
    <t xml:space="preserve">Хүрэлбаатар</t>
  </si>
  <si>
    <t xml:space="preserve">Мишээл</t>
  </si>
  <si>
    <t xml:space="preserve">Энхтайван</t>
  </si>
  <si>
    <t xml:space="preserve">Хишигтогтох</t>
  </si>
  <si>
    <t xml:space="preserve">Жавхлантөгс</t>
  </si>
  <si>
    <t xml:space="preserve">Мөнгөншагай</t>
  </si>
  <si>
    <t xml:space="preserve">Нандин-Эрдэнэ</t>
  </si>
  <si>
    <t xml:space="preserve">Мөнхсоёл</t>
  </si>
  <si>
    <t xml:space="preserve">Золбаяр</t>
  </si>
  <si>
    <t xml:space="preserve">Галт</t>
  </si>
  <si>
    <t xml:space="preserve">Цэрэнбат</t>
  </si>
  <si>
    <t xml:space="preserve">Хатанбаатар</t>
  </si>
  <si>
    <t xml:space="preserve">Анхцэцэг</t>
  </si>
  <si>
    <t xml:space="preserve">Мөнхтуяа</t>
  </si>
  <si>
    <t xml:space="preserve">Буянхүү</t>
  </si>
  <si>
    <t xml:space="preserve">Отгон</t>
  </si>
  <si>
    <t xml:space="preserve">Ганхүслэн</t>
  </si>
  <si>
    <t xml:space="preserve">Алтайбаатар</t>
  </si>
  <si>
    <t xml:space="preserve">Түвшинбат</t>
  </si>
  <si>
    <t xml:space="preserve">Цээрэгзэн</t>
  </si>
  <si>
    <t xml:space="preserve">Дэлгэрмаа</t>
  </si>
  <si>
    <t xml:space="preserve">Ганбаяр</t>
  </si>
  <si>
    <t xml:space="preserve">Түмэнжаргал</t>
  </si>
  <si>
    <t xml:space="preserve">Сүхбат</t>
  </si>
  <si>
    <t xml:space="preserve">Очирхуяг</t>
  </si>
  <si>
    <t xml:space="preserve">Энхмөрөн</t>
  </si>
  <si>
    <t xml:space="preserve">Сэрээнэнпүрэв</t>
  </si>
  <si>
    <t xml:space="preserve">Отгон-Эрдэнэ</t>
  </si>
  <si>
    <t xml:space="preserve">Очирбал</t>
  </si>
  <si>
    <t xml:space="preserve">Чадраабал</t>
  </si>
  <si>
    <t xml:space="preserve">Баярмаа</t>
  </si>
  <si>
    <t xml:space="preserve">Цэлмүүн</t>
  </si>
  <si>
    <t xml:space="preserve">Золбоот</t>
  </si>
  <si>
    <t xml:space="preserve">Найдансүрэн</t>
  </si>
  <si>
    <t xml:space="preserve">Цэцэгжаргал</t>
  </si>
  <si>
    <t xml:space="preserve">Мөнхжавхлан</t>
  </si>
  <si>
    <t xml:space="preserve">Мөнхбаатар</t>
  </si>
  <si>
    <t xml:space="preserve">Баярдалай</t>
  </si>
  <si>
    <t xml:space="preserve">Ач-Эрдэнэ</t>
  </si>
  <si>
    <t xml:space="preserve">Болдбаатар</t>
  </si>
  <si>
    <t xml:space="preserve">Ерөөлтхүү</t>
  </si>
  <si>
    <t xml:space="preserve">Аззаяа</t>
  </si>
  <si>
    <t xml:space="preserve">Балжинням</t>
  </si>
  <si>
    <t xml:space="preserve">Мөнхцэцэг</t>
  </si>
  <si>
    <t xml:space="preserve">Хоролсүрэн</t>
  </si>
  <si>
    <t xml:space="preserve">Ангараг</t>
  </si>
  <si>
    <t xml:space="preserve">Энх-Ундрал</t>
  </si>
  <si>
    <t xml:space="preserve">Тайван</t>
  </si>
  <si>
    <t xml:space="preserve">Бат-Оргил</t>
  </si>
  <si>
    <t xml:space="preserve">Даваахүү</t>
  </si>
  <si>
    <t xml:space="preserve">Нямаа</t>
  </si>
  <si>
    <t xml:space="preserve">Ган-Эрдэнэ</t>
  </si>
  <si>
    <t xml:space="preserve">Мэдэгсүрэн</t>
  </si>
  <si>
    <t xml:space="preserve">Мөнхгэгээ</t>
  </si>
  <si>
    <t xml:space="preserve">Тэгшбаяр</t>
  </si>
  <si>
    <t xml:space="preserve">Анирлан</t>
  </si>
  <si>
    <t xml:space="preserve">Шаравсамбуу</t>
  </si>
  <si>
    <t xml:space="preserve">Молор</t>
  </si>
  <si>
    <t xml:space="preserve">Жаргалсайхан</t>
  </si>
  <si>
    <t xml:space="preserve">Цацрал</t>
  </si>
  <si>
    <t xml:space="preserve">Анхбаатар</t>
  </si>
  <si>
    <t xml:space="preserve">Ганжаргал</t>
  </si>
  <si>
    <t xml:space="preserve">Саранцацралт</t>
  </si>
  <si>
    <t xml:space="preserve">Долгорсүрэн</t>
  </si>
  <si>
    <t xml:space="preserve">Алтан</t>
  </si>
  <si>
    <t xml:space="preserve">Нандинхүсэл</t>
  </si>
  <si>
    <t xml:space="preserve">Амарсанаа</t>
  </si>
  <si>
    <t xml:space="preserve">Тэнгисбаяр</t>
  </si>
  <si>
    <t xml:space="preserve">Намуундарь</t>
  </si>
  <si>
    <t xml:space="preserve">Эрдэнэтөгс</t>
  </si>
  <si>
    <t xml:space="preserve">Итгэлжаргал</t>
  </si>
  <si>
    <t xml:space="preserve">Түвдэндорж</t>
  </si>
  <si>
    <t xml:space="preserve">Баяндалай</t>
  </si>
  <si>
    <t xml:space="preserve">Энхцацрал</t>
  </si>
  <si>
    <t xml:space="preserve">Мөрөн</t>
  </si>
  <si>
    <t xml:space="preserve">Дарханцэцэг</t>
  </si>
  <si>
    <t xml:space="preserve">Хонгорзул</t>
  </si>
  <si>
    <t xml:space="preserve">Бат-Ирээдүй</t>
  </si>
  <si>
    <t xml:space="preserve">Бат-Арвижих</t>
  </si>
  <si>
    <t xml:space="preserve">Сайнбаяр</t>
  </si>
  <si>
    <t xml:space="preserve">Батхүрэл</t>
  </si>
  <si>
    <t xml:space="preserve">Шинэ-Ирээдүй</t>
  </si>
  <si>
    <t xml:space="preserve">Төгсбаясгалант</t>
  </si>
  <si>
    <t xml:space="preserve">Даваажаргал</t>
  </si>
  <si>
    <t xml:space="preserve">Энхтөр</t>
  </si>
  <si>
    <t xml:space="preserve">Батцэнгэл</t>
  </si>
  <si>
    <t xml:space="preserve">Солонго</t>
  </si>
  <si>
    <t xml:space="preserve">Хишигдорж</t>
  </si>
  <si>
    <t xml:space="preserve">Ундрам</t>
  </si>
  <si>
    <t xml:space="preserve">Амина</t>
  </si>
  <si>
    <t xml:space="preserve">Барсболд</t>
  </si>
  <si>
    <t xml:space="preserve">Жавхлан</t>
  </si>
  <si>
    <t xml:space="preserve">Даваажамц</t>
  </si>
  <si>
    <t xml:space="preserve">Ариунгэрэл</t>
  </si>
  <si>
    <t xml:space="preserve">Дүгэржав </t>
  </si>
  <si>
    <t xml:space="preserve">Долгормаа</t>
  </si>
  <si>
    <t xml:space="preserve">Батаа</t>
  </si>
  <si>
    <t xml:space="preserve">Сүрэн</t>
  </si>
  <si>
    <t xml:space="preserve">Дэмбэрэл</t>
  </si>
  <si>
    <t xml:space="preserve">Цэцэгмаа</t>
  </si>
  <si>
    <t xml:space="preserve">Нансалмаа</t>
  </si>
  <si>
    <t xml:space="preserve">Гантулга </t>
  </si>
  <si>
    <t xml:space="preserve">Нямцэцэг </t>
  </si>
  <si>
    <t xml:space="preserve">Цомбаяр</t>
  </si>
  <si>
    <t xml:space="preserve">Жанбалжамц </t>
  </si>
  <si>
    <t xml:space="preserve">Нанжидмаа</t>
  </si>
  <si>
    <t xml:space="preserve">Жамъян</t>
  </si>
  <si>
    <t xml:space="preserve">Нямдорж</t>
  </si>
  <si>
    <t xml:space="preserve">Хүрэлсайхан</t>
  </si>
  <si>
    <t xml:space="preserve">Чулуунбаатар</t>
  </si>
  <si>
    <t xml:space="preserve">Шинэчимэг</t>
  </si>
  <si>
    <t xml:space="preserve">Вандандорж</t>
  </si>
  <si>
    <t xml:space="preserve">Балданпүрэв</t>
  </si>
  <si>
    <t xml:space="preserve">Пүрэвдаваа</t>
  </si>
  <si>
    <t xml:space="preserve">Цэрмаа</t>
  </si>
  <si>
    <t xml:space="preserve">Бат-Өлзий</t>
  </si>
  <si>
    <t xml:space="preserve">Энхтуяа</t>
  </si>
  <si>
    <t xml:space="preserve">Баярбаатар</t>
  </si>
  <si>
    <t xml:space="preserve">Содномтуяа</t>
  </si>
  <si>
    <t xml:space="preserve">Намсрайжав</t>
  </si>
  <si>
    <t xml:space="preserve">Баасандулам</t>
  </si>
  <si>
    <t xml:space="preserve">Баасанжаргал</t>
  </si>
  <si>
    <t xml:space="preserve">Сэлэнгэ</t>
  </si>
  <si>
    <t xml:space="preserve">Эрдэнэдалай</t>
  </si>
  <si>
    <t xml:space="preserve">Буянбадрах </t>
  </si>
  <si>
    <t xml:space="preserve">Даваапил</t>
  </si>
  <si>
    <t xml:space="preserve">Пүрэвсүрэн</t>
  </si>
  <si>
    <t xml:space="preserve">Наран-Өлзий</t>
  </si>
  <si>
    <t xml:space="preserve">Батчулуун</t>
  </si>
  <si>
    <t xml:space="preserve">Цэвэгмэд</t>
  </si>
  <si>
    <t xml:space="preserve">Хурмет</t>
  </si>
  <si>
    <t xml:space="preserve">Гульжанар</t>
  </si>
  <si>
    <t xml:space="preserve">Цогтсайхан</t>
  </si>
  <si>
    <t xml:space="preserve">Бямбажав</t>
  </si>
  <si>
    <t xml:space="preserve">Бямбадорж</t>
  </si>
  <si>
    <t xml:space="preserve">Болортуяа</t>
  </si>
  <si>
    <t xml:space="preserve">Цэндсүрэн</t>
  </si>
  <si>
    <t xml:space="preserve">Наранцэнгэл</t>
  </si>
  <si>
    <t xml:space="preserve">Урантогос</t>
  </si>
  <si>
    <t xml:space="preserve">Бадарч</t>
  </si>
  <si>
    <t xml:space="preserve">Даваа</t>
  </si>
  <si>
    <t xml:space="preserve">Болор </t>
  </si>
  <si>
    <t xml:space="preserve">Өлзийбадрах</t>
  </si>
  <si>
    <t xml:space="preserve">Цэдэндамба</t>
  </si>
  <si>
    <t xml:space="preserve">Оюунбилэг</t>
  </si>
  <si>
    <t xml:space="preserve">Винтов</t>
  </si>
  <si>
    <t xml:space="preserve">Отгонхишиг</t>
  </si>
  <si>
    <t xml:space="preserve">Баасанжав</t>
  </si>
  <si>
    <t xml:space="preserve">Даваасүрэн</t>
  </si>
  <si>
    <t xml:space="preserve">Норов</t>
  </si>
  <si>
    <t xml:space="preserve">Эрдэнэчулуун</t>
  </si>
  <si>
    <t xml:space="preserve">Өлзийбаяр</t>
  </si>
  <si>
    <t xml:space="preserve">Баатар</t>
  </si>
  <si>
    <t xml:space="preserve">Оюунмандах</t>
  </si>
  <si>
    <t xml:space="preserve">Болд</t>
  </si>
  <si>
    <t xml:space="preserve">Пүрэвжав</t>
  </si>
  <si>
    <t xml:space="preserve">Хартолгой</t>
  </si>
  <si>
    <t xml:space="preserve">Ихтамир</t>
  </si>
  <si>
    <t xml:space="preserve">Амжилт</t>
  </si>
  <si>
    <t xml:space="preserve">Ариунзаяа</t>
  </si>
  <si>
    <t xml:space="preserve">Мөнхзул</t>
  </si>
  <si>
    <t xml:space="preserve">Элбэгдаваа</t>
  </si>
  <si>
    <t xml:space="preserve">Ундрах</t>
  </si>
  <si>
    <t xml:space="preserve">Гансүх</t>
  </si>
  <si>
    <t xml:space="preserve">Тулга</t>
  </si>
  <si>
    <t xml:space="preserve">Зоригтбаатар</t>
  </si>
  <si>
    <t xml:space="preserve">Түмэндэмбэрэл</t>
  </si>
  <si>
    <t xml:space="preserve">Насанжаргал </t>
  </si>
  <si>
    <t xml:space="preserve">Наранбаатар </t>
  </si>
  <si>
    <t xml:space="preserve">Мягмар</t>
  </si>
  <si>
    <t xml:space="preserve">Шараа</t>
  </si>
  <si>
    <t xml:space="preserve">Хайдав</t>
  </si>
  <si>
    <t xml:space="preserve">Эрхэмбаатар</t>
  </si>
  <si>
    <t xml:space="preserve">Наранцэцэг</t>
  </si>
  <si>
    <t xml:space="preserve">Баатарзоригт</t>
  </si>
  <si>
    <t xml:space="preserve">Лхагвабаяр</t>
  </si>
  <si>
    <t xml:space="preserve">Цонкио</t>
  </si>
  <si>
    <t xml:space="preserve">Сувдаа</t>
  </si>
  <si>
    <t xml:space="preserve">Эрдэнэ</t>
  </si>
  <si>
    <t xml:space="preserve">Гүржав</t>
  </si>
  <si>
    <t xml:space="preserve">Билэгсайхан</t>
  </si>
  <si>
    <t xml:space="preserve">Мөнхзаяа</t>
  </si>
  <si>
    <t xml:space="preserve">Дүгэрсүрэн</t>
  </si>
  <si>
    <t xml:space="preserve">Монхор</t>
  </si>
  <si>
    <t xml:space="preserve">Оюун-Эрдэнэ</t>
  </si>
  <si>
    <t xml:space="preserve">Банди</t>
  </si>
  <si>
    <t xml:space="preserve">Цэрэнжамц</t>
  </si>
  <si>
    <t xml:space="preserve">Хурметхан</t>
  </si>
  <si>
    <t xml:space="preserve">Хатанцэцэг</t>
  </si>
  <si>
    <t xml:space="preserve">Нэргүй</t>
  </si>
  <si>
    <t xml:space="preserve">Болор-эрдэнэ</t>
  </si>
  <si>
    <t xml:space="preserve">Эрдэнэ-Очир</t>
  </si>
  <si>
    <t xml:space="preserve">Буяндэлгэр</t>
  </si>
  <si>
    <t xml:space="preserve">Содном</t>
  </si>
  <si>
    <t xml:space="preserve">Отгонцэцэг</t>
  </si>
  <si>
    <t xml:space="preserve">Николай</t>
  </si>
  <si>
    <t xml:space="preserve">Энхжаргал</t>
  </si>
  <si>
    <t xml:space="preserve">Өлзийсайхан</t>
  </si>
  <si>
    <t xml:space="preserve">Буянзаяа</t>
  </si>
  <si>
    <t xml:space="preserve">Магсаржав</t>
  </si>
  <si>
    <t xml:space="preserve">Мөнгөнсувд</t>
  </si>
  <si>
    <t xml:space="preserve">Төмөрбат</t>
  </si>
  <si>
    <t xml:space="preserve">Баяраа </t>
  </si>
  <si>
    <t xml:space="preserve">Сүрэнжав </t>
  </si>
  <si>
    <t xml:space="preserve">Жамсранжав</t>
  </si>
  <si>
    <t xml:space="preserve">Должинцэрэн</t>
  </si>
  <si>
    <t xml:space="preserve">Эрдэнэмөрөн</t>
  </si>
  <si>
    <t xml:space="preserve">Отгонболд</t>
  </si>
  <si>
    <t xml:space="preserve">Алтанхуяг</t>
  </si>
  <si>
    <t xml:space="preserve">Мөнгөнцэцэг</t>
  </si>
  <si>
    <t xml:space="preserve">Амгаланбаатар</t>
  </si>
  <si>
    <t xml:space="preserve">Намжилдорж</t>
  </si>
  <si>
    <t xml:space="preserve">Анхзаяа</t>
  </si>
  <si>
    <t xml:space="preserve">Лхасүрэн</t>
  </si>
  <si>
    <t xml:space="preserve">Адъяасүрэн</t>
  </si>
  <si>
    <t xml:space="preserve">Дамдинсүрэн</t>
  </si>
  <si>
    <t xml:space="preserve">Наранжаргал</t>
  </si>
  <si>
    <t xml:space="preserve">Сайлаухан</t>
  </si>
  <si>
    <t xml:space="preserve">Айкүмис</t>
  </si>
  <si>
    <t xml:space="preserve">Нямбат</t>
  </si>
  <si>
    <t xml:space="preserve">Номин-Ундрах</t>
  </si>
  <si>
    <t xml:space="preserve">Хавидолда</t>
  </si>
  <si>
    <t xml:space="preserve">Анипа</t>
  </si>
  <si>
    <t xml:space="preserve">Халипа</t>
  </si>
  <si>
    <t xml:space="preserve">Жанагул</t>
  </si>
  <si>
    <t xml:space="preserve">Мягмаржав</t>
  </si>
  <si>
    <t xml:space="preserve">Туул</t>
  </si>
  <si>
    <t xml:space="preserve">Аймгийн нэр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</si>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</sst>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  <font>
      <sz val="10"/>
      <color rgb="FF212529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80809"/>
      <name val="Arial"/>
      <family val="0"/>
      <charset val="1"/>
    </font>
    <font>
      <sz val="10"/>
      <color rgb="FF212529"/>
      <name val="System-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EFEFEF"/>
      </patternFill>
    </fill>
    <fill>
      <patternFill patternType="solid">
        <fgColor rgb="FFEFEFEF"/>
        <bgColor rgb="FFD9E7FD"/>
      </patternFill>
    </fill>
    <fill>
      <patternFill patternType="solid">
        <fgColor theme="4" tint="0.7999"/>
        <bgColor rgb="FFEFEFEF"/>
      </patternFill>
    </fill>
    <fill>
      <patternFill patternType="solid">
        <fgColor rgb="FF92D050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D9E7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80809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14"/>
    <col collapsed="false" customWidth="false" hidden="false" outlineLevel="0" max="2" min="2" style="1" width="11.57"/>
    <col collapsed="false" customWidth="true" hidden="false" outlineLevel="0" max="3" min="3" style="1" width="18.29"/>
    <col collapsed="false" customWidth="true" hidden="false" outlineLevel="0" max="4" min="4" style="1" width="2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2" t="n">
        <v>1</v>
      </c>
      <c r="B2" s="3" t="n">
        <v>201065</v>
      </c>
      <c r="C2" s="4" t="s">
        <v>9</v>
      </c>
      <c r="D2" s="4" t="s">
        <v>10</v>
      </c>
      <c r="E2" s="3" t="n">
        <v>7</v>
      </c>
      <c r="F2" s="3" t="n">
        <v>0</v>
      </c>
      <c r="G2" s="3" t="n">
        <v>5</v>
      </c>
      <c r="H2" s="3" t="n">
        <v>1</v>
      </c>
      <c r="I2" s="5" t="n">
        <f aca="false">SUM(E2:H2)</f>
        <v>13</v>
      </c>
    </row>
    <row r="3" customFormat="false" ht="12.75" hidden="false" customHeight="true" outlineLevel="0" collapsed="false">
      <c r="A3" s="6" t="n">
        <v>2</v>
      </c>
      <c r="B3" s="3" t="n">
        <v>190638</v>
      </c>
      <c r="C3" s="4" t="s">
        <v>11</v>
      </c>
      <c r="D3" s="4" t="s">
        <v>12</v>
      </c>
      <c r="E3" s="3" t="n">
        <v>7</v>
      </c>
      <c r="F3" s="3" t="n">
        <v>0</v>
      </c>
      <c r="G3" s="3" t="n">
        <v>5</v>
      </c>
      <c r="H3" s="3" t="n">
        <v>0</v>
      </c>
      <c r="I3" s="5" t="n">
        <f aca="false">SUM(E3:H3)</f>
        <v>12</v>
      </c>
    </row>
    <row r="4" customFormat="false" ht="12.75" hidden="false" customHeight="true" outlineLevel="0" collapsed="false">
      <c r="A4" s="2" t="n">
        <v>3</v>
      </c>
      <c r="B4" s="3" t="n">
        <v>190704</v>
      </c>
      <c r="C4" s="7" t="s">
        <v>13</v>
      </c>
      <c r="D4" s="7" t="s">
        <v>14</v>
      </c>
      <c r="E4" s="2" t="n">
        <v>0</v>
      </c>
      <c r="F4" s="2" t="n">
        <v>1</v>
      </c>
      <c r="G4" s="2" t="n">
        <v>7</v>
      </c>
      <c r="H4" s="2" t="n">
        <v>0</v>
      </c>
      <c r="I4" s="5" t="n">
        <f aca="false">SUM(E4:H4)</f>
        <v>8</v>
      </c>
    </row>
    <row r="5" customFormat="false" ht="12.75" hidden="false" customHeight="true" outlineLevel="0" collapsed="false">
      <c r="A5" s="6" t="n">
        <v>4</v>
      </c>
      <c r="B5" s="2" t="n">
        <v>185008</v>
      </c>
      <c r="C5" s="7" t="s">
        <v>15</v>
      </c>
      <c r="D5" s="7" t="s">
        <v>16</v>
      </c>
      <c r="E5" s="2" t="n">
        <v>0</v>
      </c>
      <c r="F5" s="2" t="n">
        <v>0</v>
      </c>
      <c r="G5" s="2" t="n">
        <v>7</v>
      </c>
      <c r="H5" s="2" t="n">
        <v>1</v>
      </c>
      <c r="I5" s="5" t="n">
        <f aca="false">SUM(E5:H5)</f>
        <v>8</v>
      </c>
    </row>
    <row r="6" customFormat="false" ht="12.75" hidden="false" customHeight="true" outlineLevel="0" collapsed="false">
      <c r="A6" s="2" t="n">
        <v>5</v>
      </c>
      <c r="B6" s="3" t="n">
        <v>185009</v>
      </c>
      <c r="C6" s="4" t="s">
        <v>17</v>
      </c>
      <c r="D6" s="4" t="s">
        <v>18</v>
      </c>
      <c r="E6" s="3" t="n">
        <v>0</v>
      </c>
      <c r="F6" s="3" t="n">
        <v>2</v>
      </c>
      <c r="G6" s="3" t="n">
        <v>5</v>
      </c>
      <c r="H6" s="3" t="n">
        <v>0</v>
      </c>
      <c r="I6" s="5" t="n">
        <f aca="false">SUM(E6:H6)</f>
        <v>7</v>
      </c>
    </row>
    <row r="7" customFormat="false" ht="12.75" hidden="false" customHeight="true" outlineLevel="0" collapsed="false">
      <c r="A7" s="6" t="n">
        <v>6</v>
      </c>
      <c r="B7" s="3" t="n">
        <v>111030</v>
      </c>
      <c r="C7" s="4" t="s">
        <v>19</v>
      </c>
      <c r="D7" s="4" t="s">
        <v>20</v>
      </c>
      <c r="E7" s="3" t="n">
        <v>0</v>
      </c>
      <c r="F7" s="3" t="n">
        <v>0</v>
      </c>
      <c r="G7" s="3" t="n">
        <v>7</v>
      </c>
      <c r="H7" s="3" t="n">
        <v>0</v>
      </c>
      <c r="I7" s="5" t="n">
        <f aca="false">SUM(E7:H7)</f>
        <v>7</v>
      </c>
    </row>
    <row r="8" customFormat="false" ht="12.75" hidden="false" customHeight="true" outlineLevel="0" collapsed="false">
      <c r="A8" s="2" t="n">
        <v>7</v>
      </c>
      <c r="B8" s="8" t="n">
        <v>200720</v>
      </c>
      <c r="C8" s="9" t="s">
        <v>21</v>
      </c>
      <c r="D8" s="9" t="s">
        <v>22</v>
      </c>
      <c r="E8" s="8" t="n">
        <v>1</v>
      </c>
      <c r="F8" s="8" t="n">
        <v>0</v>
      </c>
      <c r="G8" s="8" t="n">
        <v>5</v>
      </c>
      <c r="H8" s="8" t="n">
        <v>0</v>
      </c>
      <c r="I8" s="5" t="n">
        <f aca="false">SUM(E8:H8)</f>
        <v>6</v>
      </c>
    </row>
    <row r="9" customFormat="false" ht="12.75" hidden="false" customHeight="true" outlineLevel="0" collapsed="false">
      <c r="A9" s="6" t="n">
        <v>8</v>
      </c>
      <c r="B9" s="8" t="n">
        <v>193830</v>
      </c>
      <c r="C9" s="9" t="s">
        <v>23</v>
      </c>
      <c r="D9" s="9" t="s">
        <v>24</v>
      </c>
      <c r="E9" s="8" t="n">
        <v>0</v>
      </c>
      <c r="F9" s="8" t="n">
        <v>1</v>
      </c>
      <c r="G9" s="8" t="n">
        <v>5</v>
      </c>
      <c r="H9" s="8" t="n">
        <v>0</v>
      </c>
      <c r="I9" s="5" t="n">
        <f aca="false">SUM(E9:H9)</f>
        <v>6</v>
      </c>
    </row>
    <row r="10" customFormat="false" ht="12.75" hidden="false" customHeight="true" outlineLevel="0" collapsed="false">
      <c r="A10" s="2" t="n">
        <v>9</v>
      </c>
      <c r="B10" s="8" t="n">
        <v>140037</v>
      </c>
      <c r="C10" s="4" t="s">
        <v>25</v>
      </c>
      <c r="D10" s="9" t="s">
        <v>26</v>
      </c>
      <c r="E10" s="8" t="n">
        <v>0</v>
      </c>
      <c r="F10" s="8" t="n">
        <v>0</v>
      </c>
      <c r="G10" s="8" t="n">
        <v>4</v>
      </c>
      <c r="H10" s="8" t="n">
        <v>2</v>
      </c>
      <c r="I10" s="5" t="n">
        <f aca="false">SUM(E10:H10)</f>
        <v>6</v>
      </c>
    </row>
    <row r="11" customFormat="false" ht="12.75" hidden="false" customHeight="true" outlineLevel="0" collapsed="false">
      <c r="A11" s="6" t="n">
        <v>10</v>
      </c>
      <c r="B11" s="8" t="n">
        <v>140099</v>
      </c>
      <c r="C11" s="4" t="s">
        <v>27</v>
      </c>
      <c r="D11" s="9" t="s">
        <v>28</v>
      </c>
      <c r="E11" s="8" t="n">
        <v>0</v>
      </c>
      <c r="F11" s="8" t="n">
        <v>1</v>
      </c>
      <c r="G11" s="8" t="n">
        <v>5</v>
      </c>
      <c r="H11" s="8" t="n">
        <v>0</v>
      </c>
      <c r="I11" s="5" t="n">
        <f aca="false">SUM(E11:H11)</f>
        <v>6</v>
      </c>
    </row>
    <row r="12" customFormat="false" ht="12.75" hidden="false" customHeight="true" outlineLevel="0" collapsed="false">
      <c r="A12" s="2" t="n">
        <v>11</v>
      </c>
      <c r="B12" s="8" t="n">
        <v>193835</v>
      </c>
      <c r="C12" s="9" t="s">
        <v>29</v>
      </c>
      <c r="D12" s="9" t="s">
        <v>30</v>
      </c>
      <c r="E12" s="8" t="n">
        <v>0</v>
      </c>
      <c r="F12" s="8" t="n">
        <v>0</v>
      </c>
      <c r="G12" s="8" t="n">
        <v>5</v>
      </c>
      <c r="H12" s="8" t="n">
        <v>0</v>
      </c>
      <c r="I12" s="5" t="n">
        <f aca="false">SUM(E12:H12)</f>
        <v>5</v>
      </c>
    </row>
    <row r="13" customFormat="false" ht="12.75" hidden="false" customHeight="true" outlineLevel="0" collapsed="false">
      <c r="A13" s="6" t="n">
        <v>12</v>
      </c>
      <c r="B13" s="3" t="n">
        <v>110954</v>
      </c>
      <c r="C13" s="4" t="s">
        <v>31</v>
      </c>
      <c r="D13" s="4" t="s">
        <v>32</v>
      </c>
      <c r="E13" s="3" t="n">
        <v>0</v>
      </c>
      <c r="F13" s="3" t="n">
        <v>1</v>
      </c>
      <c r="G13" s="3" t="n">
        <v>4</v>
      </c>
      <c r="H13" s="3" t="n">
        <v>0</v>
      </c>
      <c r="I13" s="5" t="n">
        <f aca="false">SUM(E13:H13)</f>
        <v>5</v>
      </c>
    </row>
    <row r="14" customFormat="false" ht="12.75" hidden="false" customHeight="true" outlineLevel="0" collapsed="false">
      <c r="A14" s="2" t="n">
        <v>13</v>
      </c>
      <c r="B14" s="8" t="n">
        <v>185773</v>
      </c>
      <c r="C14" s="7" t="s">
        <v>33</v>
      </c>
      <c r="D14" s="7" t="s">
        <v>34</v>
      </c>
      <c r="E14" s="2" t="n">
        <v>0</v>
      </c>
      <c r="F14" s="2" t="n">
        <v>0</v>
      </c>
      <c r="G14" s="2" t="n">
        <v>5</v>
      </c>
      <c r="H14" s="2" t="n">
        <v>0</v>
      </c>
      <c r="I14" s="5" t="n">
        <f aca="false">SUM(E14:H14)</f>
        <v>5</v>
      </c>
    </row>
    <row r="15" customFormat="false" ht="12.75" hidden="false" customHeight="true" outlineLevel="0" collapsed="false">
      <c r="A15" s="6" t="n">
        <v>14</v>
      </c>
      <c r="B15" s="2" t="n">
        <v>130973</v>
      </c>
      <c r="C15" s="7" t="s">
        <v>35</v>
      </c>
      <c r="D15" s="7" t="s">
        <v>36</v>
      </c>
      <c r="E15" s="2" t="n">
        <v>0</v>
      </c>
      <c r="F15" s="2" t="n">
        <v>0</v>
      </c>
      <c r="G15" s="2" t="n">
        <v>5</v>
      </c>
      <c r="H15" s="2" t="n">
        <v>0</v>
      </c>
      <c r="I15" s="5" t="n">
        <f aca="false">SUM(E15:H15)</f>
        <v>5</v>
      </c>
    </row>
    <row r="16" customFormat="false" ht="12.75" hidden="false" customHeight="true" outlineLevel="0" collapsed="false">
      <c r="A16" s="2" t="n">
        <v>15</v>
      </c>
      <c r="B16" s="3" t="n">
        <v>153868</v>
      </c>
      <c r="C16" s="4" t="s">
        <v>37</v>
      </c>
      <c r="D16" s="4" t="s">
        <v>38</v>
      </c>
      <c r="E16" s="3" t="n">
        <v>0</v>
      </c>
      <c r="F16" s="3" t="n">
        <v>0</v>
      </c>
      <c r="G16" s="3" t="n">
        <v>5</v>
      </c>
      <c r="H16" s="3" t="n">
        <v>0</v>
      </c>
      <c r="I16" s="5" t="n">
        <f aca="false">SUM(E16:H16)</f>
        <v>5</v>
      </c>
    </row>
    <row r="17" customFormat="false" ht="12.75" hidden="false" customHeight="true" outlineLevel="0" collapsed="false">
      <c r="A17" s="6" t="n">
        <v>16</v>
      </c>
      <c r="B17" s="3" t="n">
        <v>169930</v>
      </c>
      <c r="C17" s="4" t="s">
        <v>39</v>
      </c>
      <c r="D17" s="4" t="s">
        <v>40</v>
      </c>
      <c r="E17" s="3" t="n">
        <v>0</v>
      </c>
      <c r="F17" s="3" t="n">
        <v>0</v>
      </c>
      <c r="G17" s="3" t="n">
        <v>4</v>
      </c>
      <c r="H17" s="3" t="n">
        <v>0</v>
      </c>
      <c r="I17" s="5" t="n">
        <f aca="false">SUM(E17:H17)</f>
        <v>4</v>
      </c>
    </row>
    <row r="18" customFormat="false" ht="12.75" hidden="false" customHeight="true" outlineLevel="0" collapsed="false">
      <c r="A18" s="2" t="n">
        <v>17</v>
      </c>
      <c r="B18" s="3" t="n">
        <v>204386</v>
      </c>
      <c r="C18" s="4" t="s">
        <v>41</v>
      </c>
      <c r="D18" s="4" t="s">
        <v>42</v>
      </c>
      <c r="E18" s="3" t="n">
        <v>0</v>
      </c>
      <c r="F18" s="3" t="n">
        <v>0</v>
      </c>
      <c r="G18" s="3" t="n">
        <v>4</v>
      </c>
      <c r="H18" s="3" t="n">
        <v>0</v>
      </c>
      <c r="I18" s="5" t="n">
        <f aca="false">SUM(E18:H18)</f>
        <v>4</v>
      </c>
    </row>
    <row r="19" customFormat="false" ht="12.75" hidden="false" customHeight="true" outlineLevel="0" collapsed="false">
      <c r="A19" s="6" t="n">
        <v>18</v>
      </c>
      <c r="B19" s="3" t="n">
        <v>190709</v>
      </c>
      <c r="C19" s="4" t="s">
        <v>43</v>
      </c>
      <c r="D19" s="4" t="s">
        <v>44</v>
      </c>
      <c r="E19" s="3" t="n">
        <v>0</v>
      </c>
      <c r="F19" s="3" t="n">
        <v>0</v>
      </c>
      <c r="G19" s="3" t="n">
        <v>4</v>
      </c>
      <c r="H19" s="3" t="n">
        <v>0</v>
      </c>
      <c r="I19" s="5" t="n">
        <f aca="false">SUM(E19:H19)</f>
        <v>4</v>
      </c>
    </row>
    <row r="20" customFormat="false" ht="12.75" hidden="false" customHeight="true" outlineLevel="0" collapsed="false">
      <c r="A20" s="2" t="n">
        <v>19</v>
      </c>
      <c r="B20" s="3" t="n">
        <v>190668</v>
      </c>
      <c r="C20" s="7" t="s">
        <v>45</v>
      </c>
      <c r="D20" s="7" t="s">
        <v>46</v>
      </c>
      <c r="E20" s="2" t="n">
        <v>0</v>
      </c>
      <c r="F20" s="2" t="n">
        <v>0</v>
      </c>
      <c r="G20" s="2" t="n">
        <v>4</v>
      </c>
      <c r="H20" s="2" t="n">
        <v>0</v>
      </c>
      <c r="I20" s="5" t="n">
        <f aca="false">SUM(E20:H20)</f>
        <v>4</v>
      </c>
    </row>
    <row r="21" customFormat="false" ht="12.75" hidden="false" customHeight="true" outlineLevel="0" collapsed="false">
      <c r="A21" s="6" t="n">
        <v>20</v>
      </c>
      <c r="B21" s="2" t="n">
        <v>185115</v>
      </c>
      <c r="C21" s="7" t="s">
        <v>47</v>
      </c>
      <c r="D21" s="7" t="s">
        <v>48</v>
      </c>
      <c r="E21" s="2" t="n">
        <v>0</v>
      </c>
      <c r="F21" s="2" t="n">
        <v>0</v>
      </c>
      <c r="G21" s="2" t="n">
        <v>3</v>
      </c>
      <c r="H21" s="2" t="n">
        <v>0</v>
      </c>
      <c r="I21" s="5" t="n">
        <f aca="false">SUM(E21:H21)</f>
        <v>3</v>
      </c>
    </row>
    <row r="22" customFormat="false" ht="12.75" hidden="false" customHeight="true" outlineLevel="0" collapsed="false">
      <c r="A22" s="2" t="n">
        <v>21</v>
      </c>
      <c r="B22" s="3" t="n">
        <v>188369</v>
      </c>
      <c r="C22" s="7" t="s">
        <v>49</v>
      </c>
      <c r="D22" s="7" t="s">
        <v>50</v>
      </c>
      <c r="E22" s="2" t="n">
        <v>0</v>
      </c>
      <c r="F22" s="2" t="n">
        <v>0</v>
      </c>
      <c r="G22" s="2" t="n">
        <v>2</v>
      </c>
      <c r="H22" s="2" t="n">
        <v>0</v>
      </c>
      <c r="I22" s="5" t="n">
        <f aca="false">SUM(E22:H22)</f>
        <v>2</v>
      </c>
    </row>
    <row r="23" customFormat="false" ht="12.75" hidden="false" customHeight="true" outlineLevel="0" collapsed="false">
      <c r="A23" s="6" t="n">
        <v>22</v>
      </c>
      <c r="B23" s="2" t="n">
        <v>152315</v>
      </c>
      <c r="C23" s="4" t="s">
        <v>51</v>
      </c>
      <c r="D23" s="4" t="s">
        <v>52</v>
      </c>
      <c r="E23" s="3" t="n">
        <v>0</v>
      </c>
      <c r="F23" s="10" t="n">
        <f aca="false">0+2</f>
        <v>2</v>
      </c>
      <c r="G23" s="3" t="n">
        <v>0</v>
      </c>
      <c r="H23" s="3" t="n">
        <v>0</v>
      </c>
      <c r="I23" s="5" t="n">
        <f aca="false">SUM(E23:H23)</f>
        <v>2</v>
      </c>
    </row>
    <row r="24" customFormat="false" ht="12.75" hidden="false" customHeight="true" outlineLevel="0" collapsed="false">
      <c r="A24" s="2" t="n">
        <v>23</v>
      </c>
      <c r="B24" s="3" t="n">
        <v>188357</v>
      </c>
      <c r="C24" s="7" t="s">
        <v>53</v>
      </c>
      <c r="D24" s="7" t="s">
        <v>54</v>
      </c>
      <c r="E24" s="2" t="n">
        <v>0</v>
      </c>
      <c r="F24" s="2" t="n">
        <v>0</v>
      </c>
      <c r="G24" s="2" t="n">
        <v>0</v>
      </c>
      <c r="H24" s="2" t="n">
        <v>1</v>
      </c>
      <c r="I24" s="5" t="n">
        <f aca="false">SUM(E24:H24)</f>
        <v>1</v>
      </c>
    </row>
    <row r="25" customFormat="false" ht="12.75" hidden="false" customHeight="true" outlineLevel="0" collapsed="false">
      <c r="A25" s="6" t="n">
        <v>24</v>
      </c>
      <c r="B25" s="2" t="n">
        <v>217457</v>
      </c>
      <c r="C25" s="7" t="s">
        <v>55</v>
      </c>
      <c r="D25" s="7" t="s">
        <v>56</v>
      </c>
      <c r="E25" s="2" t="n">
        <v>1</v>
      </c>
      <c r="F25" s="2" t="n">
        <v>0</v>
      </c>
      <c r="G25" s="2" t="n">
        <v>0</v>
      </c>
      <c r="H25" s="2" t="n">
        <v>0</v>
      </c>
      <c r="I25" s="5" t="n">
        <f aca="false">SUM(E25:H25)</f>
        <v>1</v>
      </c>
    </row>
    <row r="26" customFormat="false" ht="12.75" hidden="false" customHeight="true" outlineLevel="0" collapsed="false">
      <c r="A26" s="2" t="n">
        <v>25</v>
      </c>
      <c r="B26" s="3" t="n">
        <v>223815</v>
      </c>
      <c r="C26" s="4" t="s">
        <v>57</v>
      </c>
      <c r="D26" s="4" t="s">
        <v>58</v>
      </c>
      <c r="E26" s="3" t="n">
        <v>0</v>
      </c>
      <c r="F26" s="3" t="n">
        <v>0</v>
      </c>
      <c r="G26" s="3" t="n">
        <v>1</v>
      </c>
      <c r="H26" s="3" t="n">
        <v>0</v>
      </c>
      <c r="I26" s="5" t="n">
        <f aca="false">SUM(E26:H26)</f>
        <v>1</v>
      </c>
    </row>
    <row r="27" customFormat="false" ht="12.75" hidden="false" customHeight="true" outlineLevel="0" collapsed="false">
      <c r="A27" s="6" t="n">
        <v>26</v>
      </c>
      <c r="B27" s="3" t="n">
        <v>169898</v>
      </c>
      <c r="C27" s="4" t="s">
        <v>59</v>
      </c>
      <c r="D27" s="4" t="s">
        <v>60</v>
      </c>
      <c r="E27" s="3" t="n">
        <v>0</v>
      </c>
      <c r="F27" s="3" t="n">
        <v>0</v>
      </c>
      <c r="G27" s="3" t="n">
        <v>0</v>
      </c>
      <c r="H27" s="3" t="n">
        <v>1</v>
      </c>
      <c r="I27" s="5" t="n">
        <f aca="false">SUM(E27:H27)</f>
        <v>1</v>
      </c>
    </row>
    <row r="28" customFormat="false" ht="12.75" hidden="false" customHeight="true" outlineLevel="0" collapsed="false">
      <c r="A28" s="2" t="n">
        <v>27</v>
      </c>
      <c r="B28" s="3" t="n">
        <v>129796</v>
      </c>
      <c r="C28" s="4" t="s">
        <v>61</v>
      </c>
      <c r="D28" s="4" t="s">
        <v>62</v>
      </c>
      <c r="E28" s="3" t="n">
        <v>0</v>
      </c>
      <c r="F28" s="3" t="n">
        <v>0</v>
      </c>
      <c r="G28" s="3" t="n">
        <v>0</v>
      </c>
      <c r="H28" s="3" t="n">
        <v>1</v>
      </c>
      <c r="I28" s="5" t="n">
        <f aca="false">SUM(E28:H28)</f>
        <v>1</v>
      </c>
    </row>
    <row r="29" customFormat="false" ht="12.75" hidden="false" customHeight="true" outlineLevel="0" collapsed="false">
      <c r="A29" s="6" t="n">
        <v>28</v>
      </c>
      <c r="B29" s="2" t="n">
        <v>188689</v>
      </c>
      <c r="C29" s="7" t="s">
        <v>63</v>
      </c>
      <c r="D29" s="7" t="s">
        <v>64</v>
      </c>
      <c r="E29" s="2" t="n">
        <v>0</v>
      </c>
      <c r="F29" s="2" t="n">
        <v>0</v>
      </c>
      <c r="G29" s="2" t="n">
        <v>0</v>
      </c>
      <c r="H29" s="2" t="n">
        <v>0</v>
      </c>
      <c r="I29" s="5" t="n">
        <f aca="false">SUM(E29:H29)</f>
        <v>0</v>
      </c>
    </row>
    <row r="30" customFormat="false" ht="12.75" hidden="false" customHeight="true" outlineLevel="0" collapsed="false">
      <c r="A30" s="2" t="n">
        <v>29</v>
      </c>
      <c r="B30" s="2" t="n">
        <v>188537</v>
      </c>
      <c r="C30" s="7" t="s">
        <v>65</v>
      </c>
      <c r="D30" s="7" t="s">
        <v>66</v>
      </c>
      <c r="E30" s="2" t="n">
        <v>0</v>
      </c>
      <c r="F30" s="2" t="n">
        <v>0</v>
      </c>
      <c r="G30" s="2" t="n">
        <v>0</v>
      </c>
      <c r="H30" s="2" t="n">
        <v>0</v>
      </c>
      <c r="I30" s="5" t="n">
        <f aca="false">SUM(E30:H30)</f>
        <v>0</v>
      </c>
    </row>
    <row r="31" customFormat="false" ht="12.75" hidden="false" customHeight="true" outlineLevel="0" collapsed="false">
      <c r="A31" s="6" t="n">
        <v>30</v>
      </c>
      <c r="B31" s="8" t="n">
        <v>200725</v>
      </c>
      <c r="C31" s="9" t="s">
        <v>67</v>
      </c>
      <c r="D31" s="9" t="s">
        <v>24</v>
      </c>
      <c r="E31" s="8" t="n">
        <v>0</v>
      </c>
      <c r="F31" s="8" t="n">
        <v>0</v>
      </c>
      <c r="G31" s="8" t="n">
        <v>0</v>
      </c>
      <c r="H31" s="8" t="n">
        <v>0</v>
      </c>
      <c r="I31" s="5" t="n">
        <f aca="false">SUM(E31:H31)</f>
        <v>0</v>
      </c>
    </row>
    <row r="32" customFormat="false" ht="12.75" hidden="false" customHeight="true" outlineLevel="0" collapsed="false">
      <c r="A32" s="2" t="n">
        <v>31</v>
      </c>
      <c r="B32" s="2" t="n">
        <v>221944</v>
      </c>
      <c r="C32" s="7" t="s">
        <v>68</v>
      </c>
      <c r="D32" s="7" t="s">
        <v>69</v>
      </c>
      <c r="E32" s="2" t="n">
        <v>0</v>
      </c>
      <c r="F32" s="2" t="n">
        <v>0</v>
      </c>
      <c r="G32" s="2" t="n">
        <v>0</v>
      </c>
      <c r="H32" s="2" t="n">
        <v>0</v>
      </c>
      <c r="I32" s="5" t="n">
        <f aca="false">SUM(E32:H32)</f>
        <v>0</v>
      </c>
    </row>
    <row r="33" customFormat="false" ht="12.75" hidden="false" customHeight="true" outlineLevel="0" collapsed="false">
      <c r="A33" s="6" t="n">
        <v>32</v>
      </c>
      <c r="B33" s="2" t="n">
        <v>195738</v>
      </c>
      <c r="C33" s="7" t="s">
        <v>70</v>
      </c>
      <c r="D33" s="7" t="s">
        <v>71</v>
      </c>
      <c r="E33" s="2" t="n">
        <v>0</v>
      </c>
      <c r="F33" s="2" t="n">
        <v>0</v>
      </c>
      <c r="G33" s="2" t="n">
        <v>0</v>
      </c>
      <c r="H33" s="2" t="n">
        <v>0</v>
      </c>
      <c r="I33" s="5" t="n">
        <f aca="false">SUM(E33:H33)</f>
        <v>0</v>
      </c>
    </row>
    <row r="34" customFormat="false" ht="12.75" hidden="false" customHeight="true" outlineLevel="0" collapsed="false">
      <c r="A34" s="2" t="n">
        <v>33</v>
      </c>
      <c r="B34" s="2" t="n">
        <v>203734</v>
      </c>
      <c r="C34" s="7" t="s">
        <v>72</v>
      </c>
      <c r="D34" s="7" t="s">
        <v>73</v>
      </c>
      <c r="E34" s="2" t="n">
        <v>0</v>
      </c>
      <c r="F34" s="2" t="n">
        <v>0</v>
      </c>
      <c r="G34" s="2" t="n">
        <v>0</v>
      </c>
      <c r="H34" s="2" t="n">
        <v>0</v>
      </c>
      <c r="I34" s="5" t="n">
        <f aca="false">SUM(E34:H34)</f>
        <v>0</v>
      </c>
    </row>
    <row r="35" customFormat="false" ht="12.75" hidden="false" customHeight="true" outlineLevel="0" collapsed="false">
      <c r="A35" s="6" t="n">
        <v>34</v>
      </c>
      <c r="B35" s="2" t="n">
        <v>194820</v>
      </c>
      <c r="C35" s="7" t="s">
        <v>74</v>
      </c>
      <c r="D35" s="7" t="s">
        <v>75</v>
      </c>
      <c r="E35" s="2" t="n">
        <v>0</v>
      </c>
      <c r="F35" s="2" t="n">
        <v>0</v>
      </c>
      <c r="G35" s="2" t="n">
        <v>0</v>
      </c>
      <c r="H35" s="2" t="n">
        <v>0</v>
      </c>
      <c r="I35" s="5" t="n">
        <f aca="false">SUM(E35:H35)</f>
        <v>0</v>
      </c>
    </row>
    <row r="36" customFormat="false" ht="12.75" hidden="false" customHeight="true" outlineLevel="0" collapsed="false">
      <c r="A36" s="2" t="n">
        <v>35</v>
      </c>
      <c r="B36" s="3" t="n">
        <v>188347</v>
      </c>
      <c r="C36" s="4" t="s">
        <v>76</v>
      </c>
      <c r="D36" s="4" t="s">
        <v>77</v>
      </c>
      <c r="E36" s="3" t="n">
        <v>0</v>
      </c>
      <c r="F36" s="3" t="n">
        <v>0</v>
      </c>
      <c r="G36" s="3" t="n">
        <v>0</v>
      </c>
      <c r="H36" s="3" t="n">
        <v>0</v>
      </c>
      <c r="I36" s="5" t="n">
        <f aca="false">SUM(E36:H36)</f>
        <v>0</v>
      </c>
    </row>
    <row r="37" customFormat="false" ht="12.75" hidden="false" customHeight="true" outlineLevel="0" collapsed="false">
      <c r="A37" s="6" t="n">
        <v>36</v>
      </c>
      <c r="B37" s="3" t="n">
        <v>187101</v>
      </c>
      <c r="C37" s="4" t="s">
        <v>78</v>
      </c>
      <c r="D37" s="4" t="s">
        <v>79</v>
      </c>
      <c r="E37" s="3" t="n">
        <v>0</v>
      </c>
      <c r="F37" s="3" t="n">
        <v>0</v>
      </c>
      <c r="G37" s="3" t="n">
        <v>0</v>
      </c>
      <c r="H37" s="3" t="n">
        <v>0</v>
      </c>
      <c r="I37" s="5" t="n">
        <f aca="false">SUM(E37:H37)</f>
        <v>0</v>
      </c>
    </row>
    <row r="38" customFormat="false" ht="12.75" hidden="false" customHeight="true" outlineLevel="0" collapsed="false">
      <c r="A38" s="2" t="n">
        <v>37</v>
      </c>
      <c r="B38" s="2" t="n">
        <v>221992</v>
      </c>
      <c r="C38" s="7" t="s">
        <v>80</v>
      </c>
      <c r="D38" s="7" t="s">
        <v>81</v>
      </c>
      <c r="E38" s="2" t="n">
        <v>0</v>
      </c>
      <c r="F38" s="2" t="n">
        <v>0</v>
      </c>
      <c r="G38" s="2" t="n">
        <v>0</v>
      </c>
      <c r="H38" s="2" t="n">
        <v>0</v>
      </c>
      <c r="I38" s="5" t="n">
        <f aca="false">SUM(E38:H38)</f>
        <v>0</v>
      </c>
    </row>
    <row r="39" customFormat="false" ht="12.75" hidden="false" customHeight="true" outlineLevel="0" collapsed="false">
      <c r="A39" s="6" t="n">
        <v>38</v>
      </c>
      <c r="B39" s="8" t="n">
        <v>186840</v>
      </c>
      <c r="C39" s="7" t="s">
        <v>82</v>
      </c>
      <c r="D39" s="7" t="s">
        <v>83</v>
      </c>
      <c r="E39" s="2" t="n">
        <v>0</v>
      </c>
      <c r="F39" s="2" t="n">
        <v>0</v>
      </c>
      <c r="G39" s="2" t="n">
        <v>0</v>
      </c>
      <c r="H39" s="2" t="n">
        <v>0</v>
      </c>
      <c r="I39" s="5" t="n">
        <f aca="false">SUM(E39:H39)</f>
        <v>0</v>
      </c>
    </row>
    <row r="40" customFormat="false" ht="12.75" hidden="false" customHeight="true" outlineLevel="0" collapsed="false">
      <c r="A40" s="2" t="n">
        <v>39</v>
      </c>
      <c r="B40" s="3" t="n">
        <v>194810</v>
      </c>
      <c r="C40" s="4" t="s">
        <v>84</v>
      </c>
      <c r="D40" s="4" t="s">
        <v>85</v>
      </c>
      <c r="E40" s="3" t="n">
        <v>0</v>
      </c>
      <c r="F40" s="3" t="n">
        <v>0</v>
      </c>
      <c r="G40" s="3" t="n">
        <v>0</v>
      </c>
      <c r="H40" s="3" t="n">
        <v>0</v>
      </c>
      <c r="I40" s="5" t="n">
        <f aca="false">SUM(E40:H40)</f>
        <v>0</v>
      </c>
    </row>
    <row r="41" customFormat="false" ht="12.75" hidden="false" customHeight="true" outlineLevel="0" collapsed="false">
      <c r="A41" s="6" t="n">
        <v>40</v>
      </c>
      <c r="B41" s="3" t="n">
        <v>201251</v>
      </c>
      <c r="C41" s="4" t="s">
        <v>86</v>
      </c>
      <c r="D41" s="4" t="s">
        <v>87</v>
      </c>
      <c r="E41" s="3" t="n">
        <v>0</v>
      </c>
      <c r="F41" s="3" t="n">
        <v>0</v>
      </c>
      <c r="G41" s="3" t="n">
        <v>0</v>
      </c>
      <c r="H41" s="3" t="n">
        <v>0</v>
      </c>
      <c r="I41" s="5" t="n">
        <f aca="false">SUM(E41:H41)</f>
        <v>0</v>
      </c>
    </row>
    <row r="42" customFormat="false" ht="12.75" hidden="false" customHeight="true" outlineLevel="0" collapsed="false">
      <c r="A42" s="2" t="n">
        <v>41</v>
      </c>
      <c r="B42" s="3" t="n">
        <v>188339</v>
      </c>
      <c r="C42" s="7" t="s">
        <v>88</v>
      </c>
      <c r="D42" s="7" t="s">
        <v>30</v>
      </c>
      <c r="E42" s="2" t="n">
        <v>0</v>
      </c>
      <c r="F42" s="2" t="n">
        <v>0</v>
      </c>
      <c r="G42" s="2" t="n">
        <v>0</v>
      </c>
      <c r="H42" s="2" t="n">
        <v>0</v>
      </c>
      <c r="I42" s="5" t="n">
        <f aca="false">SUM(E42:H42)</f>
        <v>0</v>
      </c>
    </row>
    <row r="43" customFormat="false" ht="12.75" hidden="false" customHeight="true" outlineLevel="0" collapsed="false">
      <c r="A43" s="6" t="n">
        <v>42</v>
      </c>
      <c r="B43" s="3" t="n">
        <v>186695</v>
      </c>
      <c r="C43" s="4" t="s">
        <v>89</v>
      </c>
      <c r="D43" s="4" t="s">
        <v>90</v>
      </c>
      <c r="E43" s="3" t="n">
        <v>0</v>
      </c>
      <c r="F43" s="3" t="n">
        <v>0</v>
      </c>
      <c r="G43" s="3" t="n">
        <v>0</v>
      </c>
      <c r="H43" s="3" t="n">
        <v>0</v>
      </c>
      <c r="I43" s="5" t="n">
        <f aca="false">SUM(E43:H43)</f>
        <v>0</v>
      </c>
    </row>
    <row r="44" customFormat="false" ht="12.75" hidden="false" customHeight="true" outlineLevel="0" collapsed="false">
      <c r="A44" s="2" t="n">
        <v>43</v>
      </c>
      <c r="B44" s="2" t="n">
        <v>195711</v>
      </c>
      <c r="C44" s="7" t="s">
        <v>91</v>
      </c>
      <c r="D44" s="7" t="s">
        <v>92</v>
      </c>
      <c r="E44" s="2" t="n">
        <v>0</v>
      </c>
      <c r="F44" s="2" t="n">
        <v>0</v>
      </c>
      <c r="G44" s="2" t="n">
        <v>0</v>
      </c>
      <c r="H44" s="2" t="n">
        <v>0</v>
      </c>
      <c r="I44" s="5" t="n">
        <f aca="false">SUM(E44:H44)</f>
        <v>0</v>
      </c>
    </row>
    <row r="45" customFormat="false" ht="12.75" hidden="false" customHeight="true" outlineLevel="0" collapsed="false">
      <c r="A45" s="6" t="n">
        <v>44</v>
      </c>
      <c r="B45" s="2" t="n">
        <v>194808</v>
      </c>
      <c r="C45" s="7" t="s">
        <v>93</v>
      </c>
      <c r="D45" s="7" t="s">
        <v>94</v>
      </c>
      <c r="E45" s="2" t="n">
        <v>0</v>
      </c>
      <c r="F45" s="2" t="n">
        <v>0</v>
      </c>
      <c r="G45" s="2" t="n">
        <v>0</v>
      </c>
      <c r="H45" s="2" t="n">
        <v>0</v>
      </c>
      <c r="I45" s="5" t="n">
        <f aca="false">SUM(E45:H45)</f>
        <v>0</v>
      </c>
    </row>
    <row r="46" customFormat="false" ht="12.75" hidden="false" customHeight="true" outlineLevel="0" collapsed="false">
      <c r="A46" s="2" t="n">
        <v>45</v>
      </c>
      <c r="B46" s="2" t="n">
        <v>212353</v>
      </c>
      <c r="C46" s="7" t="s">
        <v>95</v>
      </c>
      <c r="D46" s="7" t="s">
        <v>96</v>
      </c>
      <c r="E46" s="2" t="n">
        <v>0</v>
      </c>
      <c r="F46" s="2" t="n">
        <v>0</v>
      </c>
      <c r="G46" s="2" t="n">
        <v>0</v>
      </c>
      <c r="H46" s="2" t="n">
        <v>0</v>
      </c>
      <c r="I46" s="5" t="n">
        <f aca="false">SUM(E46:H46)</f>
        <v>0</v>
      </c>
    </row>
    <row r="47" customFormat="false" ht="12.75" hidden="false" customHeight="true" outlineLevel="0" collapsed="false">
      <c r="A47" s="6" t="n">
        <v>46</v>
      </c>
      <c r="B47" s="2" t="n">
        <v>197973</v>
      </c>
      <c r="C47" s="7" t="s">
        <v>97</v>
      </c>
      <c r="D47" s="7" t="s">
        <v>98</v>
      </c>
      <c r="E47" s="2" t="n">
        <v>0</v>
      </c>
      <c r="F47" s="2" t="n">
        <v>0</v>
      </c>
      <c r="G47" s="2" t="n">
        <v>0</v>
      </c>
      <c r="H47" s="2" t="n">
        <v>0</v>
      </c>
      <c r="I47" s="5" t="n">
        <f aca="false">SUM(E47:H47)</f>
        <v>0</v>
      </c>
    </row>
    <row r="48" customFormat="false" ht="12.75" hidden="false" customHeight="true" outlineLevel="0" collapsed="false">
      <c r="A48" s="2" t="n">
        <v>47</v>
      </c>
      <c r="B48" s="2" t="n">
        <v>142950</v>
      </c>
      <c r="C48" s="7" t="s">
        <v>99</v>
      </c>
      <c r="D48" s="7" t="s">
        <v>98</v>
      </c>
      <c r="E48" s="2" t="n">
        <v>0</v>
      </c>
      <c r="F48" s="2" t="n">
        <v>0</v>
      </c>
      <c r="G48" s="2" t="n">
        <v>0</v>
      </c>
      <c r="H48" s="2" t="n">
        <v>0</v>
      </c>
      <c r="I48" s="5" t="n">
        <f aca="false">SUM(E48:H48)</f>
        <v>0</v>
      </c>
    </row>
    <row r="49" customFormat="false" ht="12.75" hidden="false" customHeight="true" outlineLevel="0" collapsed="false">
      <c r="A49" s="6" t="n">
        <v>48</v>
      </c>
      <c r="B49" s="8" t="n">
        <v>173032</v>
      </c>
      <c r="C49" s="7" t="s">
        <v>100</v>
      </c>
      <c r="D49" s="7" t="s">
        <v>101</v>
      </c>
      <c r="E49" s="2" t="n">
        <v>0</v>
      </c>
      <c r="F49" s="2" t="n">
        <v>0</v>
      </c>
      <c r="G49" s="2" t="n">
        <v>0</v>
      </c>
      <c r="H49" s="2" t="n">
        <v>0</v>
      </c>
      <c r="I49" s="5" t="n">
        <f aca="false">SUM(E49:H49)</f>
        <v>0</v>
      </c>
    </row>
    <row r="50" customFormat="false" ht="12.75" hidden="false" customHeight="true" outlineLevel="0" collapsed="false">
      <c r="A50" s="2" t="n">
        <v>49</v>
      </c>
      <c r="B50" s="2" t="n">
        <v>122857</v>
      </c>
      <c r="C50" s="7" t="s">
        <v>102</v>
      </c>
      <c r="D50" s="7" t="s">
        <v>103</v>
      </c>
      <c r="E50" s="2" t="n">
        <v>0</v>
      </c>
      <c r="F50" s="2" t="n">
        <v>0</v>
      </c>
      <c r="G50" s="2" t="n">
        <v>0</v>
      </c>
      <c r="H50" s="2" t="n">
        <v>0</v>
      </c>
      <c r="I50" s="5" t="n">
        <f aca="false">SUM(E50:H50)</f>
        <v>0</v>
      </c>
    </row>
    <row r="51" customFormat="false" ht="12.75" hidden="false" customHeight="true" outlineLevel="0" collapsed="false">
      <c r="A51" s="6" t="n">
        <v>50</v>
      </c>
      <c r="B51" s="2" t="n">
        <v>203269</v>
      </c>
      <c r="C51" s="7" t="s">
        <v>104</v>
      </c>
      <c r="D51" s="7" t="s">
        <v>105</v>
      </c>
      <c r="E51" s="2" t="n">
        <v>0</v>
      </c>
      <c r="F51" s="2" t="n">
        <v>0</v>
      </c>
      <c r="G51" s="2" t="n">
        <v>0</v>
      </c>
      <c r="H51" s="2" t="n">
        <v>0</v>
      </c>
      <c r="I51" s="5" t="n">
        <f aca="false">SUM(E51:H51)</f>
        <v>0</v>
      </c>
    </row>
    <row r="52" customFormat="false" ht="12.75" hidden="false" customHeight="true" outlineLevel="0" collapsed="false">
      <c r="A52" s="2" t="n">
        <v>51</v>
      </c>
      <c r="B52" s="3" t="n">
        <v>111100</v>
      </c>
      <c r="C52" s="7" t="s">
        <v>106</v>
      </c>
      <c r="D52" s="7" t="s">
        <v>24</v>
      </c>
      <c r="E52" s="2" t="n">
        <v>0</v>
      </c>
      <c r="F52" s="2" t="n">
        <v>0</v>
      </c>
      <c r="G52" s="2" t="n">
        <v>0</v>
      </c>
      <c r="H52" s="2" t="n">
        <v>0</v>
      </c>
      <c r="I52" s="5" t="n">
        <f aca="false">SUM(E52:H52)</f>
        <v>0</v>
      </c>
    </row>
    <row r="53" customFormat="false" ht="12.75" hidden="false" customHeight="true" outlineLevel="0" collapsed="false">
      <c r="A53" s="6" t="n">
        <v>52</v>
      </c>
      <c r="B53" s="8" t="n">
        <v>209740</v>
      </c>
      <c r="C53" s="7" t="s">
        <v>107</v>
      </c>
      <c r="D53" s="7" t="s">
        <v>108</v>
      </c>
      <c r="E53" s="2" t="n">
        <v>0</v>
      </c>
      <c r="F53" s="2" t="n">
        <v>0</v>
      </c>
      <c r="G53" s="2" t="n">
        <v>0</v>
      </c>
      <c r="H53" s="2" t="n">
        <v>0</v>
      </c>
      <c r="I53" s="5" t="n">
        <f aca="false">SUM(E53:H53)</f>
        <v>0</v>
      </c>
    </row>
    <row r="54" customFormat="false" ht="12.75" hidden="false" customHeight="true" outlineLevel="0" collapsed="false">
      <c r="A54" s="2" t="n">
        <v>53</v>
      </c>
      <c r="B54" s="3" t="n">
        <v>204890</v>
      </c>
      <c r="C54" s="4" t="s">
        <v>109</v>
      </c>
      <c r="D54" s="4" t="s">
        <v>110</v>
      </c>
      <c r="E54" s="3" t="n">
        <v>0</v>
      </c>
      <c r="F54" s="3" t="n">
        <v>0</v>
      </c>
      <c r="G54" s="3" t="n">
        <v>0</v>
      </c>
      <c r="H54" s="3" t="n">
        <v>0</v>
      </c>
      <c r="I54" s="5" t="n">
        <f aca="false">SUM(E54:H54)</f>
        <v>0</v>
      </c>
    </row>
    <row r="55" customFormat="false" ht="12.75" hidden="false" customHeight="true" outlineLevel="0" collapsed="false">
      <c r="A55" s="6" t="n">
        <v>54</v>
      </c>
      <c r="B55" s="2" t="n">
        <v>117602</v>
      </c>
      <c r="C55" s="7" t="s">
        <v>111</v>
      </c>
      <c r="D55" s="7" t="s">
        <v>112</v>
      </c>
      <c r="E55" s="2" t="n">
        <v>0</v>
      </c>
      <c r="F55" s="2" t="n">
        <v>0</v>
      </c>
      <c r="G55" s="2" t="n">
        <v>0</v>
      </c>
      <c r="H55" s="2" t="n">
        <v>0</v>
      </c>
      <c r="I55" s="5" t="n">
        <f aca="false">SUM(E55:H55)</f>
        <v>0</v>
      </c>
    </row>
    <row r="56" customFormat="false" ht="12.75" hidden="false" customHeight="true" outlineLevel="0" collapsed="false">
      <c r="A56" s="2" t="n">
        <v>55</v>
      </c>
      <c r="B56" s="2" t="n">
        <v>127636</v>
      </c>
      <c r="C56" s="4" t="s">
        <v>113</v>
      </c>
      <c r="D56" s="4" t="s">
        <v>114</v>
      </c>
      <c r="E56" s="3" t="n">
        <v>0</v>
      </c>
      <c r="F56" s="3" t="n">
        <v>0</v>
      </c>
      <c r="G56" s="3" t="n">
        <v>0</v>
      </c>
      <c r="H56" s="3" t="n">
        <v>0</v>
      </c>
      <c r="I56" s="5" t="n">
        <f aca="false">SUM(E56:H56)</f>
        <v>0</v>
      </c>
    </row>
    <row r="57" customFormat="false" ht="12.75" hidden="false" customHeight="true" outlineLevel="0" collapsed="false">
      <c r="A57" s="6" t="n">
        <v>56</v>
      </c>
      <c r="B57" s="2" t="n">
        <v>164546</v>
      </c>
      <c r="C57" s="7" t="s">
        <v>115</v>
      </c>
      <c r="D57" s="7" t="s">
        <v>116</v>
      </c>
      <c r="E57" s="2" t="n">
        <v>0</v>
      </c>
      <c r="F57" s="2" t="n">
        <v>0</v>
      </c>
      <c r="G57" s="2" t="n">
        <v>0</v>
      </c>
      <c r="H57" s="2" t="n">
        <v>0</v>
      </c>
      <c r="I57" s="5" t="n">
        <f aca="false">SUM(E57:H57)</f>
        <v>0</v>
      </c>
    </row>
    <row r="58" customFormat="false" ht="12.75" hidden="false" customHeight="true" outlineLevel="0" collapsed="false">
      <c r="A58" s="2" t="n">
        <v>57</v>
      </c>
      <c r="B58" s="3" t="n">
        <v>154716</v>
      </c>
      <c r="C58" s="4" t="s">
        <v>117</v>
      </c>
      <c r="D58" s="4" t="s">
        <v>118</v>
      </c>
      <c r="E58" s="3" t="n">
        <v>0</v>
      </c>
      <c r="F58" s="3" t="n">
        <v>0</v>
      </c>
      <c r="G58" s="3" t="n">
        <v>0</v>
      </c>
      <c r="H58" s="3" t="n">
        <v>0</v>
      </c>
      <c r="I58" s="5" t="n">
        <f aca="false">SUM(E58:H58)</f>
        <v>0</v>
      </c>
    </row>
    <row r="59" customFormat="false" ht="12.75" hidden="false" customHeight="true" outlineLevel="0" collapsed="false">
      <c r="A59" s="6" t="n">
        <v>58</v>
      </c>
      <c r="B59" s="8" t="n">
        <v>190571</v>
      </c>
      <c r="C59" s="9" t="s">
        <v>119</v>
      </c>
      <c r="D59" s="9" t="s">
        <v>120</v>
      </c>
      <c r="E59" s="8" t="n">
        <v>0</v>
      </c>
      <c r="F59" s="8" t="n">
        <v>0</v>
      </c>
      <c r="G59" s="8" t="n">
        <v>0</v>
      </c>
      <c r="H59" s="8" t="n">
        <v>0</v>
      </c>
      <c r="I59" s="5" t="n">
        <f aca="false">SUM(E59:H59)</f>
        <v>0</v>
      </c>
    </row>
    <row r="60" customFormat="false" ht="12.75" hidden="false" customHeight="true" outlineLevel="0" collapsed="false">
      <c r="A60" s="2" t="n">
        <v>59</v>
      </c>
      <c r="B60" s="2" t="n">
        <v>163233</v>
      </c>
      <c r="C60" s="7" t="s">
        <v>121</v>
      </c>
      <c r="D60" s="7" t="s">
        <v>122</v>
      </c>
      <c r="E60" s="2" t="n">
        <v>0</v>
      </c>
      <c r="F60" s="2" t="n">
        <v>0</v>
      </c>
      <c r="G60" s="2" t="n">
        <v>0</v>
      </c>
      <c r="H60" s="2" t="n">
        <v>0</v>
      </c>
      <c r="I60" s="5" t="n">
        <f aca="false">SUM(E60:H60)</f>
        <v>0</v>
      </c>
    </row>
    <row r="61" customFormat="false" ht="12.75" hidden="false" customHeight="true" outlineLevel="0" collapsed="false">
      <c r="A61" s="6" t="n">
        <v>60</v>
      </c>
      <c r="B61" s="8" t="n">
        <v>190584</v>
      </c>
      <c r="C61" s="9" t="s">
        <v>123</v>
      </c>
      <c r="D61" s="9" t="s">
        <v>40</v>
      </c>
      <c r="E61" s="8" t="n">
        <v>0</v>
      </c>
      <c r="F61" s="8" t="n">
        <v>0</v>
      </c>
      <c r="G61" s="8" t="n">
        <v>0</v>
      </c>
      <c r="H61" s="8" t="n">
        <v>0</v>
      </c>
      <c r="I61" s="5" t="n">
        <f aca="false">SUM(E61:H61)</f>
        <v>0</v>
      </c>
    </row>
    <row r="62" customFormat="false" ht="12.75" hidden="false" customHeight="true" outlineLevel="0" collapsed="false">
      <c r="A62" s="2" t="n">
        <v>61</v>
      </c>
      <c r="B62" s="2" t="n">
        <v>212236</v>
      </c>
      <c r="C62" s="7" t="s">
        <v>124</v>
      </c>
      <c r="D62" s="7" t="s">
        <v>100</v>
      </c>
      <c r="E62" s="2" t="n">
        <v>0</v>
      </c>
      <c r="F62" s="2" t="n">
        <v>0</v>
      </c>
      <c r="G62" s="2" t="n">
        <v>0</v>
      </c>
      <c r="H62" s="2" t="n">
        <v>0</v>
      </c>
      <c r="I62" s="5" t="n">
        <f aca="false">SUM(E62:H62)</f>
        <v>0</v>
      </c>
    </row>
    <row r="63" customFormat="false" ht="12.75" hidden="false" customHeight="true" outlineLevel="0" collapsed="false">
      <c r="A63" s="6" t="n">
        <v>62</v>
      </c>
      <c r="B63" s="2" t="n">
        <v>189559</v>
      </c>
      <c r="C63" s="7" t="s">
        <v>125</v>
      </c>
      <c r="D63" s="7" t="s">
        <v>126</v>
      </c>
      <c r="E63" s="2" t="n">
        <v>0</v>
      </c>
      <c r="F63" s="2" t="n">
        <v>0</v>
      </c>
      <c r="G63" s="2" t="n">
        <v>0</v>
      </c>
      <c r="H63" s="2" t="n">
        <v>0</v>
      </c>
      <c r="I63" s="5" t="n">
        <f aca="false">SUM(E63:H63)</f>
        <v>0</v>
      </c>
    </row>
    <row r="64" customFormat="false" ht="12.75" hidden="false" customHeight="true" outlineLevel="0" collapsed="false">
      <c r="A64" s="2" t="n">
        <v>63</v>
      </c>
      <c r="B64" s="3" t="n">
        <v>130477</v>
      </c>
      <c r="C64" s="4" t="s">
        <v>127</v>
      </c>
      <c r="D64" s="4" t="s">
        <v>128</v>
      </c>
      <c r="E64" s="3" t="n">
        <v>0</v>
      </c>
      <c r="F64" s="3" t="n">
        <v>0</v>
      </c>
      <c r="G64" s="3" t="n">
        <v>0</v>
      </c>
      <c r="H64" s="3" t="n">
        <v>0</v>
      </c>
      <c r="I64" s="5" t="n">
        <f aca="false">SUM(E64:H64)</f>
        <v>0</v>
      </c>
    </row>
    <row r="65" customFormat="false" ht="12.75" hidden="false" customHeight="true" outlineLevel="0" collapsed="false">
      <c r="A65" s="6" t="n">
        <v>64</v>
      </c>
      <c r="B65" s="3" t="n">
        <v>114855</v>
      </c>
      <c r="C65" s="4" t="s">
        <v>39</v>
      </c>
      <c r="D65" s="4" t="s">
        <v>60</v>
      </c>
      <c r="E65" s="3" t="n">
        <v>0</v>
      </c>
      <c r="F65" s="3" t="n">
        <v>0</v>
      </c>
      <c r="G65" s="3" t="n">
        <v>0</v>
      </c>
      <c r="H65" s="3" t="n">
        <v>0</v>
      </c>
      <c r="I65" s="5" t="n">
        <f aca="false">SUM(E65:H65)</f>
        <v>0</v>
      </c>
    </row>
    <row r="66" customFormat="false" ht="12.75" hidden="false" customHeight="true" outlineLevel="0" collapsed="false">
      <c r="A66" s="2" t="n">
        <v>65</v>
      </c>
      <c r="B66" s="2" t="n">
        <v>112263</v>
      </c>
      <c r="C66" s="7" t="s">
        <v>129</v>
      </c>
      <c r="D66" s="7" t="s">
        <v>130</v>
      </c>
      <c r="E66" s="2" t="n">
        <v>0</v>
      </c>
      <c r="F66" s="2" t="n">
        <v>0</v>
      </c>
      <c r="G66" s="2" t="n">
        <v>0</v>
      </c>
      <c r="H66" s="2" t="n">
        <v>0</v>
      </c>
      <c r="I66" s="5" t="n">
        <f aca="false">SUM(E66:H66)</f>
        <v>0</v>
      </c>
    </row>
    <row r="67" customFormat="false" ht="12.75" hidden="false" customHeight="true" outlineLevel="0" collapsed="false">
      <c r="A67" s="6" t="n">
        <v>66</v>
      </c>
      <c r="B67" s="8" t="n">
        <v>173049</v>
      </c>
      <c r="C67" s="7" t="s">
        <v>131</v>
      </c>
      <c r="D67" s="7" t="s">
        <v>132</v>
      </c>
      <c r="E67" s="2" t="n">
        <v>0</v>
      </c>
      <c r="F67" s="2" t="n">
        <v>0</v>
      </c>
      <c r="G67" s="2" t="n">
        <v>0</v>
      </c>
      <c r="H67" s="2" t="n">
        <v>0</v>
      </c>
      <c r="I67" s="5" t="n">
        <f aca="false">SUM(E67:H67)</f>
        <v>0</v>
      </c>
    </row>
    <row r="68" customFormat="false" ht="12.75" hidden="false" customHeight="true" outlineLevel="0" collapsed="false">
      <c r="A68" s="2" t="n">
        <v>67</v>
      </c>
      <c r="B68" s="2" t="n">
        <v>198004</v>
      </c>
      <c r="C68" s="7" t="s">
        <v>133</v>
      </c>
      <c r="D68" s="7" t="s">
        <v>134</v>
      </c>
      <c r="E68" s="2" t="n">
        <v>0</v>
      </c>
      <c r="F68" s="2" t="n">
        <v>0</v>
      </c>
      <c r="G68" s="2" t="n">
        <v>0</v>
      </c>
      <c r="H68" s="2" t="n">
        <v>0</v>
      </c>
      <c r="I68" s="5" t="n">
        <f aca="false">SUM(E68:H68)</f>
        <v>0</v>
      </c>
    </row>
    <row r="69" customFormat="false" ht="12.75" hidden="false" customHeight="true" outlineLevel="0" collapsed="false">
      <c r="A69" s="6" t="n">
        <v>68</v>
      </c>
      <c r="B69" s="3" t="n">
        <v>117562</v>
      </c>
      <c r="C69" s="4" t="s">
        <v>135</v>
      </c>
      <c r="D69" s="4" t="s">
        <v>136</v>
      </c>
      <c r="E69" s="3" t="n">
        <v>0</v>
      </c>
      <c r="F69" s="3" t="n">
        <v>0</v>
      </c>
      <c r="G69" s="3" t="n">
        <v>0</v>
      </c>
      <c r="H69" s="3" t="n">
        <v>0</v>
      </c>
      <c r="I69" s="5" t="n">
        <f aca="false">SUM(E69:H69)</f>
        <v>0</v>
      </c>
    </row>
    <row r="70" customFormat="false" ht="12.75" hidden="false" customHeight="true" outlineLevel="0" collapsed="false">
      <c r="A70" s="2" t="n">
        <v>69</v>
      </c>
      <c r="B70" s="3" t="n">
        <v>185090</v>
      </c>
      <c r="C70" s="4" t="s">
        <v>63</v>
      </c>
      <c r="D70" s="4" t="s">
        <v>137</v>
      </c>
      <c r="E70" s="3" t="n">
        <v>0</v>
      </c>
      <c r="F70" s="3" t="n">
        <v>0</v>
      </c>
      <c r="G70" s="3" t="n">
        <v>0</v>
      </c>
      <c r="H70" s="3" t="n">
        <v>0</v>
      </c>
      <c r="I70" s="5" t="n">
        <f aca="false">SUM(E70:H70)</f>
        <v>0</v>
      </c>
    </row>
    <row r="71" customFormat="false" ht="12.75" hidden="false" customHeight="true" outlineLevel="0" collapsed="false">
      <c r="A71" s="6" t="n">
        <v>70</v>
      </c>
      <c r="B71" s="3" t="n">
        <v>115028</v>
      </c>
      <c r="C71" s="4" t="s">
        <v>138</v>
      </c>
      <c r="D71" s="4" t="s">
        <v>139</v>
      </c>
      <c r="E71" s="3" t="n">
        <v>0</v>
      </c>
      <c r="F71" s="3" t="n">
        <v>0</v>
      </c>
      <c r="G71" s="3" t="n">
        <v>0</v>
      </c>
      <c r="H71" s="3" t="n">
        <v>0</v>
      </c>
      <c r="I71" s="5" t="n">
        <f aca="false">SUM(E71:H71)</f>
        <v>0</v>
      </c>
    </row>
    <row r="72" customFormat="false" ht="12.75" hidden="false" customHeight="true" outlineLevel="0" collapsed="false">
      <c r="A72" s="2" t="n">
        <v>71</v>
      </c>
      <c r="B72" s="2" t="n">
        <v>163210</v>
      </c>
      <c r="C72" s="7" t="s">
        <v>140</v>
      </c>
      <c r="D72" s="7" t="s">
        <v>141</v>
      </c>
      <c r="E72" s="2" t="n">
        <v>0</v>
      </c>
      <c r="F72" s="2" t="n">
        <v>0</v>
      </c>
      <c r="G72" s="2" t="n">
        <v>0</v>
      </c>
      <c r="H72" s="2" t="n">
        <v>0</v>
      </c>
      <c r="I72" s="5" t="n">
        <f aca="false">SUM(E72:H72)</f>
        <v>0</v>
      </c>
    </row>
    <row r="73" customFormat="false" ht="12.75" hidden="false" customHeight="true" outlineLevel="0" collapsed="false">
      <c r="A73" s="6" t="n">
        <v>72</v>
      </c>
      <c r="B73" s="2" t="n">
        <v>203467</v>
      </c>
      <c r="C73" s="7" t="s">
        <v>142</v>
      </c>
      <c r="D73" s="7" t="s">
        <v>143</v>
      </c>
      <c r="E73" s="2" t="n">
        <v>0</v>
      </c>
      <c r="F73" s="2" t="n">
        <v>0</v>
      </c>
      <c r="G73" s="2" t="n">
        <v>0</v>
      </c>
      <c r="H73" s="2" t="n">
        <v>0</v>
      </c>
      <c r="I73" s="5" t="n">
        <f aca="false">SUM(E73:H73)</f>
        <v>0</v>
      </c>
    </row>
    <row r="74" customFormat="false" ht="12.75" hidden="false" customHeight="true" outlineLevel="0" collapsed="false">
      <c r="A74" s="2" t="n">
        <v>73</v>
      </c>
      <c r="B74" s="2" t="n">
        <v>188855</v>
      </c>
      <c r="C74" s="7" t="s">
        <v>144</v>
      </c>
      <c r="D74" s="7" t="s">
        <v>145</v>
      </c>
      <c r="E74" s="11"/>
      <c r="F74" s="11"/>
      <c r="G74" s="11"/>
      <c r="H74" s="11"/>
      <c r="I74" s="12"/>
    </row>
    <row r="75" customFormat="false" ht="12.75" hidden="false" customHeight="true" outlineLevel="0" collapsed="false">
      <c r="A75" s="6" t="n">
        <v>74</v>
      </c>
      <c r="B75" s="3" t="n">
        <v>204352</v>
      </c>
      <c r="C75" s="4" t="s">
        <v>146</v>
      </c>
      <c r="D75" s="4" t="s">
        <v>147</v>
      </c>
      <c r="E75" s="13"/>
      <c r="F75" s="13"/>
      <c r="G75" s="13"/>
      <c r="H75" s="13"/>
      <c r="I75" s="12"/>
    </row>
    <row r="76" customFormat="false" ht="12.75" hidden="false" customHeight="true" outlineLevel="0" collapsed="false">
      <c r="A76" s="2" t="n">
        <v>75</v>
      </c>
      <c r="B76" s="8" t="n">
        <v>187539</v>
      </c>
      <c r="C76" s="7" t="s">
        <v>148</v>
      </c>
      <c r="D76" s="7" t="s">
        <v>149</v>
      </c>
      <c r="E76" s="11"/>
      <c r="F76" s="11"/>
      <c r="G76" s="11"/>
      <c r="H76" s="11"/>
      <c r="I76" s="12"/>
    </row>
    <row r="77" customFormat="false" ht="12.75" hidden="false" customHeight="true" outlineLevel="0" collapsed="false">
      <c r="A77" s="6" t="n">
        <v>76</v>
      </c>
      <c r="B77" s="2" t="n">
        <v>203715</v>
      </c>
      <c r="C77" s="7" t="s">
        <v>133</v>
      </c>
      <c r="D77" s="7" t="s">
        <v>150</v>
      </c>
      <c r="E77" s="11"/>
      <c r="F77" s="11"/>
      <c r="G77" s="11"/>
      <c r="H77" s="11"/>
      <c r="I77" s="12"/>
    </row>
    <row r="78" customFormat="false" ht="12.75" hidden="false" customHeight="true" outlineLevel="0" collapsed="false">
      <c r="A78" s="2" t="n">
        <v>77</v>
      </c>
      <c r="B78" s="3" t="n">
        <v>203055</v>
      </c>
      <c r="C78" s="4" t="s">
        <v>151</v>
      </c>
      <c r="D78" s="4" t="s">
        <v>152</v>
      </c>
      <c r="E78" s="13"/>
      <c r="F78" s="13"/>
      <c r="G78" s="13"/>
      <c r="H78" s="13"/>
      <c r="I78" s="12"/>
    </row>
    <row r="79" customFormat="false" ht="12.75" hidden="false" customHeight="true" outlineLevel="0" collapsed="false">
      <c r="A79" s="6" t="n">
        <v>78</v>
      </c>
      <c r="B79" s="2" t="n">
        <v>212445</v>
      </c>
      <c r="C79" s="7" t="s">
        <v>153</v>
      </c>
      <c r="D79" s="7" t="s">
        <v>154</v>
      </c>
      <c r="E79" s="11"/>
      <c r="F79" s="11"/>
      <c r="G79" s="11"/>
      <c r="H79" s="11"/>
      <c r="I79" s="12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4" width="4.57"/>
    <col collapsed="false" customWidth="false" hidden="false" outlineLevel="0" max="2" min="2" style="14" width="11.57"/>
    <col collapsed="false" customWidth="true" hidden="false" outlineLevel="0" max="3" min="3" style="14" width="22.71"/>
    <col collapsed="false" customWidth="true" hidden="false" outlineLevel="0" max="4" min="4" style="14" width="20.85"/>
    <col collapsed="false" customWidth="false" hidden="false" outlineLevel="0" max="16384" min="5" style="14" width="11.57"/>
  </cols>
  <sheetData>
    <row r="1" customFormat="false" ht="12.75" hidden="false" customHeight="false" outlineLevel="0" collapsed="false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customFormat="false" ht="12.75" hidden="false" customHeight="true" outlineLevel="0" collapsed="false">
      <c r="A2" s="2" t="n">
        <v>1</v>
      </c>
      <c r="B2" s="2" t="n">
        <v>116942</v>
      </c>
      <c r="C2" s="2" t="s">
        <v>102</v>
      </c>
      <c r="D2" s="15" t="s">
        <v>155</v>
      </c>
      <c r="E2" s="15" t="n">
        <v>4</v>
      </c>
      <c r="F2" s="15" t="n">
        <v>7</v>
      </c>
      <c r="G2" s="15" t="n">
        <v>5</v>
      </c>
      <c r="H2" s="15" t="n">
        <v>0</v>
      </c>
      <c r="I2" s="5" t="n">
        <f aca="false">SUM(E2:H2)</f>
        <v>16</v>
      </c>
      <c r="J2" s="0"/>
      <c r="K2" s="0"/>
    </row>
    <row r="3" customFormat="false" ht="12.75" hidden="false" customHeight="true" outlineLevel="0" collapsed="false">
      <c r="A3" s="2" t="n">
        <v>2</v>
      </c>
      <c r="B3" s="2" t="n">
        <v>90502</v>
      </c>
      <c r="C3" s="2" t="s">
        <v>156</v>
      </c>
      <c r="D3" s="15" t="s">
        <v>157</v>
      </c>
      <c r="E3" s="15" t="n">
        <v>7</v>
      </c>
      <c r="F3" s="15" t="n">
        <v>0</v>
      </c>
      <c r="G3" s="15" t="n">
        <v>5</v>
      </c>
      <c r="H3" s="15" t="n">
        <v>0</v>
      </c>
      <c r="I3" s="5" t="n">
        <f aca="false">SUM(E3:H3)</f>
        <v>12</v>
      </c>
      <c r="J3" s="0"/>
      <c r="K3" s="0"/>
    </row>
    <row r="4" customFormat="false" ht="12.75" hidden="false" customHeight="true" outlineLevel="0" collapsed="false">
      <c r="A4" s="2" t="n">
        <v>3</v>
      </c>
      <c r="B4" s="2" t="n">
        <v>77419</v>
      </c>
      <c r="C4" s="2" t="s">
        <v>158</v>
      </c>
      <c r="D4" s="15" t="s">
        <v>159</v>
      </c>
      <c r="E4" s="15" t="n">
        <v>4</v>
      </c>
      <c r="F4" s="15" t="n">
        <v>7</v>
      </c>
      <c r="G4" s="15" t="n">
        <v>0</v>
      </c>
      <c r="H4" s="15" t="n">
        <v>0</v>
      </c>
      <c r="I4" s="5" t="n">
        <f aca="false">SUM(E4:H4)</f>
        <v>11</v>
      </c>
      <c r="J4" s="0"/>
      <c r="K4" s="0"/>
    </row>
    <row r="5" customFormat="false" ht="12.75" hidden="false" customHeight="true" outlineLevel="0" collapsed="false">
      <c r="A5" s="2" t="n">
        <v>4</v>
      </c>
      <c r="B5" s="2" t="n">
        <v>80026</v>
      </c>
      <c r="C5" s="2" t="s">
        <v>160</v>
      </c>
      <c r="D5" s="15" t="s">
        <v>50</v>
      </c>
      <c r="E5" s="15" t="n">
        <v>4</v>
      </c>
      <c r="F5" s="15" t="n">
        <v>7</v>
      </c>
      <c r="G5" s="15" t="n">
        <v>0</v>
      </c>
      <c r="H5" s="15" t="n">
        <v>0</v>
      </c>
      <c r="I5" s="5" t="n">
        <f aca="false">SUM(E5:H5)</f>
        <v>11</v>
      </c>
      <c r="J5" s="0"/>
      <c r="K5" s="0"/>
    </row>
    <row r="6" customFormat="false" ht="12.75" hidden="false" customHeight="true" outlineLevel="0" collapsed="false">
      <c r="A6" s="2" t="n">
        <v>5</v>
      </c>
      <c r="B6" s="2" t="n">
        <v>127218</v>
      </c>
      <c r="C6" s="2" t="s">
        <v>161</v>
      </c>
      <c r="D6" s="15" t="s">
        <v>162</v>
      </c>
      <c r="E6" s="15" t="n">
        <v>3</v>
      </c>
      <c r="F6" s="15" t="n">
        <v>0</v>
      </c>
      <c r="G6" s="15" t="n">
        <v>5</v>
      </c>
      <c r="H6" s="15" t="n">
        <v>1</v>
      </c>
      <c r="I6" s="5" t="n">
        <f aca="false">SUM(E6:H6)</f>
        <v>9</v>
      </c>
      <c r="J6" s="0"/>
      <c r="K6" s="0"/>
    </row>
    <row r="7" customFormat="false" ht="12.75" hidden="false" customHeight="true" outlineLevel="0" collapsed="false">
      <c r="A7" s="2" t="n">
        <v>6</v>
      </c>
      <c r="B7" s="2" t="n">
        <v>90529</v>
      </c>
      <c r="C7" s="2" t="s">
        <v>163</v>
      </c>
      <c r="D7" s="15" t="s">
        <v>61</v>
      </c>
      <c r="E7" s="15" t="n">
        <v>2</v>
      </c>
      <c r="F7" s="15" t="n">
        <v>7</v>
      </c>
      <c r="G7" s="15" t="n">
        <v>0</v>
      </c>
      <c r="H7" s="15" t="n">
        <v>0</v>
      </c>
      <c r="I7" s="5" t="n">
        <f aca="false">SUM(E7:H7)</f>
        <v>9</v>
      </c>
      <c r="J7" s="0"/>
      <c r="K7" s="0"/>
    </row>
    <row r="8" customFormat="false" ht="12.75" hidden="false" customHeight="true" outlineLevel="0" collapsed="false">
      <c r="A8" s="2" t="n">
        <v>7</v>
      </c>
      <c r="B8" s="2" t="n">
        <v>35937</v>
      </c>
      <c r="C8" s="2" t="s">
        <v>164</v>
      </c>
      <c r="D8" s="15" t="s">
        <v>165</v>
      </c>
      <c r="E8" s="15" t="n">
        <v>2</v>
      </c>
      <c r="F8" s="15" t="n">
        <v>7</v>
      </c>
      <c r="G8" s="15" t="n">
        <v>0</v>
      </c>
      <c r="H8" s="15" t="n">
        <v>0</v>
      </c>
      <c r="I8" s="5" t="n">
        <f aca="false">SUM(E8:H8)</f>
        <v>9</v>
      </c>
      <c r="J8" s="0"/>
      <c r="K8" s="0"/>
    </row>
    <row r="9" customFormat="false" ht="12.75" hidden="false" customHeight="true" outlineLevel="0" collapsed="false">
      <c r="A9" s="2" t="n">
        <v>8</v>
      </c>
      <c r="B9" s="2" t="n">
        <v>38481</v>
      </c>
      <c r="C9" s="2" t="s">
        <v>166</v>
      </c>
      <c r="D9" s="15" t="s">
        <v>167</v>
      </c>
      <c r="E9" s="15" t="n">
        <v>2</v>
      </c>
      <c r="F9" s="15" t="n">
        <v>7</v>
      </c>
      <c r="G9" s="15" t="n">
        <v>0</v>
      </c>
      <c r="H9" s="15" t="n">
        <v>0</v>
      </c>
      <c r="I9" s="5" t="n">
        <f aca="false">SUM(E9:H9)</f>
        <v>9</v>
      </c>
      <c r="J9" s="0"/>
      <c r="K9" s="0"/>
    </row>
    <row r="10" customFormat="false" ht="12.75" hidden="false" customHeight="true" outlineLevel="0" collapsed="false">
      <c r="A10" s="2" t="n">
        <v>9</v>
      </c>
      <c r="B10" s="2" t="n">
        <v>1321</v>
      </c>
      <c r="C10" s="2" t="s">
        <v>168</v>
      </c>
      <c r="D10" s="15" t="s">
        <v>169</v>
      </c>
      <c r="E10" s="15" t="n">
        <v>2</v>
      </c>
      <c r="F10" s="15" t="n">
        <v>7</v>
      </c>
      <c r="G10" s="15" t="n">
        <v>0</v>
      </c>
      <c r="H10" s="15" t="n">
        <v>0</v>
      </c>
      <c r="I10" s="5" t="n">
        <f aca="false">SUM(E10:H10)</f>
        <v>9</v>
      </c>
      <c r="J10" s="0"/>
      <c r="K10" s="0"/>
    </row>
    <row r="11" customFormat="false" ht="12.75" hidden="false" customHeight="true" outlineLevel="0" collapsed="false">
      <c r="A11" s="2" t="n">
        <v>10</v>
      </c>
      <c r="B11" s="2" t="n">
        <v>74292</v>
      </c>
      <c r="C11" s="2" t="s">
        <v>170</v>
      </c>
      <c r="D11" s="15" t="s">
        <v>171</v>
      </c>
      <c r="E11" s="15" t="n">
        <v>0</v>
      </c>
      <c r="F11" s="15" t="n">
        <v>0</v>
      </c>
      <c r="G11" s="15" t="n">
        <v>5</v>
      </c>
      <c r="H11" s="15" t="n">
        <v>3</v>
      </c>
      <c r="I11" s="5" t="n">
        <f aca="false">SUM(E11:H11)</f>
        <v>8</v>
      </c>
      <c r="J11" s="0"/>
      <c r="K11" s="0"/>
    </row>
    <row r="12" customFormat="false" ht="12.75" hidden="false" customHeight="true" outlineLevel="0" collapsed="false">
      <c r="A12" s="2" t="n">
        <v>11</v>
      </c>
      <c r="B12" s="2" t="n">
        <v>46739</v>
      </c>
      <c r="C12" s="2" t="s">
        <v>172</v>
      </c>
      <c r="D12" s="15" t="s">
        <v>173</v>
      </c>
      <c r="E12" s="15" t="n">
        <v>0</v>
      </c>
      <c r="F12" s="15" t="n">
        <v>7</v>
      </c>
      <c r="G12" s="15" t="n">
        <v>1</v>
      </c>
      <c r="H12" s="15" t="n">
        <v>0</v>
      </c>
      <c r="I12" s="5" t="n">
        <f aca="false">SUM(E12:H12)</f>
        <v>8</v>
      </c>
      <c r="J12" s="0"/>
      <c r="K12" s="0"/>
    </row>
    <row r="13" customFormat="false" ht="12.75" hidden="false" customHeight="true" outlineLevel="0" collapsed="false">
      <c r="A13" s="2" t="n">
        <v>12</v>
      </c>
      <c r="B13" s="16" t="n">
        <v>38453</v>
      </c>
      <c r="C13" s="16" t="s">
        <v>174</v>
      </c>
      <c r="D13" s="17" t="s">
        <v>175</v>
      </c>
      <c r="E13" s="15" t="n">
        <v>0</v>
      </c>
      <c r="F13" s="15" t="n">
        <v>7</v>
      </c>
      <c r="G13" s="15" t="n">
        <v>0</v>
      </c>
      <c r="H13" s="15" t="n">
        <v>0</v>
      </c>
      <c r="I13" s="5" t="n">
        <f aca="false">SUM(E13:H13)</f>
        <v>7</v>
      </c>
      <c r="J13" s="0"/>
      <c r="K13" s="0"/>
    </row>
    <row r="14" customFormat="false" ht="12.75" hidden="false" customHeight="true" outlineLevel="0" collapsed="false">
      <c r="A14" s="2" t="n">
        <v>13</v>
      </c>
      <c r="B14" s="2" t="n">
        <v>165872</v>
      </c>
      <c r="C14" s="2" t="s">
        <v>176</v>
      </c>
      <c r="D14" s="15" t="s">
        <v>177</v>
      </c>
      <c r="E14" s="15" t="n">
        <v>0</v>
      </c>
      <c r="F14" s="15" t="n">
        <v>7</v>
      </c>
      <c r="G14" s="15" t="n">
        <v>0</v>
      </c>
      <c r="H14" s="15" t="n">
        <v>0</v>
      </c>
      <c r="I14" s="5" t="n">
        <f aca="false">SUM(E14:H14)</f>
        <v>7</v>
      </c>
      <c r="J14" s="0"/>
      <c r="K14" s="0"/>
    </row>
    <row r="15" customFormat="false" ht="12.75" hidden="false" customHeight="true" outlineLevel="0" collapsed="false">
      <c r="A15" s="2" t="n">
        <v>14</v>
      </c>
      <c r="B15" s="2" t="n">
        <v>140739</v>
      </c>
      <c r="C15" s="2" t="s">
        <v>178</v>
      </c>
      <c r="D15" s="15" t="s">
        <v>179</v>
      </c>
      <c r="E15" s="15" t="n">
        <v>0</v>
      </c>
      <c r="F15" s="15" t="n">
        <v>6</v>
      </c>
      <c r="G15" s="15" t="n">
        <v>0</v>
      </c>
      <c r="H15" s="15" t="n">
        <v>0</v>
      </c>
      <c r="I15" s="5" t="n">
        <f aca="false">SUM(E15:H15)</f>
        <v>6</v>
      </c>
      <c r="J15" s="0"/>
      <c r="K15" s="0"/>
    </row>
    <row r="16" customFormat="false" ht="12.75" hidden="false" customHeight="true" outlineLevel="0" collapsed="false">
      <c r="A16" s="2" t="n">
        <v>15</v>
      </c>
      <c r="B16" s="2" t="n">
        <v>117114</v>
      </c>
      <c r="C16" s="2" t="s">
        <v>180</v>
      </c>
      <c r="D16" s="15" t="s">
        <v>132</v>
      </c>
      <c r="E16" s="15" t="n">
        <v>0</v>
      </c>
      <c r="F16" s="15" t="n">
        <v>0</v>
      </c>
      <c r="G16" s="15" t="n">
        <v>4</v>
      </c>
      <c r="H16" s="15" t="n">
        <v>1</v>
      </c>
      <c r="I16" s="5" t="n">
        <f aca="false">SUM(E16:H16)</f>
        <v>5</v>
      </c>
      <c r="J16" s="0"/>
      <c r="K16" s="0"/>
    </row>
    <row r="17" customFormat="false" ht="12.75" hidden="false" customHeight="true" outlineLevel="0" collapsed="false">
      <c r="A17" s="2" t="n">
        <v>16</v>
      </c>
      <c r="B17" s="2" t="n">
        <v>117061</v>
      </c>
      <c r="C17" s="2" t="s">
        <v>181</v>
      </c>
      <c r="D17" s="15" t="s">
        <v>182</v>
      </c>
      <c r="E17" s="15" t="n">
        <v>0</v>
      </c>
      <c r="F17" s="15" t="n">
        <v>0</v>
      </c>
      <c r="G17" s="15" t="n">
        <v>5</v>
      </c>
      <c r="H17" s="15" t="n">
        <v>0</v>
      </c>
      <c r="I17" s="5" t="n">
        <f aca="false">SUM(E17:H17)</f>
        <v>5</v>
      </c>
      <c r="J17" s="0"/>
      <c r="K17" s="0"/>
    </row>
    <row r="18" customFormat="false" ht="12.75" hidden="false" customHeight="true" outlineLevel="0" collapsed="false">
      <c r="A18" s="2" t="n">
        <v>17</v>
      </c>
      <c r="B18" s="2" t="n">
        <v>77462</v>
      </c>
      <c r="C18" s="2" t="s">
        <v>183</v>
      </c>
      <c r="D18" s="15" t="s">
        <v>184</v>
      </c>
      <c r="E18" s="15" t="n">
        <v>5</v>
      </c>
      <c r="F18" s="15" t="n">
        <v>0</v>
      </c>
      <c r="G18" s="15" t="n">
        <v>0</v>
      </c>
      <c r="H18" s="15" t="n">
        <v>0</v>
      </c>
      <c r="I18" s="5" t="n">
        <f aca="false">SUM(E18:H18)</f>
        <v>5</v>
      </c>
      <c r="J18" s="0"/>
      <c r="K18" s="0"/>
    </row>
    <row r="19" customFormat="false" ht="12.75" hidden="false" customHeight="true" outlineLevel="0" collapsed="false">
      <c r="A19" s="2" t="n">
        <v>18</v>
      </c>
      <c r="B19" s="2" t="n">
        <v>117103</v>
      </c>
      <c r="C19" s="2" t="s">
        <v>185</v>
      </c>
      <c r="D19" s="15" t="s">
        <v>186</v>
      </c>
      <c r="E19" s="15" t="n">
        <v>0</v>
      </c>
      <c r="F19" s="15" t="n">
        <v>0</v>
      </c>
      <c r="G19" s="15" t="n">
        <v>4</v>
      </c>
      <c r="H19" s="15" t="n">
        <v>0</v>
      </c>
      <c r="I19" s="5" t="n">
        <f aca="false">SUM(E19:H19)</f>
        <v>4</v>
      </c>
      <c r="J19" s="0"/>
      <c r="K19" s="0"/>
    </row>
    <row r="20" customFormat="false" ht="12.75" hidden="false" customHeight="true" outlineLevel="0" collapsed="false">
      <c r="A20" s="2" t="n">
        <v>19</v>
      </c>
      <c r="B20" s="2" t="n">
        <v>77382</v>
      </c>
      <c r="C20" s="2" t="s">
        <v>187</v>
      </c>
      <c r="D20" s="15" t="s">
        <v>188</v>
      </c>
      <c r="E20" s="15" t="n">
        <v>4</v>
      </c>
      <c r="F20" s="15" t="n">
        <v>0</v>
      </c>
      <c r="G20" s="15" t="n">
        <v>0</v>
      </c>
      <c r="H20" s="15" t="n">
        <v>0</v>
      </c>
      <c r="I20" s="5" t="n">
        <f aca="false">SUM(E20:H20)</f>
        <v>4</v>
      </c>
      <c r="J20" s="0"/>
      <c r="K20" s="0"/>
    </row>
    <row r="21" customFormat="false" ht="12.75" hidden="false" customHeight="true" outlineLevel="0" collapsed="false">
      <c r="A21" s="2" t="n">
        <v>20</v>
      </c>
      <c r="B21" s="2" t="n">
        <v>74293</v>
      </c>
      <c r="C21" s="2" t="s">
        <v>189</v>
      </c>
      <c r="D21" s="15" t="s">
        <v>190</v>
      </c>
      <c r="E21" s="15" t="n">
        <v>2</v>
      </c>
      <c r="F21" s="15" t="n">
        <v>0</v>
      </c>
      <c r="G21" s="15" t="n">
        <v>0</v>
      </c>
      <c r="H21" s="15" t="n">
        <v>0</v>
      </c>
      <c r="I21" s="5" t="n">
        <f aca="false">SUM(E21:H21)</f>
        <v>2</v>
      </c>
      <c r="J21" s="0"/>
      <c r="K21" s="0"/>
    </row>
    <row r="22" customFormat="false" ht="12.75" hidden="false" customHeight="true" outlineLevel="0" collapsed="false">
      <c r="A22" s="2" t="n">
        <v>21</v>
      </c>
      <c r="B22" s="2" t="n">
        <v>114554</v>
      </c>
      <c r="C22" s="2" t="s">
        <v>55</v>
      </c>
      <c r="D22" s="15" t="s">
        <v>40</v>
      </c>
      <c r="E22" s="15" t="n">
        <v>2</v>
      </c>
      <c r="F22" s="15" t="n">
        <v>0</v>
      </c>
      <c r="G22" s="15" t="n">
        <v>0</v>
      </c>
      <c r="H22" s="15" t="n">
        <v>0</v>
      </c>
      <c r="I22" s="5" t="n">
        <f aca="false">SUM(E22:H22)</f>
        <v>2</v>
      </c>
      <c r="J22" s="0"/>
      <c r="K22" s="0"/>
    </row>
    <row r="23" customFormat="false" ht="12.75" hidden="false" customHeight="true" outlineLevel="0" collapsed="false">
      <c r="A23" s="2" t="n">
        <v>22</v>
      </c>
      <c r="B23" s="2" t="n">
        <v>169240</v>
      </c>
      <c r="C23" s="2" t="s">
        <v>191</v>
      </c>
      <c r="D23" s="15" t="s">
        <v>192</v>
      </c>
      <c r="E23" s="15" t="n">
        <v>2</v>
      </c>
      <c r="F23" s="15" t="n">
        <v>0</v>
      </c>
      <c r="G23" s="15" t="n">
        <v>0</v>
      </c>
      <c r="H23" s="15" t="n">
        <v>0</v>
      </c>
      <c r="I23" s="5" t="n">
        <f aca="false">SUM(E23:H23)</f>
        <v>2</v>
      </c>
      <c r="J23" s="0"/>
      <c r="K23" s="0"/>
    </row>
    <row r="24" customFormat="false" ht="12.75" hidden="false" customHeight="true" outlineLevel="0" collapsed="false">
      <c r="A24" s="2" t="n">
        <v>23</v>
      </c>
      <c r="B24" s="2" t="n">
        <v>135438</v>
      </c>
      <c r="C24" s="2" t="s">
        <v>193</v>
      </c>
      <c r="D24" s="15" t="s">
        <v>194</v>
      </c>
      <c r="E24" s="15" t="n">
        <v>0</v>
      </c>
      <c r="F24" s="15" t="n">
        <v>0</v>
      </c>
      <c r="G24" s="15" t="n">
        <v>0</v>
      </c>
      <c r="H24" s="15" t="n">
        <v>1</v>
      </c>
      <c r="I24" s="5" t="n">
        <f aca="false">SUM(E24:H24)</f>
        <v>1</v>
      </c>
      <c r="J24" s="0"/>
      <c r="K24" s="0"/>
    </row>
    <row r="25" customFormat="false" ht="12.75" hidden="false" customHeight="true" outlineLevel="0" collapsed="false">
      <c r="A25" s="2" t="n">
        <v>24</v>
      </c>
      <c r="B25" s="2" t="n">
        <v>112592</v>
      </c>
      <c r="C25" s="2" t="s">
        <v>195</v>
      </c>
      <c r="D25" s="15" t="s">
        <v>196</v>
      </c>
      <c r="E25" s="15" t="n">
        <v>0</v>
      </c>
      <c r="F25" s="15" t="n">
        <v>0</v>
      </c>
      <c r="G25" s="15" t="n">
        <v>0</v>
      </c>
      <c r="H25" s="15" t="n">
        <v>1</v>
      </c>
      <c r="I25" s="5" t="n">
        <f aca="false">SUM(E25:H25)</f>
        <v>1</v>
      </c>
      <c r="J25" s="0"/>
      <c r="K25" s="0"/>
    </row>
    <row r="26" customFormat="false" ht="12.75" hidden="false" customHeight="true" outlineLevel="0" collapsed="false">
      <c r="A26" s="2" t="n">
        <v>25</v>
      </c>
      <c r="B26" s="2" t="n">
        <v>116516</v>
      </c>
      <c r="C26" s="2" t="s">
        <v>197</v>
      </c>
      <c r="D26" s="15" t="s">
        <v>198</v>
      </c>
      <c r="E26" s="15" t="n">
        <v>0</v>
      </c>
      <c r="F26" s="15" t="n">
        <v>0</v>
      </c>
      <c r="G26" s="15" t="n">
        <v>0</v>
      </c>
      <c r="H26" s="15" t="n">
        <v>0</v>
      </c>
      <c r="I26" s="5" t="n">
        <f aca="false">SUM(E26:H26)</f>
        <v>0</v>
      </c>
      <c r="J26" s="0"/>
      <c r="K26" s="0"/>
    </row>
    <row r="27" customFormat="false" ht="12.75" hidden="false" customHeight="true" outlineLevel="0" collapsed="false">
      <c r="A27" s="2" t="n">
        <v>26</v>
      </c>
      <c r="B27" s="16" t="n">
        <v>203926</v>
      </c>
      <c r="C27" s="16" t="s">
        <v>199</v>
      </c>
      <c r="D27" s="17" t="s">
        <v>88</v>
      </c>
      <c r="E27" s="15" t="n">
        <v>0</v>
      </c>
      <c r="F27" s="15" t="n">
        <v>0</v>
      </c>
      <c r="G27" s="15" t="n">
        <v>0</v>
      </c>
      <c r="H27" s="15" t="n">
        <v>0</v>
      </c>
      <c r="I27" s="5" t="n">
        <f aca="false">SUM(E27:H27)</f>
        <v>0</v>
      </c>
      <c r="J27" s="0"/>
      <c r="K27" s="0"/>
    </row>
    <row r="28" customFormat="false" ht="12.75" hidden="false" customHeight="true" outlineLevel="0" collapsed="false">
      <c r="A28" s="2" t="n">
        <v>27</v>
      </c>
      <c r="B28" s="16" t="n">
        <v>162000</v>
      </c>
      <c r="C28" s="16" t="s">
        <v>200</v>
      </c>
      <c r="D28" s="18" t="s">
        <v>201</v>
      </c>
      <c r="E28" s="19" t="n">
        <v>0</v>
      </c>
      <c r="F28" s="19" t="n">
        <v>0</v>
      </c>
      <c r="G28" s="19" t="n">
        <v>0</v>
      </c>
      <c r="H28" s="19" t="n">
        <v>0</v>
      </c>
      <c r="I28" s="5" t="n">
        <f aca="false">SUM(E28:H28)</f>
        <v>0</v>
      </c>
      <c r="J28" s="0"/>
      <c r="K28" s="0"/>
    </row>
    <row r="29" customFormat="false" ht="12.75" hidden="false" customHeight="true" outlineLevel="0" collapsed="false">
      <c r="A29" s="2" t="n">
        <v>28</v>
      </c>
      <c r="B29" s="2" t="n">
        <v>174059</v>
      </c>
      <c r="C29" s="2" t="s">
        <v>151</v>
      </c>
      <c r="D29" s="15" t="s">
        <v>202</v>
      </c>
      <c r="E29" s="15" t="n">
        <v>0</v>
      </c>
      <c r="F29" s="15" t="n">
        <v>0</v>
      </c>
      <c r="G29" s="15" t="n">
        <v>0</v>
      </c>
      <c r="H29" s="15" t="n">
        <v>0</v>
      </c>
      <c r="I29" s="5" t="n">
        <f aca="false">SUM(E29:H29)</f>
        <v>0</v>
      </c>
      <c r="J29" s="0"/>
      <c r="K29" s="0"/>
    </row>
    <row r="30" customFormat="false" ht="12.75" hidden="false" customHeight="true" outlineLevel="0" collapsed="false">
      <c r="A30" s="2" t="n">
        <v>29</v>
      </c>
      <c r="B30" s="2" t="n">
        <v>135365</v>
      </c>
      <c r="C30" s="2" t="s">
        <v>203</v>
      </c>
      <c r="D30" s="15" t="s">
        <v>204</v>
      </c>
      <c r="E30" s="15" t="n">
        <v>0</v>
      </c>
      <c r="F30" s="15" t="n">
        <v>0</v>
      </c>
      <c r="G30" s="15" t="n">
        <v>0</v>
      </c>
      <c r="H30" s="15" t="n">
        <v>0</v>
      </c>
      <c r="I30" s="5" t="n">
        <f aca="false">SUM(E30:H30)</f>
        <v>0</v>
      </c>
      <c r="J30" s="0"/>
      <c r="K30" s="0"/>
    </row>
    <row r="31" customFormat="false" ht="12.75" hidden="false" customHeight="true" outlineLevel="0" collapsed="false">
      <c r="A31" s="2" t="n">
        <v>30</v>
      </c>
      <c r="B31" s="2" t="n">
        <v>119989</v>
      </c>
      <c r="C31" s="16" t="s">
        <v>205</v>
      </c>
      <c r="D31" s="17" t="s">
        <v>206</v>
      </c>
      <c r="E31" s="15" t="n">
        <v>0</v>
      </c>
      <c r="F31" s="15" t="n">
        <v>0</v>
      </c>
      <c r="G31" s="15" t="n">
        <v>0</v>
      </c>
      <c r="H31" s="15" t="n">
        <v>0</v>
      </c>
      <c r="I31" s="5" t="n">
        <f aca="false">SUM(E31:H31)</f>
        <v>0</v>
      </c>
      <c r="J31" s="0"/>
      <c r="K31" s="0"/>
    </row>
    <row r="32" customFormat="false" ht="12.75" hidden="false" customHeight="true" outlineLevel="0" collapsed="false">
      <c r="A32" s="2" t="n">
        <v>31</v>
      </c>
      <c r="B32" s="2" t="n">
        <v>74300</v>
      </c>
      <c r="C32" s="2" t="s">
        <v>207</v>
      </c>
      <c r="D32" s="15" t="s">
        <v>40</v>
      </c>
      <c r="E32" s="15" t="n">
        <v>0</v>
      </c>
      <c r="F32" s="15" t="n">
        <v>0</v>
      </c>
      <c r="G32" s="15" t="n">
        <v>0</v>
      </c>
      <c r="H32" s="15" t="n">
        <v>0</v>
      </c>
      <c r="I32" s="5" t="n">
        <f aca="false">SUM(E32:H32)</f>
        <v>0</v>
      </c>
      <c r="J32" s="0"/>
      <c r="K32" s="0"/>
    </row>
    <row r="33" customFormat="false" ht="12.75" hidden="false" customHeight="true" outlineLevel="0" collapsed="false">
      <c r="A33" s="2" t="n">
        <v>32</v>
      </c>
      <c r="B33" s="2" t="n">
        <v>150687</v>
      </c>
      <c r="C33" s="2" t="s">
        <v>116</v>
      </c>
      <c r="D33" s="15" t="s">
        <v>208</v>
      </c>
      <c r="E33" s="15" t="n">
        <v>0</v>
      </c>
      <c r="F33" s="15" t="n">
        <v>0</v>
      </c>
      <c r="G33" s="15" t="n">
        <v>0</v>
      </c>
      <c r="H33" s="15" t="n">
        <v>0</v>
      </c>
      <c r="I33" s="5" t="n">
        <f aca="false">SUM(E33:H33)</f>
        <v>0</v>
      </c>
      <c r="J33" s="0"/>
      <c r="K33" s="0"/>
    </row>
    <row r="34" customFormat="false" ht="12.75" hidden="false" customHeight="true" outlineLevel="0" collapsed="false">
      <c r="A34" s="2" t="n">
        <v>33</v>
      </c>
      <c r="B34" s="16" t="n">
        <v>169146</v>
      </c>
      <c r="C34" s="16" t="s">
        <v>209</v>
      </c>
      <c r="D34" s="17" t="s">
        <v>210</v>
      </c>
      <c r="E34" s="15" t="n">
        <v>0</v>
      </c>
      <c r="F34" s="15" t="n">
        <v>0</v>
      </c>
      <c r="G34" s="15" t="n">
        <v>0</v>
      </c>
      <c r="H34" s="15" t="n">
        <v>0</v>
      </c>
      <c r="I34" s="5" t="n">
        <f aca="false">SUM(E34:H34)</f>
        <v>0</v>
      </c>
      <c r="J34" s="0"/>
      <c r="K34" s="0"/>
    </row>
    <row r="35" customFormat="false" ht="12.75" hidden="false" customHeight="true" outlineLevel="0" collapsed="false">
      <c r="A35" s="2" t="n">
        <v>34</v>
      </c>
      <c r="B35" s="2" t="n">
        <v>122723</v>
      </c>
      <c r="C35" s="2" t="s">
        <v>199</v>
      </c>
      <c r="D35" s="15" t="s">
        <v>211</v>
      </c>
      <c r="E35" s="15" t="n">
        <v>0</v>
      </c>
      <c r="F35" s="15" t="n">
        <v>0</v>
      </c>
      <c r="G35" s="15" t="n">
        <v>0</v>
      </c>
      <c r="H35" s="15" t="n">
        <v>0</v>
      </c>
      <c r="I35" s="5" t="n">
        <f aca="false">SUM(E35:H35)</f>
        <v>0</v>
      </c>
      <c r="J35" s="0"/>
      <c r="K35" s="0"/>
    </row>
    <row r="36" customFormat="false" ht="12.75" hidden="false" customHeight="true" outlineLevel="0" collapsed="false">
      <c r="A36" s="2" t="n">
        <v>35</v>
      </c>
      <c r="B36" s="2" t="n">
        <v>194724</v>
      </c>
      <c r="C36" s="2" t="s">
        <v>212</v>
      </c>
      <c r="D36" s="15" t="s">
        <v>213</v>
      </c>
      <c r="E36" s="15" t="n">
        <v>0</v>
      </c>
      <c r="F36" s="15" t="n">
        <v>0</v>
      </c>
      <c r="G36" s="15" t="n">
        <v>0</v>
      </c>
      <c r="H36" s="15" t="n">
        <v>0</v>
      </c>
      <c r="I36" s="5" t="n">
        <f aca="false">SUM(E36:H36)</f>
        <v>0</v>
      </c>
      <c r="J36" s="0"/>
      <c r="K36" s="0"/>
    </row>
    <row r="37" customFormat="false" ht="12.75" hidden="false" customHeight="true" outlineLevel="0" collapsed="false">
      <c r="A37" s="2" t="n">
        <v>36</v>
      </c>
      <c r="B37" s="16" t="n">
        <v>132061</v>
      </c>
      <c r="C37" s="16" t="s">
        <v>214</v>
      </c>
      <c r="D37" s="17" t="s">
        <v>215</v>
      </c>
      <c r="E37" s="15" t="n">
        <v>0</v>
      </c>
      <c r="F37" s="15" t="n">
        <v>0</v>
      </c>
      <c r="G37" s="15" t="n">
        <v>0</v>
      </c>
      <c r="H37" s="15" t="n">
        <v>0</v>
      </c>
      <c r="I37" s="5" t="n">
        <f aca="false">SUM(E37:H37)</f>
        <v>0</v>
      </c>
      <c r="J37" s="0"/>
      <c r="K37" s="0"/>
    </row>
    <row r="38" customFormat="false" ht="12.75" hidden="false" customHeight="true" outlineLevel="0" collapsed="false">
      <c r="A38" s="2" t="n">
        <v>37</v>
      </c>
      <c r="B38" s="2" t="n">
        <v>135661</v>
      </c>
      <c r="C38" s="2" t="s">
        <v>216</v>
      </c>
      <c r="D38" s="15" t="s">
        <v>217</v>
      </c>
      <c r="E38" s="15" t="n">
        <v>0</v>
      </c>
      <c r="F38" s="15" t="n">
        <v>0</v>
      </c>
      <c r="G38" s="15" t="n">
        <v>0</v>
      </c>
      <c r="H38" s="15" t="n">
        <v>0</v>
      </c>
      <c r="I38" s="5" t="n">
        <f aca="false">SUM(E38:H38)</f>
        <v>0</v>
      </c>
      <c r="J38" s="0"/>
      <c r="K38" s="0"/>
    </row>
    <row r="39" customFormat="false" ht="12.75" hidden="false" customHeight="true" outlineLevel="0" collapsed="false">
      <c r="A39" s="2" t="n">
        <v>38</v>
      </c>
      <c r="B39" s="16" t="n">
        <v>89375</v>
      </c>
      <c r="C39" s="16" t="s">
        <v>218</v>
      </c>
      <c r="D39" s="17" t="s">
        <v>219</v>
      </c>
      <c r="E39" s="15" t="n">
        <v>0</v>
      </c>
      <c r="F39" s="15" t="n">
        <v>0</v>
      </c>
      <c r="G39" s="15" t="n">
        <v>0</v>
      </c>
      <c r="H39" s="15" t="n">
        <v>0</v>
      </c>
      <c r="I39" s="5" t="n">
        <f aca="false">SUM(E39:H39)</f>
        <v>0</v>
      </c>
      <c r="J39" s="0"/>
      <c r="K39" s="0"/>
    </row>
    <row r="40" customFormat="false" ht="12.75" hidden="false" customHeight="true" outlineLevel="0" collapsed="false">
      <c r="A40" s="2" t="n">
        <v>39</v>
      </c>
      <c r="B40" s="2" t="n">
        <v>117030</v>
      </c>
      <c r="C40" s="2" t="s">
        <v>61</v>
      </c>
      <c r="D40" s="15" t="s">
        <v>220</v>
      </c>
      <c r="E40" s="15" t="n">
        <v>0</v>
      </c>
      <c r="F40" s="15" t="n">
        <v>0</v>
      </c>
      <c r="G40" s="15" t="n">
        <v>0</v>
      </c>
      <c r="H40" s="15" t="n">
        <v>0</v>
      </c>
      <c r="I40" s="5" t="n">
        <f aca="false">SUM(E40:H40)</f>
        <v>0</v>
      </c>
      <c r="J40" s="0"/>
      <c r="K40" s="0"/>
    </row>
    <row r="41" customFormat="false" ht="12.75" hidden="false" customHeight="true" outlineLevel="0" collapsed="false">
      <c r="A41" s="2" t="n">
        <v>40</v>
      </c>
      <c r="B41" s="2" t="n">
        <v>116889</v>
      </c>
      <c r="C41" s="2" t="s">
        <v>221</v>
      </c>
      <c r="D41" s="15" t="s">
        <v>222</v>
      </c>
      <c r="E41" s="15" t="n">
        <v>0</v>
      </c>
      <c r="F41" s="15" t="n">
        <v>0</v>
      </c>
      <c r="G41" s="15" t="n">
        <v>0</v>
      </c>
      <c r="H41" s="15" t="n">
        <v>0</v>
      </c>
      <c r="I41" s="5" t="n">
        <f aca="false">SUM(E41:H41)</f>
        <v>0</v>
      </c>
      <c r="J41" s="0"/>
      <c r="K41" s="0"/>
    </row>
    <row r="42" customFormat="false" ht="12.75" hidden="false" customHeight="true" outlineLevel="0" collapsed="false">
      <c r="A42" s="2" t="n">
        <v>41</v>
      </c>
      <c r="B42" s="2" t="n">
        <v>211872</v>
      </c>
      <c r="C42" s="2" t="s">
        <v>23</v>
      </c>
      <c r="D42" s="15" t="s">
        <v>223</v>
      </c>
      <c r="E42" s="15" t="n">
        <v>0</v>
      </c>
      <c r="F42" s="15" t="n">
        <v>0</v>
      </c>
      <c r="G42" s="15" t="n">
        <v>0</v>
      </c>
      <c r="H42" s="15" t="n">
        <v>0</v>
      </c>
      <c r="I42" s="5" t="n">
        <f aca="false">SUM(E42:H42)</f>
        <v>0</v>
      </c>
      <c r="J42" s="0"/>
      <c r="K42" s="0"/>
    </row>
    <row r="43" customFormat="false" ht="12.75" hidden="false" customHeight="true" outlineLevel="0" collapsed="false">
      <c r="A43" s="2" t="n">
        <v>42</v>
      </c>
      <c r="B43" s="16" t="n">
        <v>191175</v>
      </c>
      <c r="C43" s="16" t="s">
        <v>224</v>
      </c>
      <c r="D43" s="17" t="s">
        <v>225</v>
      </c>
      <c r="E43" s="15" t="n">
        <v>0</v>
      </c>
      <c r="F43" s="15" t="n">
        <v>0</v>
      </c>
      <c r="G43" s="15" t="n">
        <v>0</v>
      </c>
      <c r="H43" s="15" t="n">
        <v>0</v>
      </c>
      <c r="I43" s="5" t="n">
        <f aca="false">SUM(E43:H43)</f>
        <v>0</v>
      </c>
      <c r="J43" s="0"/>
      <c r="K43" s="0"/>
    </row>
    <row r="44" customFormat="false" ht="12.75" hidden="false" customHeight="true" outlineLevel="0" collapsed="false">
      <c r="A44" s="2" t="n">
        <v>43</v>
      </c>
      <c r="B44" s="2" t="n">
        <v>116510</v>
      </c>
      <c r="C44" s="2" t="s">
        <v>226</v>
      </c>
      <c r="D44" s="15" t="s">
        <v>162</v>
      </c>
      <c r="E44" s="15" t="n">
        <v>0</v>
      </c>
      <c r="F44" s="15" t="n">
        <v>0</v>
      </c>
      <c r="G44" s="15" t="n">
        <v>0</v>
      </c>
      <c r="H44" s="15" t="n">
        <v>0</v>
      </c>
      <c r="I44" s="5" t="n">
        <f aca="false">SUM(E44:H44)</f>
        <v>0</v>
      </c>
      <c r="J44" s="0"/>
      <c r="K44" s="0"/>
    </row>
    <row r="45" customFormat="false" ht="12.75" hidden="false" customHeight="true" outlineLevel="0" collapsed="false">
      <c r="A45" s="2" t="n">
        <v>44</v>
      </c>
      <c r="B45" s="16" t="n">
        <v>211933</v>
      </c>
      <c r="C45" s="16" t="s">
        <v>227</v>
      </c>
      <c r="D45" s="17" t="s">
        <v>228</v>
      </c>
      <c r="E45" s="15" t="n">
        <v>0</v>
      </c>
      <c r="F45" s="15" t="n">
        <v>0</v>
      </c>
      <c r="G45" s="15" t="n">
        <v>0</v>
      </c>
      <c r="H45" s="15" t="n">
        <v>0</v>
      </c>
      <c r="I45" s="5" t="n">
        <f aca="false">SUM(E45:H45)</f>
        <v>0</v>
      </c>
      <c r="J45" s="0"/>
      <c r="K45" s="0"/>
    </row>
    <row r="46" customFormat="false" ht="12.75" hidden="false" customHeight="true" outlineLevel="0" collapsed="false">
      <c r="A46" s="2" t="n">
        <v>45</v>
      </c>
      <c r="B46" s="2" t="n">
        <v>113894</v>
      </c>
      <c r="C46" s="2" t="s">
        <v>229</v>
      </c>
      <c r="D46" s="15" t="s">
        <v>230</v>
      </c>
      <c r="E46" s="15" t="n">
        <v>0</v>
      </c>
      <c r="F46" s="15" t="n">
        <v>0</v>
      </c>
      <c r="G46" s="15" t="n">
        <v>0</v>
      </c>
      <c r="H46" s="15" t="n">
        <v>0</v>
      </c>
      <c r="I46" s="5" t="n">
        <f aca="false">SUM(E46:H46)</f>
        <v>0</v>
      </c>
      <c r="J46" s="0"/>
      <c r="K46" s="0"/>
    </row>
    <row r="47" customFormat="false" ht="12.75" hidden="false" customHeight="true" outlineLevel="0" collapsed="false">
      <c r="A47" s="2" t="n">
        <v>46</v>
      </c>
      <c r="B47" s="2" t="n">
        <v>90469</v>
      </c>
      <c r="C47" s="2" t="s">
        <v>22</v>
      </c>
      <c r="D47" s="15" t="s">
        <v>231</v>
      </c>
      <c r="E47" s="15" t="n">
        <v>0</v>
      </c>
      <c r="F47" s="15" t="n">
        <v>0</v>
      </c>
      <c r="G47" s="15" t="n">
        <v>0</v>
      </c>
      <c r="H47" s="15" t="n">
        <v>0</v>
      </c>
      <c r="I47" s="5" t="n">
        <f aca="false">SUM(E47:H47)</f>
        <v>0</v>
      </c>
      <c r="J47" s="0"/>
      <c r="K47" s="0"/>
    </row>
    <row r="48" customFormat="false" ht="12.75" hidden="false" customHeight="true" outlineLevel="0" collapsed="false">
      <c r="A48" s="2" t="n">
        <v>47</v>
      </c>
      <c r="B48" s="2" t="n">
        <v>120056</v>
      </c>
      <c r="C48" s="16" t="s">
        <v>232</v>
      </c>
      <c r="D48" s="17" t="s">
        <v>130</v>
      </c>
      <c r="E48" s="15" t="n">
        <v>0</v>
      </c>
      <c r="F48" s="15" t="n">
        <v>0</v>
      </c>
      <c r="G48" s="15" t="n">
        <v>0</v>
      </c>
      <c r="H48" s="15" t="n">
        <v>0</v>
      </c>
      <c r="I48" s="5" t="n">
        <f aca="false">SUM(E48:H48)</f>
        <v>0</v>
      </c>
      <c r="J48" s="0"/>
      <c r="K48" s="0"/>
    </row>
    <row r="49" customFormat="false" ht="12.75" hidden="false" customHeight="true" outlineLevel="0" collapsed="false">
      <c r="A49" s="2" t="n">
        <v>48</v>
      </c>
      <c r="B49" s="2" t="n">
        <v>78620</v>
      </c>
      <c r="C49" s="2" t="s">
        <v>233</v>
      </c>
      <c r="D49" s="15" t="s">
        <v>162</v>
      </c>
      <c r="E49" s="15" t="n">
        <v>0</v>
      </c>
      <c r="F49" s="15" t="n">
        <v>0</v>
      </c>
      <c r="G49" s="15" t="n">
        <v>0</v>
      </c>
      <c r="H49" s="15" t="n">
        <v>0</v>
      </c>
      <c r="I49" s="5" t="n">
        <f aca="false">SUM(E49:H49)</f>
        <v>0</v>
      </c>
      <c r="J49" s="0"/>
      <c r="K49" s="0"/>
    </row>
    <row r="50" customFormat="false" ht="12.75" hidden="false" customHeight="true" outlineLevel="0" collapsed="false">
      <c r="A50" s="2" t="n">
        <v>49</v>
      </c>
      <c r="B50" s="2" t="n">
        <v>162341</v>
      </c>
      <c r="C50" s="2" t="s">
        <v>51</v>
      </c>
      <c r="D50" s="15" t="s">
        <v>234</v>
      </c>
      <c r="E50" s="15" t="n">
        <v>0</v>
      </c>
      <c r="F50" s="15" t="n">
        <v>0</v>
      </c>
      <c r="G50" s="15" t="n">
        <v>0</v>
      </c>
      <c r="H50" s="15" t="n">
        <v>0</v>
      </c>
      <c r="I50" s="5" t="n">
        <f aca="false">SUM(E50:H50)</f>
        <v>0</v>
      </c>
      <c r="J50" s="0"/>
      <c r="K50" s="0"/>
    </row>
    <row r="51" customFormat="false" ht="12.75" hidden="false" customHeight="true" outlineLevel="0" collapsed="false">
      <c r="A51" s="2" t="n">
        <v>50</v>
      </c>
      <c r="B51" s="2" t="n">
        <v>77450</v>
      </c>
      <c r="C51" s="2" t="s">
        <v>102</v>
      </c>
      <c r="D51" s="15" t="s">
        <v>235</v>
      </c>
      <c r="E51" s="15" t="n">
        <v>0</v>
      </c>
      <c r="F51" s="15" t="n">
        <v>0</v>
      </c>
      <c r="G51" s="15" t="n">
        <v>0</v>
      </c>
      <c r="H51" s="15" t="n">
        <v>0</v>
      </c>
      <c r="I51" s="5" t="n">
        <f aca="false">SUM(E51:H51)</f>
        <v>0</v>
      </c>
      <c r="J51" s="0"/>
      <c r="K51" s="0"/>
    </row>
    <row r="52" customFormat="false" ht="12.75" hidden="false" customHeight="true" outlineLevel="0" collapsed="false">
      <c r="A52" s="2" t="n">
        <v>51</v>
      </c>
      <c r="B52" s="2" t="n">
        <v>152791</v>
      </c>
      <c r="C52" s="2" t="s">
        <v>236</v>
      </c>
      <c r="D52" s="15" t="s">
        <v>237</v>
      </c>
      <c r="E52" s="15" t="n">
        <v>0</v>
      </c>
      <c r="F52" s="15" t="n">
        <v>0</v>
      </c>
      <c r="G52" s="15" t="n">
        <v>0</v>
      </c>
      <c r="H52" s="15" t="n">
        <v>0</v>
      </c>
      <c r="I52" s="5" t="n">
        <f aca="false">SUM(E52:H52)</f>
        <v>0</v>
      </c>
      <c r="J52" s="0"/>
      <c r="K52" s="0"/>
    </row>
    <row r="53" customFormat="false" ht="12.75" hidden="false" customHeight="true" outlineLevel="0" collapsed="false">
      <c r="A53" s="2" t="n">
        <v>52</v>
      </c>
      <c r="B53" s="2" t="n">
        <v>77455</v>
      </c>
      <c r="C53" s="2" t="s">
        <v>238</v>
      </c>
      <c r="D53" s="15" t="s">
        <v>239</v>
      </c>
      <c r="E53" s="15" t="n">
        <v>0</v>
      </c>
      <c r="F53" s="15" t="n">
        <v>0</v>
      </c>
      <c r="G53" s="15" t="n">
        <v>0</v>
      </c>
      <c r="H53" s="15" t="n">
        <v>0</v>
      </c>
      <c r="I53" s="5" t="n">
        <f aca="false">SUM(E53:H53)</f>
        <v>0</v>
      </c>
      <c r="J53" s="0"/>
      <c r="K53" s="0"/>
    </row>
    <row r="54" customFormat="false" ht="12.75" hidden="false" customHeight="true" outlineLevel="0" collapsed="false">
      <c r="A54" s="2" t="n">
        <v>53</v>
      </c>
      <c r="B54" s="2" t="n">
        <v>126341</v>
      </c>
      <c r="C54" s="2" t="s">
        <v>240</v>
      </c>
      <c r="D54" s="15" t="s">
        <v>241</v>
      </c>
      <c r="E54" s="15" t="n">
        <v>0</v>
      </c>
      <c r="F54" s="15" t="n">
        <v>0</v>
      </c>
      <c r="G54" s="15" t="n">
        <v>0</v>
      </c>
      <c r="H54" s="15" t="n">
        <v>0</v>
      </c>
      <c r="I54" s="5" t="n">
        <f aca="false">SUM(E54:H54)</f>
        <v>0</v>
      </c>
      <c r="J54" s="0"/>
      <c r="K54" s="0"/>
    </row>
    <row r="55" customFormat="false" ht="12.75" hidden="false" customHeight="true" outlineLevel="0" collapsed="false">
      <c r="A55" s="2" t="n">
        <v>54</v>
      </c>
      <c r="B55" s="2" t="n">
        <v>190477</v>
      </c>
      <c r="C55" s="2" t="s">
        <v>242</v>
      </c>
      <c r="D55" s="15" t="s">
        <v>57</v>
      </c>
      <c r="E55" s="15" t="n">
        <v>0</v>
      </c>
      <c r="F55" s="15" t="n">
        <v>0</v>
      </c>
      <c r="G55" s="15" t="n">
        <v>0</v>
      </c>
      <c r="H55" s="15" t="n">
        <v>0</v>
      </c>
      <c r="I55" s="5" t="n">
        <f aca="false">SUM(E55:H55)</f>
        <v>0</v>
      </c>
      <c r="J55" s="0"/>
      <c r="K55" s="0"/>
    </row>
    <row r="56" customFormat="false" ht="12.75" hidden="false" customHeight="true" outlineLevel="0" collapsed="false">
      <c r="A56" s="2" t="n">
        <v>55</v>
      </c>
      <c r="B56" s="2" t="n">
        <v>198128</v>
      </c>
      <c r="C56" s="2" t="s">
        <v>243</v>
      </c>
      <c r="D56" s="15" t="s">
        <v>244</v>
      </c>
      <c r="E56" s="15" t="n">
        <v>0</v>
      </c>
      <c r="F56" s="15" t="n">
        <v>0</v>
      </c>
      <c r="G56" s="15" t="n">
        <v>0</v>
      </c>
      <c r="H56" s="15" t="n">
        <v>0</v>
      </c>
      <c r="I56" s="5" t="n">
        <f aca="false">SUM(E56:H56)</f>
        <v>0</v>
      </c>
      <c r="J56" s="0"/>
      <c r="K56" s="0"/>
    </row>
    <row r="57" customFormat="false" ht="12.75" hidden="false" customHeight="true" outlineLevel="0" collapsed="false">
      <c r="A57" s="2" t="n">
        <v>56</v>
      </c>
      <c r="B57" s="16" t="n">
        <v>204185</v>
      </c>
      <c r="C57" s="16" t="s">
        <v>15</v>
      </c>
      <c r="D57" s="17" t="s">
        <v>245</v>
      </c>
      <c r="E57" s="15" t="n">
        <v>0</v>
      </c>
      <c r="F57" s="15" t="n">
        <v>0</v>
      </c>
      <c r="G57" s="15" t="n">
        <v>0</v>
      </c>
      <c r="H57" s="15" t="n">
        <v>0</v>
      </c>
      <c r="I57" s="5" t="n">
        <f aca="false">SUM(E57:H57)</f>
        <v>0</v>
      </c>
      <c r="J57" s="0"/>
      <c r="K57" s="0"/>
    </row>
    <row r="58" customFormat="false" ht="12.75" hidden="false" customHeight="true" outlineLevel="0" collapsed="false">
      <c r="A58" s="2" t="n">
        <v>57</v>
      </c>
      <c r="B58" s="2" t="n">
        <v>140717</v>
      </c>
      <c r="C58" s="16" t="s">
        <v>99</v>
      </c>
      <c r="D58" s="15" t="s">
        <v>133</v>
      </c>
      <c r="E58" s="15" t="n">
        <v>0</v>
      </c>
      <c r="F58" s="15" t="n">
        <v>0</v>
      </c>
      <c r="G58" s="15" t="n">
        <v>0</v>
      </c>
      <c r="H58" s="15" t="n">
        <v>0</v>
      </c>
      <c r="I58" s="5" t="n">
        <f aca="false">SUM(E58:H58)</f>
        <v>0</v>
      </c>
      <c r="J58" s="0"/>
      <c r="K58" s="0"/>
    </row>
    <row r="59" customFormat="false" ht="12.75" hidden="false" customHeight="true" outlineLevel="0" collapsed="false">
      <c r="A59" s="2" t="n">
        <v>58</v>
      </c>
      <c r="B59" s="2" t="n">
        <v>108237</v>
      </c>
      <c r="C59" s="2" t="s">
        <v>214</v>
      </c>
      <c r="D59" s="15" t="s">
        <v>246</v>
      </c>
      <c r="E59" s="15" t="n">
        <v>0</v>
      </c>
      <c r="F59" s="15" t="n">
        <v>0</v>
      </c>
      <c r="G59" s="15" t="n">
        <v>0</v>
      </c>
      <c r="H59" s="15" t="n">
        <v>0</v>
      </c>
      <c r="I59" s="5" t="n">
        <f aca="false">SUM(E59:H59)</f>
        <v>0</v>
      </c>
      <c r="J59" s="0"/>
      <c r="K59" s="0"/>
    </row>
    <row r="60" customFormat="false" ht="12.75" hidden="false" customHeight="true" outlineLevel="0" collapsed="false">
      <c r="A60" s="2" t="n">
        <v>59</v>
      </c>
      <c r="B60" s="2" t="n">
        <v>77453</v>
      </c>
      <c r="C60" s="2" t="s">
        <v>247</v>
      </c>
      <c r="D60" s="15" t="s">
        <v>248</v>
      </c>
      <c r="E60" s="15" t="n">
        <v>0</v>
      </c>
      <c r="F60" s="15" t="n">
        <v>0</v>
      </c>
      <c r="G60" s="15" t="n">
        <v>0</v>
      </c>
      <c r="H60" s="15" t="n">
        <v>0</v>
      </c>
      <c r="I60" s="5" t="n">
        <f aca="false">SUM(E60:H60)</f>
        <v>0</v>
      </c>
      <c r="J60" s="0"/>
      <c r="K60" s="0"/>
    </row>
    <row r="61" customFormat="false" ht="12.75" hidden="false" customHeight="true" outlineLevel="0" collapsed="false">
      <c r="A61" s="2" t="n">
        <v>60</v>
      </c>
      <c r="B61" s="2" t="n">
        <v>77365</v>
      </c>
      <c r="C61" s="2" t="s">
        <v>249</v>
      </c>
      <c r="D61" s="15" t="s">
        <v>250</v>
      </c>
      <c r="E61" s="15" t="n">
        <v>0</v>
      </c>
      <c r="F61" s="15" t="n">
        <v>0</v>
      </c>
      <c r="G61" s="15" t="n">
        <v>0</v>
      </c>
      <c r="H61" s="15" t="n">
        <v>0</v>
      </c>
      <c r="I61" s="5" t="n">
        <f aca="false">SUM(E61:H61)</f>
        <v>0</v>
      </c>
      <c r="J61" s="0"/>
      <c r="K61" s="0"/>
    </row>
    <row r="62" customFormat="false" ht="12.75" hidden="false" customHeight="true" outlineLevel="0" collapsed="false">
      <c r="A62" s="2" t="n">
        <v>61</v>
      </c>
      <c r="B62" s="16" t="n">
        <v>66141</v>
      </c>
      <c r="C62" s="16" t="s">
        <v>251</v>
      </c>
      <c r="D62" s="17" t="s">
        <v>252</v>
      </c>
      <c r="E62" s="15" t="n">
        <v>0</v>
      </c>
      <c r="F62" s="15" t="n">
        <v>0</v>
      </c>
      <c r="G62" s="15" t="n">
        <v>0</v>
      </c>
      <c r="H62" s="15" t="n">
        <v>0</v>
      </c>
      <c r="I62" s="5" t="n">
        <f aca="false">SUM(E62:H62)</f>
        <v>0</v>
      </c>
      <c r="J62" s="0"/>
      <c r="K62" s="0"/>
    </row>
    <row r="63" customFormat="false" ht="12.75" hidden="false" customHeight="true" outlineLevel="0" collapsed="false">
      <c r="A63" s="2" t="n">
        <v>62</v>
      </c>
      <c r="B63" s="16" t="n">
        <v>226253</v>
      </c>
      <c r="C63" s="16" t="s">
        <v>253</v>
      </c>
      <c r="D63" s="17" t="s">
        <v>254</v>
      </c>
      <c r="E63" s="15" t="n">
        <v>0</v>
      </c>
      <c r="F63" s="15" t="n">
        <v>0</v>
      </c>
      <c r="G63" s="15" t="n">
        <v>0</v>
      </c>
      <c r="H63" s="15" t="n">
        <v>0</v>
      </c>
      <c r="I63" s="5" t="n">
        <f aca="false">SUM(E63:H63)</f>
        <v>0</v>
      </c>
      <c r="J63" s="0"/>
      <c r="K63" s="0"/>
    </row>
    <row r="64" customFormat="false" ht="12.75" hidden="false" customHeight="true" outlineLevel="0" collapsed="false">
      <c r="A64" s="2" t="n">
        <v>63</v>
      </c>
      <c r="B64" s="16" t="n">
        <v>204058</v>
      </c>
      <c r="C64" s="16" t="s">
        <v>133</v>
      </c>
      <c r="D64" s="17" t="s">
        <v>255</v>
      </c>
      <c r="E64" s="15" t="n">
        <v>0</v>
      </c>
      <c r="F64" s="15" t="n">
        <v>0</v>
      </c>
      <c r="G64" s="15" t="n">
        <v>0</v>
      </c>
      <c r="H64" s="15" t="n">
        <v>0</v>
      </c>
      <c r="I64" s="5" t="n">
        <f aca="false">SUM(E64:H64)</f>
        <v>0</v>
      </c>
      <c r="J64" s="0"/>
      <c r="K64" s="0"/>
    </row>
    <row r="65" customFormat="false" ht="12.75" hidden="false" customHeight="true" outlineLevel="0" collapsed="false">
      <c r="A65" s="2" t="n">
        <v>64</v>
      </c>
      <c r="B65" s="2" t="n">
        <v>115302</v>
      </c>
      <c r="C65" s="16" t="s">
        <v>256</v>
      </c>
      <c r="D65" s="17" t="s">
        <v>257</v>
      </c>
      <c r="E65" s="15" t="n">
        <v>0</v>
      </c>
      <c r="F65" s="15" t="n">
        <v>0</v>
      </c>
      <c r="G65" s="15" t="n">
        <v>0</v>
      </c>
      <c r="H65" s="15" t="n">
        <v>0</v>
      </c>
      <c r="I65" s="5" t="n">
        <f aca="false">SUM(E65:H65)</f>
        <v>0</v>
      </c>
      <c r="J65" s="0"/>
      <c r="K65" s="0"/>
    </row>
    <row r="66" customFormat="false" ht="12.75" hidden="false" customHeight="true" outlineLevel="0" collapsed="false">
      <c r="A66" s="2" t="n">
        <v>65</v>
      </c>
      <c r="B66" s="16" t="n">
        <v>50238</v>
      </c>
      <c r="C66" s="16" t="s">
        <v>55</v>
      </c>
      <c r="D66" s="17" t="s">
        <v>258</v>
      </c>
      <c r="E66" s="15" t="n">
        <v>0</v>
      </c>
      <c r="F66" s="15" t="n">
        <v>0</v>
      </c>
      <c r="G66" s="15" t="n">
        <v>0</v>
      </c>
      <c r="H66" s="15" t="n">
        <v>0</v>
      </c>
      <c r="I66" s="5" t="n">
        <f aca="false">SUM(E66:H66)</f>
        <v>0</v>
      </c>
      <c r="J66" s="0"/>
      <c r="K66" s="0"/>
    </row>
    <row r="67" customFormat="false" ht="12.75" hidden="false" customHeight="true" outlineLevel="0" collapsed="false">
      <c r="A67" s="2" t="n">
        <v>66</v>
      </c>
      <c r="B67" s="2" t="n">
        <v>190652</v>
      </c>
      <c r="C67" s="2" t="s">
        <v>259</v>
      </c>
      <c r="D67" s="15" t="s">
        <v>260</v>
      </c>
      <c r="E67" s="15" t="n">
        <v>0</v>
      </c>
      <c r="F67" s="15" t="n">
        <v>0</v>
      </c>
      <c r="G67" s="15" t="n">
        <v>0</v>
      </c>
      <c r="H67" s="15" t="n">
        <v>0</v>
      </c>
      <c r="I67" s="5" t="n">
        <f aca="false">SUM(E67:H67)</f>
        <v>0</v>
      </c>
      <c r="J67" s="0"/>
      <c r="K67" s="0"/>
    </row>
    <row r="68" customFormat="false" ht="12.75" hidden="false" customHeight="true" outlineLevel="0" collapsed="false">
      <c r="A68" s="2" t="n">
        <v>67</v>
      </c>
      <c r="B68" s="2" t="n">
        <v>112505</v>
      </c>
      <c r="C68" s="2" t="s">
        <v>125</v>
      </c>
      <c r="D68" s="15" t="s">
        <v>261</v>
      </c>
      <c r="E68" s="15" t="n">
        <v>0</v>
      </c>
      <c r="F68" s="15" t="n">
        <v>0</v>
      </c>
      <c r="G68" s="15" t="n">
        <v>0</v>
      </c>
      <c r="H68" s="15" t="n">
        <v>0</v>
      </c>
      <c r="I68" s="5" t="n">
        <f aca="false">SUM(E68:H68)</f>
        <v>0</v>
      </c>
      <c r="J68" s="0"/>
      <c r="K68" s="0"/>
    </row>
    <row r="69" customFormat="false" ht="12.75" hidden="false" customHeight="true" outlineLevel="0" collapsed="false">
      <c r="A69" s="2" t="n">
        <v>68</v>
      </c>
      <c r="B69" s="2" t="n">
        <v>77454</v>
      </c>
      <c r="C69" s="2" t="s">
        <v>262</v>
      </c>
      <c r="D69" s="15" t="s">
        <v>263</v>
      </c>
      <c r="E69" s="15" t="n">
        <v>0</v>
      </c>
      <c r="F69" s="15" t="n">
        <v>0</v>
      </c>
      <c r="G69" s="15" t="n">
        <v>0</v>
      </c>
      <c r="H69" s="15" t="n">
        <v>0</v>
      </c>
      <c r="I69" s="5" t="n">
        <f aca="false">SUM(E69:H69)</f>
        <v>0</v>
      </c>
      <c r="J69" s="0"/>
      <c r="K69" s="0"/>
    </row>
    <row r="70" customFormat="false" ht="12.75" hidden="false" customHeight="true" outlineLevel="0" collapsed="false">
      <c r="A70" s="2" t="n">
        <v>69</v>
      </c>
      <c r="B70" s="2" t="n">
        <v>77367</v>
      </c>
      <c r="C70" s="2" t="s">
        <v>264</v>
      </c>
      <c r="D70" s="15" t="s">
        <v>265</v>
      </c>
      <c r="E70" s="15" t="n">
        <v>0</v>
      </c>
      <c r="F70" s="15" t="n">
        <v>0</v>
      </c>
      <c r="G70" s="15" t="n">
        <v>0</v>
      </c>
      <c r="H70" s="15" t="n">
        <v>0</v>
      </c>
      <c r="I70" s="5" t="n">
        <f aca="false">SUM(E70:H70)</f>
        <v>0</v>
      </c>
      <c r="J70" s="0"/>
      <c r="K70" s="0"/>
    </row>
    <row r="71" customFormat="false" ht="12.75" hidden="false" customHeight="true" outlineLevel="0" collapsed="false">
      <c r="A71" s="2" t="n">
        <v>70</v>
      </c>
      <c r="B71" s="2" t="n">
        <v>77375</v>
      </c>
      <c r="C71" s="2" t="s">
        <v>266</v>
      </c>
      <c r="D71" s="15" t="s">
        <v>267</v>
      </c>
      <c r="E71" s="15" t="n">
        <v>0</v>
      </c>
      <c r="F71" s="15" t="n">
        <v>0</v>
      </c>
      <c r="G71" s="15" t="n">
        <v>0</v>
      </c>
      <c r="H71" s="15" t="n">
        <v>0</v>
      </c>
      <c r="I71" s="5" t="n">
        <f aca="false">SUM(E71:H71)</f>
        <v>0</v>
      </c>
      <c r="J71" s="0"/>
      <c r="K71" s="0"/>
    </row>
    <row r="72" customFormat="false" ht="12.75" hidden="false" customHeight="true" outlineLevel="0" collapsed="false">
      <c r="A72" s="2" t="n">
        <v>71</v>
      </c>
      <c r="B72" s="16" t="n">
        <v>226258</v>
      </c>
      <c r="C72" s="16" t="s">
        <v>268</v>
      </c>
      <c r="D72" s="17" t="s">
        <v>269</v>
      </c>
      <c r="E72" s="15" t="n">
        <v>0</v>
      </c>
      <c r="F72" s="15" t="n">
        <v>0</v>
      </c>
      <c r="G72" s="15" t="n">
        <v>0</v>
      </c>
      <c r="H72" s="15" t="n">
        <v>0</v>
      </c>
      <c r="I72" s="5" t="n">
        <f aca="false">SUM(E72:H72)</f>
        <v>0</v>
      </c>
      <c r="J72" s="0"/>
      <c r="K72" s="0"/>
    </row>
    <row r="73" customFormat="false" ht="12.75" hidden="false" customHeight="true" outlineLevel="0" collapsed="false">
      <c r="A73" s="2" t="n">
        <v>72</v>
      </c>
      <c r="B73" s="2" t="n">
        <v>126354</v>
      </c>
      <c r="C73" s="2" t="s">
        <v>270</v>
      </c>
      <c r="D73" s="15" t="s">
        <v>165</v>
      </c>
      <c r="E73" s="15" t="n">
        <v>0</v>
      </c>
      <c r="F73" s="15" t="n">
        <v>0</v>
      </c>
      <c r="G73" s="15" t="n">
        <v>0</v>
      </c>
      <c r="H73" s="15" t="n">
        <v>0</v>
      </c>
      <c r="I73" s="5" t="n">
        <f aca="false">SUM(E73:H73)</f>
        <v>0</v>
      </c>
      <c r="J73" s="0"/>
      <c r="K73" s="0"/>
    </row>
    <row r="74" customFormat="false" ht="12.75" hidden="false" customHeight="true" outlineLevel="0" collapsed="false">
      <c r="A74" s="2" t="n">
        <v>73</v>
      </c>
      <c r="B74" s="2" t="n">
        <v>115332</v>
      </c>
      <c r="C74" s="16" t="s">
        <v>271</v>
      </c>
      <c r="D74" s="17" t="s">
        <v>272</v>
      </c>
      <c r="E74" s="15" t="n">
        <v>0</v>
      </c>
      <c r="F74" s="15" t="n">
        <v>0</v>
      </c>
      <c r="G74" s="15" t="n">
        <v>0</v>
      </c>
      <c r="H74" s="15" t="n">
        <v>0</v>
      </c>
      <c r="I74" s="5" t="n">
        <f aca="false">SUM(E74:H74)</f>
        <v>0</v>
      </c>
      <c r="J74" s="0"/>
      <c r="K74" s="0"/>
    </row>
    <row r="75" customFormat="false" ht="12.75" hidden="false" customHeight="true" outlineLevel="0" collapsed="false">
      <c r="A75" s="2" t="n">
        <v>74</v>
      </c>
      <c r="B75" s="2" t="n">
        <v>198444</v>
      </c>
      <c r="C75" s="2" t="s">
        <v>273</v>
      </c>
      <c r="D75" s="15" t="s">
        <v>274</v>
      </c>
      <c r="E75" s="15" t="n">
        <v>0</v>
      </c>
      <c r="F75" s="15" t="n">
        <v>0</v>
      </c>
      <c r="G75" s="15" t="n">
        <v>0</v>
      </c>
      <c r="H75" s="15" t="n">
        <v>0</v>
      </c>
      <c r="I75" s="5" t="n">
        <f aca="false">SUM(E75:H75)</f>
        <v>0</v>
      </c>
      <c r="J75" s="0"/>
      <c r="K75" s="0"/>
    </row>
    <row r="76" customFormat="false" ht="12.75" hidden="false" customHeight="true" outlineLevel="0" collapsed="false">
      <c r="A76" s="2" t="n">
        <v>75</v>
      </c>
      <c r="B76" s="2" t="n">
        <v>174101</v>
      </c>
      <c r="C76" s="2" t="s">
        <v>21</v>
      </c>
      <c r="D76" s="15" t="s">
        <v>275</v>
      </c>
      <c r="E76" s="15" t="n">
        <v>0</v>
      </c>
      <c r="F76" s="15" t="n">
        <v>0</v>
      </c>
      <c r="G76" s="15" t="n">
        <v>0</v>
      </c>
      <c r="H76" s="15" t="n">
        <v>0</v>
      </c>
      <c r="I76" s="5" t="n">
        <f aca="false">SUM(E76:H76)</f>
        <v>0</v>
      </c>
      <c r="J76" s="0"/>
      <c r="K76" s="0"/>
    </row>
    <row r="77" customFormat="false" ht="12.75" hidden="false" customHeight="true" outlineLevel="0" collapsed="false">
      <c r="A77" s="2" t="n">
        <v>76</v>
      </c>
      <c r="B77" s="2" t="n">
        <v>97081</v>
      </c>
      <c r="C77" s="2" t="s">
        <v>276</v>
      </c>
      <c r="D77" s="15" t="s">
        <v>277</v>
      </c>
      <c r="E77" s="15" t="n">
        <v>0</v>
      </c>
      <c r="F77" s="15" t="n">
        <v>0</v>
      </c>
      <c r="G77" s="15" t="n">
        <v>0</v>
      </c>
      <c r="H77" s="15" t="n">
        <v>0</v>
      </c>
      <c r="I77" s="5" t="n">
        <f aca="false">SUM(E77:H77)</f>
        <v>0</v>
      </c>
      <c r="J77" s="0"/>
      <c r="K77" s="0"/>
    </row>
    <row r="78" customFormat="false" ht="12.75" hidden="false" customHeight="true" outlineLevel="0" collapsed="false">
      <c r="A78" s="2" t="n">
        <v>77</v>
      </c>
      <c r="B78" s="2" t="n">
        <v>77385</v>
      </c>
      <c r="C78" s="2" t="s">
        <v>278</v>
      </c>
      <c r="D78" s="15" t="s">
        <v>279</v>
      </c>
      <c r="E78" s="15" t="n">
        <v>0</v>
      </c>
      <c r="F78" s="15" t="n">
        <v>0</v>
      </c>
      <c r="G78" s="15" t="n">
        <v>0</v>
      </c>
      <c r="H78" s="15" t="n">
        <v>0</v>
      </c>
      <c r="I78" s="5" t="n">
        <f aca="false">SUM(E78:H78)</f>
        <v>0</v>
      </c>
      <c r="J78" s="0"/>
      <c r="K78" s="0"/>
    </row>
    <row r="79" customFormat="false" ht="12.75" hidden="false" customHeight="true" outlineLevel="0" collapsed="false">
      <c r="A79" s="2" t="n">
        <v>78</v>
      </c>
      <c r="B79" s="2" t="n">
        <v>198313</v>
      </c>
      <c r="C79" s="2" t="s">
        <v>57</v>
      </c>
      <c r="D79" s="15" t="s">
        <v>280</v>
      </c>
      <c r="E79" s="15" t="n">
        <v>0</v>
      </c>
      <c r="F79" s="15" t="n">
        <v>0</v>
      </c>
      <c r="G79" s="15" t="n">
        <v>0</v>
      </c>
      <c r="H79" s="15" t="n">
        <v>0</v>
      </c>
      <c r="I79" s="5" t="n">
        <f aca="false">SUM(E79:H79)</f>
        <v>0</v>
      </c>
      <c r="J79" s="0"/>
      <c r="K79" s="0"/>
    </row>
    <row r="80" customFormat="false" ht="12.75" hidden="false" customHeight="true" outlineLevel="0" collapsed="false">
      <c r="A80" s="2" t="n">
        <v>79</v>
      </c>
      <c r="B80" s="2" t="n">
        <v>135806</v>
      </c>
      <c r="C80" s="2" t="s">
        <v>81</v>
      </c>
      <c r="D80" s="15" t="s">
        <v>281</v>
      </c>
      <c r="E80" s="15" t="n">
        <v>0</v>
      </c>
      <c r="F80" s="15" t="n">
        <v>0</v>
      </c>
      <c r="G80" s="15" t="n">
        <v>0</v>
      </c>
      <c r="H80" s="15" t="n">
        <v>0</v>
      </c>
      <c r="I80" s="5" t="n">
        <f aca="false">SUM(E80:H80)</f>
        <v>0</v>
      </c>
      <c r="J80" s="0"/>
      <c r="K80" s="0"/>
    </row>
    <row r="81" customFormat="false" ht="12.75" hidden="false" customHeight="true" outlineLevel="0" collapsed="false">
      <c r="A81" s="2" t="n">
        <v>80</v>
      </c>
      <c r="B81" s="2" t="n">
        <v>138554</v>
      </c>
      <c r="C81" s="2" t="s">
        <v>282</v>
      </c>
      <c r="D81" s="15" t="s">
        <v>283</v>
      </c>
      <c r="E81" s="15" t="n">
        <v>0</v>
      </c>
      <c r="F81" s="15" t="n">
        <v>0</v>
      </c>
      <c r="G81" s="15" t="n">
        <v>0</v>
      </c>
      <c r="H81" s="15" t="n">
        <v>0</v>
      </c>
      <c r="I81" s="5" t="n">
        <f aca="false">SUM(E81:H81)</f>
        <v>0</v>
      </c>
      <c r="J81" s="0"/>
      <c r="K81" s="0"/>
    </row>
    <row r="82" customFormat="false" ht="12.75" hidden="false" customHeight="true" outlineLevel="0" collapsed="false">
      <c r="A82" s="2" t="n">
        <v>81</v>
      </c>
      <c r="B82" s="16" t="n">
        <v>158814</v>
      </c>
      <c r="C82" s="2" t="s">
        <v>199</v>
      </c>
      <c r="D82" s="15" t="s">
        <v>284</v>
      </c>
      <c r="E82" s="20"/>
      <c r="F82" s="20"/>
      <c r="G82" s="20"/>
      <c r="H82" s="20"/>
      <c r="I82" s="12"/>
      <c r="J82" s="0"/>
      <c r="K82" s="0"/>
    </row>
    <row r="83" customFormat="false" ht="12.75" hidden="false" customHeight="true" outlineLevel="0" collapsed="false">
      <c r="A83" s="2" t="n">
        <v>82</v>
      </c>
      <c r="B83" s="2" t="n">
        <v>155638</v>
      </c>
      <c r="C83" s="2" t="s">
        <v>68</v>
      </c>
      <c r="D83" s="15" t="s">
        <v>285</v>
      </c>
      <c r="E83" s="20"/>
      <c r="F83" s="20"/>
      <c r="G83" s="20"/>
      <c r="H83" s="20"/>
      <c r="I83" s="12"/>
      <c r="J83" s="0"/>
      <c r="K83" s="0"/>
    </row>
    <row r="84" customFormat="false" ht="12.75" hidden="false" customHeight="true" outlineLevel="0" collapsed="false">
      <c r="A84" s="2" t="n">
        <v>83</v>
      </c>
      <c r="B84" s="2" t="n">
        <v>141124</v>
      </c>
      <c r="C84" s="2" t="s">
        <v>286</v>
      </c>
      <c r="D84" s="15" t="s">
        <v>194</v>
      </c>
      <c r="E84" s="20"/>
      <c r="F84" s="20"/>
      <c r="G84" s="20"/>
      <c r="H84" s="20"/>
      <c r="I84" s="12"/>
      <c r="J84" s="0"/>
      <c r="K84" s="0"/>
    </row>
    <row r="85" customFormat="false" ht="12.75" hidden="false" customHeight="true" outlineLevel="0" collapsed="false">
      <c r="A85" s="2" t="n">
        <v>84</v>
      </c>
      <c r="B85" s="2" t="n">
        <v>135325</v>
      </c>
      <c r="C85" s="2" t="s">
        <v>287</v>
      </c>
      <c r="D85" s="15" t="s">
        <v>288</v>
      </c>
      <c r="E85" s="20"/>
      <c r="F85" s="20"/>
      <c r="G85" s="20"/>
      <c r="H85" s="20"/>
      <c r="I85" s="12"/>
      <c r="J85" s="0"/>
      <c r="K85" s="0"/>
    </row>
    <row r="86" customFormat="false" ht="12.75" hidden="false" customHeight="true" outlineLevel="0" collapsed="false">
      <c r="A86" s="2" t="n">
        <v>85</v>
      </c>
      <c r="B86" s="2" t="n">
        <v>225608</v>
      </c>
      <c r="C86" s="2" t="s">
        <v>289</v>
      </c>
      <c r="D86" s="15" t="s">
        <v>290</v>
      </c>
      <c r="E86" s="20"/>
      <c r="F86" s="20"/>
      <c r="G86" s="20"/>
      <c r="H86" s="20"/>
      <c r="I86" s="12"/>
      <c r="J86" s="0"/>
      <c r="K86" s="0"/>
    </row>
    <row r="87" customFormat="false" ht="12.75" hidden="false" customHeight="true" outlineLevel="0" collapsed="false">
      <c r="A87" s="2" t="n">
        <v>86</v>
      </c>
      <c r="B87" s="16" t="n">
        <v>172966</v>
      </c>
      <c r="C87" s="2" t="s">
        <v>291</v>
      </c>
      <c r="D87" s="15" t="s">
        <v>292</v>
      </c>
      <c r="E87" s="20"/>
      <c r="F87" s="20"/>
      <c r="G87" s="20"/>
      <c r="H87" s="20"/>
      <c r="I87" s="12"/>
      <c r="J87" s="0"/>
      <c r="K87" s="0"/>
    </row>
    <row r="88" customFormat="false" ht="12.75" hidden="false" customHeight="true" outlineLevel="0" collapsed="false">
      <c r="A88" s="2" t="n">
        <v>87</v>
      </c>
      <c r="B88" s="2" t="n">
        <v>172973</v>
      </c>
      <c r="C88" s="2" t="s">
        <v>63</v>
      </c>
      <c r="D88" s="15" t="s">
        <v>160</v>
      </c>
      <c r="E88" s="20"/>
      <c r="F88" s="20"/>
      <c r="G88" s="20"/>
      <c r="H88" s="20"/>
      <c r="I88" s="12"/>
      <c r="J88" s="0"/>
      <c r="K88" s="0"/>
    </row>
    <row r="89" customFormat="false" ht="12.75" hidden="false" customHeight="true" outlineLevel="0" collapsed="false">
      <c r="A89" s="2" t="n">
        <v>88</v>
      </c>
      <c r="B89" s="2" t="n">
        <v>126548</v>
      </c>
      <c r="C89" s="2" t="s">
        <v>293</v>
      </c>
      <c r="D89" s="15" t="s">
        <v>294</v>
      </c>
      <c r="E89" s="20"/>
      <c r="F89" s="20"/>
      <c r="G89" s="20"/>
      <c r="H89" s="20"/>
      <c r="I89" s="12"/>
      <c r="J89" s="0"/>
      <c r="K89" s="0"/>
    </row>
    <row r="90" customFormat="false" ht="12.75" hidden="false" customHeight="true" outlineLevel="0" collapsed="false">
      <c r="A90" s="2" t="n">
        <v>89</v>
      </c>
      <c r="B90" s="2" t="n">
        <v>202583</v>
      </c>
      <c r="C90" s="2" t="s">
        <v>15</v>
      </c>
      <c r="D90" s="15" t="s">
        <v>261</v>
      </c>
      <c r="E90" s="20"/>
      <c r="F90" s="20"/>
      <c r="G90" s="20"/>
      <c r="H90" s="20"/>
      <c r="I90" s="12"/>
      <c r="J90" s="0"/>
      <c r="K90" s="0"/>
    </row>
    <row r="91" customFormat="false" ht="12.75" hidden="false" customHeight="true" outlineLevel="0" collapsed="false">
      <c r="A91" s="2" t="n">
        <v>90</v>
      </c>
      <c r="B91" s="16" t="n">
        <v>50737</v>
      </c>
      <c r="C91" s="16" t="s">
        <v>295</v>
      </c>
      <c r="D91" s="17" t="s">
        <v>296</v>
      </c>
      <c r="E91" s="20"/>
      <c r="F91" s="20"/>
      <c r="G91" s="20"/>
      <c r="H91" s="20"/>
      <c r="I91" s="12"/>
      <c r="J91" s="0"/>
      <c r="K91" s="0"/>
    </row>
    <row r="92" customFormat="false" ht="12.75" hidden="false" customHeight="true" outlineLevel="0" collapsed="false">
      <c r="A92" s="2" t="n">
        <v>91</v>
      </c>
      <c r="B92" s="2" t="n">
        <v>165982</v>
      </c>
      <c r="C92" s="2" t="s">
        <v>297</v>
      </c>
      <c r="D92" s="15" t="s">
        <v>60</v>
      </c>
      <c r="E92" s="20"/>
      <c r="F92" s="20"/>
      <c r="G92" s="20"/>
      <c r="H92" s="20"/>
      <c r="I92" s="12"/>
      <c r="J92" s="0"/>
      <c r="K92" s="0"/>
    </row>
    <row r="93" customFormat="false" ht="12.75" hidden="false" customHeight="true" outlineLevel="0" collapsed="false">
      <c r="J93" s="0"/>
      <c r="K93" s="0"/>
    </row>
    <row r="94" customFormat="false" ht="12.75" hidden="false" customHeight="true" outlineLevel="0" collapsed="false">
      <c r="J94" s="0"/>
      <c r="K94" s="0"/>
    </row>
    <row r="95" customFormat="false" ht="12.75" hidden="false" customHeight="true" outlineLevel="0" collapsed="false">
      <c r="J95" s="0"/>
      <c r="K95" s="0"/>
    </row>
    <row r="96" customFormat="false" ht="12.75" hidden="false" customHeight="true" outlineLevel="0" collapsed="false">
      <c r="J96" s="0"/>
      <c r="K96" s="0"/>
    </row>
    <row r="97" customFormat="false" ht="12.75" hidden="false" customHeight="true" outlineLevel="0" collapsed="false">
      <c r="J97" s="0"/>
      <c r="K97" s="0"/>
    </row>
    <row r="98" customFormat="false" ht="12.75" hidden="false" customHeight="true" outlineLevel="0" collapsed="false">
      <c r="J98" s="0"/>
      <c r="K98" s="0"/>
    </row>
    <row r="99" customFormat="false" ht="12.75" hidden="false" customHeight="true" outlineLevel="0" collapsed="false">
      <c r="J99" s="0"/>
      <c r="K99" s="0"/>
    </row>
    <row r="100" customFormat="false" ht="12.75" hidden="false" customHeight="true" outlineLevel="0" collapsed="false">
      <c r="J100" s="0"/>
      <c r="K100" s="0"/>
    </row>
    <row r="101" customFormat="false" ht="12.75" hidden="false" customHeight="true" outlineLevel="0" collapsed="false">
      <c r="J101" s="0"/>
      <c r="K101" s="0"/>
    </row>
    <row r="102" customFormat="false" ht="12.75" hidden="false" customHeight="true" outlineLevel="0" collapsed="false">
      <c r="J102" s="0"/>
      <c r="K102" s="0"/>
    </row>
    <row r="103" customFormat="false" ht="12.75" hidden="false" customHeight="true" outlineLevel="0" collapsed="false">
      <c r="J103" s="0"/>
      <c r="K103" s="0"/>
    </row>
    <row r="104" customFormat="false" ht="12.75" hidden="false" customHeight="true" outlineLevel="0" collapsed="false">
      <c r="J104" s="0"/>
      <c r="K104" s="0"/>
    </row>
    <row r="105" customFormat="false" ht="12.75" hidden="false" customHeight="true" outlineLevel="0" collapsed="false">
      <c r="J105" s="0"/>
      <c r="K105" s="0"/>
    </row>
    <row r="106" customFormat="false" ht="12.75" hidden="false" customHeight="true" outlineLevel="0" collapsed="false">
      <c r="J106" s="0"/>
      <c r="K106" s="0"/>
    </row>
    <row r="107" customFormat="false" ht="12.75" hidden="false" customHeight="true" outlineLevel="0" collapsed="false">
      <c r="J107" s="0"/>
      <c r="K107" s="0"/>
    </row>
    <row r="108" customFormat="false" ht="12.75" hidden="false" customHeight="true" outlineLevel="0" collapsed="false">
      <c r="J108" s="0"/>
      <c r="K108" s="0"/>
    </row>
    <row r="109" customFormat="false" ht="12.75" hidden="false" customHeight="true" outlineLevel="0" collapsed="false">
      <c r="J109" s="0"/>
      <c r="K109" s="0"/>
    </row>
    <row r="110" customFormat="false" ht="12.75" hidden="false" customHeight="true" outlineLevel="0" collapsed="false">
      <c r="J110" s="0"/>
      <c r="K110" s="0"/>
    </row>
    <row r="111" customFormat="false" ht="12.75" hidden="false" customHeight="true" outlineLevel="0" collapsed="false">
      <c r="J111" s="0"/>
      <c r="K111" s="0"/>
    </row>
    <row r="112" customFormat="false" ht="12.75" hidden="false" customHeight="true" outlineLevel="0" collapsed="false">
      <c r="J112" s="0"/>
      <c r="K112" s="0"/>
    </row>
    <row r="113" customFormat="false" ht="12.75" hidden="false" customHeight="true" outlineLevel="0" collapsed="false">
      <c r="J113" s="0"/>
      <c r="K113" s="0"/>
    </row>
    <row r="114" customFormat="false" ht="12.75" hidden="false" customHeight="true" outlineLevel="0" collapsed="false">
      <c r="J114" s="0"/>
      <c r="K114" s="0"/>
    </row>
    <row r="115" customFormat="false" ht="12.75" hidden="false" customHeight="true" outlineLevel="0" collapsed="false">
      <c r="J115" s="0"/>
      <c r="K115" s="0"/>
    </row>
    <row r="116" customFormat="false" ht="12.75" hidden="false" customHeight="true" outlineLevel="0" collapsed="false">
      <c r="J116" s="0"/>
      <c r="K116" s="0"/>
    </row>
    <row r="117" customFormat="false" ht="12.75" hidden="false" customHeight="true" outlineLevel="0" collapsed="false">
      <c r="J117" s="0"/>
      <c r="K117" s="0"/>
    </row>
    <row r="118" customFormat="false" ht="12.75" hidden="false" customHeight="true" outlineLevel="0" collapsed="false">
      <c r="J118" s="0"/>
      <c r="K118" s="0"/>
    </row>
    <row r="119" customFormat="false" ht="12.75" hidden="false" customHeight="true" outlineLevel="0" collapsed="false">
      <c r="J119" s="0"/>
      <c r="K119" s="0"/>
    </row>
    <row r="120" customFormat="false" ht="12.75" hidden="false" customHeight="true" outlineLevel="0" collapsed="false">
      <c r="J120" s="0"/>
      <c r="K120" s="0"/>
    </row>
    <row r="121" customFormat="false" ht="12.75" hidden="false" customHeight="true" outlineLevel="0" collapsed="false">
      <c r="J121" s="0"/>
      <c r="K121" s="0"/>
    </row>
    <row r="122" customFormat="false" ht="12.75" hidden="false" customHeight="true" outlineLevel="0" collapsed="false">
      <c r="J122" s="0"/>
      <c r="K122" s="0"/>
    </row>
    <row r="123" customFormat="false" ht="12.75" hidden="false" customHeight="true" outlineLevel="0" collapsed="false">
      <c r="J123" s="0"/>
      <c r="K123" s="0"/>
    </row>
    <row r="124" customFormat="false" ht="12.75" hidden="false" customHeight="true" outlineLevel="0" collapsed="false">
      <c r="J124" s="0"/>
      <c r="K124" s="0"/>
    </row>
    <row r="125" customFormat="false" ht="12.75" hidden="false" customHeight="true" outlineLevel="0" collapsed="false">
      <c r="J125" s="0"/>
      <c r="K125" s="0"/>
    </row>
    <row r="126" customFormat="false" ht="12.75" hidden="false" customHeight="true" outlineLevel="0" collapsed="false">
      <c r="J126" s="0"/>
      <c r="K126" s="0"/>
    </row>
    <row r="127" customFormat="false" ht="12.75" hidden="false" customHeight="true" outlineLevel="0" collapsed="false">
      <c r="J127" s="0"/>
      <c r="K127" s="0"/>
    </row>
    <row r="128" customFormat="false" ht="12.75" hidden="false" customHeight="true" outlineLevel="0" collapsed="false">
      <c r="J128" s="0"/>
      <c r="K128" s="0"/>
    </row>
    <row r="129" customFormat="false" ht="12.75" hidden="false" customHeight="true" outlineLevel="0" collapsed="false">
      <c r="J129" s="0"/>
      <c r="K129" s="0"/>
    </row>
    <row r="130" customFormat="false" ht="12.75" hidden="false" customHeight="true" outlineLevel="0" collapsed="false">
      <c r="J130" s="0"/>
      <c r="K130" s="0"/>
    </row>
    <row r="131" customFormat="false" ht="12.75" hidden="false" customHeight="true" outlineLevel="0" collapsed="false">
      <c r="J131" s="0"/>
      <c r="K131" s="0"/>
    </row>
    <row r="132" customFormat="false" ht="12.75" hidden="false" customHeight="true" outlineLevel="0" collapsed="false">
      <c r="J132" s="0"/>
      <c r="K132" s="0"/>
    </row>
    <row r="133" customFormat="false" ht="12.75" hidden="false" customHeight="true" outlineLevel="0" collapsed="false">
      <c r="J133" s="0"/>
      <c r="K133" s="0"/>
    </row>
    <row r="134" customFormat="false" ht="12.75" hidden="false" customHeight="true" outlineLevel="0" collapsed="false">
      <c r="J134" s="0"/>
      <c r="K134" s="0"/>
    </row>
    <row r="135" customFormat="false" ht="12.75" hidden="false" customHeight="true" outlineLevel="0" collapsed="false">
      <c r="J135" s="0"/>
      <c r="K135" s="0"/>
    </row>
    <row r="136" customFormat="false" ht="12.75" hidden="false" customHeight="true" outlineLevel="0" collapsed="false">
      <c r="J136" s="0"/>
      <c r="K136" s="0"/>
    </row>
    <row r="137" customFormat="false" ht="12.75" hidden="false" customHeight="true" outlineLevel="0" collapsed="false">
      <c r="J137" s="0"/>
      <c r="K137" s="0"/>
    </row>
    <row r="138" customFormat="false" ht="12.75" hidden="false" customHeight="true" outlineLevel="0" collapsed="false">
      <c r="J138" s="0"/>
      <c r="K138" s="0"/>
    </row>
    <row r="139" customFormat="false" ht="12.75" hidden="false" customHeight="true" outlineLevel="0" collapsed="false">
      <c r="J139" s="0"/>
      <c r="K139" s="0"/>
    </row>
    <row r="140" customFormat="false" ht="12.75" hidden="false" customHeight="true" outlineLevel="0" collapsed="false">
      <c r="J140" s="0"/>
      <c r="K140" s="0"/>
    </row>
    <row r="141" customFormat="false" ht="12.75" hidden="false" customHeight="true" outlineLevel="0" collapsed="false">
      <c r="J141" s="0"/>
      <c r="K141" s="0"/>
    </row>
    <row r="142" customFormat="false" ht="12.75" hidden="false" customHeight="true" outlineLevel="0" collapsed="false">
      <c r="J142" s="0"/>
      <c r="K142" s="0"/>
    </row>
    <row r="143" customFormat="false" ht="12.75" hidden="false" customHeight="true" outlineLevel="0" collapsed="false">
      <c r="J143" s="0"/>
      <c r="K143" s="0"/>
    </row>
    <row r="144" customFormat="false" ht="12.75" hidden="false" customHeight="true" outlineLevel="0" collapsed="false">
      <c r="J144" s="0"/>
      <c r="K144" s="0"/>
    </row>
    <row r="145" customFormat="false" ht="12.75" hidden="false" customHeight="true" outlineLevel="0" collapsed="false">
      <c r="J145" s="0"/>
      <c r="K145" s="0"/>
    </row>
    <row r="146" customFormat="false" ht="12.75" hidden="false" customHeight="true" outlineLevel="0" collapsed="false">
      <c r="J146" s="0"/>
      <c r="K146" s="0"/>
    </row>
    <row r="147" customFormat="false" ht="12.75" hidden="false" customHeight="true" outlineLevel="0" collapsed="false">
      <c r="J147" s="0"/>
      <c r="K147" s="0"/>
    </row>
    <row r="148" customFormat="false" ht="12.75" hidden="false" customHeight="true" outlineLevel="0" collapsed="false">
      <c r="J148" s="0"/>
      <c r="K148" s="0"/>
    </row>
    <row r="149" customFormat="false" ht="12.75" hidden="false" customHeight="true" outlineLevel="0" collapsed="false">
      <c r="J149" s="0"/>
      <c r="K149" s="0"/>
    </row>
    <row r="150" customFormat="false" ht="12.75" hidden="false" customHeight="true" outlineLevel="0" collapsed="false">
      <c r="J150" s="0"/>
      <c r="K150" s="0"/>
    </row>
    <row r="151" customFormat="false" ht="12.75" hidden="false" customHeight="true" outlineLevel="0" collapsed="false">
      <c r="J151" s="0"/>
      <c r="K151" s="0"/>
    </row>
    <row r="152" customFormat="false" ht="12.75" hidden="false" customHeight="true" outlineLevel="0" collapsed="false">
      <c r="J152" s="0"/>
      <c r="K152" s="0"/>
    </row>
    <row r="153" customFormat="false" ht="12.75" hidden="false" customHeight="true" outlineLevel="0" collapsed="false">
      <c r="J153" s="0"/>
      <c r="K153" s="0"/>
    </row>
    <row r="154" customFormat="false" ht="12.75" hidden="false" customHeight="true" outlineLevel="0" collapsed="false">
      <c r="J154" s="0"/>
      <c r="K154" s="0"/>
    </row>
    <row r="155" customFormat="false" ht="12.75" hidden="false" customHeight="true" outlineLevel="0" collapsed="false">
      <c r="J155" s="0"/>
      <c r="K155" s="0"/>
    </row>
    <row r="156" customFormat="false" ht="12.75" hidden="false" customHeight="true" outlineLevel="0" collapsed="false">
      <c r="J156" s="0"/>
      <c r="K156" s="0"/>
    </row>
    <row r="157" customFormat="false" ht="12.75" hidden="false" customHeight="true" outlineLevel="0" collapsed="false">
      <c r="J157" s="0"/>
      <c r="K157" s="0"/>
    </row>
    <row r="158" customFormat="false" ht="12.75" hidden="false" customHeight="true" outlineLevel="0" collapsed="false">
      <c r="J158" s="0"/>
      <c r="K158" s="0"/>
    </row>
    <row r="159" customFormat="false" ht="12.75" hidden="false" customHeight="true" outlineLevel="0" collapsed="false">
      <c r="J159" s="0"/>
      <c r="K159" s="0"/>
    </row>
    <row r="160" customFormat="false" ht="12.75" hidden="false" customHeight="true" outlineLevel="0" collapsed="false">
      <c r="J160" s="0"/>
      <c r="K160" s="0"/>
    </row>
    <row r="161" customFormat="false" ht="12.75" hidden="false" customHeight="true" outlineLevel="0" collapsed="false">
      <c r="J161" s="0"/>
      <c r="K161" s="0"/>
    </row>
    <row r="162" customFormat="false" ht="12.75" hidden="false" customHeight="true" outlineLevel="0" collapsed="false">
      <c r="J162" s="0"/>
      <c r="K162" s="0"/>
    </row>
    <row r="163" customFormat="false" ht="12.75" hidden="false" customHeight="true" outlineLevel="0" collapsed="false">
      <c r="J163" s="0"/>
      <c r="K163" s="0"/>
    </row>
    <row r="164" customFormat="false" ht="12.75" hidden="false" customHeight="true" outlineLevel="0" collapsed="false">
      <c r="J164" s="0"/>
      <c r="K164" s="0"/>
    </row>
    <row r="165" customFormat="false" ht="12.75" hidden="false" customHeight="true" outlineLevel="0" collapsed="false">
      <c r="J165" s="0"/>
      <c r="K165" s="0"/>
    </row>
    <row r="166" customFormat="false" ht="12.75" hidden="false" customHeight="true" outlineLevel="0" collapsed="false">
      <c r="J166" s="0"/>
      <c r="K166" s="0"/>
    </row>
    <row r="167" customFormat="false" ht="12.75" hidden="false" customHeight="true" outlineLevel="0" collapsed="false">
      <c r="J167" s="0"/>
      <c r="K167" s="0"/>
    </row>
    <row r="168" customFormat="false" ht="12.75" hidden="false" customHeight="true" outlineLevel="0" collapsed="false">
      <c r="J168" s="0"/>
      <c r="K168" s="0"/>
    </row>
    <row r="169" customFormat="false" ht="12.75" hidden="false" customHeight="true" outlineLevel="0" collapsed="false">
      <c r="J169" s="0"/>
      <c r="K169" s="0"/>
    </row>
    <row r="170" customFormat="false" ht="12.75" hidden="false" customHeight="true" outlineLevel="0" collapsed="false">
      <c r="J170" s="0"/>
      <c r="K170" s="0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82" colorId="64" zoomScale="110" zoomScaleNormal="11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4.29"/>
    <col collapsed="false" customWidth="false" hidden="false" outlineLevel="0" max="2" min="2" style="1" width="11.57"/>
    <col collapsed="false" customWidth="true" hidden="false" outlineLevel="0" max="3" min="3" style="1" width="19.42"/>
    <col collapsed="false" customWidth="true" hidden="false" outlineLevel="0" max="4" min="4" style="1" width="21.7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298</v>
      </c>
      <c r="J1" s="1" t="s">
        <v>299</v>
      </c>
      <c r="K1" s="1" t="s">
        <v>8</v>
      </c>
    </row>
    <row r="2" customFormat="false" ht="12.75" hidden="false" customHeight="true" outlineLevel="0" collapsed="false">
      <c r="A2" s="16" t="n">
        <v>1</v>
      </c>
      <c r="B2" s="16" t="n">
        <v>23267</v>
      </c>
      <c r="C2" s="21" t="s">
        <v>300</v>
      </c>
      <c r="D2" s="21" t="s">
        <v>301</v>
      </c>
      <c r="E2" s="16" t="n">
        <v>7</v>
      </c>
      <c r="F2" s="16" t="n">
        <v>7</v>
      </c>
      <c r="G2" s="16" t="n">
        <v>7</v>
      </c>
      <c r="H2" s="16" t="n">
        <v>7</v>
      </c>
      <c r="I2" s="16" t="n">
        <v>7</v>
      </c>
      <c r="J2" s="16" t="n">
        <v>7</v>
      </c>
      <c r="K2" s="22" t="n">
        <f aca="false">SUM(E2:J2)</f>
        <v>42</v>
      </c>
    </row>
    <row r="3" customFormat="false" ht="12.75" hidden="false" customHeight="true" outlineLevel="0" collapsed="false">
      <c r="A3" s="16" t="n">
        <v>2</v>
      </c>
      <c r="B3" s="16" t="n">
        <v>45879</v>
      </c>
      <c r="C3" s="21" t="s">
        <v>302</v>
      </c>
      <c r="D3" s="21" t="s">
        <v>303</v>
      </c>
      <c r="E3" s="16" t="n">
        <v>7</v>
      </c>
      <c r="F3" s="23" t="n">
        <f aca="false">3+1</f>
        <v>4</v>
      </c>
      <c r="G3" s="16" t="n">
        <v>7</v>
      </c>
      <c r="H3" s="16" t="n">
        <v>7</v>
      </c>
      <c r="I3" s="16" t="n">
        <v>0</v>
      </c>
      <c r="J3" s="16" t="n">
        <v>0</v>
      </c>
      <c r="K3" s="22" t="n">
        <f aca="false">SUM(E3:J3)</f>
        <v>25</v>
      </c>
    </row>
    <row r="4" customFormat="false" ht="12.75" hidden="false" customHeight="true" outlineLevel="0" collapsed="false">
      <c r="A4" s="16" t="n">
        <v>3</v>
      </c>
      <c r="B4" s="16" t="n">
        <v>72776</v>
      </c>
      <c r="C4" s="21" t="s">
        <v>304</v>
      </c>
      <c r="D4" s="21" t="s">
        <v>305</v>
      </c>
      <c r="E4" s="16" t="n">
        <v>7</v>
      </c>
      <c r="F4" s="23" t="n">
        <f aca="false">6+1</f>
        <v>7</v>
      </c>
      <c r="G4" s="16" t="n">
        <v>5</v>
      </c>
      <c r="H4" s="16" t="n">
        <v>1</v>
      </c>
      <c r="I4" s="16" t="n">
        <v>2</v>
      </c>
      <c r="J4" s="23" t="n">
        <f aca="false">0+2</f>
        <v>2</v>
      </c>
      <c r="K4" s="22" t="n">
        <f aca="false">SUM(E4:J4)</f>
        <v>24</v>
      </c>
    </row>
    <row r="5" customFormat="false" ht="12.75" hidden="false" customHeight="true" outlineLevel="0" collapsed="false">
      <c r="A5" s="16" t="n">
        <v>4</v>
      </c>
      <c r="B5" s="16" t="n">
        <v>40564</v>
      </c>
      <c r="C5" s="21" t="s">
        <v>306</v>
      </c>
      <c r="D5" s="21" t="s">
        <v>307</v>
      </c>
      <c r="E5" s="16" t="n">
        <v>7</v>
      </c>
      <c r="F5" s="16" t="n">
        <v>3</v>
      </c>
      <c r="G5" s="16" t="n">
        <v>0</v>
      </c>
      <c r="H5" s="23" t="n">
        <f aca="false">6+1</f>
        <v>7</v>
      </c>
      <c r="I5" s="16" t="n">
        <v>0</v>
      </c>
      <c r="J5" s="16" t="n">
        <v>0</v>
      </c>
      <c r="K5" s="22" t="n">
        <f aca="false">SUM(E5:J5)</f>
        <v>17</v>
      </c>
    </row>
    <row r="6" customFormat="false" ht="12.75" hidden="false" customHeight="true" outlineLevel="0" collapsed="false">
      <c r="A6" s="16" t="n">
        <v>5</v>
      </c>
      <c r="B6" s="16" t="n">
        <v>41896</v>
      </c>
      <c r="C6" s="21" t="s">
        <v>308</v>
      </c>
      <c r="D6" s="21" t="s">
        <v>309</v>
      </c>
      <c r="E6" s="16" t="n">
        <v>7</v>
      </c>
      <c r="F6" s="23" t="n">
        <f aca="false">4+3</f>
        <v>7</v>
      </c>
      <c r="G6" s="16" t="n">
        <v>0</v>
      </c>
      <c r="H6" s="16" t="n">
        <v>1</v>
      </c>
      <c r="I6" s="16" t="n">
        <v>0</v>
      </c>
      <c r="J6" s="16" t="n">
        <v>0</v>
      </c>
      <c r="K6" s="22" t="n">
        <f aca="false">SUM(E6:J6)</f>
        <v>15</v>
      </c>
    </row>
    <row r="7" customFormat="false" ht="12.75" hidden="false" customHeight="true" outlineLevel="0" collapsed="false">
      <c r="A7" s="16" t="n">
        <v>6</v>
      </c>
      <c r="B7" s="16" t="n">
        <v>50047</v>
      </c>
      <c r="C7" s="21" t="s">
        <v>310</v>
      </c>
      <c r="D7" s="21" t="s">
        <v>311</v>
      </c>
      <c r="E7" s="16" t="n">
        <v>4</v>
      </c>
      <c r="F7" s="16" t="n">
        <v>3</v>
      </c>
      <c r="G7" s="16" t="n">
        <v>0</v>
      </c>
      <c r="H7" s="16" t="n">
        <v>7</v>
      </c>
      <c r="I7" s="16" t="n">
        <v>0</v>
      </c>
      <c r="J7" s="16" t="n">
        <v>0</v>
      </c>
      <c r="K7" s="22" t="n">
        <f aca="false">SUM(E7:J7)</f>
        <v>14</v>
      </c>
    </row>
    <row r="8" customFormat="false" ht="12.75" hidden="false" customHeight="true" outlineLevel="0" collapsed="false">
      <c r="A8" s="16" t="n">
        <v>7</v>
      </c>
      <c r="B8" s="16" t="n">
        <v>54087</v>
      </c>
      <c r="C8" s="21" t="s">
        <v>292</v>
      </c>
      <c r="D8" s="21" t="s">
        <v>312</v>
      </c>
      <c r="E8" s="16" t="n">
        <v>7</v>
      </c>
      <c r="F8" s="16" t="n">
        <v>6</v>
      </c>
      <c r="G8" s="16" t="n">
        <v>0</v>
      </c>
      <c r="H8" s="16" t="n">
        <v>1</v>
      </c>
      <c r="I8" s="16" t="n">
        <v>0</v>
      </c>
      <c r="J8" s="16" t="n">
        <v>0</v>
      </c>
      <c r="K8" s="22" t="n">
        <f aca="false">SUM(E8:J8)</f>
        <v>14</v>
      </c>
    </row>
    <row r="9" customFormat="false" ht="12.75" hidden="false" customHeight="true" outlineLevel="0" collapsed="false">
      <c r="A9" s="16" t="n">
        <v>8</v>
      </c>
      <c r="B9" s="16" t="n">
        <v>40753</v>
      </c>
      <c r="C9" s="21" t="s">
        <v>151</v>
      </c>
      <c r="D9" s="21" t="s">
        <v>313</v>
      </c>
      <c r="E9" s="16" t="n">
        <v>7</v>
      </c>
      <c r="F9" s="16" t="n">
        <v>6</v>
      </c>
      <c r="G9" s="16" t="n">
        <v>0</v>
      </c>
      <c r="H9" s="16" t="n">
        <v>0</v>
      </c>
      <c r="I9" s="16" t="n">
        <v>0</v>
      </c>
      <c r="J9" s="16" t="n">
        <v>0</v>
      </c>
      <c r="K9" s="22" t="n">
        <f aca="false">SUM(E9:J9)</f>
        <v>13</v>
      </c>
    </row>
    <row r="10" customFormat="false" ht="12.75" hidden="false" customHeight="true" outlineLevel="0" collapsed="false">
      <c r="A10" s="16" t="n">
        <v>9</v>
      </c>
      <c r="B10" s="16" t="n">
        <v>54687</v>
      </c>
      <c r="C10" s="21" t="s">
        <v>314</v>
      </c>
      <c r="D10" s="21" t="s">
        <v>44</v>
      </c>
      <c r="E10" s="16" t="n">
        <v>7</v>
      </c>
      <c r="F10" s="16" t="n">
        <v>4</v>
      </c>
      <c r="G10" s="16" t="n">
        <v>0</v>
      </c>
      <c r="H10" s="16" t="n">
        <v>1</v>
      </c>
      <c r="I10" s="23" t="n">
        <f aca="false">0+1</f>
        <v>1</v>
      </c>
      <c r="J10" s="16" t="n">
        <v>0</v>
      </c>
      <c r="K10" s="22" t="n">
        <f aca="false">SUM(E10:J10)</f>
        <v>13</v>
      </c>
    </row>
    <row r="11" customFormat="false" ht="12.75" hidden="false" customHeight="true" outlineLevel="0" collapsed="false">
      <c r="A11" s="16" t="n">
        <v>10</v>
      </c>
      <c r="B11" s="16" t="n">
        <v>51308</v>
      </c>
      <c r="C11" s="21" t="s">
        <v>315</v>
      </c>
      <c r="D11" s="21" t="s">
        <v>316</v>
      </c>
      <c r="E11" s="16" t="n">
        <v>7</v>
      </c>
      <c r="F11" s="16" t="n">
        <v>4</v>
      </c>
      <c r="G11" s="16" t="n">
        <v>0</v>
      </c>
      <c r="H11" s="16" t="n">
        <v>1</v>
      </c>
      <c r="I11" s="16" t="n">
        <v>0</v>
      </c>
      <c r="J11" s="16" t="n">
        <v>0</v>
      </c>
      <c r="K11" s="22" t="n">
        <f aca="false">SUM(E11:J11)</f>
        <v>12</v>
      </c>
    </row>
    <row r="12" customFormat="false" ht="12.75" hidden="false" customHeight="true" outlineLevel="0" collapsed="false">
      <c r="A12" s="16" t="n">
        <v>11</v>
      </c>
      <c r="B12" s="16" t="n">
        <v>187713</v>
      </c>
      <c r="C12" s="21" t="s">
        <v>197</v>
      </c>
      <c r="D12" s="21" t="s">
        <v>317</v>
      </c>
      <c r="E12" s="16" t="n">
        <v>7</v>
      </c>
      <c r="F12" s="16" t="n">
        <v>4</v>
      </c>
      <c r="G12" s="16" t="n">
        <v>0</v>
      </c>
      <c r="H12" s="16" t="n">
        <v>1</v>
      </c>
      <c r="I12" s="16" t="n">
        <v>0</v>
      </c>
      <c r="J12" s="16" t="n">
        <v>0</v>
      </c>
      <c r="K12" s="22" t="n">
        <f aca="false">SUM(E12:J12)</f>
        <v>12</v>
      </c>
    </row>
    <row r="13" customFormat="false" ht="12.75" hidden="false" customHeight="true" outlineLevel="0" collapsed="false">
      <c r="A13" s="16" t="n">
        <v>12</v>
      </c>
      <c r="B13" s="16" t="n">
        <v>203048</v>
      </c>
      <c r="C13" s="21" t="s">
        <v>318</v>
      </c>
      <c r="D13" s="21" t="s">
        <v>98</v>
      </c>
      <c r="E13" s="16" t="n">
        <v>7</v>
      </c>
      <c r="F13" s="16" t="n">
        <v>4</v>
      </c>
      <c r="G13" s="16" t="n">
        <v>0</v>
      </c>
      <c r="H13" s="16" t="n">
        <v>0</v>
      </c>
      <c r="I13" s="16" t="n">
        <v>0</v>
      </c>
      <c r="J13" s="16" t="n">
        <v>0</v>
      </c>
      <c r="K13" s="22" t="n">
        <f aca="false">SUM(E13:J13)</f>
        <v>11</v>
      </c>
    </row>
    <row r="14" customFormat="false" ht="12.75" hidden="false" customHeight="true" outlineLevel="0" collapsed="false">
      <c r="A14" s="16" t="n">
        <v>13</v>
      </c>
      <c r="B14" s="16" t="n">
        <v>51478</v>
      </c>
      <c r="C14" s="21" t="s">
        <v>319</v>
      </c>
      <c r="D14" s="21" t="s">
        <v>320</v>
      </c>
      <c r="E14" s="16" t="n">
        <v>7</v>
      </c>
      <c r="F14" s="16" t="n">
        <v>3</v>
      </c>
      <c r="G14" s="16" t="n">
        <v>0</v>
      </c>
      <c r="H14" s="16" t="n">
        <v>1</v>
      </c>
      <c r="I14" s="16" t="n">
        <v>0</v>
      </c>
      <c r="J14" s="16" t="n">
        <v>0</v>
      </c>
      <c r="K14" s="22" t="n">
        <f aca="false">SUM(E14:J14)</f>
        <v>11</v>
      </c>
    </row>
    <row r="15" customFormat="false" ht="12.75" hidden="false" customHeight="true" outlineLevel="0" collapsed="false">
      <c r="A15" s="16" t="n">
        <v>14</v>
      </c>
      <c r="B15" s="16" t="n">
        <v>72742</v>
      </c>
      <c r="C15" s="21" t="s">
        <v>321</v>
      </c>
      <c r="D15" s="21" t="s">
        <v>130</v>
      </c>
      <c r="E15" s="16" t="n">
        <v>7</v>
      </c>
      <c r="F15" s="16" t="n">
        <v>2</v>
      </c>
      <c r="G15" s="16" t="n">
        <v>0</v>
      </c>
      <c r="H15" s="16" t="n">
        <v>1</v>
      </c>
      <c r="I15" s="23" t="n">
        <f aca="false">0+1</f>
        <v>1</v>
      </c>
      <c r="J15" s="16" t="n">
        <v>0</v>
      </c>
      <c r="K15" s="22" t="n">
        <f aca="false">SUM(E15:J15)</f>
        <v>11</v>
      </c>
    </row>
    <row r="16" customFormat="false" ht="12.75" hidden="false" customHeight="true" outlineLevel="0" collapsed="false">
      <c r="A16" s="16" t="n">
        <v>15</v>
      </c>
      <c r="B16" s="16" t="n">
        <v>81739</v>
      </c>
      <c r="C16" s="21" t="s">
        <v>15</v>
      </c>
      <c r="D16" s="21" t="s">
        <v>322</v>
      </c>
      <c r="E16" s="16" t="n">
        <v>7</v>
      </c>
      <c r="F16" s="16" t="n">
        <v>3</v>
      </c>
      <c r="G16" s="16" t="n">
        <v>0</v>
      </c>
      <c r="H16" s="16" t="n">
        <v>1</v>
      </c>
      <c r="I16" s="16" t="n">
        <v>0</v>
      </c>
      <c r="J16" s="16" t="n">
        <v>0</v>
      </c>
      <c r="K16" s="22" t="n">
        <f aca="false">SUM(E16:J16)</f>
        <v>11</v>
      </c>
    </row>
    <row r="17" customFormat="false" ht="12.75" hidden="false" customHeight="true" outlineLevel="0" collapsed="false">
      <c r="A17" s="16" t="n">
        <v>16</v>
      </c>
      <c r="B17" s="16" t="n">
        <v>225668</v>
      </c>
      <c r="C17" s="21" t="s">
        <v>91</v>
      </c>
      <c r="D17" s="21" t="s">
        <v>323</v>
      </c>
      <c r="E17" s="16" t="n">
        <v>7</v>
      </c>
      <c r="F17" s="16" t="n">
        <v>3</v>
      </c>
      <c r="G17" s="16" t="n">
        <v>0</v>
      </c>
      <c r="H17" s="16" t="n">
        <v>1</v>
      </c>
      <c r="I17" s="16" t="n">
        <v>0</v>
      </c>
      <c r="J17" s="16" t="n">
        <v>0</v>
      </c>
      <c r="K17" s="22" t="n">
        <f aca="false">SUM(E17:J17)</f>
        <v>11</v>
      </c>
    </row>
    <row r="18" customFormat="false" ht="12.75" hidden="false" customHeight="true" outlineLevel="0" collapsed="false">
      <c r="A18" s="16" t="n">
        <v>17</v>
      </c>
      <c r="B18" s="16" t="n">
        <v>190041</v>
      </c>
      <c r="C18" s="21" t="s">
        <v>324</v>
      </c>
      <c r="D18" s="21" t="s">
        <v>325</v>
      </c>
      <c r="E18" s="16" t="n">
        <v>7</v>
      </c>
      <c r="F18" s="16" t="n">
        <v>4</v>
      </c>
      <c r="G18" s="16" t="n">
        <v>0</v>
      </c>
      <c r="H18" s="16" t="n">
        <v>0</v>
      </c>
      <c r="I18" s="16" t="n">
        <v>0</v>
      </c>
      <c r="J18" s="16" t="n">
        <v>0</v>
      </c>
      <c r="K18" s="22" t="n">
        <f aca="false">SUM(E18:J18)</f>
        <v>11</v>
      </c>
    </row>
    <row r="19" customFormat="false" ht="12.75" hidden="false" customHeight="true" outlineLevel="0" collapsed="false">
      <c r="A19" s="16" t="n">
        <v>18</v>
      </c>
      <c r="B19" s="16" t="n">
        <v>208453</v>
      </c>
      <c r="C19" s="21" t="s">
        <v>326</v>
      </c>
      <c r="D19" s="21" t="s">
        <v>327</v>
      </c>
      <c r="E19" s="16" t="n">
        <v>7</v>
      </c>
      <c r="F19" s="16" t="n">
        <v>4</v>
      </c>
      <c r="G19" s="16" t="n">
        <v>0</v>
      </c>
      <c r="H19" s="16" t="n">
        <v>0</v>
      </c>
      <c r="I19" s="16" t="n">
        <v>0</v>
      </c>
      <c r="J19" s="16" t="n">
        <v>0</v>
      </c>
      <c r="K19" s="22" t="n">
        <f aca="false">SUM(E19:J19)</f>
        <v>11</v>
      </c>
    </row>
    <row r="20" customFormat="false" ht="12.75" hidden="false" customHeight="true" outlineLevel="0" collapsed="false">
      <c r="A20" s="16" t="n">
        <v>19</v>
      </c>
      <c r="B20" s="16" t="n">
        <v>38531</v>
      </c>
      <c r="C20" s="21" t="s">
        <v>15</v>
      </c>
      <c r="D20" s="21" t="s">
        <v>328</v>
      </c>
      <c r="E20" s="16" t="n">
        <v>6</v>
      </c>
      <c r="F20" s="16" t="n">
        <v>4</v>
      </c>
      <c r="G20" s="16" t="n">
        <v>0</v>
      </c>
      <c r="H20" s="16" t="n">
        <v>0</v>
      </c>
      <c r="I20" s="16" t="n">
        <v>0</v>
      </c>
      <c r="J20" s="16" t="n">
        <v>0</v>
      </c>
      <c r="K20" s="22" t="n">
        <f aca="false">SUM(E20:J20)</f>
        <v>10</v>
      </c>
    </row>
    <row r="21" customFormat="false" ht="12.75" hidden="false" customHeight="true" outlineLevel="0" collapsed="false">
      <c r="A21" s="16" t="n">
        <v>20</v>
      </c>
      <c r="B21" s="16" t="n">
        <v>186560</v>
      </c>
      <c r="C21" s="21" t="s">
        <v>329</v>
      </c>
      <c r="D21" s="21" t="s">
        <v>330</v>
      </c>
      <c r="E21" s="16" t="n">
        <v>7</v>
      </c>
      <c r="F21" s="16" t="n">
        <v>3</v>
      </c>
      <c r="G21" s="16" t="n">
        <v>0</v>
      </c>
      <c r="H21" s="16" t="n">
        <v>0</v>
      </c>
      <c r="I21" s="16" t="n">
        <v>0</v>
      </c>
      <c r="J21" s="16" t="n">
        <v>0</v>
      </c>
      <c r="K21" s="22" t="n">
        <f aca="false">SUM(E21:J21)</f>
        <v>10</v>
      </c>
    </row>
    <row r="22" customFormat="false" ht="12.75" hidden="false" customHeight="true" outlineLevel="0" collapsed="false">
      <c r="A22" s="16" t="n">
        <v>21</v>
      </c>
      <c r="B22" s="16" t="n">
        <v>45559</v>
      </c>
      <c r="C22" s="21" t="s">
        <v>331</v>
      </c>
      <c r="D22" s="21" t="s">
        <v>332</v>
      </c>
      <c r="E22" s="16" t="n">
        <v>7</v>
      </c>
      <c r="F22" s="16" t="n">
        <v>2</v>
      </c>
      <c r="G22" s="16" t="n">
        <v>0</v>
      </c>
      <c r="H22" s="16" t="n">
        <v>1</v>
      </c>
      <c r="I22" s="16" t="n">
        <v>0</v>
      </c>
      <c r="J22" s="16" t="n">
        <v>0</v>
      </c>
      <c r="K22" s="22" t="n">
        <f aca="false">SUM(E22:J22)</f>
        <v>10</v>
      </c>
    </row>
    <row r="23" customFormat="false" ht="12.75" hidden="false" customHeight="true" outlineLevel="0" collapsed="false">
      <c r="A23" s="16" t="n">
        <v>22</v>
      </c>
      <c r="B23" s="16" t="n">
        <v>65863</v>
      </c>
      <c r="C23" s="21" t="s">
        <v>333</v>
      </c>
      <c r="D23" s="21" t="s">
        <v>334</v>
      </c>
      <c r="E23" s="16" t="n">
        <v>7</v>
      </c>
      <c r="F23" s="16" t="n">
        <v>2</v>
      </c>
      <c r="G23" s="16" t="n">
        <v>0</v>
      </c>
      <c r="H23" s="16" t="n">
        <v>1</v>
      </c>
      <c r="I23" s="16" t="n">
        <v>0</v>
      </c>
      <c r="J23" s="16" t="n">
        <v>0</v>
      </c>
      <c r="K23" s="22" t="n">
        <f aca="false">SUM(E23:J23)</f>
        <v>10</v>
      </c>
    </row>
    <row r="24" customFormat="false" ht="12.75" hidden="false" customHeight="true" outlineLevel="0" collapsed="false">
      <c r="A24" s="16" t="n">
        <v>23</v>
      </c>
      <c r="B24" s="16" t="n">
        <v>144038</v>
      </c>
      <c r="C24" s="21" t="s">
        <v>335</v>
      </c>
      <c r="D24" s="21" t="s">
        <v>336</v>
      </c>
      <c r="E24" s="16" t="n">
        <v>7</v>
      </c>
      <c r="F24" s="16" t="n">
        <v>2</v>
      </c>
      <c r="G24" s="16" t="n">
        <v>0</v>
      </c>
      <c r="H24" s="16" t="n">
        <v>1</v>
      </c>
      <c r="I24" s="16" t="n">
        <v>0</v>
      </c>
      <c r="J24" s="16" t="n">
        <v>0</v>
      </c>
      <c r="K24" s="22" t="n">
        <f aca="false">SUM(E24:J24)</f>
        <v>10</v>
      </c>
    </row>
    <row r="25" customFormat="false" ht="12.75" hidden="false" customHeight="true" outlineLevel="0" collapsed="false">
      <c r="A25" s="16" t="n">
        <v>24</v>
      </c>
      <c r="B25" s="16" t="n">
        <v>200613</v>
      </c>
      <c r="C25" s="21" t="s">
        <v>245</v>
      </c>
      <c r="D25" s="21" t="s">
        <v>192</v>
      </c>
      <c r="E25" s="16" t="n">
        <v>7</v>
      </c>
      <c r="F25" s="16" t="n">
        <v>2</v>
      </c>
      <c r="G25" s="16" t="n">
        <v>0</v>
      </c>
      <c r="H25" s="16" t="n">
        <v>1</v>
      </c>
      <c r="I25" s="16" t="n">
        <v>0</v>
      </c>
      <c r="J25" s="16" t="n">
        <v>0</v>
      </c>
      <c r="K25" s="22" t="n">
        <f aca="false">SUM(E25:J25)</f>
        <v>10</v>
      </c>
    </row>
    <row r="26" customFormat="false" ht="12.75" hidden="false" customHeight="true" outlineLevel="0" collapsed="false">
      <c r="A26" s="16" t="n">
        <v>25</v>
      </c>
      <c r="B26" s="16" t="n">
        <v>77505</v>
      </c>
      <c r="C26" s="21" t="s">
        <v>229</v>
      </c>
      <c r="D26" s="21" t="s">
        <v>337</v>
      </c>
      <c r="E26" s="16" t="n">
        <v>7</v>
      </c>
      <c r="F26" s="16" t="n">
        <v>2</v>
      </c>
      <c r="G26" s="16" t="n">
        <v>0</v>
      </c>
      <c r="H26" s="16" t="n">
        <v>1</v>
      </c>
      <c r="I26" s="16" t="n">
        <v>0</v>
      </c>
      <c r="J26" s="16" t="n">
        <v>0</v>
      </c>
      <c r="K26" s="22" t="n">
        <f aca="false">SUM(E26:J26)</f>
        <v>10</v>
      </c>
    </row>
    <row r="27" customFormat="false" ht="12.75" hidden="false" customHeight="true" outlineLevel="0" collapsed="false">
      <c r="A27" s="16" t="n">
        <v>26</v>
      </c>
      <c r="B27" s="16" t="n">
        <v>34498</v>
      </c>
      <c r="C27" s="21" t="s">
        <v>338</v>
      </c>
      <c r="D27" s="21" t="s">
        <v>119</v>
      </c>
      <c r="E27" s="16" t="n">
        <v>7</v>
      </c>
      <c r="F27" s="16" t="n">
        <v>2</v>
      </c>
      <c r="G27" s="16" t="n">
        <v>0</v>
      </c>
      <c r="H27" s="16" t="n">
        <v>1</v>
      </c>
      <c r="I27" s="16" t="n">
        <v>0</v>
      </c>
      <c r="J27" s="16" t="n">
        <v>0</v>
      </c>
      <c r="K27" s="22" t="n">
        <f aca="false">SUM(E27:J27)</f>
        <v>10</v>
      </c>
    </row>
    <row r="28" customFormat="false" ht="12.75" hidden="false" customHeight="true" outlineLevel="0" collapsed="false">
      <c r="A28" s="16" t="n">
        <v>27</v>
      </c>
      <c r="B28" s="16" t="n">
        <v>40528</v>
      </c>
      <c r="C28" s="21" t="s">
        <v>339</v>
      </c>
      <c r="D28" s="21" t="s">
        <v>44</v>
      </c>
      <c r="E28" s="16" t="n">
        <v>7</v>
      </c>
      <c r="F28" s="16" t="n">
        <v>3</v>
      </c>
      <c r="G28" s="16" t="n">
        <v>0</v>
      </c>
      <c r="H28" s="16" t="n">
        <v>0</v>
      </c>
      <c r="I28" s="16" t="n">
        <v>0</v>
      </c>
      <c r="J28" s="16" t="n">
        <v>0</v>
      </c>
      <c r="K28" s="22" t="n">
        <f aca="false">SUM(E28:J28)</f>
        <v>10</v>
      </c>
    </row>
    <row r="29" customFormat="false" ht="12.75" hidden="false" customHeight="true" outlineLevel="0" collapsed="false">
      <c r="A29" s="16" t="n">
        <v>28</v>
      </c>
      <c r="B29" s="16" t="n">
        <v>44105</v>
      </c>
      <c r="C29" s="21" t="s">
        <v>340</v>
      </c>
      <c r="D29" s="21" t="s">
        <v>341</v>
      </c>
      <c r="E29" s="16" t="n">
        <v>7</v>
      </c>
      <c r="F29" s="16" t="n">
        <v>3</v>
      </c>
      <c r="G29" s="16" t="n">
        <v>0</v>
      </c>
      <c r="H29" s="16" t="n">
        <v>0</v>
      </c>
      <c r="I29" s="16" t="n">
        <v>0</v>
      </c>
      <c r="J29" s="16" t="n">
        <v>0</v>
      </c>
      <c r="K29" s="22" t="n">
        <f aca="false">SUM(E29:J29)</f>
        <v>10</v>
      </c>
    </row>
    <row r="30" customFormat="false" ht="12.75" hidden="false" customHeight="true" outlineLevel="0" collapsed="false">
      <c r="A30" s="16" t="n">
        <v>29</v>
      </c>
      <c r="B30" s="16" t="n">
        <v>18340</v>
      </c>
      <c r="C30" s="21" t="s">
        <v>198</v>
      </c>
      <c r="D30" s="21" t="s">
        <v>342</v>
      </c>
      <c r="E30" s="16" t="n">
        <v>7</v>
      </c>
      <c r="F30" s="16" t="n">
        <v>2</v>
      </c>
      <c r="G30" s="16" t="n">
        <v>0</v>
      </c>
      <c r="H30" s="16" t="n">
        <v>0</v>
      </c>
      <c r="I30" s="23" t="n">
        <f aca="false">0+1</f>
        <v>1</v>
      </c>
      <c r="J30" s="16" t="n">
        <v>0</v>
      </c>
      <c r="K30" s="22" t="n">
        <f aca="false">SUM(E30:J30)</f>
        <v>10</v>
      </c>
    </row>
    <row r="31" customFormat="false" ht="12.75" hidden="false" customHeight="true" outlineLevel="0" collapsed="false">
      <c r="A31" s="16" t="n">
        <v>30</v>
      </c>
      <c r="B31" s="16" t="n">
        <v>77504</v>
      </c>
      <c r="C31" s="21" t="s">
        <v>57</v>
      </c>
      <c r="D31" s="21" t="s">
        <v>343</v>
      </c>
      <c r="E31" s="16" t="n">
        <v>7</v>
      </c>
      <c r="F31" s="16" t="n">
        <v>2</v>
      </c>
      <c r="G31" s="16" t="n">
        <v>0</v>
      </c>
      <c r="H31" s="16" t="n">
        <v>0</v>
      </c>
      <c r="I31" s="16" t="n">
        <v>0</v>
      </c>
      <c r="J31" s="16" t="n">
        <v>0</v>
      </c>
      <c r="K31" s="22" t="n">
        <f aca="false">SUM(E31:J31)</f>
        <v>9</v>
      </c>
    </row>
    <row r="32" customFormat="false" ht="12.75" hidden="false" customHeight="true" outlineLevel="0" collapsed="false">
      <c r="A32" s="16" t="n">
        <v>31</v>
      </c>
      <c r="B32" s="16" t="n">
        <v>40278</v>
      </c>
      <c r="C32" s="21" t="s">
        <v>39</v>
      </c>
      <c r="D32" s="21" t="s">
        <v>344</v>
      </c>
      <c r="E32" s="16" t="n">
        <v>7</v>
      </c>
      <c r="F32" s="16" t="n">
        <v>2</v>
      </c>
      <c r="G32" s="16" t="n">
        <v>0</v>
      </c>
      <c r="H32" s="16" t="n">
        <v>0</v>
      </c>
      <c r="I32" s="16" t="n">
        <v>0</v>
      </c>
      <c r="J32" s="16" t="n">
        <v>0</v>
      </c>
      <c r="K32" s="22" t="n">
        <f aca="false">SUM(E32:J32)</f>
        <v>9</v>
      </c>
    </row>
    <row r="33" customFormat="false" ht="12.75" hidden="false" customHeight="true" outlineLevel="0" collapsed="false">
      <c r="A33" s="16" t="n">
        <v>32</v>
      </c>
      <c r="B33" s="16" t="n">
        <v>113732</v>
      </c>
      <c r="C33" s="21" t="s">
        <v>345</v>
      </c>
      <c r="D33" s="21" t="s">
        <v>346</v>
      </c>
      <c r="E33" s="16" t="n">
        <v>7</v>
      </c>
      <c r="F33" s="16" t="n">
        <v>2</v>
      </c>
      <c r="G33" s="16" t="n">
        <v>0</v>
      </c>
      <c r="H33" s="16" t="n">
        <v>0</v>
      </c>
      <c r="I33" s="16" t="n">
        <v>0</v>
      </c>
      <c r="J33" s="16" t="n">
        <v>0</v>
      </c>
      <c r="K33" s="22" t="n">
        <f aca="false">SUM(E33:J33)</f>
        <v>9</v>
      </c>
    </row>
    <row r="34" customFormat="false" ht="12.75" hidden="false" customHeight="true" outlineLevel="0" collapsed="false">
      <c r="A34" s="16" t="n">
        <v>33</v>
      </c>
      <c r="B34" s="16" t="n">
        <v>198181</v>
      </c>
      <c r="C34" s="21" t="s">
        <v>347</v>
      </c>
      <c r="D34" s="21" t="s">
        <v>348</v>
      </c>
      <c r="E34" s="16" t="n">
        <v>7</v>
      </c>
      <c r="F34" s="16" t="n">
        <v>2</v>
      </c>
      <c r="G34" s="16" t="n">
        <v>0</v>
      </c>
      <c r="H34" s="16" t="n">
        <v>0</v>
      </c>
      <c r="I34" s="16" t="n">
        <v>0</v>
      </c>
      <c r="J34" s="16" t="n">
        <v>0</v>
      </c>
      <c r="K34" s="22" t="n">
        <f aca="false">SUM(E34:J34)</f>
        <v>9</v>
      </c>
    </row>
    <row r="35" customFormat="false" ht="12.75" hidden="false" customHeight="true" outlineLevel="0" collapsed="false">
      <c r="A35" s="16" t="n">
        <v>34</v>
      </c>
      <c r="B35" s="16" t="n">
        <v>54226</v>
      </c>
      <c r="C35" s="21" t="s">
        <v>349</v>
      </c>
      <c r="D35" s="21" t="s">
        <v>44</v>
      </c>
      <c r="E35" s="16" t="n">
        <v>7</v>
      </c>
      <c r="F35" s="16" t="n">
        <v>2</v>
      </c>
      <c r="G35" s="16" t="n">
        <v>0</v>
      </c>
      <c r="H35" s="16" t="n">
        <v>0</v>
      </c>
      <c r="I35" s="16" t="n">
        <v>0</v>
      </c>
      <c r="J35" s="16" t="n">
        <v>0</v>
      </c>
      <c r="K35" s="22" t="n">
        <f aca="false">SUM(E35:J35)</f>
        <v>9</v>
      </c>
    </row>
    <row r="36" customFormat="false" ht="12.75" hidden="false" customHeight="true" outlineLevel="0" collapsed="false">
      <c r="A36" s="16" t="n">
        <v>35</v>
      </c>
      <c r="B36" s="16" t="n">
        <v>49253</v>
      </c>
      <c r="C36" s="21" t="s">
        <v>314</v>
      </c>
      <c r="D36" s="21" t="s">
        <v>350</v>
      </c>
      <c r="E36" s="16" t="n">
        <v>7</v>
      </c>
      <c r="F36" s="16" t="n">
        <v>2</v>
      </c>
      <c r="G36" s="16" t="n">
        <v>0</v>
      </c>
      <c r="H36" s="16" t="n">
        <v>0</v>
      </c>
      <c r="I36" s="16" t="n">
        <v>0</v>
      </c>
      <c r="J36" s="16" t="n">
        <v>0</v>
      </c>
      <c r="K36" s="22" t="n">
        <f aca="false">SUM(E36:J36)</f>
        <v>9</v>
      </c>
    </row>
    <row r="37" customFormat="false" ht="12.75" hidden="false" customHeight="true" outlineLevel="0" collapsed="false">
      <c r="A37" s="16" t="n">
        <v>36</v>
      </c>
      <c r="B37" s="16" t="n">
        <v>48771</v>
      </c>
      <c r="C37" s="21" t="s">
        <v>351</v>
      </c>
      <c r="D37" s="21" t="s">
        <v>352</v>
      </c>
      <c r="E37" s="16" t="n">
        <v>7</v>
      </c>
      <c r="F37" s="16" t="n">
        <v>2</v>
      </c>
      <c r="G37" s="16" t="n">
        <v>0</v>
      </c>
      <c r="H37" s="16" t="n">
        <v>0</v>
      </c>
      <c r="I37" s="16" t="n">
        <v>0</v>
      </c>
      <c r="J37" s="16" t="n">
        <v>0</v>
      </c>
      <c r="K37" s="22" t="n">
        <f aca="false">SUM(E37:J37)</f>
        <v>9</v>
      </c>
    </row>
    <row r="38" customFormat="false" ht="12.75" hidden="false" customHeight="true" outlineLevel="0" collapsed="false">
      <c r="A38" s="16" t="n">
        <v>37</v>
      </c>
      <c r="B38" s="16" t="n">
        <v>41810</v>
      </c>
      <c r="C38" s="21" t="s">
        <v>23</v>
      </c>
      <c r="D38" s="21" t="s">
        <v>353</v>
      </c>
      <c r="E38" s="16" t="n">
        <v>7</v>
      </c>
      <c r="F38" s="16" t="n">
        <v>2</v>
      </c>
      <c r="G38" s="16" t="n">
        <v>0</v>
      </c>
      <c r="H38" s="16" t="n">
        <v>0</v>
      </c>
      <c r="I38" s="16" t="n">
        <v>0</v>
      </c>
      <c r="J38" s="16" t="n">
        <v>0</v>
      </c>
      <c r="K38" s="22" t="n">
        <f aca="false">SUM(E38:J38)</f>
        <v>9</v>
      </c>
    </row>
    <row r="39" customFormat="false" ht="12.75" hidden="false" customHeight="true" outlineLevel="0" collapsed="false">
      <c r="A39" s="16" t="n">
        <v>38</v>
      </c>
      <c r="B39" s="16" t="n">
        <v>97099</v>
      </c>
      <c r="C39" s="21" t="s">
        <v>23</v>
      </c>
      <c r="D39" s="21" t="s">
        <v>354</v>
      </c>
      <c r="E39" s="16" t="n">
        <v>7</v>
      </c>
      <c r="F39" s="16" t="n">
        <v>2</v>
      </c>
      <c r="G39" s="16" t="n">
        <v>0</v>
      </c>
      <c r="H39" s="16" t="n">
        <v>0</v>
      </c>
      <c r="I39" s="16" t="n">
        <v>0</v>
      </c>
      <c r="J39" s="16" t="n">
        <v>0</v>
      </c>
      <c r="K39" s="22" t="n">
        <f aca="false">SUM(E39:J39)</f>
        <v>9</v>
      </c>
    </row>
    <row r="40" customFormat="false" ht="12.75" hidden="false" customHeight="true" outlineLevel="0" collapsed="false">
      <c r="A40" s="16" t="n">
        <v>39</v>
      </c>
      <c r="B40" s="16" t="n">
        <v>226094</v>
      </c>
      <c r="C40" s="21" t="s">
        <v>355</v>
      </c>
      <c r="D40" s="21" t="s">
        <v>356</v>
      </c>
      <c r="E40" s="16" t="n">
        <v>7</v>
      </c>
      <c r="F40" s="16" t="n">
        <v>2</v>
      </c>
      <c r="G40" s="16" t="n">
        <v>0</v>
      </c>
      <c r="H40" s="16" t="n">
        <v>0</v>
      </c>
      <c r="I40" s="16" t="n">
        <v>0</v>
      </c>
      <c r="J40" s="16" t="n">
        <v>0</v>
      </c>
      <c r="K40" s="22" t="n">
        <f aca="false">SUM(E40:J40)</f>
        <v>9</v>
      </c>
    </row>
    <row r="41" customFormat="false" ht="12.75" hidden="false" customHeight="true" outlineLevel="0" collapsed="false">
      <c r="A41" s="16" t="n">
        <v>40</v>
      </c>
      <c r="B41" s="16" t="n">
        <v>116646</v>
      </c>
      <c r="C41" s="21" t="s">
        <v>357</v>
      </c>
      <c r="D41" s="21" t="s">
        <v>358</v>
      </c>
      <c r="E41" s="16" t="n">
        <v>7</v>
      </c>
      <c r="F41" s="16" t="n">
        <v>2</v>
      </c>
      <c r="G41" s="16" t="n">
        <v>0</v>
      </c>
      <c r="H41" s="16" t="n">
        <v>0</v>
      </c>
      <c r="I41" s="16" t="n">
        <v>0</v>
      </c>
      <c r="J41" s="16" t="n">
        <v>0</v>
      </c>
      <c r="K41" s="22" t="n">
        <f aca="false">SUM(E41:J41)</f>
        <v>9</v>
      </c>
    </row>
    <row r="42" customFormat="false" ht="12.75" hidden="false" customHeight="true" outlineLevel="0" collapsed="false">
      <c r="A42" s="16" t="n">
        <v>41</v>
      </c>
      <c r="B42" s="16" t="n">
        <v>141023</v>
      </c>
      <c r="C42" s="21" t="s">
        <v>359</v>
      </c>
      <c r="D42" s="21" t="s">
        <v>360</v>
      </c>
      <c r="E42" s="16" t="n">
        <v>7</v>
      </c>
      <c r="F42" s="16" t="n">
        <v>2</v>
      </c>
      <c r="G42" s="16" t="n">
        <v>0</v>
      </c>
      <c r="H42" s="16"/>
      <c r="I42" s="16"/>
      <c r="J42" s="16"/>
      <c r="K42" s="22" t="n">
        <f aca="false">SUM(E42:J42)</f>
        <v>9</v>
      </c>
    </row>
    <row r="43" customFormat="false" ht="12.75" hidden="false" customHeight="true" outlineLevel="0" collapsed="false">
      <c r="A43" s="16" t="n">
        <v>42</v>
      </c>
      <c r="B43" s="16" t="n">
        <v>202851</v>
      </c>
      <c r="C43" s="21" t="s">
        <v>361</v>
      </c>
      <c r="D43" s="21" t="s">
        <v>362</v>
      </c>
      <c r="E43" s="16" t="n">
        <v>5</v>
      </c>
      <c r="F43" s="16" t="n">
        <v>4</v>
      </c>
      <c r="G43" s="16" t="n">
        <v>0</v>
      </c>
      <c r="H43" s="16" t="n">
        <v>0</v>
      </c>
      <c r="I43" s="16" t="n">
        <v>0</v>
      </c>
      <c r="J43" s="16" t="n">
        <v>0</v>
      </c>
      <c r="K43" s="22" t="n">
        <f aca="false">SUM(E43:J43)</f>
        <v>9</v>
      </c>
    </row>
    <row r="44" customFormat="false" ht="12.75" hidden="false" customHeight="true" outlineLevel="0" collapsed="false">
      <c r="A44" s="16" t="n">
        <v>43</v>
      </c>
      <c r="B44" s="16" t="n">
        <v>18307</v>
      </c>
      <c r="C44" s="21" t="s">
        <v>363</v>
      </c>
      <c r="D44" s="21" t="s">
        <v>130</v>
      </c>
      <c r="E44" s="16" t="n">
        <v>5</v>
      </c>
      <c r="F44" s="16" t="n">
        <v>4</v>
      </c>
      <c r="G44" s="16" t="n">
        <v>0</v>
      </c>
      <c r="H44" s="16" t="n">
        <v>0</v>
      </c>
      <c r="I44" s="16" t="n">
        <v>0</v>
      </c>
      <c r="J44" s="16" t="n">
        <v>0</v>
      </c>
      <c r="K44" s="22" t="n">
        <f aca="false">SUM(E44:J44)</f>
        <v>9</v>
      </c>
    </row>
    <row r="45" customFormat="false" ht="12.75" hidden="false" customHeight="true" outlineLevel="0" collapsed="false">
      <c r="A45" s="16" t="n">
        <v>44</v>
      </c>
      <c r="B45" s="16" t="n">
        <v>47406</v>
      </c>
      <c r="C45" s="21" t="s">
        <v>114</v>
      </c>
      <c r="D45" s="21" t="s">
        <v>364</v>
      </c>
      <c r="E45" s="16" t="n">
        <v>7</v>
      </c>
      <c r="F45" s="16" t="n">
        <v>2</v>
      </c>
      <c r="G45" s="16" t="n">
        <v>0</v>
      </c>
      <c r="H45" s="16" t="n">
        <v>0</v>
      </c>
      <c r="I45" s="16" t="n">
        <v>0</v>
      </c>
      <c r="J45" s="16" t="n">
        <v>0</v>
      </c>
      <c r="K45" s="22" t="n">
        <f aca="false">SUM(E45:J45)</f>
        <v>9</v>
      </c>
    </row>
    <row r="46" customFormat="false" ht="12.75" hidden="false" customHeight="true" outlineLevel="0" collapsed="false">
      <c r="A46" s="16" t="n">
        <v>45</v>
      </c>
      <c r="B46" s="16" t="n">
        <v>125600</v>
      </c>
      <c r="C46" s="21" t="s">
        <v>365</v>
      </c>
      <c r="D46" s="21" t="s">
        <v>175</v>
      </c>
      <c r="E46" s="16" t="n">
        <v>6</v>
      </c>
      <c r="F46" s="16" t="n">
        <v>3</v>
      </c>
      <c r="G46" s="16" t="n">
        <v>0</v>
      </c>
      <c r="H46" s="16" t="n">
        <v>0</v>
      </c>
      <c r="I46" s="16" t="n">
        <v>0</v>
      </c>
      <c r="J46" s="16" t="n">
        <v>0</v>
      </c>
      <c r="K46" s="22" t="n">
        <f aca="false">SUM(E46:J46)</f>
        <v>9</v>
      </c>
    </row>
    <row r="47" customFormat="false" ht="12.75" hidden="false" customHeight="true" outlineLevel="0" collapsed="false">
      <c r="A47" s="16" t="n">
        <v>46</v>
      </c>
      <c r="B47" s="16" t="n">
        <v>216791</v>
      </c>
      <c r="C47" s="21" t="s">
        <v>68</v>
      </c>
      <c r="D47" s="21" t="s">
        <v>366</v>
      </c>
      <c r="E47" s="16" t="n">
        <v>7</v>
      </c>
      <c r="F47" s="16" t="n">
        <v>2</v>
      </c>
      <c r="G47" s="16" t="n">
        <v>0</v>
      </c>
      <c r="H47" s="16" t="n">
        <v>0</v>
      </c>
      <c r="I47" s="16" t="n">
        <v>0</v>
      </c>
      <c r="J47" s="16" t="n">
        <v>0</v>
      </c>
      <c r="K47" s="22" t="n">
        <f aca="false">SUM(E47:J47)</f>
        <v>9</v>
      </c>
    </row>
    <row r="48" customFormat="false" ht="12.75" hidden="false" customHeight="true" outlineLevel="0" collapsed="false">
      <c r="A48" s="16" t="n">
        <v>47</v>
      </c>
      <c r="B48" s="16" t="n">
        <v>77519</v>
      </c>
      <c r="C48" s="21" t="s">
        <v>367</v>
      </c>
      <c r="D48" s="21" t="s">
        <v>290</v>
      </c>
      <c r="E48" s="16" t="n">
        <v>7</v>
      </c>
      <c r="F48" s="16" t="n">
        <v>2</v>
      </c>
      <c r="G48" s="16" t="n">
        <v>0</v>
      </c>
      <c r="H48" s="16" t="n">
        <v>0</v>
      </c>
      <c r="I48" s="16" t="n">
        <v>0</v>
      </c>
      <c r="J48" s="16" t="n">
        <v>0</v>
      </c>
      <c r="K48" s="22" t="n">
        <f aca="false">SUM(E48:J48)</f>
        <v>9</v>
      </c>
    </row>
    <row r="49" customFormat="false" ht="12.75" hidden="false" customHeight="true" outlineLevel="0" collapsed="false">
      <c r="A49" s="16" t="n">
        <v>48</v>
      </c>
      <c r="B49" s="16" t="n">
        <v>140997</v>
      </c>
      <c r="C49" s="21" t="s">
        <v>368</v>
      </c>
      <c r="D49" s="21" t="s">
        <v>369</v>
      </c>
      <c r="E49" s="16" t="n">
        <v>7</v>
      </c>
      <c r="F49" s="16" t="n">
        <v>2</v>
      </c>
      <c r="G49" s="16" t="n">
        <v>0</v>
      </c>
      <c r="H49" s="16"/>
      <c r="I49" s="16"/>
      <c r="J49" s="16"/>
      <c r="K49" s="22" t="n">
        <f aca="false">SUM(E49:J49)</f>
        <v>9</v>
      </c>
    </row>
    <row r="50" customFormat="false" ht="12.75" hidden="false" customHeight="true" outlineLevel="0" collapsed="false">
      <c r="A50" s="16" t="n">
        <v>49</v>
      </c>
      <c r="B50" s="16" t="n">
        <v>84708</v>
      </c>
      <c r="C50" s="21" t="s">
        <v>370</v>
      </c>
      <c r="D50" s="21" t="s">
        <v>371</v>
      </c>
      <c r="E50" s="16" t="n">
        <v>7</v>
      </c>
      <c r="F50" s="16" t="n">
        <v>2</v>
      </c>
      <c r="G50" s="16" t="n">
        <v>0</v>
      </c>
      <c r="H50" s="16"/>
      <c r="I50" s="16"/>
      <c r="J50" s="16"/>
      <c r="K50" s="22" t="n">
        <f aca="false">SUM(E50:J50)</f>
        <v>9</v>
      </c>
    </row>
    <row r="51" customFormat="false" ht="12.75" hidden="false" customHeight="true" outlineLevel="0" collapsed="false">
      <c r="A51" s="16" t="n">
        <v>50</v>
      </c>
      <c r="B51" s="16" t="n">
        <v>128410</v>
      </c>
      <c r="C51" s="21" t="s">
        <v>199</v>
      </c>
      <c r="D51" s="21" t="s">
        <v>372</v>
      </c>
      <c r="E51" s="16" t="n">
        <v>7</v>
      </c>
      <c r="F51" s="16" t="n">
        <v>2</v>
      </c>
      <c r="G51" s="16" t="n">
        <v>0</v>
      </c>
      <c r="H51" s="16" t="n">
        <v>0</v>
      </c>
      <c r="I51" s="16" t="n">
        <v>0</v>
      </c>
      <c r="J51" s="16" t="n">
        <v>0</v>
      </c>
      <c r="K51" s="22" t="n">
        <f aca="false">SUM(E51:J51)</f>
        <v>9</v>
      </c>
    </row>
    <row r="52" customFormat="false" ht="12.75" hidden="false" customHeight="true" outlineLevel="0" collapsed="false">
      <c r="A52" s="16" t="n">
        <v>51</v>
      </c>
      <c r="B52" s="16" t="n">
        <v>46957</v>
      </c>
      <c r="C52" s="21" t="s">
        <v>172</v>
      </c>
      <c r="D52" s="21" t="s">
        <v>373</v>
      </c>
      <c r="E52" s="16" t="n">
        <v>6</v>
      </c>
      <c r="F52" s="16" t="n">
        <v>2</v>
      </c>
      <c r="G52" s="16" t="n">
        <v>0</v>
      </c>
      <c r="H52" s="16" t="n">
        <v>1</v>
      </c>
      <c r="I52" s="16" t="n">
        <v>0</v>
      </c>
      <c r="J52" s="16" t="n">
        <v>0</v>
      </c>
      <c r="K52" s="22" t="n">
        <f aca="false">SUM(E52:J52)</f>
        <v>9</v>
      </c>
    </row>
    <row r="53" customFormat="false" ht="12.75" hidden="false" customHeight="true" outlineLevel="0" collapsed="false">
      <c r="A53" s="16" t="n">
        <v>52</v>
      </c>
      <c r="B53" s="16" t="n">
        <v>143958</v>
      </c>
      <c r="C53" s="21" t="s">
        <v>374</v>
      </c>
      <c r="D53" s="21" t="s">
        <v>375</v>
      </c>
      <c r="E53" s="16" t="n">
        <v>4</v>
      </c>
      <c r="F53" s="16" t="n">
        <v>4</v>
      </c>
      <c r="G53" s="16" t="n">
        <v>0</v>
      </c>
      <c r="H53" s="16"/>
      <c r="I53" s="16"/>
      <c r="J53" s="16"/>
      <c r="K53" s="22" t="n">
        <f aca="false">SUM(E53:J53)</f>
        <v>8</v>
      </c>
    </row>
    <row r="54" customFormat="false" ht="12.75" hidden="false" customHeight="true" outlineLevel="0" collapsed="false">
      <c r="A54" s="16" t="n">
        <v>53</v>
      </c>
      <c r="B54" s="16" t="n">
        <v>84718</v>
      </c>
      <c r="C54" s="21" t="s">
        <v>351</v>
      </c>
      <c r="D54" s="21" t="s">
        <v>376</v>
      </c>
      <c r="E54" s="16" t="n">
        <v>6</v>
      </c>
      <c r="F54" s="16" t="n">
        <v>2</v>
      </c>
      <c r="G54" s="16" t="n">
        <v>0</v>
      </c>
      <c r="H54" s="16" t="n">
        <v>0</v>
      </c>
      <c r="I54" s="16" t="n">
        <v>0</v>
      </c>
      <c r="J54" s="16" t="n">
        <v>0</v>
      </c>
      <c r="K54" s="22" t="n">
        <f aca="false">SUM(E54:J54)</f>
        <v>8</v>
      </c>
    </row>
    <row r="55" customFormat="false" ht="12.75" hidden="false" customHeight="true" outlineLevel="0" collapsed="false">
      <c r="A55" s="16" t="n">
        <v>54</v>
      </c>
      <c r="B55" s="16" t="n">
        <v>77506</v>
      </c>
      <c r="C55" s="21" t="s">
        <v>289</v>
      </c>
      <c r="D55" s="21" t="s">
        <v>377</v>
      </c>
      <c r="E55" s="16" t="n">
        <v>7</v>
      </c>
      <c r="F55" s="16" t="n">
        <v>0</v>
      </c>
      <c r="G55" s="16" t="n">
        <v>0</v>
      </c>
      <c r="H55" s="16" t="n">
        <v>1</v>
      </c>
      <c r="I55" s="16" t="n">
        <v>0</v>
      </c>
      <c r="J55" s="16" t="n">
        <v>0</v>
      </c>
      <c r="K55" s="22" t="n">
        <f aca="false">SUM(E55:J55)</f>
        <v>8</v>
      </c>
    </row>
    <row r="56" customFormat="false" ht="12.75" hidden="false" customHeight="true" outlineLevel="0" collapsed="false">
      <c r="A56" s="16" t="n">
        <v>55</v>
      </c>
      <c r="B56" s="16" t="n">
        <v>112956</v>
      </c>
      <c r="C56" s="21" t="s">
        <v>378</v>
      </c>
      <c r="D56" s="21" t="s">
        <v>379</v>
      </c>
      <c r="E56" s="16" t="n">
        <v>7</v>
      </c>
      <c r="F56" s="16" t="n">
        <v>0</v>
      </c>
      <c r="G56" s="16" t="n">
        <v>0</v>
      </c>
      <c r="H56" s="16" t="n">
        <v>1</v>
      </c>
      <c r="I56" s="16" t="n">
        <v>0</v>
      </c>
      <c r="J56" s="16" t="n">
        <v>0</v>
      </c>
      <c r="K56" s="22" t="n">
        <f aca="false">SUM(E56:J56)</f>
        <v>8</v>
      </c>
    </row>
    <row r="57" customFormat="false" ht="12.75" hidden="false" customHeight="true" outlineLevel="0" collapsed="false">
      <c r="A57" s="16" t="n">
        <v>56</v>
      </c>
      <c r="B57" s="16" t="n">
        <v>66047</v>
      </c>
      <c r="C57" s="21" t="s">
        <v>380</v>
      </c>
      <c r="D57" s="21" t="s">
        <v>381</v>
      </c>
      <c r="E57" s="16" t="n">
        <v>7</v>
      </c>
      <c r="F57" s="16" t="n">
        <v>0</v>
      </c>
      <c r="G57" s="16" t="n">
        <v>0</v>
      </c>
      <c r="H57" s="16" t="n">
        <v>0</v>
      </c>
      <c r="I57" s="16" t="n">
        <v>0</v>
      </c>
      <c r="J57" s="16" t="n">
        <v>0</v>
      </c>
      <c r="K57" s="22" t="n">
        <f aca="false">SUM(E57:J57)</f>
        <v>7</v>
      </c>
    </row>
    <row r="58" customFormat="false" ht="12.75" hidden="false" customHeight="true" outlineLevel="0" collapsed="false">
      <c r="A58" s="16" t="n">
        <v>57</v>
      </c>
      <c r="B58" s="16" t="n">
        <v>43056</v>
      </c>
      <c r="C58" s="21" t="s">
        <v>382</v>
      </c>
      <c r="D58" s="21" t="s">
        <v>265</v>
      </c>
      <c r="E58" s="16" t="n">
        <v>7</v>
      </c>
      <c r="F58" s="16" t="n">
        <v>0</v>
      </c>
      <c r="G58" s="16" t="n">
        <v>0</v>
      </c>
      <c r="H58" s="16" t="n">
        <v>0</v>
      </c>
      <c r="I58" s="16" t="n">
        <v>0</v>
      </c>
      <c r="J58" s="16" t="n">
        <v>0</v>
      </c>
      <c r="K58" s="22" t="n">
        <f aca="false">SUM(E58:J58)</f>
        <v>7</v>
      </c>
    </row>
    <row r="59" customFormat="false" ht="12.75" hidden="false" customHeight="true" outlineLevel="0" collapsed="false">
      <c r="A59" s="16" t="n">
        <v>58</v>
      </c>
      <c r="B59" s="16" t="n">
        <v>77522</v>
      </c>
      <c r="C59" s="21" t="s">
        <v>156</v>
      </c>
      <c r="D59" s="21" t="s">
        <v>383</v>
      </c>
      <c r="E59" s="16" t="n">
        <v>7</v>
      </c>
      <c r="F59" s="16" t="n">
        <v>0</v>
      </c>
      <c r="G59" s="16" t="n">
        <v>0</v>
      </c>
      <c r="H59" s="16" t="n">
        <v>0</v>
      </c>
      <c r="I59" s="16" t="n">
        <v>0</v>
      </c>
      <c r="J59" s="16" t="n">
        <v>0</v>
      </c>
      <c r="K59" s="22" t="n">
        <f aca="false">SUM(E59:J59)</f>
        <v>7</v>
      </c>
    </row>
    <row r="60" customFormat="false" ht="12.75" hidden="false" customHeight="true" outlineLevel="0" collapsed="false">
      <c r="A60" s="16" t="n">
        <v>59</v>
      </c>
      <c r="B60" s="16" t="n">
        <v>125558</v>
      </c>
      <c r="C60" s="21" t="s">
        <v>175</v>
      </c>
      <c r="D60" s="21" t="s">
        <v>38</v>
      </c>
      <c r="E60" s="16" t="n">
        <v>4</v>
      </c>
      <c r="F60" s="16" t="n">
        <v>3</v>
      </c>
      <c r="G60" s="16" t="n">
        <v>0</v>
      </c>
      <c r="H60" s="16"/>
      <c r="I60" s="16"/>
      <c r="J60" s="16"/>
      <c r="K60" s="22" t="n">
        <f aca="false">SUM(E60:J60)</f>
        <v>7</v>
      </c>
    </row>
    <row r="61" customFormat="false" ht="12.75" hidden="false" customHeight="true" outlineLevel="0" collapsed="false">
      <c r="A61" s="16" t="n">
        <v>60</v>
      </c>
      <c r="B61" s="16" t="n">
        <v>48485</v>
      </c>
      <c r="C61" s="21" t="s">
        <v>122</v>
      </c>
      <c r="D61" s="21" t="s">
        <v>384</v>
      </c>
      <c r="E61" s="16" t="n">
        <v>4</v>
      </c>
      <c r="F61" s="16" t="n">
        <v>3</v>
      </c>
      <c r="G61" s="16" t="n">
        <v>0</v>
      </c>
      <c r="H61" s="16" t="n">
        <v>0</v>
      </c>
      <c r="I61" s="16" t="n">
        <v>0</v>
      </c>
      <c r="J61" s="16" t="n">
        <v>0</v>
      </c>
      <c r="K61" s="22" t="n">
        <f aca="false">SUM(E61:J61)</f>
        <v>7</v>
      </c>
    </row>
    <row r="62" customFormat="false" ht="12.75" hidden="false" customHeight="true" outlineLevel="0" collapsed="false">
      <c r="A62" s="16" t="n">
        <v>61</v>
      </c>
      <c r="B62" s="16" t="n">
        <v>125571</v>
      </c>
      <c r="C62" s="21" t="s">
        <v>385</v>
      </c>
      <c r="D62" s="21" t="s">
        <v>87</v>
      </c>
      <c r="E62" s="16" t="n">
        <v>7</v>
      </c>
      <c r="F62" s="16" t="n">
        <v>0</v>
      </c>
      <c r="G62" s="16" t="n">
        <v>0</v>
      </c>
      <c r="H62" s="16" t="n">
        <v>0</v>
      </c>
      <c r="I62" s="16" t="n">
        <v>0</v>
      </c>
      <c r="J62" s="16" t="n">
        <v>0</v>
      </c>
      <c r="K62" s="22" t="n">
        <f aca="false">SUM(E62:J62)</f>
        <v>7</v>
      </c>
    </row>
    <row r="63" customFormat="false" ht="12.75" hidden="false" customHeight="true" outlineLevel="0" collapsed="false">
      <c r="A63" s="16" t="n">
        <v>62</v>
      </c>
      <c r="B63" s="16" t="n">
        <v>154107</v>
      </c>
      <c r="C63" s="21" t="s">
        <v>206</v>
      </c>
      <c r="D63" s="21" t="s">
        <v>386</v>
      </c>
      <c r="E63" s="16" t="n">
        <v>6</v>
      </c>
      <c r="F63" s="16" t="n">
        <v>0</v>
      </c>
      <c r="G63" s="16" t="n">
        <v>0</v>
      </c>
      <c r="H63" s="16"/>
      <c r="I63" s="16"/>
      <c r="J63" s="16"/>
      <c r="K63" s="22" t="n">
        <f aca="false">SUM(E63:J63)</f>
        <v>6</v>
      </c>
    </row>
    <row r="64" customFormat="false" ht="12.75" hidden="false" customHeight="true" outlineLevel="0" collapsed="false">
      <c r="A64" s="16" t="n">
        <v>63</v>
      </c>
      <c r="B64" s="16" t="n">
        <v>197324</v>
      </c>
      <c r="C64" s="21" t="s">
        <v>387</v>
      </c>
      <c r="D64" s="21" t="s">
        <v>388</v>
      </c>
      <c r="E64" s="16" t="n">
        <v>5</v>
      </c>
      <c r="F64" s="16" t="n">
        <v>0</v>
      </c>
      <c r="G64" s="16" t="n">
        <v>0</v>
      </c>
      <c r="H64" s="16"/>
      <c r="I64" s="16"/>
      <c r="J64" s="16"/>
      <c r="K64" s="22" t="n">
        <f aca="false">SUM(E64:J64)</f>
        <v>5</v>
      </c>
    </row>
    <row r="65" customFormat="false" ht="12.75" hidden="false" customHeight="true" outlineLevel="0" collapsed="false">
      <c r="A65" s="16" t="n">
        <v>64</v>
      </c>
      <c r="B65" s="16" t="n">
        <v>40811</v>
      </c>
      <c r="C65" s="21" t="s">
        <v>389</v>
      </c>
      <c r="D65" s="21" t="s">
        <v>390</v>
      </c>
      <c r="E65" s="16" t="n">
        <v>5</v>
      </c>
      <c r="F65" s="16" t="n">
        <v>0</v>
      </c>
      <c r="G65" s="16" t="n">
        <v>0</v>
      </c>
      <c r="H65" s="16" t="n">
        <v>0</v>
      </c>
      <c r="I65" s="16" t="n">
        <v>0</v>
      </c>
      <c r="J65" s="16" t="n">
        <v>0</v>
      </c>
      <c r="K65" s="22" t="n">
        <f aca="false">SUM(E65:J65)</f>
        <v>5</v>
      </c>
    </row>
    <row r="66" customFormat="false" ht="12.75" hidden="false" customHeight="true" outlineLevel="0" collapsed="false">
      <c r="A66" s="16" t="n">
        <v>65</v>
      </c>
      <c r="B66" s="16" t="n">
        <v>167479</v>
      </c>
      <c r="C66" s="21" t="s">
        <v>100</v>
      </c>
      <c r="D66" s="21" t="s">
        <v>206</v>
      </c>
      <c r="E66" s="16" t="n">
        <v>4</v>
      </c>
      <c r="F66" s="16" t="n">
        <v>0</v>
      </c>
      <c r="G66" s="16" t="n">
        <v>0</v>
      </c>
      <c r="H66" s="16"/>
      <c r="I66" s="16"/>
      <c r="J66" s="16"/>
      <c r="K66" s="22" t="n">
        <f aca="false">SUM(E66:J66)</f>
        <v>4</v>
      </c>
    </row>
    <row r="67" customFormat="false" ht="12.75" hidden="false" customHeight="true" outlineLevel="0" collapsed="false">
      <c r="A67" s="16" t="n">
        <v>66</v>
      </c>
      <c r="B67" s="16" t="n">
        <v>94313</v>
      </c>
      <c r="C67" s="21" t="s">
        <v>57</v>
      </c>
      <c r="D67" s="21" t="s">
        <v>305</v>
      </c>
      <c r="E67" s="16" t="n">
        <v>0</v>
      </c>
      <c r="F67" s="16" t="n">
        <v>3</v>
      </c>
      <c r="G67" s="16" t="n">
        <v>0</v>
      </c>
      <c r="H67" s="16" t="n">
        <v>0</v>
      </c>
      <c r="I67" s="16" t="n">
        <v>0</v>
      </c>
      <c r="J67" s="16" t="n">
        <v>0</v>
      </c>
      <c r="K67" s="22" t="n">
        <f aca="false">SUM(E67:J67)</f>
        <v>3</v>
      </c>
    </row>
    <row r="68" customFormat="false" ht="12.75" hidden="false" customHeight="true" outlineLevel="0" collapsed="false">
      <c r="A68" s="16" t="n">
        <v>67</v>
      </c>
      <c r="B68" s="16" t="n">
        <v>224400</v>
      </c>
      <c r="C68" s="21" t="s">
        <v>39</v>
      </c>
      <c r="D68" s="21" t="s">
        <v>391</v>
      </c>
      <c r="E68" s="16" t="n">
        <v>1</v>
      </c>
      <c r="F68" s="16" t="n">
        <v>2</v>
      </c>
      <c r="G68" s="16" t="n">
        <v>0</v>
      </c>
      <c r="H68" s="24"/>
      <c r="I68" s="24"/>
      <c r="J68" s="24"/>
      <c r="K68" s="22" t="n">
        <f aca="false">SUM(E68:J68)</f>
        <v>3</v>
      </c>
    </row>
    <row r="69" customFormat="false" ht="12.75" hidden="false" customHeight="true" outlineLevel="0" collapsed="false">
      <c r="A69" s="16" t="n">
        <v>68</v>
      </c>
      <c r="B69" s="16" t="n">
        <v>140843</v>
      </c>
      <c r="C69" s="21" t="s">
        <v>266</v>
      </c>
      <c r="D69" s="21" t="s">
        <v>149</v>
      </c>
      <c r="E69" s="16" t="n">
        <v>0</v>
      </c>
      <c r="F69" s="16" t="n">
        <v>2</v>
      </c>
      <c r="G69" s="16" t="n">
        <v>0</v>
      </c>
      <c r="H69" s="16" t="n">
        <v>0</v>
      </c>
      <c r="I69" s="16" t="n">
        <v>0</v>
      </c>
      <c r="J69" s="16" t="n">
        <v>0</v>
      </c>
      <c r="K69" s="22" t="n">
        <f aca="false">SUM(E69:J69)</f>
        <v>2</v>
      </c>
    </row>
    <row r="70" customFormat="false" ht="12.75" hidden="false" customHeight="true" outlineLevel="0" collapsed="false">
      <c r="A70" s="16" t="n">
        <v>69</v>
      </c>
      <c r="B70" s="16" t="n">
        <v>125910</v>
      </c>
      <c r="C70" s="21" t="s">
        <v>156</v>
      </c>
      <c r="D70" s="21" t="s">
        <v>392</v>
      </c>
      <c r="E70" s="16" t="n">
        <v>0</v>
      </c>
      <c r="F70" s="16" t="n">
        <v>2</v>
      </c>
      <c r="G70" s="16" t="n">
        <v>0</v>
      </c>
      <c r="H70" s="16" t="n">
        <v>0</v>
      </c>
      <c r="I70" s="16" t="n">
        <v>0</v>
      </c>
      <c r="J70" s="16" t="n">
        <v>0</v>
      </c>
      <c r="K70" s="22" t="n">
        <f aca="false">SUM(E70:J70)</f>
        <v>2</v>
      </c>
    </row>
    <row r="71" customFormat="false" ht="12.75" hidden="false" customHeight="true" outlineLevel="0" collapsed="false">
      <c r="A71" s="16" t="n">
        <v>70</v>
      </c>
      <c r="B71" s="16" t="n">
        <v>143970</v>
      </c>
      <c r="C71" s="21" t="s">
        <v>393</v>
      </c>
      <c r="D71" s="21" t="s">
        <v>394</v>
      </c>
      <c r="E71" s="16" t="n">
        <v>0</v>
      </c>
      <c r="F71" s="16" t="n">
        <v>2</v>
      </c>
      <c r="G71" s="16" t="n">
        <v>0</v>
      </c>
      <c r="H71" s="16"/>
      <c r="I71" s="16"/>
      <c r="J71" s="16"/>
      <c r="K71" s="22" t="n">
        <f aca="false">SUM(E71:J71)</f>
        <v>2</v>
      </c>
    </row>
    <row r="72" customFormat="false" ht="12.75" hidden="false" customHeight="true" outlineLevel="0" collapsed="false">
      <c r="A72" s="16" t="n">
        <v>71</v>
      </c>
      <c r="B72" s="16" t="n">
        <v>225924</v>
      </c>
      <c r="C72" s="21" t="s">
        <v>347</v>
      </c>
      <c r="D72" s="21" t="s">
        <v>87</v>
      </c>
      <c r="E72" s="16" t="n">
        <v>0</v>
      </c>
      <c r="F72" s="16" t="n">
        <v>2</v>
      </c>
      <c r="G72" s="16" t="n">
        <v>0</v>
      </c>
      <c r="H72" s="16" t="n">
        <v>0</v>
      </c>
      <c r="I72" s="16" t="n">
        <v>0</v>
      </c>
      <c r="J72" s="16" t="n">
        <v>0</v>
      </c>
      <c r="K72" s="22" t="n">
        <f aca="false">SUM(E72:J72)</f>
        <v>2</v>
      </c>
    </row>
    <row r="73" customFormat="false" ht="12.75" hidden="false" customHeight="true" outlineLevel="0" collapsed="false">
      <c r="A73" s="16" t="n">
        <v>72</v>
      </c>
      <c r="B73" s="16" t="n">
        <v>80045</v>
      </c>
      <c r="C73" s="21" t="s">
        <v>395</v>
      </c>
      <c r="D73" s="21" t="s">
        <v>284</v>
      </c>
      <c r="E73" s="16" t="n">
        <v>1</v>
      </c>
      <c r="F73" s="16" t="n">
        <v>0</v>
      </c>
      <c r="G73" s="16" t="n">
        <v>0</v>
      </c>
      <c r="H73" s="16" t="n">
        <v>0</v>
      </c>
      <c r="I73" s="16" t="n">
        <v>0</v>
      </c>
      <c r="J73" s="16" t="n">
        <v>0</v>
      </c>
      <c r="K73" s="22" t="n">
        <f aca="false">SUM(E73:J73)</f>
        <v>1</v>
      </c>
    </row>
    <row r="74" customFormat="false" ht="12.75" hidden="false" customHeight="true" outlineLevel="0" collapsed="false">
      <c r="A74" s="16" t="n">
        <v>73</v>
      </c>
      <c r="B74" s="16" t="n">
        <v>75883</v>
      </c>
      <c r="C74" s="21" t="s">
        <v>396</v>
      </c>
      <c r="D74" s="21" t="s">
        <v>265</v>
      </c>
      <c r="E74" s="16" t="n">
        <v>0</v>
      </c>
      <c r="F74" s="16" t="n">
        <v>0</v>
      </c>
      <c r="G74" s="16" t="n">
        <v>0</v>
      </c>
      <c r="H74" s="16" t="n">
        <v>0</v>
      </c>
      <c r="I74" s="16" t="n">
        <v>0</v>
      </c>
      <c r="J74" s="16" t="n">
        <v>0</v>
      </c>
      <c r="K74" s="22" t="n">
        <f aca="false">SUM(E74:J74)</f>
        <v>0</v>
      </c>
    </row>
    <row r="75" customFormat="false" ht="12.75" hidden="false" customHeight="true" outlineLevel="0" collapsed="false">
      <c r="A75" s="16" t="n">
        <v>74</v>
      </c>
      <c r="B75" s="16" t="n">
        <v>143622</v>
      </c>
      <c r="C75" s="21" t="s">
        <v>397</v>
      </c>
      <c r="D75" s="21" t="s">
        <v>398</v>
      </c>
      <c r="E75" s="16" t="n">
        <v>0</v>
      </c>
      <c r="F75" s="16" t="n">
        <v>0</v>
      </c>
      <c r="G75" s="16" t="n">
        <v>0</v>
      </c>
      <c r="H75" s="16"/>
      <c r="I75" s="16"/>
      <c r="J75" s="16"/>
      <c r="K75" s="22" t="n">
        <f aca="false">SUM(E75:J75)</f>
        <v>0</v>
      </c>
    </row>
    <row r="76" customFormat="false" ht="12.75" hidden="false" customHeight="true" outlineLevel="0" collapsed="false">
      <c r="A76" s="16" t="n">
        <v>75</v>
      </c>
      <c r="B76" s="16" t="n">
        <v>157141</v>
      </c>
      <c r="C76" s="21" t="s">
        <v>399</v>
      </c>
      <c r="D76" s="21" t="s">
        <v>400</v>
      </c>
      <c r="E76" s="16"/>
      <c r="F76" s="16"/>
      <c r="G76" s="16"/>
      <c r="H76" s="16" t="n">
        <v>0</v>
      </c>
      <c r="I76" s="16" t="n">
        <v>0</v>
      </c>
      <c r="J76" s="16" t="n">
        <v>0</v>
      </c>
      <c r="K76" s="22" t="n">
        <f aca="false">SUM(E76:J76)</f>
        <v>0</v>
      </c>
    </row>
    <row r="77" customFormat="false" ht="12.75" hidden="false" customHeight="true" outlineLevel="0" collapsed="false">
      <c r="A77" s="16" t="n">
        <v>76</v>
      </c>
      <c r="B77" s="16" t="n">
        <v>76971</v>
      </c>
      <c r="C77" s="21" t="s">
        <v>401</v>
      </c>
      <c r="D77" s="21" t="s">
        <v>402</v>
      </c>
      <c r="E77" s="16" t="n">
        <v>0</v>
      </c>
      <c r="F77" s="16" t="n">
        <v>0</v>
      </c>
      <c r="G77" s="16" t="n">
        <v>0</v>
      </c>
      <c r="H77" s="16"/>
      <c r="I77" s="16"/>
      <c r="J77" s="16"/>
      <c r="K77" s="22" t="n">
        <f aca="false">SUM(E77:J77)</f>
        <v>0</v>
      </c>
    </row>
    <row r="78" customFormat="false" ht="12.75" hidden="false" customHeight="true" outlineLevel="0" collapsed="false">
      <c r="A78" s="16" t="n">
        <v>77</v>
      </c>
      <c r="B78" s="16" t="n">
        <v>211903</v>
      </c>
      <c r="C78" s="21" t="s">
        <v>403</v>
      </c>
      <c r="D78" s="21" t="s">
        <v>404</v>
      </c>
      <c r="E78" s="16" t="n">
        <v>0</v>
      </c>
      <c r="F78" s="16" t="n">
        <v>0</v>
      </c>
      <c r="G78" s="16" t="n">
        <v>0</v>
      </c>
      <c r="H78" s="16"/>
      <c r="I78" s="16"/>
      <c r="J78" s="16"/>
      <c r="K78" s="22" t="n">
        <f aca="false">SUM(E78:J78)</f>
        <v>0</v>
      </c>
    </row>
    <row r="79" customFormat="false" ht="12.75" hidden="false" customHeight="true" outlineLevel="0" collapsed="false">
      <c r="A79" s="16" t="n">
        <v>78</v>
      </c>
      <c r="B79" s="16" t="n">
        <v>199860</v>
      </c>
      <c r="C79" s="21" t="s">
        <v>405</v>
      </c>
      <c r="D79" s="21" t="s">
        <v>406</v>
      </c>
      <c r="E79" s="16"/>
      <c r="F79" s="16"/>
      <c r="G79" s="16"/>
      <c r="H79" s="16" t="n">
        <v>0</v>
      </c>
      <c r="I79" s="16" t="n">
        <v>0</v>
      </c>
      <c r="J79" s="16" t="n">
        <v>0</v>
      </c>
      <c r="K79" s="22" t="n">
        <f aca="false">SUM(E79:J79)</f>
        <v>0</v>
      </c>
    </row>
    <row r="80" customFormat="false" ht="12.75" hidden="false" customHeight="true" outlineLevel="0" collapsed="false">
      <c r="A80" s="16" t="n">
        <v>79</v>
      </c>
      <c r="B80" s="16" t="n">
        <v>162679</v>
      </c>
      <c r="C80" s="21" t="s">
        <v>407</v>
      </c>
      <c r="D80" s="21" t="s">
        <v>88</v>
      </c>
      <c r="E80" s="16" t="n">
        <v>0</v>
      </c>
      <c r="F80" s="16" t="n">
        <v>0</v>
      </c>
      <c r="G80" s="16" t="n">
        <v>0</v>
      </c>
      <c r="H80" s="16" t="n">
        <v>0</v>
      </c>
      <c r="I80" s="16" t="n">
        <v>0</v>
      </c>
      <c r="J80" s="16" t="n">
        <v>0</v>
      </c>
      <c r="K80" s="22" t="n">
        <f aca="false">SUM(E80:J80)</f>
        <v>0</v>
      </c>
    </row>
    <row r="81" customFormat="false" ht="12.75" hidden="false" customHeight="true" outlineLevel="0" collapsed="false">
      <c r="A81" s="16" t="n">
        <v>80</v>
      </c>
      <c r="B81" s="16" t="n">
        <v>203444</v>
      </c>
      <c r="C81" s="21" t="s">
        <v>408</v>
      </c>
      <c r="D81" s="21" t="s">
        <v>409</v>
      </c>
      <c r="E81" s="16" t="n">
        <v>0</v>
      </c>
      <c r="F81" s="16" t="n">
        <v>0</v>
      </c>
      <c r="G81" s="16" t="n">
        <v>0</v>
      </c>
      <c r="H81" s="16" t="n">
        <v>0</v>
      </c>
      <c r="I81" s="16" t="n">
        <v>0</v>
      </c>
      <c r="J81" s="16" t="n">
        <v>0</v>
      </c>
      <c r="K81" s="22" t="n">
        <f aca="false">SUM(E81:J81)</f>
        <v>0</v>
      </c>
    </row>
    <row r="82" customFormat="false" ht="12.75" hidden="false" customHeight="true" outlineLevel="0" collapsed="false">
      <c r="A82" s="16" t="n">
        <v>81</v>
      </c>
      <c r="B82" s="16" t="n">
        <v>181618</v>
      </c>
      <c r="C82" s="21" t="s">
        <v>45</v>
      </c>
      <c r="D82" s="21" t="s">
        <v>188</v>
      </c>
      <c r="E82" s="16" t="n">
        <v>0</v>
      </c>
      <c r="F82" s="16" t="n">
        <v>0</v>
      </c>
      <c r="G82" s="16" t="n">
        <v>0</v>
      </c>
      <c r="H82" s="16" t="n">
        <v>0</v>
      </c>
      <c r="I82" s="16" t="n">
        <v>0</v>
      </c>
      <c r="J82" s="16" t="n">
        <v>0</v>
      </c>
      <c r="K82" s="22" t="n">
        <f aca="false">SUM(E82:J82)</f>
        <v>0</v>
      </c>
    </row>
    <row r="83" customFormat="false" ht="12.75" hidden="false" customHeight="true" outlineLevel="0" collapsed="false">
      <c r="A83" s="16" t="n">
        <v>82</v>
      </c>
      <c r="B83" s="16" t="n">
        <v>134660</v>
      </c>
      <c r="C83" s="21" t="s">
        <v>410</v>
      </c>
      <c r="D83" s="21" t="s">
        <v>411</v>
      </c>
      <c r="E83" s="16"/>
      <c r="F83" s="16"/>
      <c r="G83" s="16"/>
      <c r="H83" s="16" t="n">
        <v>0</v>
      </c>
      <c r="I83" s="16" t="n">
        <v>0</v>
      </c>
      <c r="J83" s="16" t="n">
        <v>0</v>
      </c>
      <c r="K83" s="22" t="n">
        <f aca="false">SUM(E83:J83)</f>
        <v>0</v>
      </c>
    </row>
    <row r="84" customFormat="false" ht="12.75" hidden="false" customHeight="true" outlineLevel="0" collapsed="false">
      <c r="A84" s="16" t="n">
        <v>83</v>
      </c>
      <c r="B84" s="16" t="n">
        <v>167460</v>
      </c>
      <c r="C84" s="21" t="s">
        <v>412</v>
      </c>
      <c r="D84" s="21" t="s">
        <v>413</v>
      </c>
      <c r="E84" s="25"/>
      <c r="F84" s="25"/>
      <c r="G84" s="25"/>
      <c r="H84" s="25"/>
      <c r="I84" s="25"/>
      <c r="J84" s="25"/>
      <c r="K84" s="26"/>
    </row>
    <row r="85" customFormat="false" ht="12.75" hidden="false" customHeight="true" outlineLevel="0" collapsed="false">
      <c r="A85" s="16" t="n">
        <v>84</v>
      </c>
      <c r="B85" s="16" t="n">
        <v>144107</v>
      </c>
      <c r="C85" s="21" t="s">
        <v>383</v>
      </c>
      <c r="D85" s="21" t="s">
        <v>143</v>
      </c>
      <c r="E85" s="25"/>
      <c r="F85" s="25"/>
      <c r="G85" s="25"/>
      <c r="H85" s="25"/>
      <c r="I85" s="25"/>
      <c r="J85" s="25"/>
      <c r="K85" s="26"/>
    </row>
    <row r="86" customFormat="false" ht="12.75" hidden="false" customHeight="true" outlineLevel="0" collapsed="false">
      <c r="A86" s="16" t="n">
        <v>85</v>
      </c>
      <c r="B86" s="16" t="n">
        <v>42818</v>
      </c>
      <c r="C86" s="21" t="s">
        <v>129</v>
      </c>
      <c r="D86" s="21" t="s">
        <v>40</v>
      </c>
      <c r="E86" s="25"/>
      <c r="F86" s="25"/>
      <c r="G86" s="25"/>
      <c r="H86" s="25"/>
      <c r="I86" s="25"/>
      <c r="J86" s="25"/>
      <c r="K86" s="26"/>
    </row>
    <row r="87" customFormat="false" ht="12.75" hidden="false" customHeight="true" outlineLevel="0" collapsed="false">
      <c r="A87" s="16" t="n">
        <v>86</v>
      </c>
      <c r="B87" s="16" t="n">
        <v>208482</v>
      </c>
      <c r="C87" s="21" t="s">
        <v>13</v>
      </c>
      <c r="D87" s="21" t="s">
        <v>414</v>
      </c>
      <c r="E87" s="25"/>
      <c r="F87" s="25"/>
      <c r="G87" s="25"/>
      <c r="H87" s="25"/>
      <c r="I87" s="25"/>
      <c r="J87" s="25"/>
      <c r="K87" s="26"/>
    </row>
    <row r="88" customFormat="false" ht="12.75" hidden="false" customHeight="true" outlineLevel="0" collapsed="false">
      <c r="A88" s="16" t="n">
        <v>87</v>
      </c>
      <c r="B88" s="16" t="n">
        <v>202417</v>
      </c>
      <c r="C88" s="21" t="s">
        <v>415</v>
      </c>
      <c r="D88" s="21" t="s">
        <v>416</v>
      </c>
      <c r="E88" s="25"/>
      <c r="F88" s="25"/>
      <c r="G88" s="25"/>
      <c r="H88" s="25"/>
      <c r="I88" s="25"/>
      <c r="J88" s="25"/>
      <c r="K88" s="26"/>
    </row>
    <row r="89" customFormat="false" ht="12.75" hidden="false" customHeight="true" outlineLevel="0" collapsed="false">
      <c r="A89" s="16" t="n">
        <v>88</v>
      </c>
      <c r="B89" s="16" t="n">
        <v>135279</v>
      </c>
      <c r="C89" s="21" t="s">
        <v>417</v>
      </c>
      <c r="D89" s="21" t="s">
        <v>418</v>
      </c>
      <c r="E89" s="25"/>
      <c r="F89" s="25"/>
      <c r="G89" s="25"/>
      <c r="H89" s="25"/>
      <c r="I89" s="25"/>
      <c r="J89" s="25"/>
      <c r="K89" s="26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57"/>
    <col collapsed="false" customWidth="false" hidden="false" outlineLevel="0" max="2" min="2" style="1" width="11.57"/>
    <col collapsed="false" customWidth="true" hidden="false" outlineLevel="0" max="3" min="3" style="1" width="19"/>
    <col collapsed="false" customWidth="true" hidden="false" outlineLevel="0" max="4" min="4" style="1" width="17.57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298</v>
      </c>
      <c r="J1" s="1" t="s">
        <v>299</v>
      </c>
      <c r="K1" s="1" t="s">
        <v>8</v>
      </c>
    </row>
    <row r="2" customFormat="false" ht="12.75" hidden="false" customHeight="true" outlineLevel="0" collapsed="false">
      <c r="A2" s="27" t="n">
        <v>1</v>
      </c>
      <c r="B2" s="27" t="n">
        <v>26503</v>
      </c>
      <c r="C2" s="28" t="s">
        <v>135</v>
      </c>
      <c r="D2" s="29" t="s">
        <v>419</v>
      </c>
      <c r="E2" s="16" t="n">
        <v>7</v>
      </c>
      <c r="F2" s="16" t="n">
        <v>7</v>
      </c>
      <c r="G2" s="16" t="n">
        <v>5</v>
      </c>
      <c r="H2" s="16" t="n">
        <v>7</v>
      </c>
      <c r="I2" s="16" t="n">
        <v>0</v>
      </c>
      <c r="J2" s="16" t="n">
        <v>2</v>
      </c>
      <c r="K2" s="30" t="n">
        <f aca="false">SUM(E2:J2)</f>
        <v>28</v>
      </c>
    </row>
    <row r="3" customFormat="false" ht="12.75" hidden="false" customHeight="true" outlineLevel="0" collapsed="false">
      <c r="A3" s="27" t="n">
        <v>2</v>
      </c>
      <c r="B3" s="27" t="n">
        <v>190882</v>
      </c>
      <c r="C3" s="28" t="s">
        <v>420</v>
      </c>
      <c r="D3" s="29" t="s">
        <v>421</v>
      </c>
      <c r="E3" s="16" t="n">
        <v>7</v>
      </c>
      <c r="F3" s="16" t="n">
        <v>7</v>
      </c>
      <c r="G3" s="16" t="n">
        <v>0</v>
      </c>
      <c r="H3" s="16" t="n">
        <v>4</v>
      </c>
      <c r="I3" s="23" t="n">
        <f aca="false">0+1</f>
        <v>1</v>
      </c>
      <c r="J3" s="16" t="n">
        <v>0</v>
      </c>
      <c r="K3" s="30" t="n">
        <f aca="false">SUM(E3:J3)</f>
        <v>19</v>
      </c>
    </row>
    <row r="4" customFormat="false" ht="12.75" hidden="false" customHeight="true" outlineLevel="0" collapsed="false">
      <c r="A4" s="27" t="n">
        <v>3</v>
      </c>
      <c r="B4" s="27" t="n">
        <v>42353</v>
      </c>
      <c r="C4" s="28" t="s">
        <v>63</v>
      </c>
      <c r="D4" s="29" t="s">
        <v>327</v>
      </c>
      <c r="E4" s="16" t="n">
        <v>7</v>
      </c>
      <c r="F4" s="16" t="n">
        <v>2</v>
      </c>
      <c r="G4" s="16" t="n">
        <v>0</v>
      </c>
      <c r="H4" s="16" t="n">
        <v>1</v>
      </c>
      <c r="I4" s="16" t="n">
        <v>7</v>
      </c>
      <c r="J4" s="16" t="n">
        <v>0</v>
      </c>
      <c r="K4" s="30" t="n">
        <f aca="false">SUM(E4:J4)</f>
        <v>17</v>
      </c>
    </row>
    <row r="5" customFormat="false" ht="12.75" hidden="false" customHeight="true" outlineLevel="0" collapsed="false">
      <c r="A5" s="27" t="n">
        <v>4</v>
      </c>
      <c r="B5" s="27" t="n">
        <v>158586</v>
      </c>
      <c r="C5" s="28" t="s">
        <v>422</v>
      </c>
      <c r="D5" s="29" t="s">
        <v>38</v>
      </c>
      <c r="E5" s="16" t="n">
        <v>7</v>
      </c>
      <c r="F5" s="16" t="n">
        <v>2</v>
      </c>
      <c r="G5" s="16" t="n">
        <v>0</v>
      </c>
      <c r="H5" s="23" t="n">
        <f aca="false">5+1</f>
        <v>6</v>
      </c>
      <c r="I5" s="16" t="n">
        <v>0</v>
      </c>
      <c r="J5" s="16" t="n">
        <v>0</v>
      </c>
      <c r="K5" s="30" t="n">
        <f aca="false">SUM(E5:J5)</f>
        <v>15</v>
      </c>
    </row>
    <row r="6" customFormat="false" ht="12.75" hidden="false" customHeight="true" outlineLevel="0" collapsed="false">
      <c r="A6" s="27" t="n">
        <v>5</v>
      </c>
      <c r="B6" s="27" t="n">
        <v>65739</v>
      </c>
      <c r="C6" s="28" t="s">
        <v>423</v>
      </c>
      <c r="D6" s="29" t="s">
        <v>339</v>
      </c>
      <c r="E6" s="16" t="n">
        <v>7</v>
      </c>
      <c r="F6" s="16" t="n">
        <v>2</v>
      </c>
      <c r="G6" s="16" t="n">
        <v>0</v>
      </c>
      <c r="H6" s="16" t="n">
        <v>4</v>
      </c>
      <c r="I6" s="16" t="n">
        <v>0</v>
      </c>
      <c r="J6" s="16" t="n">
        <v>0</v>
      </c>
      <c r="K6" s="30" t="n">
        <f aca="false">SUM(E6:J6)</f>
        <v>13</v>
      </c>
    </row>
    <row r="7" customFormat="false" ht="12.75" hidden="false" customHeight="true" outlineLevel="0" collapsed="false">
      <c r="A7" s="27" t="n">
        <v>6</v>
      </c>
      <c r="B7" s="27" t="n">
        <v>158314</v>
      </c>
      <c r="C7" s="28" t="s">
        <v>424</v>
      </c>
      <c r="D7" s="29" t="s">
        <v>425</v>
      </c>
      <c r="E7" s="16" t="n">
        <v>7</v>
      </c>
      <c r="F7" s="16" t="n">
        <v>2</v>
      </c>
      <c r="G7" s="16" t="n">
        <v>0</v>
      </c>
      <c r="H7" s="16" t="n">
        <v>3</v>
      </c>
      <c r="I7" s="16" t="n">
        <v>0</v>
      </c>
      <c r="J7" s="16" t="n">
        <v>0</v>
      </c>
      <c r="K7" s="30" t="n">
        <f aca="false">SUM(E7:J7)</f>
        <v>12</v>
      </c>
    </row>
    <row r="8" customFormat="false" ht="12.75" hidden="false" customHeight="true" outlineLevel="0" collapsed="false">
      <c r="A8" s="27" t="n">
        <v>7</v>
      </c>
      <c r="B8" s="27" t="n">
        <v>63116</v>
      </c>
      <c r="C8" s="28" t="s">
        <v>331</v>
      </c>
      <c r="D8" s="29" t="s">
        <v>300</v>
      </c>
      <c r="E8" s="16" t="n">
        <v>7</v>
      </c>
      <c r="F8" s="16" t="n">
        <v>2</v>
      </c>
      <c r="G8" s="16" t="n">
        <v>0</v>
      </c>
      <c r="H8" s="16" t="n">
        <v>3</v>
      </c>
      <c r="I8" s="16" t="n">
        <v>0</v>
      </c>
      <c r="J8" s="16" t="n">
        <v>0</v>
      </c>
      <c r="K8" s="30" t="n">
        <f aca="false">SUM(E8:J8)</f>
        <v>12</v>
      </c>
    </row>
    <row r="9" customFormat="false" ht="12.75" hidden="false" customHeight="true" outlineLevel="0" collapsed="false">
      <c r="A9" s="27" t="n">
        <v>8</v>
      </c>
      <c r="B9" s="27" t="n">
        <v>36876</v>
      </c>
      <c r="C9" s="28" t="s">
        <v>45</v>
      </c>
      <c r="D9" s="29" t="s">
        <v>301</v>
      </c>
      <c r="E9" s="16" t="n">
        <v>7</v>
      </c>
      <c r="F9" s="16" t="n">
        <v>2</v>
      </c>
      <c r="G9" s="16" t="n">
        <v>0</v>
      </c>
      <c r="H9" s="16" t="n">
        <v>1</v>
      </c>
      <c r="I9" s="23" t="n">
        <f aca="false">0+1</f>
        <v>1</v>
      </c>
      <c r="J9" s="16" t="n">
        <v>0</v>
      </c>
      <c r="K9" s="30" t="n">
        <f aca="false">SUM(E9:J9)</f>
        <v>11</v>
      </c>
    </row>
    <row r="10" customFormat="false" ht="12.75" hidden="false" customHeight="true" outlineLevel="0" collapsed="false">
      <c r="A10" s="27" t="n">
        <v>9</v>
      </c>
      <c r="B10" s="27" t="n">
        <v>59688</v>
      </c>
      <c r="C10" s="28" t="s">
        <v>57</v>
      </c>
      <c r="D10" s="29" t="s">
        <v>426</v>
      </c>
      <c r="E10" s="16" t="n">
        <v>7</v>
      </c>
      <c r="F10" s="16" t="n">
        <v>2</v>
      </c>
      <c r="G10" s="16" t="n">
        <v>0</v>
      </c>
      <c r="H10" s="16" t="n">
        <v>2</v>
      </c>
      <c r="I10" s="16" t="n">
        <v>0</v>
      </c>
      <c r="J10" s="16" t="n">
        <v>0</v>
      </c>
      <c r="K10" s="30" t="n">
        <f aca="false">SUM(E10:J10)</f>
        <v>11</v>
      </c>
    </row>
    <row r="11" customFormat="false" ht="12.75" hidden="false" customHeight="true" outlineLevel="0" collapsed="false">
      <c r="A11" s="27" t="n">
        <v>10</v>
      </c>
      <c r="B11" s="27" t="n">
        <v>34063</v>
      </c>
      <c r="C11" s="28" t="s">
        <v>206</v>
      </c>
      <c r="D11" s="29" t="s">
        <v>427</v>
      </c>
      <c r="E11" s="16" t="n">
        <v>7</v>
      </c>
      <c r="F11" s="23" t="n">
        <f aca="false">2+1</f>
        <v>3</v>
      </c>
      <c r="G11" s="16" t="n">
        <v>0</v>
      </c>
      <c r="H11" s="16" t="n">
        <v>1</v>
      </c>
      <c r="I11" s="16" t="n">
        <v>0</v>
      </c>
      <c r="J11" s="16" t="n">
        <v>0</v>
      </c>
      <c r="K11" s="30" t="n">
        <f aca="false">SUM(E11:J11)</f>
        <v>11</v>
      </c>
    </row>
    <row r="12" customFormat="false" ht="12.75" hidden="false" customHeight="true" outlineLevel="0" collapsed="false">
      <c r="A12" s="27" t="n">
        <v>11</v>
      </c>
      <c r="B12" s="27" t="n">
        <v>45905</v>
      </c>
      <c r="C12" s="28" t="s">
        <v>39</v>
      </c>
      <c r="D12" s="29" t="s">
        <v>23</v>
      </c>
      <c r="E12" s="16" t="n">
        <v>7</v>
      </c>
      <c r="F12" s="16" t="n">
        <v>2</v>
      </c>
      <c r="G12" s="16" t="n">
        <v>0</v>
      </c>
      <c r="H12" s="16" t="n">
        <v>1</v>
      </c>
      <c r="I12" s="16" t="n">
        <v>0</v>
      </c>
      <c r="J12" s="16" t="n">
        <v>0</v>
      </c>
      <c r="K12" s="30" t="n">
        <f aca="false">SUM(E12:J12)</f>
        <v>10</v>
      </c>
    </row>
    <row r="13" customFormat="false" ht="12.75" hidden="false" customHeight="true" outlineLevel="0" collapsed="false">
      <c r="A13" s="27" t="n">
        <v>12</v>
      </c>
      <c r="B13" s="27" t="n">
        <v>36632</v>
      </c>
      <c r="C13" s="28" t="s">
        <v>368</v>
      </c>
      <c r="D13" s="29" t="s">
        <v>428</v>
      </c>
      <c r="E13" s="16" t="n">
        <v>7</v>
      </c>
      <c r="F13" s="16" t="n">
        <v>2</v>
      </c>
      <c r="G13" s="16" t="n">
        <v>0</v>
      </c>
      <c r="H13" s="16" t="n">
        <v>0</v>
      </c>
      <c r="I13" s="23" t="n">
        <f aca="false">0+1</f>
        <v>1</v>
      </c>
      <c r="J13" s="16" t="n">
        <v>0</v>
      </c>
      <c r="K13" s="30" t="n">
        <f aca="false">SUM(E13:J13)</f>
        <v>10</v>
      </c>
    </row>
    <row r="14" customFormat="false" ht="12.75" hidden="false" customHeight="true" outlineLevel="0" collapsed="false">
      <c r="A14" s="27" t="n">
        <v>13</v>
      </c>
      <c r="B14" s="27" t="n">
        <v>206882</v>
      </c>
      <c r="C14" s="28" t="s">
        <v>429</v>
      </c>
      <c r="D14" s="29" t="s">
        <v>73</v>
      </c>
      <c r="E14" s="16" t="n">
        <v>7</v>
      </c>
      <c r="F14" s="16" t="n">
        <v>2</v>
      </c>
      <c r="G14" s="16" t="n">
        <v>0</v>
      </c>
      <c r="H14" s="16" t="n">
        <v>0</v>
      </c>
      <c r="I14" s="16" t="n">
        <v>0</v>
      </c>
      <c r="J14" s="16" t="n">
        <v>0</v>
      </c>
      <c r="K14" s="30" t="n">
        <f aca="false">SUM(E14:J14)</f>
        <v>9</v>
      </c>
    </row>
    <row r="15" customFormat="false" ht="12.75" hidden="false" customHeight="true" outlineLevel="0" collapsed="false">
      <c r="A15" s="27" t="n">
        <v>14</v>
      </c>
      <c r="B15" s="27" t="n">
        <v>33087</v>
      </c>
      <c r="C15" s="28" t="s">
        <v>45</v>
      </c>
      <c r="D15" s="29" t="s">
        <v>430</v>
      </c>
      <c r="E15" s="16" t="n">
        <v>7</v>
      </c>
      <c r="F15" s="16" t="n">
        <v>2</v>
      </c>
      <c r="G15" s="16" t="n">
        <v>0</v>
      </c>
      <c r="H15" s="16" t="n">
        <v>0</v>
      </c>
      <c r="I15" s="16" t="n">
        <v>0</v>
      </c>
      <c r="J15" s="16" t="n">
        <v>0</v>
      </c>
      <c r="K15" s="30" t="n">
        <f aca="false">SUM(E15:J15)</f>
        <v>9</v>
      </c>
    </row>
    <row r="16" customFormat="false" ht="12.75" hidden="false" customHeight="true" outlineLevel="0" collapsed="false">
      <c r="A16" s="27" t="n">
        <v>15</v>
      </c>
      <c r="B16" s="27" t="n">
        <v>140992</v>
      </c>
      <c r="C16" s="28" t="s">
        <v>197</v>
      </c>
      <c r="D16" s="29" t="s">
        <v>431</v>
      </c>
      <c r="E16" s="16" t="n">
        <v>6</v>
      </c>
      <c r="F16" s="16" t="n">
        <v>2</v>
      </c>
      <c r="G16" s="16" t="n">
        <v>0</v>
      </c>
      <c r="H16" s="16" t="n">
        <v>1</v>
      </c>
      <c r="I16" s="16" t="n">
        <v>0</v>
      </c>
      <c r="J16" s="16" t="n">
        <v>0</v>
      </c>
      <c r="K16" s="30" t="n">
        <f aca="false">SUM(E16:J16)</f>
        <v>9</v>
      </c>
    </row>
    <row r="17" customFormat="false" ht="12.75" hidden="false" customHeight="true" outlineLevel="0" collapsed="false">
      <c r="A17" s="27" t="n">
        <v>16</v>
      </c>
      <c r="B17" s="27" t="n">
        <v>44364</v>
      </c>
      <c r="C17" s="28" t="s">
        <v>432</v>
      </c>
      <c r="D17" s="29" t="s">
        <v>167</v>
      </c>
      <c r="E17" s="16" t="n">
        <v>7</v>
      </c>
      <c r="F17" s="16" t="n">
        <v>2</v>
      </c>
      <c r="G17" s="16" t="n">
        <v>0</v>
      </c>
      <c r="H17" s="16" t="n">
        <v>0</v>
      </c>
      <c r="I17" s="16" t="n">
        <v>0</v>
      </c>
      <c r="J17" s="16" t="n">
        <v>0</v>
      </c>
      <c r="K17" s="30" t="n">
        <f aca="false">SUM(E17:J17)</f>
        <v>9</v>
      </c>
    </row>
    <row r="18" customFormat="false" ht="12.75" hidden="false" customHeight="true" outlineLevel="0" collapsed="false">
      <c r="A18" s="27" t="n">
        <v>17</v>
      </c>
      <c r="B18" s="27" t="n">
        <v>190218</v>
      </c>
      <c r="C18" s="28" t="s">
        <v>57</v>
      </c>
      <c r="D18" s="29" t="s">
        <v>175</v>
      </c>
      <c r="E18" s="16" t="n">
        <v>7</v>
      </c>
      <c r="F18" s="16" t="n">
        <v>2</v>
      </c>
      <c r="G18" s="16" t="n">
        <v>0</v>
      </c>
      <c r="H18" s="16" t="n">
        <v>0</v>
      </c>
      <c r="I18" s="16" t="n">
        <v>0</v>
      </c>
      <c r="J18" s="16" t="n">
        <v>0</v>
      </c>
      <c r="K18" s="30" t="n">
        <f aca="false">SUM(E18:J18)</f>
        <v>9</v>
      </c>
    </row>
    <row r="19" customFormat="false" ht="12.75" hidden="false" customHeight="true" outlineLevel="0" collapsed="false">
      <c r="A19" s="27" t="n">
        <v>18</v>
      </c>
      <c r="B19" s="27" t="n">
        <v>77536</v>
      </c>
      <c r="C19" s="28" t="s">
        <v>433</v>
      </c>
      <c r="D19" s="29" t="s">
        <v>30</v>
      </c>
      <c r="E19" s="16" t="n">
        <v>7</v>
      </c>
      <c r="F19" s="16" t="n">
        <v>2</v>
      </c>
      <c r="G19" s="16" t="n">
        <v>0</v>
      </c>
      <c r="H19" s="16" t="n">
        <v>0</v>
      </c>
      <c r="I19" s="16" t="n">
        <v>0</v>
      </c>
      <c r="J19" s="16" t="n">
        <v>0</v>
      </c>
      <c r="K19" s="30" t="n">
        <f aca="false">SUM(E19:J19)</f>
        <v>9</v>
      </c>
    </row>
    <row r="20" customFormat="false" ht="12.75" hidden="false" customHeight="true" outlineLevel="0" collapsed="false">
      <c r="A20" s="27" t="n">
        <v>19</v>
      </c>
      <c r="B20" s="27" t="n">
        <v>126686</v>
      </c>
      <c r="C20" s="28" t="s">
        <v>114</v>
      </c>
      <c r="D20" s="29" t="s">
        <v>416</v>
      </c>
      <c r="E20" s="16" t="n">
        <v>7</v>
      </c>
      <c r="F20" s="16" t="n">
        <v>2</v>
      </c>
      <c r="G20" s="16" t="n">
        <v>0</v>
      </c>
      <c r="H20" s="16" t="n">
        <v>0</v>
      </c>
      <c r="I20" s="16" t="n">
        <v>0</v>
      </c>
      <c r="J20" s="16" t="n">
        <v>0</v>
      </c>
      <c r="K20" s="30" t="n">
        <f aca="false">SUM(E20:J20)</f>
        <v>9</v>
      </c>
    </row>
    <row r="21" customFormat="false" ht="12.75" hidden="false" customHeight="true" outlineLevel="0" collapsed="false">
      <c r="A21" s="27" t="n">
        <v>20</v>
      </c>
      <c r="B21" s="27" t="n">
        <v>58948</v>
      </c>
      <c r="C21" s="28" t="s">
        <v>127</v>
      </c>
      <c r="D21" s="29" t="s">
        <v>384</v>
      </c>
      <c r="E21" s="16" t="n">
        <v>7</v>
      </c>
      <c r="F21" s="16" t="n">
        <v>2</v>
      </c>
      <c r="G21" s="16" t="n">
        <v>0</v>
      </c>
      <c r="H21" s="16" t="n">
        <v>0</v>
      </c>
      <c r="I21" s="16" t="n">
        <v>0</v>
      </c>
      <c r="J21" s="16" t="n">
        <v>0</v>
      </c>
      <c r="K21" s="30" t="n">
        <f aca="false">SUM(E21:J21)</f>
        <v>9</v>
      </c>
    </row>
    <row r="22" customFormat="false" ht="12.75" hidden="false" customHeight="true" outlineLevel="0" collapsed="false">
      <c r="A22" s="27" t="n">
        <v>21</v>
      </c>
      <c r="B22" s="27" t="n">
        <v>40760</v>
      </c>
      <c r="C22" s="28" t="s">
        <v>434</v>
      </c>
      <c r="D22" s="29" t="s">
        <v>416</v>
      </c>
      <c r="E22" s="16" t="n">
        <v>7</v>
      </c>
      <c r="F22" s="16" t="n">
        <v>2</v>
      </c>
      <c r="G22" s="16" t="n">
        <v>0</v>
      </c>
      <c r="H22" s="16" t="n">
        <v>0</v>
      </c>
      <c r="I22" s="16" t="n">
        <v>0</v>
      </c>
      <c r="J22" s="16" t="n">
        <v>0</v>
      </c>
      <c r="K22" s="30" t="n">
        <f aca="false">SUM(E22:J22)</f>
        <v>9</v>
      </c>
    </row>
    <row r="23" customFormat="false" ht="12.75" hidden="false" customHeight="true" outlineLevel="0" collapsed="false">
      <c r="A23" s="27" t="n">
        <v>22</v>
      </c>
      <c r="B23" s="27" t="n">
        <v>31632</v>
      </c>
      <c r="C23" s="28" t="s">
        <v>45</v>
      </c>
      <c r="D23" s="29" t="s">
        <v>435</v>
      </c>
      <c r="E23" s="16" t="n">
        <v>7</v>
      </c>
      <c r="F23" s="16" t="n">
        <v>2</v>
      </c>
      <c r="G23" s="16" t="n">
        <v>0</v>
      </c>
      <c r="H23" s="16" t="n">
        <v>0</v>
      </c>
      <c r="I23" s="16" t="n">
        <v>0</v>
      </c>
      <c r="J23" s="16" t="n">
        <v>0</v>
      </c>
      <c r="K23" s="30" t="n">
        <f aca="false">SUM(E23:J23)</f>
        <v>9</v>
      </c>
    </row>
    <row r="24" customFormat="false" ht="12.75" hidden="false" customHeight="true" outlineLevel="0" collapsed="false">
      <c r="A24" s="27" t="n">
        <v>23</v>
      </c>
      <c r="B24" s="27" t="n">
        <v>72692</v>
      </c>
      <c r="C24" s="28" t="s">
        <v>436</v>
      </c>
      <c r="D24" s="29" t="s">
        <v>130</v>
      </c>
      <c r="E24" s="16" t="n">
        <v>5</v>
      </c>
      <c r="F24" s="16" t="n">
        <v>2</v>
      </c>
      <c r="G24" s="16" t="n">
        <v>0</v>
      </c>
      <c r="H24" s="16" t="n">
        <v>1</v>
      </c>
      <c r="I24" s="16" t="n">
        <v>0</v>
      </c>
      <c r="J24" s="16" t="n">
        <v>0</v>
      </c>
      <c r="K24" s="30" t="n">
        <f aca="false">SUM(E24:J24)</f>
        <v>8</v>
      </c>
    </row>
    <row r="25" customFormat="false" ht="12.75" hidden="false" customHeight="true" outlineLevel="0" collapsed="false">
      <c r="A25" s="27" t="n">
        <v>24</v>
      </c>
      <c r="B25" s="27" t="n">
        <v>73457</v>
      </c>
      <c r="C25" s="28" t="s">
        <v>37</v>
      </c>
      <c r="D25" s="29" t="s">
        <v>437</v>
      </c>
      <c r="E25" s="16" t="n">
        <v>5</v>
      </c>
      <c r="F25" s="16" t="n">
        <v>2</v>
      </c>
      <c r="G25" s="16" t="n">
        <v>0</v>
      </c>
      <c r="H25" s="16" t="n">
        <v>1</v>
      </c>
      <c r="I25" s="16" t="n">
        <v>0</v>
      </c>
      <c r="J25" s="16" t="n">
        <v>0</v>
      </c>
      <c r="K25" s="30" t="n">
        <f aca="false">SUM(E25:J25)</f>
        <v>8</v>
      </c>
    </row>
    <row r="26" customFormat="false" ht="12.75" hidden="false" customHeight="true" outlineLevel="0" collapsed="false">
      <c r="A26" s="27" t="n">
        <v>25</v>
      </c>
      <c r="B26" s="27" t="n">
        <v>30245</v>
      </c>
      <c r="C26" s="28" t="s">
        <v>438</v>
      </c>
      <c r="D26" s="29" t="s">
        <v>130</v>
      </c>
      <c r="E26" s="16" t="n">
        <v>5</v>
      </c>
      <c r="F26" s="16" t="n">
        <v>2</v>
      </c>
      <c r="G26" s="16" t="n">
        <v>0</v>
      </c>
      <c r="H26" s="16" t="n">
        <v>0</v>
      </c>
      <c r="I26" s="16" t="n">
        <v>0</v>
      </c>
      <c r="J26" s="16" t="n">
        <v>0</v>
      </c>
      <c r="K26" s="30" t="n">
        <f aca="false">SUM(E26:J26)</f>
        <v>7</v>
      </c>
    </row>
    <row r="27" customFormat="false" ht="12.75" hidden="false" customHeight="true" outlineLevel="0" collapsed="false">
      <c r="A27" s="27" t="n">
        <v>26</v>
      </c>
      <c r="B27" s="27" t="n">
        <v>36895</v>
      </c>
      <c r="C27" s="28" t="s">
        <v>151</v>
      </c>
      <c r="D27" s="29" t="s">
        <v>358</v>
      </c>
      <c r="E27" s="16" t="n">
        <v>4</v>
      </c>
      <c r="F27" s="16" t="n">
        <v>2</v>
      </c>
      <c r="G27" s="16" t="n">
        <v>0</v>
      </c>
      <c r="H27" s="16" t="n">
        <v>1</v>
      </c>
      <c r="I27" s="16" t="n">
        <v>0</v>
      </c>
      <c r="J27" s="16" t="n">
        <v>0</v>
      </c>
      <c r="K27" s="30" t="n">
        <f aca="false">SUM(E27:J27)</f>
        <v>7</v>
      </c>
    </row>
    <row r="28" customFormat="false" ht="12.75" hidden="false" customHeight="true" outlineLevel="0" collapsed="false">
      <c r="A28" s="27" t="n">
        <v>27</v>
      </c>
      <c r="B28" s="27" t="n">
        <v>65844</v>
      </c>
      <c r="C28" s="28" t="s">
        <v>439</v>
      </c>
      <c r="D28" s="29" t="s">
        <v>440</v>
      </c>
      <c r="E28" s="16" t="n">
        <v>0</v>
      </c>
      <c r="F28" s="16" t="n">
        <v>2</v>
      </c>
      <c r="G28" s="16" t="n">
        <v>0</v>
      </c>
      <c r="H28" s="16" t="n">
        <v>5</v>
      </c>
      <c r="I28" s="16" t="n">
        <v>0</v>
      </c>
      <c r="J28" s="16" t="n">
        <v>0</v>
      </c>
      <c r="K28" s="30" t="n">
        <f aca="false">SUM(E28:J28)</f>
        <v>7</v>
      </c>
    </row>
    <row r="29" customFormat="false" ht="12.75" hidden="false" customHeight="true" outlineLevel="0" collapsed="false">
      <c r="A29" s="27" t="n">
        <v>28</v>
      </c>
      <c r="B29" s="27" t="n">
        <v>202392</v>
      </c>
      <c r="C29" s="28" t="s">
        <v>441</v>
      </c>
      <c r="D29" s="29" t="s">
        <v>442</v>
      </c>
      <c r="E29" s="16" t="n">
        <v>5</v>
      </c>
      <c r="F29" s="16" t="n">
        <v>2</v>
      </c>
      <c r="G29" s="16" t="n">
        <v>0</v>
      </c>
      <c r="H29" s="16" t="n">
        <v>0</v>
      </c>
      <c r="I29" s="16" t="n">
        <v>0</v>
      </c>
      <c r="J29" s="16" t="n">
        <v>0</v>
      </c>
      <c r="K29" s="30" t="n">
        <f aca="false">SUM(E29:J29)</f>
        <v>7</v>
      </c>
    </row>
    <row r="30" customFormat="false" ht="12.75" hidden="false" customHeight="true" outlineLevel="0" collapsed="false">
      <c r="A30" s="27" t="n">
        <v>29</v>
      </c>
      <c r="B30" s="27" t="n">
        <v>143497</v>
      </c>
      <c r="C30" s="28" t="s">
        <v>443</v>
      </c>
      <c r="D30" s="29" t="s">
        <v>248</v>
      </c>
      <c r="E30" s="16" t="n">
        <v>7</v>
      </c>
      <c r="F30" s="16" t="n">
        <v>0</v>
      </c>
      <c r="G30" s="16" t="n">
        <v>0</v>
      </c>
      <c r="H30" s="16" t="n">
        <v>0</v>
      </c>
      <c r="I30" s="16" t="n">
        <v>0</v>
      </c>
      <c r="J30" s="16" t="n">
        <v>0</v>
      </c>
      <c r="K30" s="30" t="n">
        <f aca="false">SUM(E30:J30)</f>
        <v>7</v>
      </c>
    </row>
    <row r="31" customFormat="false" ht="12.75" hidden="false" customHeight="true" outlineLevel="0" collapsed="false">
      <c r="A31" s="27" t="n">
        <v>30</v>
      </c>
      <c r="B31" s="27" t="n">
        <v>192276</v>
      </c>
      <c r="C31" s="28" t="s">
        <v>444</v>
      </c>
      <c r="D31" s="29" t="s">
        <v>188</v>
      </c>
      <c r="E31" s="16" t="n">
        <v>5</v>
      </c>
      <c r="F31" s="16" t="n">
        <v>2</v>
      </c>
      <c r="G31" s="16" t="n">
        <v>0</v>
      </c>
      <c r="H31" s="16" t="n">
        <v>0</v>
      </c>
      <c r="I31" s="16" t="n">
        <v>0</v>
      </c>
      <c r="J31" s="16" t="n">
        <v>0</v>
      </c>
      <c r="K31" s="30" t="n">
        <f aca="false">SUM(E31:J31)</f>
        <v>7</v>
      </c>
    </row>
    <row r="32" customFormat="false" ht="12.75" hidden="false" customHeight="true" outlineLevel="0" collapsed="false">
      <c r="A32" s="27" t="n">
        <v>31</v>
      </c>
      <c r="B32" s="31" t="n">
        <v>158608</v>
      </c>
      <c r="C32" s="28" t="s">
        <v>445</v>
      </c>
      <c r="D32" s="29" t="s">
        <v>63</v>
      </c>
      <c r="E32" s="16" t="n">
        <v>0</v>
      </c>
      <c r="F32" s="16" t="n">
        <v>2</v>
      </c>
      <c r="G32" s="16" t="n">
        <v>0</v>
      </c>
      <c r="H32" s="16" t="n">
        <v>3</v>
      </c>
      <c r="I32" s="16" t="n">
        <v>0</v>
      </c>
      <c r="J32" s="16" t="n">
        <v>0</v>
      </c>
      <c r="K32" s="30" t="n">
        <f aca="false">SUM(E32:J32)</f>
        <v>5</v>
      </c>
    </row>
    <row r="33" customFormat="false" ht="12.75" hidden="false" customHeight="true" outlineLevel="0" collapsed="false">
      <c r="A33" s="27" t="n">
        <v>32</v>
      </c>
      <c r="B33" s="27" t="n">
        <v>190697</v>
      </c>
      <c r="C33" s="28" t="s">
        <v>382</v>
      </c>
      <c r="D33" s="29" t="s">
        <v>446</v>
      </c>
      <c r="E33" s="16" t="n">
        <v>5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30" t="n">
        <f aca="false">SUM(E33:J33)</f>
        <v>5</v>
      </c>
    </row>
    <row r="34" customFormat="false" ht="12.75" hidden="false" customHeight="true" outlineLevel="0" collapsed="false">
      <c r="A34" s="27" t="n">
        <v>33</v>
      </c>
      <c r="B34" s="27" t="n">
        <v>140985</v>
      </c>
      <c r="C34" s="28" t="s">
        <v>57</v>
      </c>
      <c r="D34" s="29" t="s">
        <v>447</v>
      </c>
      <c r="E34" s="16" t="n">
        <v>2</v>
      </c>
      <c r="F34" s="16" t="n">
        <v>2</v>
      </c>
      <c r="G34" s="16" t="n">
        <v>0</v>
      </c>
      <c r="H34" s="16" t="n">
        <v>0</v>
      </c>
      <c r="I34" s="16" t="n">
        <v>0</v>
      </c>
      <c r="J34" s="16" t="n">
        <v>0</v>
      </c>
      <c r="K34" s="30" t="n">
        <f aca="false">SUM(E34:J34)</f>
        <v>4</v>
      </c>
    </row>
    <row r="35" customFormat="false" ht="12.75" hidden="false" customHeight="true" outlineLevel="0" collapsed="false">
      <c r="A35" s="27" t="n">
        <v>34</v>
      </c>
      <c r="B35" s="27" t="n">
        <v>144048</v>
      </c>
      <c r="C35" s="28" t="s">
        <v>448</v>
      </c>
      <c r="D35" s="29" t="s">
        <v>449</v>
      </c>
      <c r="E35" s="16" t="n">
        <v>2</v>
      </c>
      <c r="F35" s="16" t="n">
        <v>2</v>
      </c>
      <c r="G35" s="16" t="n">
        <v>0</v>
      </c>
      <c r="H35" s="16" t="n">
        <v>0</v>
      </c>
      <c r="I35" s="16" t="n">
        <v>0</v>
      </c>
      <c r="J35" s="16" t="n">
        <v>0</v>
      </c>
      <c r="K35" s="30" t="n">
        <f aca="false">SUM(E35:J35)</f>
        <v>4</v>
      </c>
    </row>
    <row r="36" customFormat="false" ht="12.75" hidden="false" customHeight="true" outlineLevel="0" collapsed="false">
      <c r="A36" s="27" t="n">
        <v>35</v>
      </c>
      <c r="B36" s="27" t="n">
        <v>119898</v>
      </c>
      <c r="C36" s="28" t="s">
        <v>61</v>
      </c>
      <c r="D36" s="29" t="s">
        <v>450</v>
      </c>
      <c r="E36" s="16" t="n">
        <v>4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0</v>
      </c>
      <c r="K36" s="30" t="n">
        <f aca="false">SUM(E36:J36)</f>
        <v>4</v>
      </c>
    </row>
    <row r="37" customFormat="false" ht="12.75" hidden="false" customHeight="true" outlineLevel="0" collapsed="false">
      <c r="A37" s="27" t="n">
        <v>36</v>
      </c>
      <c r="B37" s="27" t="n">
        <v>163099</v>
      </c>
      <c r="C37" s="28" t="s">
        <v>451</v>
      </c>
      <c r="D37" s="29" t="s">
        <v>24</v>
      </c>
      <c r="E37" s="16" t="n">
        <v>0</v>
      </c>
      <c r="F37" s="16" t="n">
        <v>2</v>
      </c>
      <c r="G37" s="16" t="n">
        <v>0</v>
      </c>
      <c r="H37" s="16" t="n">
        <v>2</v>
      </c>
      <c r="I37" s="16" t="n">
        <v>0</v>
      </c>
      <c r="J37" s="16" t="n">
        <v>0</v>
      </c>
      <c r="K37" s="30" t="n">
        <f aca="false">SUM(E37:J37)</f>
        <v>4</v>
      </c>
    </row>
    <row r="38" customFormat="false" ht="12.75" hidden="false" customHeight="true" outlineLevel="0" collapsed="false">
      <c r="A38" s="27" t="n">
        <v>37</v>
      </c>
      <c r="B38" s="27" t="n">
        <v>158507</v>
      </c>
      <c r="C38" s="28" t="s">
        <v>452</v>
      </c>
      <c r="D38" s="29" t="s">
        <v>453</v>
      </c>
      <c r="E38" s="16" t="n">
        <v>0</v>
      </c>
      <c r="F38" s="16" t="n">
        <v>2</v>
      </c>
      <c r="G38" s="16" t="n">
        <v>0</v>
      </c>
      <c r="H38" s="16" t="n">
        <v>1</v>
      </c>
      <c r="I38" s="16" t="n">
        <v>0</v>
      </c>
      <c r="J38" s="16" t="n">
        <v>0</v>
      </c>
      <c r="K38" s="30" t="n">
        <f aca="false">SUM(E38:J38)</f>
        <v>3</v>
      </c>
    </row>
    <row r="39" customFormat="false" ht="12.75" hidden="false" customHeight="true" outlineLevel="0" collapsed="false">
      <c r="A39" s="27" t="n">
        <v>38</v>
      </c>
      <c r="B39" s="27" t="n">
        <v>144130</v>
      </c>
      <c r="C39" s="28" t="s">
        <v>454</v>
      </c>
      <c r="D39" s="29" t="s">
        <v>130</v>
      </c>
      <c r="E39" s="16" t="n">
        <v>0</v>
      </c>
      <c r="F39" s="16" t="n">
        <v>2</v>
      </c>
      <c r="G39" s="16" t="n">
        <v>0</v>
      </c>
      <c r="H39" s="16" t="n">
        <v>1</v>
      </c>
      <c r="I39" s="16" t="n">
        <v>0</v>
      </c>
      <c r="J39" s="16" t="n">
        <v>0</v>
      </c>
      <c r="K39" s="30" t="n">
        <f aca="false">SUM(E39:J39)</f>
        <v>3</v>
      </c>
    </row>
    <row r="40" customFormat="false" ht="12.75" hidden="false" customHeight="true" outlineLevel="0" collapsed="false">
      <c r="A40" s="27" t="n">
        <v>39</v>
      </c>
      <c r="B40" s="27" t="n">
        <v>56850</v>
      </c>
      <c r="C40" s="28" t="s">
        <v>45</v>
      </c>
      <c r="D40" s="29" t="s">
        <v>455</v>
      </c>
      <c r="E40" s="16" t="n">
        <v>0</v>
      </c>
      <c r="F40" s="16" t="n">
        <v>2</v>
      </c>
      <c r="G40" s="16" t="n">
        <v>0</v>
      </c>
      <c r="H40" s="16" t="n">
        <v>1</v>
      </c>
      <c r="I40" s="16" t="n">
        <v>0</v>
      </c>
      <c r="J40" s="16" t="n">
        <v>0</v>
      </c>
      <c r="K40" s="30" t="n">
        <f aca="false">SUM(E40:J40)</f>
        <v>3</v>
      </c>
    </row>
    <row r="41" customFormat="false" ht="12.75" hidden="false" customHeight="true" outlineLevel="0" collapsed="false">
      <c r="A41" s="27" t="n">
        <v>40</v>
      </c>
      <c r="B41" s="27" t="n">
        <v>117157</v>
      </c>
      <c r="C41" s="28" t="s">
        <v>200</v>
      </c>
      <c r="D41" s="29" t="s">
        <v>138</v>
      </c>
      <c r="E41" s="16" t="n">
        <v>0</v>
      </c>
      <c r="F41" s="16" t="n">
        <v>2</v>
      </c>
      <c r="G41" s="16" t="n">
        <v>0</v>
      </c>
      <c r="H41" s="16" t="n">
        <v>0</v>
      </c>
      <c r="I41" s="16" t="n">
        <v>0</v>
      </c>
      <c r="J41" s="16" t="n">
        <v>0</v>
      </c>
      <c r="K41" s="30" t="n">
        <f aca="false">SUM(E41:J41)</f>
        <v>2</v>
      </c>
    </row>
    <row r="42" customFormat="false" ht="12.75" hidden="false" customHeight="true" outlineLevel="0" collapsed="false">
      <c r="A42" s="27" t="n">
        <v>41</v>
      </c>
      <c r="B42" s="27" t="n">
        <v>54137</v>
      </c>
      <c r="C42" s="28" t="s">
        <v>70</v>
      </c>
      <c r="D42" s="29" t="s">
        <v>456</v>
      </c>
      <c r="E42" s="16" t="n">
        <v>0</v>
      </c>
      <c r="F42" s="16" t="n">
        <v>2</v>
      </c>
      <c r="G42" s="16" t="n">
        <v>0</v>
      </c>
      <c r="H42" s="16" t="n">
        <v>0</v>
      </c>
      <c r="I42" s="16" t="n">
        <v>0</v>
      </c>
      <c r="J42" s="16" t="n">
        <v>0</v>
      </c>
      <c r="K42" s="30" t="n">
        <f aca="false">SUM(E42:J42)</f>
        <v>2</v>
      </c>
    </row>
    <row r="43" customFormat="false" ht="12.75" hidden="false" customHeight="true" outlineLevel="0" collapsed="false">
      <c r="A43" s="27" t="n">
        <v>42</v>
      </c>
      <c r="B43" s="27" t="n">
        <v>124391</v>
      </c>
      <c r="C43" s="28" t="s">
        <v>99</v>
      </c>
      <c r="D43" s="29" t="s">
        <v>130</v>
      </c>
      <c r="E43" s="16" t="n">
        <v>0</v>
      </c>
      <c r="F43" s="16" t="n">
        <v>2</v>
      </c>
      <c r="G43" s="16" t="n">
        <v>0</v>
      </c>
      <c r="H43" s="16" t="n">
        <v>0</v>
      </c>
      <c r="I43" s="16" t="n">
        <v>0</v>
      </c>
      <c r="J43" s="16" t="n">
        <v>0</v>
      </c>
      <c r="K43" s="30" t="n">
        <f aca="false">SUM(E43:J43)</f>
        <v>2</v>
      </c>
    </row>
    <row r="44" customFormat="false" ht="12.75" hidden="false" customHeight="true" outlineLevel="0" collapsed="false">
      <c r="A44" s="27" t="n">
        <v>43</v>
      </c>
      <c r="B44" s="27" t="n">
        <v>112843</v>
      </c>
      <c r="C44" s="28" t="s">
        <v>451</v>
      </c>
      <c r="D44" s="29" t="s">
        <v>190</v>
      </c>
      <c r="E44" s="16" t="n">
        <v>0</v>
      </c>
      <c r="F44" s="16" t="n">
        <v>2</v>
      </c>
      <c r="G44" s="16" t="n">
        <v>0</v>
      </c>
      <c r="H44" s="16" t="n">
        <v>0</v>
      </c>
      <c r="I44" s="16" t="n">
        <v>0</v>
      </c>
      <c r="J44" s="16" t="n">
        <v>0</v>
      </c>
      <c r="K44" s="30" t="n">
        <f aca="false">SUM(E44:J44)</f>
        <v>2</v>
      </c>
    </row>
    <row r="45" customFormat="false" ht="12.75" hidden="false" customHeight="true" outlineLevel="0" collapsed="false">
      <c r="A45" s="27" t="n">
        <v>44</v>
      </c>
      <c r="B45" s="27" t="n">
        <v>167891</v>
      </c>
      <c r="C45" s="28" t="s">
        <v>457</v>
      </c>
      <c r="D45" s="29" t="s">
        <v>458</v>
      </c>
      <c r="E45" s="16" t="n">
        <v>0</v>
      </c>
      <c r="F45" s="16" t="n">
        <v>2</v>
      </c>
      <c r="G45" s="16" t="n">
        <v>0</v>
      </c>
      <c r="H45" s="16" t="n">
        <v>0</v>
      </c>
      <c r="I45" s="16" t="n">
        <v>0</v>
      </c>
      <c r="J45" s="16" t="n">
        <v>0</v>
      </c>
      <c r="K45" s="30" t="n">
        <f aca="false">SUM(E45:J45)</f>
        <v>2</v>
      </c>
    </row>
    <row r="46" customFormat="false" ht="12.75" hidden="false" customHeight="true" outlineLevel="0" collapsed="false">
      <c r="A46" s="27" t="n">
        <v>45</v>
      </c>
      <c r="B46" s="27" t="n">
        <v>117161</v>
      </c>
      <c r="C46" s="28" t="s">
        <v>459</v>
      </c>
      <c r="D46" s="29" t="s">
        <v>460</v>
      </c>
      <c r="E46" s="16" t="n">
        <v>0</v>
      </c>
      <c r="F46" s="16" t="n">
        <v>2</v>
      </c>
      <c r="G46" s="16" t="n">
        <v>0</v>
      </c>
      <c r="H46" s="16" t="n">
        <v>0</v>
      </c>
      <c r="I46" s="16" t="n">
        <v>0</v>
      </c>
      <c r="J46" s="16" t="n">
        <v>0</v>
      </c>
      <c r="K46" s="30" t="n">
        <f aca="false">SUM(E46:J46)</f>
        <v>2</v>
      </c>
    </row>
    <row r="47" customFormat="false" ht="12.75" hidden="false" customHeight="true" outlineLevel="0" collapsed="false">
      <c r="A47" s="27" t="n">
        <v>46</v>
      </c>
      <c r="B47" s="27" t="n">
        <v>112890</v>
      </c>
      <c r="C47" s="28" t="s">
        <v>461</v>
      </c>
      <c r="D47" s="29" t="s">
        <v>462</v>
      </c>
      <c r="E47" s="16" t="n">
        <v>0</v>
      </c>
      <c r="F47" s="16" t="n">
        <v>2</v>
      </c>
      <c r="G47" s="16" t="n">
        <v>0</v>
      </c>
      <c r="H47" s="16" t="n">
        <v>0</v>
      </c>
      <c r="I47" s="16" t="n">
        <v>0</v>
      </c>
      <c r="J47" s="16" t="n">
        <v>0</v>
      </c>
      <c r="K47" s="30" t="n">
        <f aca="false">SUM(E47:J47)</f>
        <v>2</v>
      </c>
    </row>
    <row r="48" customFormat="false" ht="12.75" hidden="false" customHeight="true" outlineLevel="0" collapsed="false">
      <c r="A48" s="27" t="n">
        <v>47</v>
      </c>
      <c r="B48" s="27" t="n">
        <v>189647</v>
      </c>
      <c r="C48" s="28" t="s">
        <v>63</v>
      </c>
      <c r="D48" s="29" t="s">
        <v>182</v>
      </c>
      <c r="E48" s="16" t="n">
        <v>0</v>
      </c>
      <c r="F48" s="16" t="n">
        <v>2</v>
      </c>
      <c r="G48" s="16" t="n">
        <v>0</v>
      </c>
      <c r="H48" s="16"/>
      <c r="I48" s="16"/>
      <c r="J48" s="16"/>
      <c r="K48" s="30" t="n">
        <f aca="false">SUM(E48:J48)</f>
        <v>2</v>
      </c>
    </row>
    <row r="49" customFormat="false" ht="12.75" hidden="false" customHeight="true" outlineLevel="0" collapsed="false">
      <c r="A49" s="27" t="n">
        <v>48</v>
      </c>
      <c r="B49" s="31" t="n">
        <v>124325</v>
      </c>
      <c r="C49" s="28" t="s">
        <v>438</v>
      </c>
      <c r="D49" s="29" t="s">
        <v>463</v>
      </c>
      <c r="E49" s="16" t="n">
        <v>0</v>
      </c>
      <c r="F49" s="16" t="n">
        <v>2</v>
      </c>
      <c r="G49" s="16" t="n">
        <v>0</v>
      </c>
      <c r="H49" s="16"/>
      <c r="I49" s="16"/>
      <c r="J49" s="16"/>
      <c r="K49" s="30" t="n">
        <f aca="false">SUM(E49:J49)</f>
        <v>2</v>
      </c>
    </row>
    <row r="50" customFormat="false" ht="12.75" hidden="false" customHeight="true" outlineLevel="0" collapsed="false">
      <c r="A50" s="27" t="n">
        <v>49</v>
      </c>
      <c r="B50" s="27" t="n">
        <v>204448</v>
      </c>
      <c r="C50" s="28" t="s">
        <v>139</v>
      </c>
      <c r="D50" s="29" t="s">
        <v>230</v>
      </c>
      <c r="E50" s="16" t="n">
        <v>0</v>
      </c>
      <c r="F50" s="16" t="n">
        <v>2</v>
      </c>
      <c r="G50" s="16" t="n">
        <v>0</v>
      </c>
      <c r="H50" s="16" t="n">
        <v>0</v>
      </c>
      <c r="I50" s="16" t="n">
        <v>0</v>
      </c>
      <c r="J50" s="16" t="n">
        <v>0</v>
      </c>
      <c r="K50" s="30" t="n">
        <f aca="false">SUM(E50:J50)</f>
        <v>2</v>
      </c>
    </row>
    <row r="51" customFormat="false" ht="12.75" hidden="false" customHeight="true" outlineLevel="0" collapsed="false">
      <c r="A51" s="27" t="n">
        <v>50</v>
      </c>
      <c r="B51" s="27" t="n">
        <v>155205</v>
      </c>
      <c r="C51" s="28" t="s">
        <v>464</v>
      </c>
      <c r="D51" s="29" t="s">
        <v>73</v>
      </c>
      <c r="E51" s="16" t="n">
        <v>0</v>
      </c>
      <c r="F51" s="16" t="n">
        <v>2</v>
      </c>
      <c r="G51" s="16" t="n">
        <v>0</v>
      </c>
      <c r="H51" s="16"/>
      <c r="I51" s="16"/>
      <c r="J51" s="16"/>
      <c r="K51" s="30" t="n">
        <f aca="false">SUM(E51:J51)</f>
        <v>2</v>
      </c>
    </row>
    <row r="52" customFormat="false" ht="12.75" hidden="false" customHeight="true" outlineLevel="0" collapsed="false">
      <c r="A52" s="27" t="n">
        <v>51</v>
      </c>
      <c r="B52" s="27" t="n">
        <v>169060</v>
      </c>
      <c r="C52" s="28" t="s">
        <v>465</v>
      </c>
      <c r="D52" s="29" t="s">
        <v>466</v>
      </c>
      <c r="E52" s="16" t="n">
        <v>0</v>
      </c>
      <c r="F52" s="16" t="n">
        <v>2</v>
      </c>
      <c r="G52" s="16" t="n">
        <v>0</v>
      </c>
      <c r="H52" s="16" t="n">
        <v>0</v>
      </c>
      <c r="I52" s="16" t="n">
        <v>0</v>
      </c>
      <c r="J52" s="16" t="n">
        <v>0</v>
      </c>
      <c r="K52" s="30" t="n">
        <f aca="false">SUM(E52:J52)</f>
        <v>2</v>
      </c>
    </row>
    <row r="53" customFormat="false" ht="12.75" hidden="false" customHeight="true" outlineLevel="0" collapsed="false">
      <c r="A53" s="27" t="n">
        <v>52</v>
      </c>
      <c r="B53" s="27" t="n">
        <v>12698</v>
      </c>
      <c r="C53" s="28" t="s">
        <v>467</v>
      </c>
      <c r="D53" s="29" t="s">
        <v>468</v>
      </c>
      <c r="E53" s="16" t="n">
        <v>0</v>
      </c>
      <c r="F53" s="16" t="n">
        <v>2</v>
      </c>
      <c r="G53" s="16" t="n">
        <v>0</v>
      </c>
      <c r="H53" s="16" t="n">
        <v>0</v>
      </c>
      <c r="I53" s="16" t="n">
        <v>0</v>
      </c>
      <c r="J53" s="16" t="n">
        <v>0</v>
      </c>
      <c r="K53" s="30" t="n">
        <f aca="false">SUM(E53:J53)</f>
        <v>2</v>
      </c>
    </row>
    <row r="54" customFormat="false" ht="12.75" hidden="false" customHeight="true" outlineLevel="0" collapsed="false">
      <c r="A54" s="27" t="n">
        <v>53</v>
      </c>
      <c r="B54" s="27" t="n">
        <v>66176</v>
      </c>
      <c r="C54" s="28" t="s">
        <v>469</v>
      </c>
      <c r="D54" s="29" t="s">
        <v>470</v>
      </c>
      <c r="E54" s="16" t="n">
        <v>0</v>
      </c>
      <c r="F54" s="16" t="n">
        <v>2</v>
      </c>
      <c r="G54" s="16" t="n">
        <v>0</v>
      </c>
      <c r="H54" s="16" t="n">
        <v>0</v>
      </c>
      <c r="I54" s="16" t="n">
        <v>0</v>
      </c>
      <c r="J54" s="16" t="n">
        <v>0</v>
      </c>
      <c r="K54" s="30" t="n">
        <f aca="false">SUM(E54:J54)</f>
        <v>2</v>
      </c>
    </row>
    <row r="55" customFormat="false" ht="12.75" hidden="false" customHeight="true" outlineLevel="0" collapsed="false">
      <c r="A55" s="27" t="n">
        <v>54</v>
      </c>
      <c r="B55" s="27" t="n">
        <v>144296</v>
      </c>
      <c r="C55" s="28" t="s">
        <v>471</v>
      </c>
      <c r="D55" s="29" t="s">
        <v>472</v>
      </c>
      <c r="E55" s="16" t="n">
        <v>0</v>
      </c>
      <c r="F55" s="16" t="n">
        <v>2</v>
      </c>
      <c r="G55" s="16" t="n">
        <v>0</v>
      </c>
      <c r="H55" s="16"/>
      <c r="I55" s="16"/>
      <c r="J55" s="16"/>
      <c r="K55" s="30" t="n">
        <f aca="false">SUM(E55:J55)</f>
        <v>2</v>
      </c>
    </row>
    <row r="56" customFormat="false" ht="12.75" hidden="false" customHeight="true" outlineLevel="0" collapsed="false">
      <c r="A56" s="27" t="n">
        <v>55</v>
      </c>
      <c r="B56" s="27" t="n">
        <v>169886</v>
      </c>
      <c r="C56" s="28" t="s">
        <v>473</v>
      </c>
      <c r="D56" s="29" t="s">
        <v>474</v>
      </c>
      <c r="E56" s="16" t="n">
        <v>0</v>
      </c>
      <c r="F56" s="16" t="n">
        <v>2</v>
      </c>
      <c r="G56" s="16" t="n">
        <v>0</v>
      </c>
      <c r="H56" s="16"/>
      <c r="I56" s="16"/>
      <c r="J56" s="16"/>
      <c r="K56" s="30" t="n">
        <f aca="false">SUM(E56:J56)</f>
        <v>2</v>
      </c>
    </row>
    <row r="57" customFormat="false" ht="12.75" hidden="false" customHeight="true" outlineLevel="0" collapsed="false">
      <c r="A57" s="27" t="n">
        <v>56</v>
      </c>
      <c r="B57" s="27" t="n">
        <v>74853</v>
      </c>
      <c r="C57" s="28" t="s">
        <v>475</v>
      </c>
      <c r="D57" s="29" t="s">
        <v>143</v>
      </c>
      <c r="E57" s="16" t="n">
        <v>0</v>
      </c>
      <c r="F57" s="16" t="n">
        <v>2</v>
      </c>
      <c r="G57" s="16" t="n">
        <v>0</v>
      </c>
      <c r="H57" s="16"/>
      <c r="I57" s="16"/>
      <c r="J57" s="16"/>
      <c r="K57" s="30" t="n">
        <f aca="false">SUM(E57:J57)</f>
        <v>2</v>
      </c>
    </row>
    <row r="58" customFormat="false" ht="12.75" hidden="false" customHeight="true" outlineLevel="0" collapsed="false">
      <c r="A58" s="27" t="n">
        <v>57</v>
      </c>
      <c r="B58" s="27" t="n">
        <v>130478</v>
      </c>
      <c r="C58" s="28" t="s">
        <v>473</v>
      </c>
      <c r="D58" s="29" t="s">
        <v>476</v>
      </c>
      <c r="E58" s="16" t="n">
        <v>0</v>
      </c>
      <c r="F58" s="16" t="n">
        <v>0</v>
      </c>
      <c r="G58" s="16" t="n">
        <v>0</v>
      </c>
      <c r="H58" s="16" t="n">
        <v>1</v>
      </c>
      <c r="I58" s="16" t="n">
        <v>0</v>
      </c>
      <c r="J58" s="16" t="n">
        <v>0</v>
      </c>
      <c r="K58" s="30" t="n">
        <f aca="false">SUM(E58:J58)</f>
        <v>1</v>
      </c>
    </row>
    <row r="59" customFormat="false" ht="12.75" hidden="false" customHeight="true" outlineLevel="0" collapsed="false">
      <c r="A59" s="27" t="n">
        <v>58</v>
      </c>
      <c r="B59" s="27" t="n">
        <v>49324</v>
      </c>
      <c r="C59" s="28" t="s">
        <v>39</v>
      </c>
      <c r="D59" s="29" t="s">
        <v>477</v>
      </c>
      <c r="E59" s="16" t="n">
        <v>0</v>
      </c>
      <c r="F59" s="16" t="n">
        <v>0</v>
      </c>
      <c r="G59" s="16" t="n">
        <v>0</v>
      </c>
      <c r="H59" s="16" t="n">
        <v>1</v>
      </c>
      <c r="I59" s="16" t="n">
        <v>0</v>
      </c>
      <c r="J59" s="16" t="n">
        <v>0</v>
      </c>
      <c r="K59" s="30" t="n">
        <f aca="false">SUM(E59:J59)</f>
        <v>1</v>
      </c>
    </row>
    <row r="60" customFormat="false" ht="12.75" hidden="false" customHeight="true" outlineLevel="0" collapsed="false">
      <c r="A60" s="27" t="n">
        <v>59</v>
      </c>
      <c r="B60" s="27" t="n">
        <v>116522</v>
      </c>
      <c r="C60" s="28" t="s">
        <v>156</v>
      </c>
      <c r="D60" s="29" t="s">
        <v>478</v>
      </c>
      <c r="E60" s="16" t="n">
        <v>0</v>
      </c>
      <c r="F60" s="16" t="n">
        <v>0</v>
      </c>
      <c r="G60" s="16" t="n">
        <v>0</v>
      </c>
      <c r="H60" s="16" t="n">
        <v>0</v>
      </c>
      <c r="I60" s="16" t="n">
        <v>0</v>
      </c>
      <c r="J60" s="16" t="n">
        <v>0</v>
      </c>
      <c r="K60" s="30" t="n">
        <f aca="false">SUM(E60:J60)</f>
        <v>0</v>
      </c>
    </row>
    <row r="61" customFormat="false" ht="12.75" hidden="false" customHeight="true" outlineLevel="0" collapsed="false">
      <c r="A61" s="27" t="n">
        <v>60</v>
      </c>
      <c r="B61" s="27" t="n">
        <v>13922</v>
      </c>
      <c r="C61" s="28" t="s">
        <v>289</v>
      </c>
      <c r="D61" s="29" t="s">
        <v>479</v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0</v>
      </c>
      <c r="K61" s="30" t="n">
        <f aca="false">SUM(E61:J61)</f>
        <v>0</v>
      </c>
    </row>
    <row r="62" customFormat="false" ht="12.75" hidden="false" customHeight="true" outlineLevel="0" collapsed="false">
      <c r="A62" s="27" t="n">
        <v>61</v>
      </c>
      <c r="B62" s="27" t="n">
        <v>113795</v>
      </c>
      <c r="C62" s="28" t="s">
        <v>151</v>
      </c>
      <c r="D62" s="29" t="s">
        <v>480</v>
      </c>
      <c r="E62" s="16" t="n">
        <v>0</v>
      </c>
      <c r="F62" s="16" t="n">
        <v>0</v>
      </c>
      <c r="G62" s="16" t="n">
        <v>0</v>
      </c>
      <c r="H62" s="16" t="n">
        <v>0</v>
      </c>
      <c r="I62" s="16" t="n">
        <v>0</v>
      </c>
      <c r="J62" s="16" t="n">
        <v>0</v>
      </c>
      <c r="K62" s="30" t="n">
        <f aca="false">SUM(E62:J62)</f>
        <v>0</v>
      </c>
    </row>
    <row r="63" customFormat="false" ht="12.75" hidden="false" customHeight="true" outlineLevel="0" collapsed="false">
      <c r="A63" s="27" t="n">
        <v>62</v>
      </c>
      <c r="B63" s="27" t="n">
        <v>225325</v>
      </c>
      <c r="C63" s="28" t="s">
        <v>481</v>
      </c>
      <c r="D63" s="29" t="s">
        <v>482</v>
      </c>
      <c r="E63" s="16" t="n">
        <v>0</v>
      </c>
      <c r="F63" s="16" t="n">
        <v>0</v>
      </c>
      <c r="G63" s="16" t="n">
        <v>0</v>
      </c>
      <c r="H63" s="16"/>
      <c r="I63" s="16"/>
      <c r="J63" s="16"/>
      <c r="K63" s="30" t="n">
        <f aca="false">SUM(E63:J63)</f>
        <v>0</v>
      </c>
    </row>
    <row r="64" customFormat="false" ht="12.75" hidden="false" customHeight="true" outlineLevel="0" collapsed="false">
      <c r="A64" s="27" t="n">
        <v>63</v>
      </c>
      <c r="B64" s="27" t="n">
        <v>144169</v>
      </c>
      <c r="C64" s="28" t="s">
        <v>345</v>
      </c>
      <c r="D64" s="29" t="s">
        <v>483</v>
      </c>
      <c r="E64" s="16" t="n">
        <v>0</v>
      </c>
      <c r="F64" s="16" t="n">
        <v>0</v>
      </c>
      <c r="G64" s="16" t="n">
        <v>0</v>
      </c>
      <c r="H64" s="16"/>
      <c r="I64" s="16"/>
      <c r="J64" s="16"/>
      <c r="K64" s="30" t="n">
        <f aca="false">SUM(E64:J64)</f>
        <v>0</v>
      </c>
    </row>
    <row r="65" customFormat="false" ht="12.75" hidden="false" customHeight="true" outlineLevel="0" collapsed="false">
      <c r="A65" s="27" t="n">
        <v>64</v>
      </c>
      <c r="B65" s="27" t="n">
        <v>194663</v>
      </c>
      <c r="C65" s="28" t="s">
        <v>484</v>
      </c>
      <c r="D65" s="29" t="s">
        <v>485</v>
      </c>
      <c r="E65" s="16" t="n">
        <v>0</v>
      </c>
      <c r="F65" s="16" t="n">
        <v>0</v>
      </c>
      <c r="G65" s="16" t="n">
        <v>0</v>
      </c>
      <c r="H65" s="16"/>
      <c r="I65" s="16"/>
      <c r="J65" s="16"/>
      <c r="K65" s="30" t="n">
        <f aca="false">SUM(E65:J65)</f>
        <v>0</v>
      </c>
    </row>
    <row r="66" customFormat="false" ht="12.75" hidden="false" customHeight="true" outlineLevel="0" collapsed="false">
      <c r="A66" s="27" t="n">
        <v>65</v>
      </c>
      <c r="B66" s="27" t="n">
        <v>198187</v>
      </c>
      <c r="C66" s="28" t="s">
        <v>486</v>
      </c>
      <c r="D66" s="29" t="s">
        <v>487</v>
      </c>
      <c r="E66" s="16" t="n">
        <v>0</v>
      </c>
      <c r="F66" s="16" t="n">
        <v>0</v>
      </c>
      <c r="G66" s="16" t="n">
        <v>0</v>
      </c>
      <c r="H66" s="16" t="n">
        <v>0</v>
      </c>
      <c r="I66" s="16" t="n">
        <v>0</v>
      </c>
      <c r="J66" s="16" t="n">
        <v>0</v>
      </c>
      <c r="K66" s="30" t="n">
        <f aca="false">SUM(E66:J66)</f>
        <v>0</v>
      </c>
    </row>
    <row r="67" customFormat="false" ht="12.75" hidden="false" customHeight="true" outlineLevel="0" collapsed="false">
      <c r="A67" s="27" t="n">
        <v>66</v>
      </c>
      <c r="B67" s="27" t="n">
        <v>198205</v>
      </c>
      <c r="C67" s="28" t="s">
        <v>254</v>
      </c>
      <c r="D67" s="29" t="s">
        <v>488</v>
      </c>
      <c r="E67" s="16" t="n">
        <v>0</v>
      </c>
      <c r="F67" s="16" t="n">
        <v>0</v>
      </c>
      <c r="G67" s="16" t="n">
        <v>0</v>
      </c>
      <c r="H67" s="16" t="n">
        <v>0</v>
      </c>
      <c r="I67" s="16" t="n">
        <v>0</v>
      </c>
      <c r="J67" s="16" t="n">
        <v>0</v>
      </c>
      <c r="K67" s="30" t="n">
        <f aca="false">SUM(E67:J67)</f>
        <v>0</v>
      </c>
    </row>
    <row r="68" customFormat="false" ht="12.75" hidden="false" customHeight="true" outlineLevel="0" collapsed="false">
      <c r="A68" s="27" t="n">
        <v>67</v>
      </c>
      <c r="B68" s="27" t="n">
        <v>206928</v>
      </c>
      <c r="C68" s="28" t="s">
        <v>131</v>
      </c>
      <c r="D68" s="29" t="s">
        <v>489</v>
      </c>
      <c r="E68" s="16" t="n">
        <v>0</v>
      </c>
      <c r="F68" s="16" t="n">
        <v>0</v>
      </c>
      <c r="G68" s="16" t="n">
        <v>0</v>
      </c>
      <c r="H68" s="16"/>
      <c r="I68" s="16"/>
      <c r="J68" s="16"/>
      <c r="K68" s="30" t="n">
        <f aca="false">SUM(E68:J68)</f>
        <v>0</v>
      </c>
    </row>
    <row r="69" customFormat="false" ht="12.75" hidden="false" customHeight="true" outlineLevel="0" collapsed="false">
      <c r="A69" s="27" t="n">
        <v>68</v>
      </c>
      <c r="B69" s="27" t="n">
        <v>158479</v>
      </c>
      <c r="C69" s="28" t="s">
        <v>37</v>
      </c>
      <c r="D69" s="29" t="s">
        <v>490</v>
      </c>
      <c r="E69" s="16" t="n">
        <v>0</v>
      </c>
      <c r="F69" s="16" t="n">
        <v>0</v>
      </c>
      <c r="G69" s="16" t="n">
        <v>0</v>
      </c>
      <c r="H69" s="16"/>
      <c r="I69" s="16"/>
      <c r="J69" s="16"/>
      <c r="K69" s="30" t="n">
        <f aca="false">SUM(E69:J69)</f>
        <v>0</v>
      </c>
    </row>
    <row r="70" customFormat="false" ht="12.75" hidden="false" customHeight="true" outlineLevel="0" collapsed="false">
      <c r="A70" s="27" t="n">
        <v>69</v>
      </c>
      <c r="B70" s="27" t="n">
        <v>144201</v>
      </c>
      <c r="C70" s="28" t="s">
        <v>209</v>
      </c>
      <c r="D70" s="29" t="s">
        <v>491</v>
      </c>
      <c r="E70" s="16" t="n">
        <v>0</v>
      </c>
      <c r="F70" s="16" t="n">
        <v>0</v>
      </c>
      <c r="G70" s="16" t="n">
        <v>0</v>
      </c>
      <c r="H70" s="16"/>
      <c r="I70" s="16"/>
      <c r="J70" s="16"/>
      <c r="K70" s="30" t="n">
        <f aca="false">SUM(E70:J70)</f>
        <v>0</v>
      </c>
    </row>
    <row r="71" customFormat="false" ht="12.75" hidden="false" customHeight="true" outlineLevel="0" collapsed="false">
      <c r="A71" s="27" t="n">
        <v>70</v>
      </c>
      <c r="B71" s="27" t="n">
        <v>171856</v>
      </c>
      <c r="C71" s="28" t="s">
        <v>492</v>
      </c>
      <c r="D71" s="29" t="s">
        <v>493</v>
      </c>
      <c r="E71" s="25"/>
      <c r="F71" s="25"/>
      <c r="G71" s="25"/>
      <c r="H71" s="25"/>
      <c r="I71" s="25"/>
      <c r="J71" s="25"/>
      <c r="K71" s="26"/>
    </row>
    <row r="72" customFormat="false" ht="12.75" hidden="false" customHeight="true" outlineLevel="0" collapsed="false">
      <c r="A72" s="27" t="n">
        <v>71</v>
      </c>
      <c r="B72" s="27" t="n">
        <v>157397</v>
      </c>
      <c r="C72" s="28" t="s">
        <v>494</v>
      </c>
      <c r="D72" s="29" t="s">
        <v>421</v>
      </c>
      <c r="E72" s="25"/>
      <c r="F72" s="25"/>
      <c r="G72" s="25"/>
      <c r="H72" s="25"/>
      <c r="I72" s="25"/>
      <c r="J72" s="25"/>
      <c r="K72" s="26"/>
    </row>
    <row r="73" customFormat="false" ht="12.75" hidden="false" customHeight="true" outlineLevel="0" collapsed="false">
      <c r="A73" s="27" t="n">
        <v>72</v>
      </c>
      <c r="B73" s="27" t="n">
        <v>225227</v>
      </c>
      <c r="C73" s="28" t="s">
        <v>304</v>
      </c>
      <c r="D73" s="29" t="s">
        <v>238</v>
      </c>
      <c r="E73" s="25"/>
      <c r="F73" s="25"/>
      <c r="G73" s="25"/>
      <c r="H73" s="25"/>
      <c r="I73" s="25"/>
      <c r="J73" s="25"/>
      <c r="K73" s="26"/>
    </row>
    <row r="74" customFormat="false" ht="12.75" hidden="false" customHeight="true" outlineLevel="0" collapsed="false">
      <c r="A74" s="27" t="n">
        <v>73</v>
      </c>
      <c r="B74" s="27" t="n">
        <v>113392</v>
      </c>
      <c r="C74" s="28" t="s">
        <v>495</v>
      </c>
      <c r="D74" s="29" t="s">
        <v>496</v>
      </c>
      <c r="E74" s="25"/>
      <c r="F74" s="25"/>
      <c r="G74" s="25"/>
      <c r="H74" s="25"/>
      <c r="I74" s="25"/>
      <c r="J74" s="25"/>
      <c r="K74" s="26"/>
    </row>
    <row r="75" customFormat="false" ht="12.75" hidden="false" customHeight="true" outlineLevel="0" collapsed="false">
      <c r="A75" s="27" t="n">
        <v>74</v>
      </c>
      <c r="B75" s="27" t="n">
        <v>185669</v>
      </c>
      <c r="C75" s="28" t="s">
        <v>168</v>
      </c>
      <c r="D75" s="29" t="s">
        <v>497</v>
      </c>
      <c r="E75" s="25"/>
      <c r="F75" s="25"/>
      <c r="G75" s="25"/>
      <c r="H75" s="25"/>
      <c r="I75" s="25"/>
      <c r="J75" s="25"/>
      <c r="K75" s="26"/>
    </row>
    <row r="76" customFormat="false" ht="12.75" hidden="false" customHeight="true" outlineLevel="0" collapsed="false">
      <c r="A76" s="27" t="n">
        <v>75</v>
      </c>
      <c r="B76" s="27" t="n">
        <v>140935</v>
      </c>
      <c r="C76" s="28" t="s">
        <v>234</v>
      </c>
      <c r="D76" s="29" t="s">
        <v>498</v>
      </c>
      <c r="E76" s="25"/>
      <c r="F76" s="25"/>
      <c r="G76" s="25"/>
      <c r="H76" s="25"/>
      <c r="I76" s="25"/>
      <c r="J76" s="25"/>
      <c r="K76" s="26"/>
    </row>
    <row r="77" customFormat="false" ht="12.75" hidden="false" customHeight="true" outlineLevel="0" collapsed="false">
      <c r="A77" s="27" t="n">
        <v>76</v>
      </c>
      <c r="B77" s="27" t="n">
        <v>74865</v>
      </c>
      <c r="C77" s="29" t="s">
        <v>499</v>
      </c>
      <c r="D77" s="29" t="s">
        <v>353</v>
      </c>
      <c r="E77" s="25"/>
      <c r="F77" s="25"/>
      <c r="G77" s="25"/>
      <c r="H77" s="25"/>
      <c r="I77" s="25"/>
      <c r="J77" s="25"/>
      <c r="K77" s="26"/>
    </row>
    <row r="78" customFormat="false" ht="12.75" hidden="false" customHeight="true" outlineLevel="0" collapsed="false">
      <c r="A78" s="27" t="n">
        <v>77</v>
      </c>
      <c r="B78" s="27" t="n">
        <v>157472</v>
      </c>
      <c r="C78" s="28" t="s">
        <v>500</v>
      </c>
      <c r="D78" s="29" t="s">
        <v>501</v>
      </c>
      <c r="E78" s="25"/>
      <c r="F78" s="25"/>
      <c r="G78" s="25"/>
      <c r="H78" s="25"/>
      <c r="I78" s="25"/>
      <c r="J78" s="25"/>
      <c r="K78" s="26"/>
    </row>
    <row r="79" customFormat="false" ht="12.75" hidden="false" customHeight="true" outlineLevel="0" collapsed="false">
      <c r="A79" s="27" t="n">
        <v>78</v>
      </c>
      <c r="B79" s="27" t="n">
        <v>140977</v>
      </c>
      <c r="C79" s="28" t="s">
        <v>84</v>
      </c>
      <c r="D79" s="29" t="s">
        <v>502</v>
      </c>
      <c r="E79" s="25"/>
      <c r="F79" s="25"/>
      <c r="G79" s="25"/>
      <c r="H79" s="25"/>
      <c r="I79" s="25"/>
      <c r="J79" s="25"/>
      <c r="K79" s="26"/>
    </row>
    <row r="80" customFormat="false" ht="12.75" hidden="false" customHeight="true" outlineLevel="0" collapsed="false">
      <c r="A80" s="27" t="n">
        <v>79</v>
      </c>
      <c r="B80" s="27" t="n">
        <v>221918</v>
      </c>
      <c r="C80" s="28" t="s">
        <v>200</v>
      </c>
      <c r="D80" s="29" t="s">
        <v>30</v>
      </c>
      <c r="E80" s="25"/>
      <c r="F80" s="25"/>
      <c r="G80" s="25"/>
      <c r="H80" s="25"/>
      <c r="I80" s="25"/>
      <c r="J80" s="25"/>
      <c r="K80" s="26"/>
    </row>
    <row r="81" customFormat="false" ht="12.75" hidden="false" customHeight="true" outlineLevel="0" collapsed="false">
      <c r="A81" s="27" t="n">
        <v>80</v>
      </c>
      <c r="B81" s="27" t="n">
        <v>141000</v>
      </c>
      <c r="C81" s="28" t="s">
        <v>263</v>
      </c>
      <c r="D81" s="29" t="s">
        <v>503</v>
      </c>
      <c r="E81" s="25"/>
      <c r="F81" s="25"/>
      <c r="G81" s="25"/>
      <c r="H81" s="25"/>
      <c r="I81" s="25"/>
      <c r="J81" s="25"/>
      <c r="K81" s="26"/>
    </row>
    <row r="82" customFormat="false" ht="12.75" hidden="false" customHeight="true" outlineLevel="0" collapsed="false">
      <c r="A82" s="27" t="n">
        <v>81</v>
      </c>
      <c r="B82" s="27" t="n">
        <v>190734</v>
      </c>
      <c r="C82" s="28" t="s">
        <v>131</v>
      </c>
      <c r="D82" s="29" t="s">
        <v>175</v>
      </c>
      <c r="E82" s="25"/>
      <c r="F82" s="25"/>
      <c r="G82" s="25"/>
      <c r="H82" s="25"/>
      <c r="I82" s="25"/>
      <c r="J82" s="25"/>
      <c r="K82" s="26"/>
    </row>
    <row r="83" customFormat="false" ht="12.75" hidden="false" customHeight="true" outlineLevel="0" collapsed="false">
      <c r="A83" s="27" t="n">
        <v>82</v>
      </c>
      <c r="B83" s="32" t="n">
        <v>147870</v>
      </c>
      <c r="C83" s="33" t="s">
        <v>68</v>
      </c>
      <c r="D83" s="34" t="s">
        <v>504</v>
      </c>
      <c r="E83" s="35"/>
      <c r="F83" s="35"/>
      <c r="G83" s="35"/>
      <c r="H83" s="25"/>
      <c r="I83" s="25"/>
      <c r="J83" s="25"/>
      <c r="K83" s="26"/>
    </row>
    <row r="84" customFormat="false" ht="12.75" hidden="false" customHeight="true" outlineLevel="0" collapsed="false">
      <c r="A84" s="27" t="n">
        <v>83</v>
      </c>
      <c r="B84" s="27" t="n">
        <v>227396</v>
      </c>
      <c r="C84" s="29" t="s">
        <v>505</v>
      </c>
      <c r="D84" s="29" t="s">
        <v>506</v>
      </c>
      <c r="E84" s="25"/>
      <c r="F84" s="25"/>
      <c r="G84" s="25"/>
      <c r="H84" s="25"/>
      <c r="I84" s="25"/>
      <c r="J84" s="25"/>
      <c r="K84" s="26"/>
    </row>
    <row r="85" customFormat="false" ht="12.75" hidden="false" customHeight="true" outlineLevel="0" collapsed="false">
      <c r="A85" s="27" t="n">
        <v>84</v>
      </c>
      <c r="B85" s="27" t="n">
        <v>224978</v>
      </c>
      <c r="C85" s="29" t="s">
        <v>507</v>
      </c>
      <c r="D85" s="29" t="s">
        <v>508</v>
      </c>
      <c r="E85" s="25"/>
      <c r="F85" s="25"/>
      <c r="G85" s="25"/>
      <c r="H85" s="25"/>
      <c r="I85" s="25"/>
      <c r="J85" s="25"/>
      <c r="K85" s="26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0" activeCellId="0" sqref="F40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16.43"/>
    <col collapsed="false" customWidth="true" hidden="false" outlineLevel="0" max="4" min="4" style="1" width="20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2" t="n">
        <v>1</v>
      </c>
      <c r="B2" s="36" t="n">
        <v>177400</v>
      </c>
      <c r="C2" s="7" t="s">
        <v>509</v>
      </c>
      <c r="D2" s="7" t="s">
        <v>510</v>
      </c>
      <c r="E2" s="16" t="n">
        <v>7</v>
      </c>
      <c r="F2" s="16" t="n">
        <v>4</v>
      </c>
      <c r="G2" s="16" t="n">
        <v>0</v>
      </c>
      <c r="H2" s="16" t="n">
        <v>7</v>
      </c>
      <c r="I2" s="5" t="n">
        <f aca="false">SUM(E2:H2)</f>
        <v>18</v>
      </c>
    </row>
    <row r="3" customFormat="false" ht="12.75" hidden="false" customHeight="true" outlineLevel="0" collapsed="false">
      <c r="A3" s="2" t="n">
        <v>2</v>
      </c>
      <c r="B3" s="36" t="n">
        <v>99853</v>
      </c>
      <c r="C3" s="7" t="s">
        <v>511</v>
      </c>
      <c r="D3" s="7" t="s">
        <v>512</v>
      </c>
      <c r="E3" s="16" t="n">
        <v>7</v>
      </c>
      <c r="F3" s="16" t="n">
        <v>0</v>
      </c>
      <c r="G3" s="16" t="n">
        <v>2</v>
      </c>
      <c r="H3" s="16" t="n">
        <v>7</v>
      </c>
      <c r="I3" s="5" t="n">
        <f aca="false">SUM(E3:H3)</f>
        <v>16</v>
      </c>
    </row>
    <row r="4" customFormat="false" ht="12.75" hidden="false" customHeight="true" outlineLevel="0" collapsed="false">
      <c r="A4" s="2" t="n">
        <v>3</v>
      </c>
      <c r="B4" s="36" t="n">
        <v>197308</v>
      </c>
      <c r="C4" s="7" t="s">
        <v>513</v>
      </c>
      <c r="D4" s="7" t="s">
        <v>142</v>
      </c>
      <c r="E4" s="16" t="n">
        <v>7</v>
      </c>
      <c r="F4" s="16" t="n">
        <v>2</v>
      </c>
      <c r="G4" s="16" t="n">
        <v>0</v>
      </c>
      <c r="H4" s="16" t="n">
        <v>1</v>
      </c>
      <c r="I4" s="5" t="n">
        <f aca="false">SUM(E4:H4)</f>
        <v>10</v>
      </c>
    </row>
    <row r="5" customFormat="false" ht="12.75" hidden="false" customHeight="true" outlineLevel="0" collapsed="false">
      <c r="A5" s="2" t="n">
        <v>4</v>
      </c>
      <c r="B5" s="2" t="n">
        <v>232986</v>
      </c>
      <c r="C5" s="7" t="s">
        <v>514</v>
      </c>
      <c r="D5" s="7" t="s">
        <v>515</v>
      </c>
      <c r="E5" s="16" t="n">
        <v>7</v>
      </c>
      <c r="F5" s="16" t="n">
        <v>0</v>
      </c>
      <c r="G5" s="16" t="n">
        <v>1</v>
      </c>
      <c r="H5" s="16" t="n">
        <v>1</v>
      </c>
      <c r="I5" s="5" t="n">
        <f aca="false">SUM(E5:H5)</f>
        <v>9</v>
      </c>
    </row>
    <row r="6" customFormat="false" ht="12.75" hidden="false" customHeight="true" outlineLevel="0" collapsed="false">
      <c r="A6" s="2" t="n">
        <v>5</v>
      </c>
      <c r="B6" s="36" t="n">
        <v>230976</v>
      </c>
      <c r="C6" s="7" t="s">
        <v>516</v>
      </c>
      <c r="D6" s="7" t="s">
        <v>517</v>
      </c>
      <c r="E6" s="16" t="n">
        <v>7</v>
      </c>
      <c r="F6" s="16" t="n">
        <v>0</v>
      </c>
      <c r="G6" s="16" t="n">
        <v>1</v>
      </c>
      <c r="H6" s="16" t="n">
        <v>1</v>
      </c>
      <c r="I6" s="5" t="n">
        <f aca="false">SUM(E6:H6)</f>
        <v>9</v>
      </c>
    </row>
    <row r="7" customFormat="false" ht="12.75" hidden="false" customHeight="true" outlineLevel="0" collapsed="false">
      <c r="A7" s="2" t="n">
        <v>6</v>
      </c>
      <c r="B7" s="2" t="n">
        <v>232990</v>
      </c>
      <c r="C7" s="7" t="s">
        <v>518</v>
      </c>
      <c r="D7" s="7" t="s">
        <v>406</v>
      </c>
      <c r="E7" s="16" t="n">
        <v>7</v>
      </c>
      <c r="F7" s="16" t="n">
        <v>0</v>
      </c>
      <c r="G7" s="16" t="n">
        <v>0</v>
      </c>
      <c r="H7" s="16" t="n">
        <v>1</v>
      </c>
      <c r="I7" s="5" t="n">
        <f aca="false">SUM(E7:H7)</f>
        <v>8</v>
      </c>
    </row>
    <row r="8" customFormat="false" ht="12.75" hidden="false" customHeight="true" outlineLevel="0" collapsed="false">
      <c r="A8" s="2" t="n">
        <v>7</v>
      </c>
      <c r="B8" s="36" t="n">
        <v>98942</v>
      </c>
      <c r="C8" s="7" t="s">
        <v>519</v>
      </c>
      <c r="D8" s="7" t="s">
        <v>520</v>
      </c>
      <c r="E8" s="16" t="n">
        <v>7</v>
      </c>
      <c r="F8" s="16" t="n">
        <v>0</v>
      </c>
      <c r="G8" s="16" t="n">
        <v>0</v>
      </c>
      <c r="H8" s="16" t="n">
        <v>1</v>
      </c>
      <c r="I8" s="5" t="n">
        <f aca="false">SUM(E8:H8)</f>
        <v>8</v>
      </c>
    </row>
    <row r="9" customFormat="false" ht="12.75" hidden="false" customHeight="true" outlineLevel="0" collapsed="false">
      <c r="A9" s="2" t="n">
        <v>8</v>
      </c>
      <c r="B9" s="7"/>
      <c r="C9" s="7" t="s">
        <v>521</v>
      </c>
      <c r="D9" s="7" t="s">
        <v>451</v>
      </c>
      <c r="E9" s="16" t="n">
        <v>3</v>
      </c>
      <c r="F9" s="16" t="n">
        <v>0</v>
      </c>
      <c r="G9" s="16" t="n">
        <v>0</v>
      </c>
      <c r="H9" s="16" t="n">
        <v>4</v>
      </c>
      <c r="I9" s="5" t="n">
        <f aca="false">SUM(E9:H9)</f>
        <v>7</v>
      </c>
    </row>
    <row r="10" customFormat="false" ht="12.75" hidden="false" customHeight="true" outlineLevel="0" collapsed="false">
      <c r="A10" s="2" t="n">
        <v>9</v>
      </c>
      <c r="B10" s="37" t="n">
        <v>232989</v>
      </c>
      <c r="C10" s="38" t="s">
        <v>522</v>
      </c>
      <c r="D10" s="38" t="s">
        <v>523</v>
      </c>
      <c r="E10" s="16" t="n">
        <v>7</v>
      </c>
      <c r="F10" s="16" t="n">
        <v>0</v>
      </c>
      <c r="G10" s="16" t="n">
        <v>0</v>
      </c>
      <c r="H10" s="16" t="n">
        <v>0</v>
      </c>
      <c r="I10" s="5" t="n">
        <f aca="false">SUM(E10:H10)</f>
        <v>7</v>
      </c>
    </row>
    <row r="11" customFormat="false" ht="12.75" hidden="false" customHeight="true" outlineLevel="0" collapsed="false">
      <c r="A11" s="2" t="n">
        <v>10</v>
      </c>
      <c r="B11" s="36" t="n">
        <v>177342</v>
      </c>
      <c r="C11" s="7" t="s">
        <v>524</v>
      </c>
      <c r="D11" s="7" t="s">
        <v>525</v>
      </c>
      <c r="E11" s="16" t="n">
        <v>7</v>
      </c>
      <c r="F11" s="16" t="n">
        <v>0</v>
      </c>
      <c r="G11" s="16" t="n">
        <v>0</v>
      </c>
      <c r="H11" s="16" t="n">
        <v>0</v>
      </c>
      <c r="I11" s="5" t="n">
        <f aca="false">SUM(E11:H11)</f>
        <v>7</v>
      </c>
    </row>
    <row r="12" customFormat="false" ht="12.75" hidden="false" customHeight="true" outlineLevel="0" collapsed="false">
      <c r="A12" s="2" t="n">
        <v>11</v>
      </c>
      <c r="B12" s="38"/>
      <c r="C12" s="38" t="s">
        <v>526</v>
      </c>
      <c r="D12" s="38" t="s">
        <v>253</v>
      </c>
      <c r="E12" s="16" t="n">
        <v>7</v>
      </c>
      <c r="F12" s="16" t="n">
        <v>0</v>
      </c>
      <c r="G12" s="16" t="n">
        <v>0</v>
      </c>
      <c r="H12" s="16" t="n">
        <v>0</v>
      </c>
      <c r="I12" s="5" t="n">
        <f aca="false">SUM(E12:H12)</f>
        <v>7</v>
      </c>
    </row>
    <row r="13" customFormat="false" ht="12.75" hidden="false" customHeight="true" outlineLevel="0" collapsed="false">
      <c r="A13" s="2" t="n">
        <v>12</v>
      </c>
      <c r="B13" s="7"/>
      <c r="C13" s="7" t="s">
        <v>527</v>
      </c>
      <c r="D13" s="7" t="s">
        <v>268</v>
      </c>
      <c r="E13" s="16" t="n">
        <v>3</v>
      </c>
      <c r="F13" s="16" t="n">
        <v>0</v>
      </c>
      <c r="G13" s="16" t="n">
        <v>0</v>
      </c>
      <c r="H13" s="16" t="n">
        <v>0</v>
      </c>
      <c r="I13" s="5" t="n">
        <f aca="false">SUM(E13:H13)</f>
        <v>3</v>
      </c>
    </row>
    <row r="14" customFormat="false" ht="12.75" hidden="false" customHeight="true" outlineLevel="0" collapsed="false">
      <c r="A14" s="2" t="n">
        <v>13</v>
      </c>
      <c r="B14" s="36" t="n">
        <v>99854</v>
      </c>
      <c r="C14" s="21" t="s">
        <v>528</v>
      </c>
      <c r="D14" s="21" t="s">
        <v>529</v>
      </c>
      <c r="E14" s="16" t="n">
        <v>3</v>
      </c>
      <c r="F14" s="16" t="n">
        <v>0</v>
      </c>
      <c r="G14" s="16" t="n">
        <v>0</v>
      </c>
      <c r="H14" s="16" t="n">
        <v>0</v>
      </c>
      <c r="I14" s="5" t="n">
        <f aca="false">SUM(E14:H14)</f>
        <v>3</v>
      </c>
    </row>
    <row r="15" customFormat="false" ht="12.75" hidden="false" customHeight="true" outlineLevel="0" collapsed="false">
      <c r="A15" s="2" t="n">
        <v>14</v>
      </c>
      <c r="B15" s="38"/>
      <c r="C15" s="38" t="s">
        <v>530</v>
      </c>
      <c r="D15" s="38" t="s">
        <v>531</v>
      </c>
      <c r="E15" s="16" t="n">
        <v>3</v>
      </c>
      <c r="F15" s="16" t="n">
        <v>0</v>
      </c>
      <c r="G15" s="16" t="n">
        <v>0</v>
      </c>
      <c r="H15" s="16" t="n">
        <v>0</v>
      </c>
      <c r="I15" s="5" t="n">
        <f aca="false">SUM(E15:H15)</f>
        <v>3</v>
      </c>
    </row>
    <row r="16" customFormat="false" ht="12.75" hidden="false" customHeight="true" outlineLevel="0" collapsed="false">
      <c r="A16" s="2" t="n">
        <v>15</v>
      </c>
      <c r="B16" s="36" t="n">
        <v>231928</v>
      </c>
      <c r="C16" s="7" t="s">
        <v>203</v>
      </c>
      <c r="D16" s="7" t="s">
        <v>84</v>
      </c>
      <c r="E16" s="16" t="n">
        <v>0</v>
      </c>
      <c r="F16" s="16" t="n">
        <v>0</v>
      </c>
      <c r="G16" s="16" t="n">
        <v>0</v>
      </c>
      <c r="H16" s="16" t="n">
        <v>2</v>
      </c>
      <c r="I16" s="5" t="n">
        <f aca="false">SUM(E16:H16)</f>
        <v>2</v>
      </c>
    </row>
    <row r="17" customFormat="false" ht="12.75" hidden="false" customHeight="true" outlineLevel="0" collapsed="false">
      <c r="A17" s="2" t="n">
        <v>16</v>
      </c>
      <c r="B17" s="38"/>
      <c r="C17" s="38" t="s">
        <v>532</v>
      </c>
      <c r="D17" s="38" t="s">
        <v>533</v>
      </c>
      <c r="E17" s="16" t="n">
        <v>0</v>
      </c>
      <c r="F17" s="16" t="n">
        <v>0</v>
      </c>
      <c r="G17" s="16" t="n">
        <v>0</v>
      </c>
      <c r="H17" s="16" t="n">
        <v>2</v>
      </c>
      <c r="I17" s="5" t="n">
        <f aca="false">SUM(E17:H17)</f>
        <v>2</v>
      </c>
    </row>
    <row r="18" customFormat="false" ht="12.75" hidden="false" customHeight="true" outlineLevel="0" collapsed="false">
      <c r="A18" s="2" t="n">
        <v>17</v>
      </c>
      <c r="B18" s="36" t="n">
        <v>232798</v>
      </c>
      <c r="C18" s="39" t="s">
        <v>534</v>
      </c>
      <c r="D18" s="7" t="s">
        <v>535</v>
      </c>
      <c r="E18" s="16" t="n">
        <v>0</v>
      </c>
      <c r="F18" s="16" t="n">
        <v>0</v>
      </c>
      <c r="G18" s="16" t="n">
        <v>0</v>
      </c>
      <c r="H18" s="16" t="n">
        <v>1</v>
      </c>
      <c r="I18" s="5" t="n">
        <f aca="false">SUM(E18:H18)</f>
        <v>1</v>
      </c>
    </row>
    <row r="19" customFormat="false" ht="12.75" hidden="false" customHeight="true" outlineLevel="0" collapsed="false">
      <c r="A19" s="2" t="n">
        <v>18</v>
      </c>
      <c r="B19" s="7"/>
      <c r="C19" s="7" t="s">
        <v>536</v>
      </c>
      <c r="D19" s="7" t="s">
        <v>362</v>
      </c>
      <c r="E19" s="16" t="n">
        <v>0</v>
      </c>
      <c r="F19" s="16" t="n">
        <v>0</v>
      </c>
      <c r="G19" s="16" t="n">
        <v>0</v>
      </c>
      <c r="H19" s="16" t="n">
        <v>1</v>
      </c>
      <c r="I19" s="5" t="n">
        <f aca="false">SUM(E19:H19)</f>
        <v>1</v>
      </c>
    </row>
    <row r="20" customFormat="false" ht="12.75" hidden="false" customHeight="true" outlineLevel="0" collapsed="false">
      <c r="A20" s="2" t="n">
        <v>19</v>
      </c>
      <c r="B20" s="38"/>
      <c r="C20" s="38" t="s">
        <v>99</v>
      </c>
      <c r="D20" s="38" t="s">
        <v>354</v>
      </c>
      <c r="E20" s="16" t="n">
        <v>0</v>
      </c>
      <c r="F20" s="16" t="n">
        <v>0</v>
      </c>
      <c r="G20" s="16" t="n">
        <v>0</v>
      </c>
      <c r="H20" s="16" t="n">
        <v>1</v>
      </c>
      <c r="I20" s="5" t="n">
        <f aca="false">SUM(E20:H20)</f>
        <v>1</v>
      </c>
    </row>
    <row r="21" customFormat="false" ht="12.75" hidden="false" customHeight="true" outlineLevel="0" collapsed="false">
      <c r="A21" s="2" t="n">
        <v>20</v>
      </c>
      <c r="B21" s="36" t="n">
        <v>232067</v>
      </c>
      <c r="C21" s="7" t="s">
        <v>102</v>
      </c>
      <c r="D21" s="7" t="s">
        <v>537</v>
      </c>
      <c r="E21" s="16" t="n">
        <v>0</v>
      </c>
      <c r="F21" s="16" t="n">
        <v>0</v>
      </c>
      <c r="G21" s="16" t="n">
        <v>0</v>
      </c>
      <c r="H21" s="16" t="n">
        <v>1</v>
      </c>
      <c r="I21" s="5" t="n">
        <f aca="false">SUM(E21:H21)</f>
        <v>1</v>
      </c>
    </row>
    <row r="22" customFormat="false" ht="12.75" hidden="false" customHeight="true" outlineLevel="0" collapsed="false">
      <c r="A22" s="2" t="n">
        <v>21</v>
      </c>
      <c r="B22" s="7"/>
      <c r="C22" s="7" t="s">
        <v>538</v>
      </c>
      <c r="D22" s="7" t="s">
        <v>256</v>
      </c>
      <c r="E22" s="16" t="n">
        <v>0</v>
      </c>
      <c r="F22" s="16" t="n">
        <v>0</v>
      </c>
      <c r="G22" s="16" t="n">
        <v>0</v>
      </c>
      <c r="H22" s="16" t="n">
        <v>0</v>
      </c>
      <c r="I22" s="5" t="n">
        <f aca="false">SUM(E22:H22)</f>
        <v>0</v>
      </c>
    </row>
    <row r="23" customFormat="false" ht="12.75" hidden="false" customHeight="true" outlineLevel="0" collapsed="false">
      <c r="A23" s="2" t="n">
        <v>22</v>
      </c>
      <c r="B23" s="36" t="n">
        <v>232611</v>
      </c>
      <c r="C23" s="7" t="s">
        <v>539</v>
      </c>
      <c r="D23" s="7" t="s">
        <v>540</v>
      </c>
      <c r="E23" s="16" t="n">
        <v>0</v>
      </c>
      <c r="F23" s="16" t="n">
        <v>0</v>
      </c>
      <c r="G23" s="16" t="n">
        <v>0</v>
      </c>
      <c r="H23" s="16" t="n">
        <v>0</v>
      </c>
      <c r="I23" s="5" t="n">
        <f aca="false">SUM(E23:H23)</f>
        <v>0</v>
      </c>
    </row>
    <row r="24" customFormat="false" ht="12.75" hidden="false" customHeight="true" outlineLevel="0" collapsed="false">
      <c r="A24" s="2" t="n">
        <v>23</v>
      </c>
      <c r="B24" s="7"/>
      <c r="C24" s="7" t="s">
        <v>541</v>
      </c>
      <c r="D24" s="7" t="s">
        <v>542</v>
      </c>
      <c r="E24" s="16" t="n">
        <v>0</v>
      </c>
      <c r="F24" s="16" t="n">
        <v>0</v>
      </c>
      <c r="G24" s="16" t="n">
        <v>0</v>
      </c>
      <c r="H24" s="16" t="n">
        <v>0</v>
      </c>
      <c r="I24" s="5" t="n">
        <f aca="false">SUM(E24:H24)</f>
        <v>0</v>
      </c>
    </row>
    <row r="25" customFormat="false" ht="12.75" hidden="false" customHeight="true" outlineLevel="0" collapsed="false">
      <c r="A25" s="2" t="n">
        <v>24</v>
      </c>
      <c r="B25" s="36" t="n">
        <v>231931</v>
      </c>
      <c r="C25" s="7" t="s">
        <v>543</v>
      </c>
      <c r="D25" s="7" t="s">
        <v>544</v>
      </c>
      <c r="E25" s="16" t="n">
        <v>0</v>
      </c>
      <c r="F25" s="16" t="n">
        <v>0</v>
      </c>
      <c r="G25" s="16" t="n">
        <v>0</v>
      </c>
      <c r="H25" s="16" t="n">
        <v>0</v>
      </c>
      <c r="I25" s="5" t="n">
        <f aca="false">SUM(E25:H25)</f>
        <v>0</v>
      </c>
    </row>
    <row r="26" customFormat="false" ht="12.75" hidden="false" customHeight="true" outlineLevel="0" collapsed="false">
      <c r="A26" s="2" t="n">
        <v>25</v>
      </c>
      <c r="B26" s="36" t="n">
        <v>231930</v>
      </c>
      <c r="C26" s="7" t="s">
        <v>545</v>
      </c>
      <c r="D26" s="7" t="s">
        <v>546</v>
      </c>
      <c r="E26" s="16" t="n">
        <v>0</v>
      </c>
      <c r="F26" s="16" t="n">
        <v>0</v>
      </c>
      <c r="G26" s="16" t="n">
        <v>0</v>
      </c>
      <c r="H26" s="16" t="n">
        <v>0</v>
      </c>
      <c r="I26" s="5" t="n">
        <f aca="false">SUM(E26:H26)</f>
        <v>0</v>
      </c>
    </row>
    <row r="27" customFormat="false" ht="12.75" hidden="false" customHeight="true" outlineLevel="0" collapsed="false">
      <c r="A27" s="2" t="n">
        <v>26</v>
      </c>
      <c r="B27" s="36" t="n">
        <v>231933</v>
      </c>
      <c r="C27" s="7" t="s">
        <v>547</v>
      </c>
      <c r="D27" s="7" t="s">
        <v>172</v>
      </c>
      <c r="E27" s="16" t="n">
        <v>0</v>
      </c>
      <c r="F27" s="16" t="n">
        <v>0</v>
      </c>
      <c r="G27" s="16" t="n">
        <v>0</v>
      </c>
      <c r="H27" s="16" t="n">
        <v>0</v>
      </c>
      <c r="I27" s="5" t="n">
        <f aca="false">SUM(E27:H27)</f>
        <v>0</v>
      </c>
    </row>
    <row r="28" customFormat="false" ht="12.75" hidden="false" customHeight="true" outlineLevel="0" collapsed="false">
      <c r="A28" s="2" t="n">
        <v>27</v>
      </c>
      <c r="B28" s="36" t="n">
        <v>232804</v>
      </c>
      <c r="C28" s="7" t="s">
        <v>133</v>
      </c>
      <c r="D28" s="7" t="s">
        <v>153</v>
      </c>
      <c r="E28" s="16" t="n">
        <v>0</v>
      </c>
      <c r="F28" s="16" t="n">
        <v>0</v>
      </c>
      <c r="G28" s="16" t="n">
        <v>0</v>
      </c>
      <c r="H28" s="16" t="n">
        <v>0</v>
      </c>
      <c r="I28" s="5" t="n">
        <f aca="false">SUM(E28:H28)</f>
        <v>0</v>
      </c>
    </row>
    <row r="29" customFormat="false" ht="12.75" hidden="false" customHeight="true" outlineLevel="0" collapsed="false">
      <c r="A29" s="2" t="n">
        <v>28</v>
      </c>
      <c r="B29" s="36" t="n">
        <v>232801</v>
      </c>
      <c r="C29" s="39" t="s">
        <v>548</v>
      </c>
      <c r="D29" s="39" t="s">
        <v>367</v>
      </c>
      <c r="E29" s="16" t="n">
        <v>0</v>
      </c>
      <c r="F29" s="16" t="n">
        <v>0</v>
      </c>
      <c r="G29" s="16" t="n">
        <v>0</v>
      </c>
      <c r="H29" s="16" t="n">
        <v>0</v>
      </c>
      <c r="I29" s="5" t="n">
        <f aca="false">SUM(E29:H29)</f>
        <v>0</v>
      </c>
    </row>
    <row r="30" customFormat="false" ht="12.75" hidden="false" customHeight="true" outlineLevel="0" collapsed="false">
      <c r="A30" s="2" t="n">
        <v>29</v>
      </c>
      <c r="B30" s="7"/>
      <c r="C30" s="7" t="s">
        <v>543</v>
      </c>
      <c r="D30" s="7" t="s">
        <v>403</v>
      </c>
      <c r="E30" s="16" t="n">
        <v>0</v>
      </c>
      <c r="F30" s="16" t="n">
        <v>0</v>
      </c>
      <c r="G30" s="16" t="n">
        <v>0</v>
      </c>
      <c r="H30" s="16" t="n">
        <v>0</v>
      </c>
      <c r="I30" s="5" t="n">
        <f aca="false">SUM(E30:H30)</f>
        <v>0</v>
      </c>
    </row>
    <row r="31" customFormat="false" ht="12.75" hidden="false" customHeight="true" outlineLevel="0" collapsed="false">
      <c r="A31" s="2" t="n">
        <v>30</v>
      </c>
      <c r="B31" s="7"/>
      <c r="C31" s="7" t="s">
        <v>549</v>
      </c>
      <c r="D31" s="7" t="s">
        <v>478</v>
      </c>
      <c r="E31" s="16" t="n">
        <v>0</v>
      </c>
      <c r="F31" s="16" t="n">
        <v>0</v>
      </c>
      <c r="G31" s="16" t="n">
        <v>0</v>
      </c>
      <c r="H31" s="16" t="n">
        <v>0</v>
      </c>
      <c r="I31" s="5" t="n">
        <f aca="false">SUM(E31:H31)</f>
        <v>0</v>
      </c>
    </row>
    <row r="32" customFormat="false" ht="12.75" hidden="false" customHeight="true" outlineLevel="0" collapsed="false">
      <c r="A32" s="2" t="n">
        <v>31</v>
      </c>
      <c r="B32" s="7"/>
      <c r="C32" s="7" t="s">
        <v>321</v>
      </c>
      <c r="D32" s="7" t="s">
        <v>550</v>
      </c>
      <c r="E32" s="16" t="n">
        <v>0</v>
      </c>
      <c r="F32" s="16" t="n">
        <v>0</v>
      </c>
      <c r="G32" s="16" t="n">
        <v>0</v>
      </c>
      <c r="H32" s="16" t="n">
        <v>0</v>
      </c>
      <c r="I32" s="5" t="n">
        <f aca="false">SUM(E32:H32)</f>
        <v>0</v>
      </c>
    </row>
    <row r="33" customFormat="false" ht="12.75" hidden="false" customHeight="true" outlineLevel="0" collapsed="false">
      <c r="A33" s="2" t="n">
        <v>32</v>
      </c>
      <c r="B33" s="36" t="n">
        <v>177350</v>
      </c>
      <c r="C33" s="7" t="s">
        <v>500</v>
      </c>
      <c r="D33" s="7" t="s">
        <v>551</v>
      </c>
      <c r="E33" s="16" t="n">
        <v>0</v>
      </c>
      <c r="F33" s="16" t="n">
        <v>0</v>
      </c>
      <c r="G33" s="16" t="n">
        <v>0</v>
      </c>
      <c r="H33" s="16" t="n">
        <v>0</v>
      </c>
      <c r="I33" s="5" t="n">
        <f aca="false">SUM(E33:H33)</f>
        <v>0</v>
      </c>
    </row>
    <row r="34" customFormat="false" ht="12.75" hidden="false" customHeight="true" outlineLevel="0" collapsed="false">
      <c r="A34" s="2" t="n">
        <v>33</v>
      </c>
      <c r="B34" s="7"/>
      <c r="C34" s="7" t="s">
        <v>552</v>
      </c>
      <c r="D34" s="7" t="s">
        <v>100</v>
      </c>
      <c r="E34" s="16" t="n">
        <v>0</v>
      </c>
      <c r="F34" s="16" t="n">
        <v>0</v>
      </c>
      <c r="G34" s="16" t="n">
        <v>0</v>
      </c>
      <c r="H34" s="16" t="n">
        <v>0</v>
      </c>
      <c r="I34" s="5" t="n">
        <f aca="false">SUM(E34:H34)</f>
        <v>0</v>
      </c>
    </row>
    <row r="35" customFormat="false" ht="12.75" hidden="false" customHeight="true" outlineLevel="0" collapsed="false">
      <c r="A35" s="2" t="n">
        <v>34</v>
      </c>
      <c r="B35" s="7"/>
      <c r="C35" s="7" t="s">
        <v>125</v>
      </c>
      <c r="D35" s="7" t="s">
        <v>553</v>
      </c>
      <c r="E35" s="16" t="n">
        <v>0</v>
      </c>
      <c r="F35" s="16" t="n">
        <v>0</v>
      </c>
      <c r="G35" s="16" t="n">
        <v>0</v>
      </c>
      <c r="H35" s="16" t="n">
        <v>0</v>
      </c>
      <c r="I35" s="5" t="n">
        <f aca="false">SUM(E35:H35)</f>
        <v>0</v>
      </c>
    </row>
    <row r="36" customFormat="false" ht="12.75" hidden="false" customHeight="true" outlineLevel="0" collapsed="false">
      <c r="A36" s="2" t="n">
        <v>35</v>
      </c>
      <c r="B36" s="7"/>
      <c r="C36" s="7" t="s">
        <v>554</v>
      </c>
      <c r="D36" s="7" t="s">
        <v>515</v>
      </c>
      <c r="E36" s="16" t="n">
        <v>0</v>
      </c>
      <c r="F36" s="16" t="n">
        <v>0</v>
      </c>
      <c r="G36" s="16" t="n">
        <v>0</v>
      </c>
      <c r="H36" s="16" t="n">
        <v>0</v>
      </c>
      <c r="I36" s="5" t="n">
        <f aca="false">SUM(E36:H36)</f>
        <v>0</v>
      </c>
    </row>
    <row r="37" customFormat="false" ht="12.75" hidden="false" customHeight="true" outlineLevel="0" collapsed="false">
      <c r="A37" s="2" t="n">
        <v>36</v>
      </c>
      <c r="B37" s="7"/>
      <c r="C37" s="7" t="s">
        <v>555</v>
      </c>
      <c r="D37" s="7" t="s">
        <v>556</v>
      </c>
      <c r="E37" s="16" t="n">
        <v>0</v>
      </c>
      <c r="F37" s="16" t="n">
        <v>0</v>
      </c>
      <c r="G37" s="16" t="n">
        <v>0</v>
      </c>
      <c r="H37" s="16" t="n">
        <v>0</v>
      </c>
      <c r="I37" s="5" t="n">
        <f aca="false">SUM(E37:H37)</f>
        <v>0</v>
      </c>
    </row>
    <row r="38" customFormat="false" ht="12.75" hidden="false" customHeight="true" outlineLevel="0" collapsed="false">
      <c r="A38" s="2" t="n">
        <v>37</v>
      </c>
      <c r="B38" s="36" t="n">
        <v>231496</v>
      </c>
      <c r="C38" s="21" t="s">
        <v>557</v>
      </c>
      <c r="D38" s="21" t="s">
        <v>382</v>
      </c>
      <c r="E38" s="16" t="n">
        <v>0</v>
      </c>
      <c r="F38" s="16" t="n">
        <v>0</v>
      </c>
      <c r="G38" s="16" t="n">
        <v>0</v>
      </c>
      <c r="H38" s="16" t="n">
        <v>0</v>
      </c>
      <c r="I38" s="5" t="n">
        <f aca="false">SUM(E38:H38)</f>
        <v>0</v>
      </c>
    </row>
    <row r="39" customFormat="false" ht="12.75" hidden="false" customHeight="true" outlineLevel="0" collapsed="false">
      <c r="A39" s="2" t="n">
        <v>38</v>
      </c>
      <c r="B39" s="36" t="n">
        <v>231497</v>
      </c>
      <c r="C39" s="39" t="s">
        <v>558</v>
      </c>
      <c r="D39" s="21" t="s">
        <v>559</v>
      </c>
      <c r="E39" s="16" t="n">
        <v>0</v>
      </c>
      <c r="F39" s="16" t="n">
        <v>0</v>
      </c>
      <c r="G39" s="16" t="n">
        <v>0</v>
      </c>
      <c r="H39" s="16" t="n">
        <v>0</v>
      </c>
      <c r="I39" s="5" t="n">
        <f aca="false">SUM(E39:H39)</f>
        <v>0</v>
      </c>
    </row>
    <row r="40" customFormat="false" ht="12.75" hidden="false" customHeight="true" outlineLevel="0" collapsed="false">
      <c r="A40" s="2" t="n">
        <v>39</v>
      </c>
      <c r="B40" s="36" t="n">
        <v>232607</v>
      </c>
      <c r="C40" s="7" t="s">
        <v>560</v>
      </c>
      <c r="D40" s="7" t="s">
        <v>403</v>
      </c>
      <c r="E40" s="25"/>
      <c r="F40" s="25"/>
      <c r="G40" s="25"/>
      <c r="H40" s="25"/>
      <c r="I40" s="12"/>
    </row>
    <row r="41" customFormat="false" ht="12.75" hidden="false" customHeight="true" outlineLevel="0" collapsed="false">
      <c r="A41" s="2" t="n">
        <v>40</v>
      </c>
      <c r="B41" s="36" t="n">
        <v>231690</v>
      </c>
      <c r="C41" s="7" t="s">
        <v>122</v>
      </c>
      <c r="D41" s="7" t="s">
        <v>561</v>
      </c>
      <c r="E41" s="25"/>
      <c r="F41" s="25"/>
      <c r="G41" s="25"/>
      <c r="H41" s="25"/>
      <c r="I41" s="12"/>
    </row>
    <row r="42" customFormat="false" ht="12.75" hidden="false" customHeight="true" outlineLevel="0" collapsed="false">
      <c r="A42" s="2" t="n">
        <v>41</v>
      </c>
      <c r="B42" s="36" t="n">
        <v>231929</v>
      </c>
      <c r="C42" s="7" t="s">
        <v>39</v>
      </c>
      <c r="D42" s="7" t="s">
        <v>181</v>
      </c>
      <c r="E42" s="25"/>
      <c r="F42" s="25"/>
      <c r="G42" s="25"/>
      <c r="H42" s="25"/>
      <c r="I42" s="12"/>
    </row>
    <row r="43" customFormat="false" ht="12.75" hidden="false" customHeight="true" outlineLevel="0" collapsed="false">
      <c r="A43" s="2" t="n">
        <v>42</v>
      </c>
      <c r="B43" s="7"/>
      <c r="C43" s="21" t="s">
        <v>562</v>
      </c>
      <c r="D43" s="21" t="s">
        <v>563</v>
      </c>
      <c r="E43" s="25"/>
      <c r="F43" s="25"/>
      <c r="G43" s="25"/>
      <c r="H43" s="25"/>
      <c r="I43" s="12"/>
    </row>
    <row r="44" customFormat="false" ht="12.75" hidden="false" customHeight="true" outlineLevel="0" collapsed="false">
      <c r="A44" s="2" t="n">
        <v>43</v>
      </c>
      <c r="B44" s="7"/>
      <c r="C44" s="7" t="s">
        <v>564</v>
      </c>
      <c r="D44" s="7" t="s">
        <v>121</v>
      </c>
      <c r="E44" s="25"/>
      <c r="F44" s="25"/>
      <c r="G44" s="25"/>
      <c r="H44" s="25"/>
      <c r="I44" s="12"/>
    </row>
    <row r="45" customFormat="false" ht="12.75" hidden="false" customHeight="true" outlineLevel="0" collapsed="false">
      <c r="A45" s="2" t="n">
        <v>44</v>
      </c>
      <c r="B45" s="7"/>
      <c r="C45" s="7" t="s">
        <v>565</v>
      </c>
      <c r="D45" s="7" t="s">
        <v>566</v>
      </c>
      <c r="E45" s="25"/>
      <c r="F45" s="25"/>
      <c r="G45" s="25"/>
      <c r="H45" s="25"/>
      <c r="I45" s="12"/>
    </row>
    <row r="46" customFormat="false" ht="12.75" hidden="false" customHeight="true" outlineLevel="0" collapsed="false">
      <c r="A46" s="2" t="n">
        <v>45</v>
      </c>
      <c r="B46" s="36" t="n">
        <v>232799</v>
      </c>
      <c r="C46" s="39" t="s">
        <v>567</v>
      </c>
      <c r="D46" s="7" t="s">
        <v>568</v>
      </c>
      <c r="E46" s="25"/>
      <c r="F46" s="25"/>
      <c r="G46" s="25"/>
      <c r="H46" s="25"/>
      <c r="I46" s="12"/>
    </row>
    <row r="47" customFormat="false" ht="12.75" hidden="false" customHeight="true" outlineLevel="0" collapsed="false">
      <c r="A47" s="2" t="n">
        <v>46</v>
      </c>
      <c r="B47" s="36" t="n">
        <v>232800</v>
      </c>
      <c r="C47" s="39" t="s">
        <v>569</v>
      </c>
      <c r="D47" s="39" t="s">
        <v>409</v>
      </c>
      <c r="E47" s="25"/>
      <c r="F47" s="25"/>
      <c r="G47" s="25"/>
      <c r="H47" s="25"/>
      <c r="I47" s="12"/>
    </row>
    <row r="48" customFormat="false" ht="12.75" hidden="false" customHeight="true" outlineLevel="0" collapsed="false">
      <c r="A48" s="2" t="n">
        <v>47</v>
      </c>
      <c r="B48" s="36" t="n">
        <v>232803</v>
      </c>
      <c r="C48" s="7" t="s">
        <v>570</v>
      </c>
      <c r="D48" s="7" t="s">
        <v>437</v>
      </c>
      <c r="E48" s="25"/>
      <c r="F48" s="25"/>
      <c r="G48" s="25"/>
      <c r="H48" s="25"/>
      <c r="I48" s="12"/>
    </row>
    <row r="49" customFormat="false" ht="12.75" hidden="false" customHeight="true" outlineLevel="0" collapsed="false">
      <c r="A49" s="2" t="n">
        <v>48</v>
      </c>
      <c r="B49" s="36" t="n">
        <v>232802</v>
      </c>
      <c r="C49" s="39" t="s">
        <v>571</v>
      </c>
      <c r="D49" s="39" t="s">
        <v>572</v>
      </c>
      <c r="E49" s="25"/>
      <c r="F49" s="25"/>
      <c r="G49" s="25"/>
      <c r="H49" s="25"/>
      <c r="I49" s="12"/>
    </row>
    <row r="50" customFormat="false" ht="12.75" hidden="false" customHeight="true" outlineLevel="0" collapsed="false">
      <c r="A50" s="2" t="n">
        <v>49</v>
      </c>
      <c r="B50" s="7"/>
      <c r="C50" s="7" t="s">
        <v>573</v>
      </c>
      <c r="D50" s="7" t="s">
        <v>574</v>
      </c>
      <c r="E50" s="25"/>
      <c r="F50" s="25"/>
      <c r="G50" s="25"/>
      <c r="H50" s="25"/>
      <c r="I50" s="12"/>
    </row>
    <row r="51" customFormat="false" ht="12.75" hidden="false" customHeight="true" outlineLevel="0" collapsed="false">
      <c r="A51" s="2" t="n">
        <v>50</v>
      </c>
      <c r="B51" s="7"/>
      <c r="C51" s="7" t="s">
        <v>203</v>
      </c>
      <c r="D51" s="7" t="s">
        <v>575</v>
      </c>
      <c r="E51" s="25"/>
      <c r="F51" s="25"/>
      <c r="G51" s="25"/>
      <c r="H51" s="25"/>
      <c r="I51" s="12"/>
    </row>
    <row r="52" customFormat="false" ht="12.75" hidden="false" customHeight="true" outlineLevel="0" collapsed="false">
      <c r="A52" s="2" t="n">
        <v>51</v>
      </c>
      <c r="B52" s="36" t="n">
        <v>429</v>
      </c>
      <c r="C52" s="21" t="s">
        <v>156</v>
      </c>
      <c r="D52" s="21" t="s">
        <v>481</v>
      </c>
      <c r="E52" s="25"/>
      <c r="F52" s="25"/>
      <c r="G52" s="25"/>
      <c r="H52" s="25"/>
      <c r="I52" s="12"/>
    </row>
    <row r="53" customFormat="false" ht="12.75" hidden="false" customHeight="true" outlineLevel="0" collapsed="false">
      <c r="A53" s="2" t="n">
        <v>52</v>
      </c>
      <c r="B53" s="36" t="n">
        <v>231495</v>
      </c>
      <c r="C53" s="21" t="s">
        <v>576</v>
      </c>
      <c r="D53" s="21" t="s">
        <v>577</v>
      </c>
      <c r="E53" s="25"/>
      <c r="F53" s="25"/>
      <c r="G53" s="25"/>
      <c r="H53" s="25"/>
      <c r="I53" s="12"/>
    </row>
    <row r="54" customFormat="false" ht="12.75" hidden="false" customHeight="true" outlineLevel="0" collapsed="false">
      <c r="A54" s="2" t="n">
        <v>53</v>
      </c>
      <c r="B54" s="36" t="n">
        <v>231503</v>
      </c>
      <c r="C54" s="21" t="s">
        <v>578</v>
      </c>
      <c r="D54" s="39" t="s">
        <v>579</v>
      </c>
      <c r="E54" s="25"/>
      <c r="F54" s="25"/>
      <c r="G54" s="25"/>
      <c r="H54" s="25"/>
      <c r="I54" s="12"/>
    </row>
    <row r="55" customFormat="false" ht="12.75" hidden="false" customHeight="true" outlineLevel="0" collapsed="false">
      <c r="A55" s="2" t="n">
        <v>54</v>
      </c>
      <c r="B55" s="36" t="n">
        <v>99875</v>
      </c>
      <c r="C55" s="21" t="s">
        <v>541</v>
      </c>
      <c r="D55" s="21" t="s">
        <v>417</v>
      </c>
      <c r="E55" s="25"/>
      <c r="F55" s="25"/>
      <c r="G55" s="25"/>
      <c r="H55" s="25"/>
      <c r="I55" s="12"/>
    </row>
    <row r="56" customFormat="false" ht="12.75" hidden="false" customHeight="true" outlineLevel="0" collapsed="false">
      <c r="A56" s="0"/>
      <c r="B56" s="0"/>
      <c r="C56" s="0"/>
      <c r="D56" s="0"/>
      <c r="E56" s="0"/>
      <c r="F56" s="0"/>
      <c r="G56" s="0"/>
      <c r="H56" s="0"/>
      <c r="I56" s="0"/>
    </row>
    <row r="57" customFormat="false" ht="12.75" hidden="false" customHeight="true" outlineLevel="0" collapsed="false">
      <c r="A57" s="0"/>
      <c r="B57" s="0"/>
      <c r="C57" s="0"/>
      <c r="D57" s="0"/>
      <c r="E57" s="0"/>
      <c r="F57" s="0"/>
      <c r="G57" s="0"/>
      <c r="H57" s="0"/>
      <c r="I57" s="0"/>
    </row>
    <row r="58" customFormat="false" ht="12.75" hidden="false" customHeight="true" outlineLevel="0" collapsed="false">
      <c r="A58" s="0"/>
      <c r="B58" s="0"/>
      <c r="C58" s="0"/>
      <c r="D58" s="0"/>
      <c r="E58" s="0"/>
      <c r="F58" s="0"/>
      <c r="G58" s="0"/>
      <c r="H58" s="0"/>
      <c r="I58" s="0"/>
    </row>
    <row r="59" customFormat="false" ht="12.75" hidden="false" customHeight="true" outlineLevel="0" collapsed="false">
      <c r="A59" s="0"/>
      <c r="B59" s="0"/>
      <c r="C59" s="0"/>
      <c r="D59" s="0"/>
      <c r="E59" s="0"/>
      <c r="F59" s="0"/>
      <c r="G59" s="0"/>
      <c r="H59" s="0"/>
      <c r="I59" s="0"/>
    </row>
    <row r="60" customFormat="false" ht="12.75" hidden="false" customHeight="true" outlineLevel="0" collapsed="false">
      <c r="A60" s="0"/>
      <c r="B60" s="0"/>
      <c r="C60" s="0"/>
      <c r="D60" s="0"/>
      <c r="E60" s="0"/>
      <c r="F60" s="0"/>
      <c r="G60" s="0"/>
      <c r="H60" s="0"/>
      <c r="I60" s="0"/>
    </row>
    <row r="61" customFormat="false" ht="12.75" hidden="false" customHeight="true" outlineLevel="0" collapsed="false">
      <c r="A61" s="0"/>
      <c r="B61" s="0"/>
      <c r="C61" s="0"/>
      <c r="D61" s="0"/>
      <c r="E61" s="0"/>
      <c r="F61" s="0"/>
      <c r="G61" s="0"/>
      <c r="H61" s="0"/>
      <c r="I61" s="0"/>
    </row>
    <row r="62" customFormat="false" ht="12.75" hidden="false" customHeight="true" outlineLevel="0" collapsed="false">
      <c r="A62" s="0"/>
      <c r="B62" s="0"/>
      <c r="C62" s="0"/>
      <c r="D62" s="0"/>
      <c r="E62" s="0"/>
      <c r="F62" s="0"/>
      <c r="G62" s="0"/>
      <c r="H62" s="0"/>
      <c r="I62" s="0"/>
    </row>
    <row r="63" customFormat="false" ht="12.75" hidden="false" customHeight="true" outlineLevel="0" collapsed="false">
      <c r="A63" s="0"/>
      <c r="B63" s="0"/>
      <c r="C63" s="0"/>
      <c r="D63" s="0"/>
      <c r="E63" s="0"/>
      <c r="F63" s="0"/>
      <c r="G63" s="0"/>
      <c r="H63" s="0"/>
      <c r="I63" s="0"/>
    </row>
    <row r="64" customFormat="false" ht="12.75" hidden="false" customHeight="true" outlineLevel="0" collapsed="false">
      <c r="A64" s="0"/>
      <c r="B64" s="0"/>
      <c r="C64" s="0"/>
      <c r="D64" s="0"/>
      <c r="E64" s="0"/>
      <c r="F64" s="0"/>
      <c r="G64" s="0"/>
      <c r="H64" s="0"/>
      <c r="I64" s="0"/>
    </row>
    <row r="65" customFormat="false" ht="12.75" hidden="false" customHeight="true" outlineLevel="0" collapsed="false">
      <c r="A65" s="0"/>
      <c r="B65" s="0"/>
      <c r="C65" s="0"/>
      <c r="D65" s="0"/>
      <c r="E65" s="0"/>
      <c r="F65" s="0"/>
      <c r="G65" s="0"/>
      <c r="H65" s="0"/>
      <c r="I65" s="0"/>
    </row>
    <row r="66" customFormat="false" ht="12.75" hidden="false" customHeight="true" outlineLevel="0" collapsed="false">
      <c r="A66" s="0"/>
      <c r="B66" s="0"/>
      <c r="C66" s="0"/>
      <c r="D66" s="0"/>
      <c r="E66" s="0"/>
      <c r="F66" s="0"/>
      <c r="G66" s="0"/>
      <c r="H66" s="0"/>
      <c r="I66" s="0"/>
    </row>
    <row r="67" customFormat="false" ht="12.75" hidden="false" customHeight="true" outlineLevel="0" collapsed="false">
      <c r="A67" s="0"/>
      <c r="B67" s="0"/>
      <c r="C67" s="0"/>
      <c r="D67" s="0"/>
      <c r="E67" s="0"/>
      <c r="F67" s="0"/>
      <c r="G67" s="0"/>
      <c r="H67" s="0"/>
      <c r="I67" s="0"/>
    </row>
    <row r="68" customFormat="false" ht="12.75" hidden="false" customHeight="true" outlineLevel="0" collapsed="false">
      <c r="A68" s="0"/>
      <c r="B68" s="0"/>
      <c r="C68" s="0"/>
      <c r="D68" s="0"/>
      <c r="E68" s="0"/>
      <c r="F68" s="0"/>
      <c r="G68" s="0"/>
      <c r="H68" s="0"/>
      <c r="I68" s="0"/>
    </row>
    <row r="69" customFormat="false" ht="12.75" hidden="false" customHeight="true" outlineLevel="0" collapsed="false">
      <c r="A69" s="0"/>
      <c r="B69" s="0"/>
      <c r="C69" s="0"/>
      <c r="D69" s="0"/>
      <c r="E69" s="0"/>
      <c r="F69" s="0"/>
      <c r="G69" s="0"/>
      <c r="H69" s="0"/>
      <c r="I69" s="0"/>
    </row>
    <row r="70" customFormat="false" ht="12.75" hidden="false" customHeight="true" outlineLevel="0" collapsed="false">
      <c r="A70" s="0"/>
      <c r="B70" s="0"/>
      <c r="C70" s="0"/>
      <c r="D70" s="0"/>
      <c r="E70" s="0"/>
      <c r="F70" s="0"/>
      <c r="G70" s="0"/>
      <c r="H70" s="0"/>
      <c r="I70" s="0"/>
    </row>
    <row r="71" customFormat="false" ht="12.75" hidden="false" customHeight="true" outlineLevel="0" collapsed="false">
      <c r="A71" s="0"/>
      <c r="B71" s="0"/>
      <c r="C71" s="0"/>
      <c r="D71" s="0"/>
      <c r="E71" s="0"/>
      <c r="F71" s="0"/>
      <c r="G71" s="0"/>
      <c r="H71" s="0"/>
      <c r="I71" s="0"/>
    </row>
    <row r="72" customFormat="false" ht="12.75" hidden="false" customHeight="true" outlineLevel="0" collapsed="false">
      <c r="A72" s="0"/>
      <c r="B72" s="0"/>
      <c r="C72" s="0"/>
      <c r="D72" s="0"/>
      <c r="E72" s="0"/>
      <c r="F72" s="0"/>
      <c r="G72" s="0"/>
      <c r="H72" s="0"/>
      <c r="I72" s="0"/>
    </row>
    <row r="73" customFormat="false" ht="12.75" hidden="false" customHeight="true" outlineLevel="0" collapsed="false">
      <c r="A73" s="0"/>
      <c r="B73" s="0"/>
      <c r="C73" s="0"/>
      <c r="D73" s="0"/>
      <c r="E73" s="0"/>
      <c r="F73" s="0"/>
      <c r="G73" s="0"/>
      <c r="H73" s="0"/>
      <c r="I73" s="0"/>
    </row>
    <row r="74" customFormat="false" ht="12.75" hidden="false" customHeight="true" outlineLevel="0" collapsed="false">
      <c r="A74" s="0"/>
      <c r="B74" s="0"/>
      <c r="C74" s="0"/>
      <c r="D74" s="0"/>
      <c r="E74" s="0"/>
      <c r="F74" s="0"/>
      <c r="G74" s="0"/>
      <c r="H74" s="0"/>
      <c r="I74" s="0"/>
    </row>
    <row r="75" customFormat="false" ht="12.75" hidden="false" customHeight="true" outlineLevel="0" collapsed="false">
      <c r="A75" s="0"/>
      <c r="B75" s="0"/>
      <c r="C75" s="0"/>
      <c r="D75" s="0"/>
      <c r="E75" s="0"/>
      <c r="F75" s="0"/>
      <c r="G75" s="0"/>
      <c r="H75" s="0"/>
      <c r="I75" s="0"/>
    </row>
    <row r="76" customFormat="false" ht="12.75" hidden="false" customHeight="true" outlineLevel="0" collapsed="false">
      <c r="A76" s="0"/>
      <c r="B76" s="0"/>
      <c r="C76" s="0"/>
      <c r="D76" s="0"/>
      <c r="E76" s="0"/>
      <c r="F76" s="0"/>
      <c r="G76" s="0"/>
      <c r="H76" s="0"/>
      <c r="I76" s="0"/>
    </row>
    <row r="77" customFormat="false" ht="12.75" hidden="false" customHeight="true" outlineLevel="0" collapsed="false">
      <c r="A77" s="0"/>
      <c r="B77" s="0"/>
      <c r="C77" s="0"/>
      <c r="D77" s="0"/>
      <c r="E77" s="0"/>
      <c r="F77" s="0"/>
      <c r="G77" s="0"/>
      <c r="H77" s="0"/>
      <c r="I77" s="0"/>
    </row>
    <row r="78" customFormat="false" ht="12.75" hidden="false" customHeight="true" outlineLevel="0" collapsed="false">
      <c r="A78" s="0"/>
      <c r="B78" s="0"/>
      <c r="C78" s="0"/>
      <c r="D78" s="0"/>
      <c r="E78" s="0"/>
      <c r="F78" s="0"/>
      <c r="G78" s="0"/>
      <c r="H78" s="0"/>
      <c r="I78" s="0"/>
    </row>
    <row r="79" customFormat="false" ht="12.75" hidden="false" customHeight="true" outlineLevel="0" collapsed="false">
      <c r="A79" s="0"/>
      <c r="B79" s="0"/>
      <c r="C79" s="0"/>
      <c r="D79" s="0"/>
      <c r="E79" s="0"/>
      <c r="F79" s="0"/>
      <c r="G79" s="0"/>
      <c r="H79" s="0"/>
      <c r="I79" s="0"/>
    </row>
    <row r="80" customFormat="false" ht="12.75" hidden="false" customHeight="true" outlineLevel="0" collapsed="false">
      <c r="A80" s="0"/>
      <c r="B80" s="0"/>
      <c r="C80" s="0"/>
      <c r="D80" s="0"/>
      <c r="E80" s="0"/>
      <c r="F80" s="0"/>
      <c r="G80" s="0"/>
      <c r="H80" s="0"/>
      <c r="I80" s="0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2" activeCellId="0" sqref="A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6.29"/>
    <col collapsed="false" customWidth="false" hidden="false" outlineLevel="0" max="2" min="2" style="1" width="11.57"/>
    <col collapsed="false" customWidth="true" hidden="false" outlineLevel="0" max="3" min="3" style="1" width="16.14"/>
    <col collapsed="false" customWidth="true" hidden="false" outlineLevel="0" max="4" min="4" style="1" width="16.57"/>
    <col collapsed="false" customWidth="true" hidden="false" outlineLevel="0" max="5" min="5" style="1" width="8.29"/>
    <col collapsed="false" customWidth="true" hidden="false" outlineLevel="0" max="6" min="6" style="1" width="7.29"/>
    <col collapsed="false" customWidth="true" hidden="false" outlineLevel="0" max="7" min="7" style="1" width="7.71"/>
    <col collapsed="false" customWidth="true" hidden="false" outlineLevel="0" max="8" min="8" style="1" width="7.57"/>
    <col collapsed="false" customWidth="true" hidden="false" outlineLevel="0" max="9" min="9" style="1" width="10"/>
    <col collapsed="false" customWidth="false" hidden="false" outlineLevel="0" max="16384" min="10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298</v>
      </c>
      <c r="J1" s="1" t="s">
        <v>299</v>
      </c>
      <c r="K1" s="1" t="s">
        <v>8</v>
      </c>
    </row>
    <row r="2" customFormat="false" ht="12.75" hidden="false" customHeight="true" outlineLevel="0" collapsed="false">
      <c r="A2" s="16" t="n">
        <v>1</v>
      </c>
      <c r="B2" s="16" t="n">
        <v>247</v>
      </c>
      <c r="C2" s="21" t="s">
        <v>153</v>
      </c>
      <c r="D2" s="21" t="s">
        <v>580</v>
      </c>
      <c r="E2" s="16" t="n">
        <v>7</v>
      </c>
      <c r="F2" s="16" t="n">
        <v>7</v>
      </c>
      <c r="G2" s="16" t="n">
        <v>7</v>
      </c>
      <c r="H2" s="27" t="n">
        <v>7</v>
      </c>
      <c r="I2" s="27" t="n">
        <v>7</v>
      </c>
      <c r="J2" s="27" t="n">
        <v>0</v>
      </c>
      <c r="K2" s="40" t="n">
        <f aca="false">SUM(E2:J2)</f>
        <v>35</v>
      </c>
    </row>
    <row r="3" customFormat="false" ht="12.75" hidden="false" customHeight="true" outlineLevel="0" collapsed="false">
      <c r="A3" s="16" t="n">
        <v>2</v>
      </c>
      <c r="B3" s="16" t="n">
        <v>14219</v>
      </c>
      <c r="C3" s="21" t="s">
        <v>102</v>
      </c>
      <c r="D3" s="21" t="s">
        <v>581</v>
      </c>
      <c r="E3" s="16" t="n">
        <v>7</v>
      </c>
      <c r="F3" s="16" t="n">
        <v>7</v>
      </c>
      <c r="G3" s="16" t="n">
        <v>0</v>
      </c>
      <c r="H3" s="27" t="n">
        <v>7</v>
      </c>
      <c r="I3" s="27" t="n">
        <v>7</v>
      </c>
      <c r="J3" s="27" t="n">
        <v>0</v>
      </c>
      <c r="K3" s="40" t="n">
        <f aca="false">SUM(E3:J3)</f>
        <v>28</v>
      </c>
    </row>
    <row r="4" customFormat="false" ht="12.75" hidden="false" customHeight="true" outlineLevel="0" collapsed="false">
      <c r="A4" s="16" t="n">
        <v>3</v>
      </c>
      <c r="B4" s="16" t="n">
        <v>178039</v>
      </c>
      <c r="C4" s="21" t="s">
        <v>582</v>
      </c>
      <c r="D4" s="21" t="s">
        <v>583</v>
      </c>
      <c r="E4" s="23" t="n">
        <f aca="false">5+0</f>
        <v>5</v>
      </c>
      <c r="F4" s="23" t="n">
        <f aca="false">3+4</f>
        <v>7</v>
      </c>
      <c r="G4" s="16" t="n">
        <v>0</v>
      </c>
      <c r="H4" s="27" t="n">
        <v>7</v>
      </c>
      <c r="I4" s="27" t="n">
        <v>0</v>
      </c>
      <c r="J4" s="27" t="n">
        <v>0</v>
      </c>
      <c r="K4" s="40" t="n">
        <f aca="false">SUM(E4:J4)</f>
        <v>19</v>
      </c>
    </row>
    <row r="5" customFormat="false" ht="12.75" hidden="false" customHeight="true" outlineLevel="0" collapsed="false">
      <c r="A5" s="16" t="n">
        <v>4</v>
      </c>
      <c r="B5" s="16" t="n">
        <v>107134</v>
      </c>
      <c r="C5" s="21" t="s">
        <v>99</v>
      </c>
      <c r="D5" s="21" t="s">
        <v>140</v>
      </c>
      <c r="E5" s="16" t="n">
        <v>7</v>
      </c>
      <c r="F5" s="16" t="n">
        <v>0</v>
      </c>
      <c r="G5" s="23" t="n">
        <f aca="false">1+1</f>
        <v>2</v>
      </c>
      <c r="H5" s="27" t="n">
        <v>6</v>
      </c>
      <c r="I5" s="27" t="n">
        <v>1</v>
      </c>
      <c r="J5" s="27" t="n">
        <v>0</v>
      </c>
      <c r="K5" s="40" t="n">
        <f aca="false">SUM(E5:J5)</f>
        <v>16</v>
      </c>
    </row>
    <row r="6" customFormat="false" ht="12.75" hidden="false" customHeight="true" outlineLevel="0" collapsed="false">
      <c r="A6" s="16" t="n">
        <v>5</v>
      </c>
      <c r="B6" s="16" t="n">
        <v>107146</v>
      </c>
      <c r="C6" s="21" t="s">
        <v>584</v>
      </c>
      <c r="D6" s="21" t="s">
        <v>466</v>
      </c>
      <c r="E6" s="23" t="n">
        <f aca="false">4+3</f>
        <v>7</v>
      </c>
      <c r="F6" s="23" t="n">
        <f aca="false">0+1</f>
        <v>1</v>
      </c>
      <c r="G6" s="16" t="n">
        <v>0</v>
      </c>
      <c r="H6" s="27" t="n">
        <v>7</v>
      </c>
      <c r="I6" s="27" t="n">
        <v>1</v>
      </c>
      <c r="J6" s="27" t="n">
        <v>0</v>
      </c>
      <c r="K6" s="40" t="n">
        <f aca="false">SUM(E6:J6)</f>
        <v>16</v>
      </c>
    </row>
    <row r="7" customFormat="false" ht="12.75" hidden="false" customHeight="true" outlineLevel="0" collapsed="false">
      <c r="A7" s="16" t="n">
        <v>6</v>
      </c>
      <c r="B7" s="16" t="n">
        <v>99902</v>
      </c>
      <c r="C7" s="21" t="s">
        <v>585</v>
      </c>
      <c r="D7" s="21" t="s">
        <v>302</v>
      </c>
      <c r="E7" s="16" t="n">
        <v>2</v>
      </c>
      <c r="F7" s="23" t="n">
        <f aca="false">3+4</f>
        <v>7</v>
      </c>
      <c r="G7" s="16" t="n">
        <v>0</v>
      </c>
      <c r="H7" s="27" t="n">
        <v>6</v>
      </c>
      <c r="I7" s="27" t="n">
        <v>0</v>
      </c>
      <c r="J7" s="27" t="n">
        <v>0</v>
      </c>
      <c r="K7" s="40" t="n">
        <f aca="false">SUM(E7:J7)</f>
        <v>15</v>
      </c>
    </row>
    <row r="8" customFormat="false" ht="12.75" hidden="false" customHeight="true" outlineLevel="0" collapsed="false">
      <c r="A8" s="16" t="n">
        <v>7</v>
      </c>
      <c r="B8" s="37" t="n">
        <v>77811</v>
      </c>
      <c r="C8" s="38" t="s">
        <v>586</v>
      </c>
      <c r="D8" s="38" t="s">
        <v>587</v>
      </c>
      <c r="E8" s="16" t="n">
        <v>4</v>
      </c>
      <c r="F8" s="16" t="n">
        <v>1</v>
      </c>
      <c r="G8" s="16" t="n">
        <v>0</v>
      </c>
      <c r="H8" s="27" t="n">
        <v>7</v>
      </c>
      <c r="I8" s="27" t="n">
        <v>1</v>
      </c>
      <c r="J8" s="27" t="n">
        <v>0</v>
      </c>
      <c r="K8" s="40" t="n">
        <f aca="false">SUM(E8:J8)</f>
        <v>13</v>
      </c>
    </row>
    <row r="9" customFormat="false" ht="12.75" hidden="false" customHeight="true" outlineLevel="0" collapsed="false">
      <c r="A9" s="16" t="n">
        <v>8</v>
      </c>
      <c r="B9" s="16" t="n">
        <v>180703</v>
      </c>
      <c r="C9" s="21" t="s">
        <v>473</v>
      </c>
      <c r="D9" s="21" t="s">
        <v>588</v>
      </c>
      <c r="E9" s="16" t="n">
        <v>7</v>
      </c>
      <c r="F9" s="16" t="n">
        <v>0</v>
      </c>
      <c r="G9" s="16" t="n">
        <v>0</v>
      </c>
      <c r="H9" s="27" t="n">
        <v>5</v>
      </c>
      <c r="I9" s="27" t="n">
        <v>0</v>
      </c>
      <c r="J9" s="27" t="n">
        <v>0</v>
      </c>
      <c r="K9" s="40" t="n">
        <f aca="false">SUM(E9:J9)</f>
        <v>12</v>
      </c>
    </row>
    <row r="10" customFormat="false" ht="12.75" hidden="false" customHeight="true" outlineLevel="0" collapsed="false">
      <c r="A10" s="16" t="n">
        <v>9</v>
      </c>
      <c r="B10" s="16" t="n">
        <v>103894</v>
      </c>
      <c r="C10" s="21" t="s">
        <v>589</v>
      </c>
      <c r="D10" s="21" t="s">
        <v>590</v>
      </c>
      <c r="E10" s="16" t="n">
        <v>7</v>
      </c>
      <c r="F10" s="16" t="n">
        <v>1</v>
      </c>
      <c r="G10" s="16" t="n">
        <v>0</v>
      </c>
      <c r="H10" s="27" t="n">
        <v>3</v>
      </c>
      <c r="I10" s="27" t="n">
        <v>0</v>
      </c>
      <c r="J10" s="27" t="n">
        <v>0</v>
      </c>
      <c r="K10" s="40" t="n">
        <f aca="false">SUM(E10:J10)</f>
        <v>11</v>
      </c>
    </row>
    <row r="11" customFormat="false" ht="12.75" hidden="false" customHeight="true" outlineLevel="0" collapsed="false">
      <c r="A11" s="16" t="n">
        <v>10</v>
      </c>
      <c r="B11" s="16" t="n">
        <v>232447</v>
      </c>
      <c r="C11" s="21" t="s">
        <v>591</v>
      </c>
      <c r="D11" s="21" t="s">
        <v>592</v>
      </c>
      <c r="E11" s="16" t="n">
        <v>4</v>
      </c>
      <c r="F11" s="16" t="n">
        <v>1</v>
      </c>
      <c r="G11" s="16" t="n">
        <v>0</v>
      </c>
      <c r="H11" s="27" t="n">
        <v>5</v>
      </c>
      <c r="I11" s="27" t="n">
        <v>1</v>
      </c>
      <c r="J11" s="27" t="n">
        <v>0</v>
      </c>
      <c r="K11" s="40" t="n">
        <f aca="false">SUM(E11:J11)</f>
        <v>11</v>
      </c>
    </row>
    <row r="12" customFormat="false" ht="12.75" hidden="false" customHeight="true" outlineLevel="0" collapsed="false">
      <c r="A12" s="16" t="n">
        <v>11</v>
      </c>
      <c r="B12" s="16" t="n">
        <v>231528</v>
      </c>
      <c r="C12" s="21" t="s">
        <v>593</v>
      </c>
      <c r="D12" s="21" t="s">
        <v>188</v>
      </c>
      <c r="E12" s="16" t="n">
        <v>4</v>
      </c>
      <c r="F12" s="16" t="n">
        <v>1</v>
      </c>
      <c r="G12" s="16" t="n">
        <v>0</v>
      </c>
      <c r="H12" s="27" t="n">
        <v>6</v>
      </c>
      <c r="I12" s="27" t="n">
        <v>0</v>
      </c>
      <c r="J12" s="27" t="n">
        <v>0</v>
      </c>
      <c r="K12" s="40" t="n">
        <f aca="false">SUM(E12:J12)</f>
        <v>11</v>
      </c>
    </row>
    <row r="13" customFormat="false" ht="12.75" hidden="false" customHeight="true" outlineLevel="0" collapsed="false">
      <c r="A13" s="16" t="n">
        <v>12</v>
      </c>
      <c r="B13" s="16" t="n">
        <v>231030</v>
      </c>
      <c r="C13" s="21" t="s">
        <v>594</v>
      </c>
      <c r="D13" s="21" t="s">
        <v>551</v>
      </c>
      <c r="E13" s="16" t="n">
        <v>3</v>
      </c>
      <c r="F13" s="16" t="n">
        <v>1</v>
      </c>
      <c r="G13" s="16" t="n">
        <v>0</v>
      </c>
      <c r="H13" s="27" t="n">
        <v>6</v>
      </c>
      <c r="I13" s="27" t="n">
        <v>0</v>
      </c>
      <c r="J13" s="27" t="n">
        <v>0</v>
      </c>
      <c r="K13" s="40" t="n">
        <f aca="false">SUM(E13:J13)</f>
        <v>10</v>
      </c>
    </row>
    <row r="14" customFormat="false" ht="12.75" hidden="false" customHeight="true" outlineLevel="0" collapsed="false">
      <c r="A14" s="16" t="n">
        <v>13</v>
      </c>
      <c r="B14" s="16" t="n">
        <v>1773258</v>
      </c>
      <c r="C14" s="21" t="s">
        <v>595</v>
      </c>
      <c r="D14" s="21" t="s">
        <v>596</v>
      </c>
      <c r="E14" s="16" t="n">
        <v>1</v>
      </c>
      <c r="F14" s="16" t="n">
        <v>1</v>
      </c>
      <c r="G14" s="16" t="n">
        <v>0</v>
      </c>
      <c r="H14" s="27" t="n">
        <v>7</v>
      </c>
      <c r="I14" s="27" t="n">
        <v>1</v>
      </c>
      <c r="J14" s="27" t="n">
        <v>0</v>
      </c>
      <c r="K14" s="40" t="n">
        <f aca="false">SUM(E14:J14)</f>
        <v>10</v>
      </c>
    </row>
    <row r="15" customFormat="false" ht="12.75" hidden="false" customHeight="true" outlineLevel="0" collapsed="false">
      <c r="A15" s="16" t="n">
        <v>14</v>
      </c>
      <c r="B15" s="37" t="n">
        <v>177304</v>
      </c>
      <c r="C15" s="38" t="s">
        <v>597</v>
      </c>
      <c r="D15" s="38" t="s">
        <v>531</v>
      </c>
      <c r="E15" s="16" t="n">
        <v>4</v>
      </c>
      <c r="F15" s="16" t="n">
        <v>0</v>
      </c>
      <c r="G15" s="16" t="n">
        <v>0</v>
      </c>
      <c r="H15" s="27" t="n">
        <v>6</v>
      </c>
      <c r="I15" s="27" t="n">
        <v>0</v>
      </c>
      <c r="J15" s="27" t="n">
        <v>0</v>
      </c>
      <c r="K15" s="40" t="n">
        <f aca="false">SUM(E15:J15)</f>
        <v>10</v>
      </c>
    </row>
    <row r="16" customFormat="false" ht="12.75" hidden="false" customHeight="true" outlineLevel="0" collapsed="false">
      <c r="A16" s="16" t="n">
        <v>15</v>
      </c>
      <c r="B16" s="16" t="n">
        <v>193887</v>
      </c>
      <c r="C16" s="21" t="s">
        <v>598</v>
      </c>
      <c r="D16" s="21" t="s">
        <v>599</v>
      </c>
      <c r="E16" s="16" t="n">
        <v>4</v>
      </c>
      <c r="F16" s="16" t="n">
        <v>0</v>
      </c>
      <c r="G16" s="16" t="n">
        <v>0</v>
      </c>
      <c r="H16" s="27" t="n">
        <v>6</v>
      </c>
      <c r="I16" s="27" t="n">
        <v>0</v>
      </c>
      <c r="J16" s="27" t="n">
        <v>0</v>
      </c>
      <c r="K16" s="40" t="n">
        <f aca="false">SUM(E16:J16)</f>
        <v>10</v>
      </c>
    </row>
    <row r="17" customFormat="false" ht="12.75" hidden="false" customHeight="true" outlineLevel="0" collapsed="false">
      <c r="A17" s="16" t="n">
        <v>16</v>
      </c>
      <c r="B17" s="16" t="n">
        <v>47268</v>
      </c>
      <c r="C17" s="21" t="s">
        <v>600</v>
      </c>
      <c r="D17" s="21" t="s">
        <v>421</v>
      </c>
      <c r="E17" s="16" t="n">
        <v>3</v>
      </c>
      <c r="F17" s="16" t="n">
        <v>3</v>
      </c>
      <c r="G17" s="16" t="n">
        <v>1</v>
      </c>
      <c r="H17" s="27" t="n">
        <v>2</v>
      </c>
      <c r="I17" s="27" t="n">
        <v>0</v>
      </c>
      <c r="J17" s="27" t="n">
        <v>0</v>
      </c>
      <c r="K17" s="40" t="n">
        <f aca="false">SUM(E17:J17)</f>
        <v>9</v>
      </c>
    </row>
    <row r="18" customFormat="false" ht="12.75" hidden="false" customHeight="true" outlineLevel="0" collapsed="false">
      <c r="A18" s="16" t="n">
        <v>17</v>
      </c>
      <c r="B18" s="16" t="n">
        <v>35465</v>
      </c>
      <c r="C18" s="21" t="s">
        <v>160</v>
      </c>
      <c r="D18" s="21" t="s">
        <v>601</v>
      </c>
      <c r="E18" s="16" t="n">
        <v>1</v>
      </c>
      <c r="F18" s="16" t="n">
        <v>0</v>
      </c>
      <c r="G18" s="16" t="n">
        <v>0</v>
      </c>
      <c r="H18" s="27" t="n">
        <v>6</v>
      </c>
      <c r="I18" s="27" t="n">
        <v>2</v>
      </c>
      <c r="J18" s="27" t="n">
        <v>0</v>
      </c>
      <c r="K18" s="40" t="n">
        <f aca="false">SUM(E18:J18)</f>
        <v>9</v>
      </c>
    </row>
    <row r="19" customFormat="false" ht="12.75" hidden="false" customHeight="true" outlineLevel="0" collapsed="false">
      <c r="A19" s="16" t="n">
        <v>18</v>
      </c>
      <c r="B19" s="16" t="n">
        <v>20710</v>
      </c>
      <c r="C19" s="21" t="s">
        <v>578</v>
      </c>
      <c r="D19" s="21" t="s">
        <v>114</v>
      </c>
      <c r="E19" s="16" t="n">
        <v>2</v>
      </c>
      <c r="F19" s="16" t="n">
        <v>1</v>
      </c>
      <c r="G19" s="16" t="n">
        <v>0</v>
      </c>
      <c r="H19" s="27" t="n">
        <v>5</v>
      </c>
      <c r="I19" s="27" t="n">
        <v>0</v>
      </c>
      <c r="J19" s="27" t="n">
        <v>0</v>
      </c>
      <c r="K19" s="40" t="n">
        <f aca="false">SUM(E19:J19)</f>
        <v>8</v>
      </c>
    </row>
    <row r="20" customFormat="false" ht="12.75" hidden="false" customHeight="true" outlineLevel="0" collapsed="false">
      <c r="A20" s="16" t="n">
        <v>19</v>
      </c>
      <c r="B20" s="37" t="n">
        <v>231896</v>
      </c>
      <c r="C20" s="38" t="s">
        <v>602</v>
      </c>
      <c r="D20" s="38" t="s">
        <v>603</v>
      </c>
      <c r="E20" s="16" t="n">
        <v>1</v>
      </c>
      <c r="F20" s="16" t="n">
        <v>1</v>
      </c>
      <c r="G20" s="16" t="n">
        <v>0</v>
      </c>
      <c r="H20" s="27" t="n">
        <v>6</v>
      </c>
      <c r="I20" s="27" t="n">
        <v>0</v>
      </c>
      <c r="J20" s="27" t="n">
        <v>0</v>
      </c>
      <c r="K20" s="40" t="n">
        <f aca="false">SUM(E20:J20)</f>
        <v>8</v>
      </c>
    </row>
    <row r="21" customFormat="false" ht="12.75" hidden="false" customHeight="true" outlineLevel="0" collapsed="false">
      <c r="A21" s="16" t="n">
        <v>20</v>
      </c>
      <c r="B21" s="16" t="n">
        <v>103917</v>
      </c>
      <c r="C21" s="21" t="s">
        <v>604</v>
      </c>
      <c r="D21" s="21" t="s">
        <v>605</v>
      </c>
      <c r="E21" s="16" t="n">
        <v>0</v>
      </c>
      <c r="F21" s="16" t="n">
        <v>1</v>
      </c>
      <c r="G21" s="16" t="n">
        <v>0</v>
      </c>
      <c r="H21" s="27" t="n">
        <v>5</v>
      </c>
      <c r="I21" s="27" t="n">
        <v>0</v>
      </c>
      <c r="J21" s="27" t="n">
        <v>0</v>
      </c>
      <c r="K21" s="40" t="n">
        <f aca="false">SUM(E21:J21)</f>
        <v>6</v>
      </c>
    </row>
    <row r="22" customFormat="false" ht="12.75" hidden="false" customHeight="true" outlineLevel="0" collapsed="false">
      <c r="A22" s="16" t="n">
        <v>21</v>
      </c>
      <c r="B22" s="16" t="n">
        <v>232448</v>
      </c>
      <c r="C22" s="21" t="s">
        <v>606</v>
      </c>
      <c r="D22" s="21" t="s">
        <v>407</v>
      </c>
      <c r="E22" s="16" t="n">
        <v>0</v>
      </c>
      <c r="F22" s="16" t="n">
        <v>0</v>
      </c>
      <c r="G22" s="16" t="n">
        <v>0</v>
      </c>
      <c r="H22" s="27" t="n">
        <v>6</v>
      </c>
      <c r="I22" s="27" t="n">
        <v>0</v>
      </c>
      <c r="J22" s="27" t="n">
        <v>0</v>
      </c>
      <c r="K22" s="40" t="n">
        <f aca="false">SUM(E22:J22)</f>
        <v>6</v>
      </c>
    </row>
    <row r="23" customFormat="false" ht="12.75" hidden="false" customHeight="true" outlineLevel="0" collapsed="false">
      <c r="A23" s="16" t="n">
        <v>22</v>
      </c>
      <c r="B23" s="16" t="n">
        <v>107128</v>
      </c>
      <c r="C23" s="21" t="s">
        <v>548</v>
      </c>
      <c r="D23" s="21" t="s">
        <v>607</v>
      </c>
      <c r="E23" s="41" t="n">
        <f aca="false">0+1</f>
        <v>1</v>
      </c>
      <c r="F23" s="16" t="n">
        <v>0</v>
      </c>
      <c r="G23" s="16" t="n">
        <v>0</v>
      </c>
      <c r="H23" s="27" t="n">
        <v>5</v>
      </c>
      <c r="I23" s="27" t="n">
        <v>0</v>
      </c>
      <c r="J23" s="27" t="n">
        <v>0</v>
      </c>
      <c r="K23" s="40" t="n">
        <f aca="false">SUM(E23:J23)</f>
        <v>6</v>
      </c>
    </row>
    <row r="24" customFormat="false" ht="12.75" hidden="false" customHeight="true" outlineLevel="0" collapsed="false">
      <c r="A24" s="16" t="n">
        <v>23</v>
      </c>
      <c r="B24" s="16" t="n">
        <v>232464</v>
      </c>
      <c r="C24" s="21" t="s">
        <v>608</v>
      </c>
      <c r="D24" s="21" t="s">
        <v>609</v>
      </c>
      <c r="E24" s="16" t="n">
        <v>0</v>
      </c>
      <c r="F24" s="16" t="n">
        <v>1</v>
      </c>
      <c r="G24" s="16" t="n">
        <v>0</v>
      </c>
      <c r="H24" s="27" t="n">
        <v>4</v>
      </c>
      <c r="I24" s="27" t="n">
        <v>0</v>
      </c>
      <c r="J24" s="27" t="n">
        <v>0</v>
      </c>
      <c r="K24" s="40" t="n">
        <f aca="false">SUM(E24:J24)</f>
        <v>5</v>
      </c>
    </row>
    <row r="25" customFormat="false" ht="12.75" hidden="false" customHeight="true" outlineLevel="0" collapsed="false">
      <c r="A25" s="16" t="n">
        <v>24</v>
      </c>
      <c r="B25" s="16" t="n">
        <v>107136</v>
      </c>
      <c r="C25" s="21" t="s">
        <v>610</v>
      </c>
      <c r="D25" s="21" t="s">
        <v>611</v>
      </c>
      <c r="E25" s="16" t="n">
        <v>2</v>
      </c>
      <c r="F25" s="16" t="n">
        <v>0</v>
      </c>
      <c r="G25" s="16" t="n">
        <v>0</v>
      </c>
      <c r="H25" s="27" t="n">
        <v>0</v>
      </c>
      <c r="I25" s="27" t="n">
        <v>2</v>
      </c>
      <c r="J25" s="27" t="n">
        <v>0</v>
      </c>
      <c r="K25" s="40" t="n">
        <f aca="false">SUM(E25:J25)</f>
        <v>4</v>
      </c>
    </row>
    <row r="26" customFormat="false" ht="12.75" hidden="false" customHeight="true" outlineLevel="0" collapsed="false">
      <c r="A26" s="16" t="n">
        <v>25</v>
      </c>
      <c r="B26" s="16" t="n">
        <v>177456</v>
      </c>
      <c r="C26" s="21" t="s">
        <v>612</v>
      </c>
      <c r="D26" s="21" t="s">
        <v>613</v>
      </c>
      <c r="E26" s="16" t="n">
        <v>0</v>
      </c>
      <c r="F26" s="16" t="n">
        <v>1</v>
      </c>
      <c r="G26" s="16" t="n">
        <v>0</v>
      </c>
      <c r="H26" s="27" t="n">
        <v>2</v>
      </c>
      <c r="I26" s="27" t="n">
        <v>0</v>
      </c>
      <c r="J26" s="27" t="n">
        <v>0</v>
      </c>
      <c r="K26" s="40" t="n">
        <f aca="false">SUM(E26:J26)</f>
        <v>3</v>
      </c>
    </row>
    <row r="27" customFormat="false" ht="12.75" hidden="false" customHeight="true" outlineLevel="0" collapsed="false">
      <c r="A27" s="16" t="n">
        <v>26</v>
      </c>
      <c r="B27" s="37" t="n">
        <v>177312</v>
      </c>
      <c r="C27" s="38" t="s">
        <v>614</v>
      </c>
      <c r="D27" s="38" t="s">
        <v>389</v>
      </c>
      <c r="E27" s="16" t="n">
        <v>0</v>
      </c>
      <c r="F27" s="16" t="n">
        <v>0</v>
      </c>
      <c r="G27" s="16" t="n">
        <v>0</v>
      </c>
      <c r="H27" s="27" t="n">
        <v>0</v>
      </c>
      <c r="I27" s="27" t="n">
        <v>2</v>
      </c>
      <c r="J27" s="27" t="n">
        <v>0</v>
      </c>
      <c r="K27" s="40" t="n">
        <f aca="false">SUM(E27:J27)</f>
        <v>2</v>
      </c>
    </row>
    <row r="28" customFormat="false" ht="12.75" hidden="false" customHeight="true" outlineLevel="0" collapsed="false">
      <c r="A28" s="16" t="n">
        <v>27</v>
      </c>
      <c r="B28" s="16" t="n">
        <v>232469</v>
      </c>
      <c r="C28" s="21" t="s">
        <v>437</v>
      </c>
      <c r="D28" s="21" t="s">
        <v>615</v>
      </c>
      <c r="E28" s="16" t="n">
        <v>2</v>
      </c>
      <c r="F28" s="16" t="n">
        <v>0</v>
      </c>
      <c r="G28" s="16" t="n">
        <v>0</v>
      </c>
      <c r="H28" s="27"/>
      <c r="I28" s="27"/>
      <c r="J28" s="27"/>
      <c r="K28" s="40" t="n">
        <f aca="false">SUM(E28:J28)</f>
        <v>2</v>
      </c>
    </row>
    <row r="29" customFormat="false" ht="12.75" hidden="false" customHeight="true" outlineLevel="0" collapsed="false">
      <c r="A29" s="16" t="n">
        <v>28</v>
      </c>
      <c r="B29" s="16" t="n">
        <v>99896</v>
      </c>
      <c r="C29" s="21" t="s">
        <v>616</v>
      </c>
      <c r="D29" s="21" t="s">
        <v>574</v>
      </c>
      <c r="E29" s="16" t="n">
        <v>0</v>
      </c>
      <c r="F29" s="16" t="n">
        <v>1</v>
      </c>
      <c r="G29" s="16" t="n">
        <v>0</v>
      </c>
      <c r="H29" s="27" t="n">
        <v>1</v>
      </c>
      <c r="I29" s="27" t="n">
        <v>0</v>
      </c>
      <c r="J29" s="27" t="n">
        <v>0</v>
      </c>
      <c r="K29" s="40" t="n">
        <f aca="false">SUM(E29:J29)</f>
        <v>2</v>
      </c>
    </row>
    <row r="30" customFormat="false" ht="12.75" hidden="false" customHeight="true" outlineLevel="0" collapsed="false">
      <c r="A30" s="16" t="n">
        <v>29</v>
      </c>
      <c r="B30" s="16" t="n">
        <v>232460</v>
      </c>
      <c r="C30" s="21" t="s">
        <v>565</v>
      </c>
      <c r="D30" s="21" t="s">
        <v>439</v>
      </c>
      <c r="E30" s="16" t="n">
        <v>1</v>
      </c>
      <c r="F30" s="16" t="n">
        <v>0</v>
      </c>
      <c r="G30" s="16" t="n">
        <v>0</v>
      </c>
      <c r="H30" s="27" t="n">
        <v>1</v>
      </c>
      <c r="I30" s="27" t="n">
        <v>0</v>
      </c>
      <c r="J30" s="27" t="n">
        <v>0</v>
      </c>
      <c r="K30" s="40" t="n">
        <f aca="false">SUM(E30:J30)</f>
        <v>2</v>
      </c>
    </row>
    <row r="31" customFormat="false" ht="12.75" hidden="false" customHeight="true" outlineLevel="0" collapsed="false">
      <c r="A31" s="16" t="n">
        <v>30</v>
      </c>
      <c r="B31" s="37" t="n">
        <v>107144</v>
      </c>
      <c r="C31" s="38" t="s">
        <v>99</v>
      </c>
      <c r="D31" s="38" t="s">
        <v>158</v>
      </c>
      <c r="E31" s="16" t="n">
        <v>1</v>
      </c>
      <c r="F31" s="16" t="n">
        <v>0</v>
      </c>
      <c r="G31" s="16" t="n">
        <v>0</v>
      </c>
      <c r="H31" s="27"/>
      <c r="I31" s="27"/>
      <c r="J31" s="27"/>
      <c r="K31" s="40" t="n">
        <f aca="false">SUM(E31:J31)</f>
        <v>1</v>
      </c>
    </row>
    <row r="32" customFormat="false" ht="12.75" hidden="false" customHeight="true" outlineLevel="0" collapsed="false">
      <c r="A32" s="16" t="n">
        <v>31</v>
      </c>
      <c r="B32" s="16" t="n">
        <v>99904</v>
      </c>
      <c r="C32" s="21" t="s">
        <v>617</v>
      </c>
      <c r="D32" s="21" t="s">
        <v>618</v>
      </c>
      <c r="E32" s="16" t="n">
        <v>1</v>
      </c>
      <c r="F32" s="16" t="n">
        <v>0</v>
      </c>
      <c r="G32" s="16" t="n">
        <v>0</v>
      </c>
      <c r="H32" s="27"/>
      <c r="I32" s="27"/>
      <c r="J32" s="27"/>
      <c r="K32" s="40" t="n">
        <f aca="false">SUM(E32:J32)</f>
        <v>1</v>
      </c>
    </row>
    <row r="33" customFormat="false" ht="12.75" hidden="false" customHeight="true" outlineLevel="0" collapsed="false">
      <c r="A33" s="16" t="n">
        <v>32</v>
      </c>
      <c r="B33" s="37" t="n">
        <v>107134</v>
      </c>
      <c r="C33" s="38" t="s">
        <v>619</v>
      </c>
      <c r="D33" s="38" t="s">
        <v>620</v>
      </c>
      <c r="E33" s="16" t="n">
        <v>0</v>
      </c>
      <c r="F33" s="16" t="n">
        <v>1</v>
      </c>
      <c r="G33" s="16" t="n">
        <v>0</v>
      </c>
      <c r="H33" s="27" t="n">
        <v>0</v>
      </c>
      <c r="I33" s="27" t="n">
        <v>0</v>
      </c>
      <c r="J33" s="27" t="n">
        <v>0</v>
      </c>
      <c r="K33" s="40" t="n">
        <f aca="false">SUM(E33:J33)</f>
        <v>1</v>
      </c>
    </row>
    <row r="34" customFormat="false" ht="12.75" hidden="false" customHeight="true" outlineLevel="0" collapsed="false">
      <c r="A34" s="16" t="n">
        <v>33</v>
      </c>
      <c r="B34" s="42" t="n">
        <v>12362</v>
      </c>
      <c r="C34" s="21" t="s">
        <v>199</v>
      </c>
      <c r="D34" s="21" t="s">
        <v>621</v>
      </c>
      <c r="E34" s="16" t="n">
        <v>0</v>
      </c>
      <c r="F34" s="16" t="n">
        <v>0</v>
      </c>
      <c r="G34" s="16" t="n">
        <v>0</v>
      </c>
      <c r="H34" s="27" t="n">
        <v>1</v>
      </c>
      <c r="I34" s="27" t="n">
        <v>0</v>
      </c>
      <c r="J34" s="27" t="n">
        <v>0</v>
      </c>
      <c r="K34" s="40" t="n">
        <f aca="false">SUM(E34:J34)</f>
        <v>1</v>
      </c>
    </row>
    <row r="35" customFormat="false" ht="12.75" hidden="false" customHeight="true" outlineLevel="0" collapsed="false">
      <c r="A35" s="16" t="n">
        <v>34</v>
      </c>
      <c r="B35" s="2" t="n">
        <v>107129</v>
      </c>
      <c r="C35" s="21" t="s">
        <v>622</v>
      </c>
      <c r="D35" s="21" t="s">
        <v>501</v>
      </c>
      <c r="E35" s="16" t="n">
        <v>0</v>
      </c>
      <c r="F35" s="16" t="n">
        <v>1</v>
      </c>
      <c r="G35" s="16" t="n">
        <v>0</v>
      </c>
      <c r="H35" s="27"/>
      <c r="I35" s="27"/>
      <c r="J35" s="27"/>
      <c r="K35" s="40" t="n">
        <f aca="false">SUM(E35:J35)</f>
        <v>1</v>
      </c>
    </row>
    <row r="36" customFormat="false" ht="12.75" hidden="false" customHeight="true" outlineLevel="0" collapsed="false">
      <c r="A36" s="16" t="n">
        <v>35</v>
      </c>
      <c r="B36" s="37" t="n">
        <v>231894</v>
      </c>
      <c r="C36" s="38" t="s">
        <v>584</v>
      </c>
      <c r="D36" s="38" t="s">
        <v>611</v>
      </c>
      <c r="E36" s="16" t="n">
        <v>0</v>
      </c>
      <c r="F36" s="16" t="n">
        <v>1</v>
      </c>
      <c r="G36" s="16" t="n">
        <v>0</v>
      </c>
      <c r="H36" s="27" t="n">
        <v>0</v>
      </c>
      <c r="I36" s="27" t="n">
        <v>0</v>
      </c>
      <c r="J36" s="27" t="n">
        <v>0</v>
      </c>
      <c r="K36" s="40" t="n">
        <f aca="false">SUM(E36:J36)</f>
        <v>1</v>
      </c>
    </row>
    <row r="37" customFormat="false" ht="12.75" hidden="false" customHeight="true" outlineLevel="0" collapsed="false">
      <c r="A37" s="16" t="n">
        <v>36</v>
      </c>
      <c r="B37" s="16" t="n">
        <v>231453</v>
      </c>
      <c r="C37" s="21" t="s">
        <v>623</v>
      </c>
      <c r="D37" s="21" t="s">
        <v>624</v>
      </c>
      <c r="E37" s="16" t="n">
        <v>0</v>
      </c>
      <c r="F37" s="16" t="n">
        <v>0</v>
      </c>
      <c r="G37" s="16" t="n">
        <v>0</v>
      </c>
      <c r="H37" s="27"/>
      <c r="I37" s="27"/>
      <c r="J37" s="27"/>
      <c r="K37" s="40" t="n">
        <f aca="false">SUM(E37:J37)</f>
        <v>0</v>
      </c>
    </row>
    <row r="38" customFormat="false" ht="12.75" hidden="false" customHeight="true" outlineLevel="0" collapsed="false">
      <c r="A38" s="16" t="n">
        <v>37</v>
      </c>
      <c r="B38" s="16" t="n">
        <v>231689</v>
      </c>
      <c r="C38" s="21" t="s">
        <v>625</v>
      </c>
      <c r="D38" s="21" t="s">
        <v>626</v>
      </c>
      <c r="E38" s="16" t="n">
        <v>0</v>
      </c>
      <c r="F38" s="16" t="n">
        <v>0</v>
      </c>
      <c r="G38" s="16" t="n">
        <v>0</v>
      </c>
      <c r="H38" s="27"/>
      <c r="I38" s="27"/>
      <c r="J38" s="27"/>
      <c r="K38" s="40" t="n">
        <f aca="false">SUM(E38:J38)</f>
        <v>0</v>
      </c>
    </row>
    <row r="39" customFormat="false" ht="12.75" hidden="false" customHeight="true" outlineLevel="0" collapsed="false">
      <c r="A39" s="16" t="n">
        <v>38</v>
      </c>
      <c r="B39" s="16" t="n">
        <v>107140</v>
      </c>
      <c r="C39" s="21" t="s">
        <v>121</v>
      </c>
      <c r="D39" s="21" t="s">
        <v>627</v>
      </c>
      <c r="E39" s="16" t="n">
        <v>0</v>
      </c>
      <c r="F39" s="16" t="n">
        <v>0</v>
      </c>
      <c r="G39" s="16" t="n">
        <v>0</v>
      </c>
      <c r="H39" s="27"/>
      <c r="I39" s="27"/>
      <c r="J39" s="27"/>
      <c r="K39" s="40" t="n">
        <f aca="false">SUM(E39:J39)</f>
        <v>0</v>
      </c>
    </row>
    <row r="40" customFormat="false" ht="12.75" hidden="false" customHeight="true" outlineLevel="0" collapsed="false">
      <c r="A40" s="16" t="n">
        <v>39</v>
      </c>
      <c r="B40" s="16" t="n">
        <v>99905</v>
      </c>
      <c r="C40" s="21" t="s">
        <v>39</v>
      </c>
      <c r="D40" s="21" t="s">
        <v>437</v>
      </c>
      <c r="E40" s="16" t="n">
        <v>0</v>
      </c>
      <c r="F40" s="16" t="n">
        <v>0</v>
      </c>
      <c r="G40" s="16" t="n">
        <v>0</v>
      </c>
      <c r="H40" s="27" t="n">
        <v>0</v>
      </c>
      <c r="I40" s="27" t="n">
        <v>0</v>
      </c>
      <c r="J40" s="27" t="n">
        <v>0</v>
      </c>
      <c r="K40" s="40" t="n">
        <f aca="false">SUM(E40:J40)</f>
        <v>0</v>
      </c>
    </row>
    <row r="41" customFormat="false" ht="12.75" hidden="false" customHeight="true" outlineLevel="0" collapsed="false">
      <c r="A41" s="16" t="n">
        <v>40</v>
      </c>
      <c r="B41" s="16" t="n">
        <v>99984</v>
      </c>
      <c r="C41" s="21" t="s">
        <v>473</v>
      </c>
      <c r="D41" s="21" t="s">
        <v>244</v>
      </c>
      <c r="E41" s="16" t="n">
        <v>0</v>
      </c>
      <c r="F41" s="16" t="n">
        <v>0</v>
      </c>
      <c r="G41" s="16" t="n">
        <v>0</v>
      </c>
      <c r="H41" s="27" t="n">
        <v>0</v>
      </c>
      <c r="I41" s="27" t="n">
        <v>0</v>
      </c>
      <c r="J41" s="27" t="n">
        <v>0</v>
      </c>
      <c r="K41" s="40" t="n">
        <f aca="false">SUM(E41:J41)</f>
        <v>0</v>
      </c>
    </row>
    <row r="42" customFormat="false" ht="12.75" hidden="false" customHeight="true" outlineLevel="0" collapsed="false">
      <c r="A42" s="16" t="n">
        <v>41</v>
      </c>
      <c r="B42" s="16" t="n">
        <v>206202</v>
      </c>
      <c r="C42" s="21" t="s">
        <v>628</v>
      </c>
      <c r="D42" s="21" t="s">
        <v>629</v>
      </c>
      <c r="E42" s="16" t="n">
        <v>0</v>
      </c>
      <c r="F42" s="16" t="n">
        <v>0</v>
      </c>
      <c r="G42" s="16" t="n">
        <v>0</v>
      </c>
      <c r="H42" s="27"/>
      <c r="I42" s="27"/>
      <c r="J42" s="27"/>
      <c r="K42" s="40" t="n">
        <f aca="false">SUM(E42:J42)</f>
        <v>0</v>
      </c>
    </row>
    <row r="43" customFormat="false" ht="12.75" hidden="false" customHeight="true" outlineLevel="0" collapsed="false">
      <c r="A43" s="16" t="n">
        <v>42</v>
      </c>
      <c r="B43" s="16" t="n">
        <v>107130</v>
      </c>
      <c r="C43" s="43" t="s">
        <v>630</v>
      </c>
      <c r="D43" s="21" t="s">
        <v>631</v>
      </c>
      <c r="E43" s="16" t="n">
        <v>0</v>
      </c>
      <c r="F43" s="16" t="n">
        <v>0</v>
      </c>
      <c r="G43" s="16" t="n">
        <v>0</v>
      </c>
      <c r="H43" s="27"/>
      <c r="I43" s="27"/>
      <c r="J43" s="27"/>
      <c r="K43" s="40" t="n">
        <f aca="false">SUM(E43:J43)</f>
        <v>0</v>
      </c>
    </row>
    <row r="44" customFormat="false" ht="12.75" hidden="false" customHeight="true" outlineLevel="0" collapsed="false">
      <c r="A44" s="16" t="n">
        <v>43</v>
      </c>
      <c r="B44" s="37" t="n">
        <v>107150</v>
      </c>
      <c r="C44" s="38" t="s">
        <v>632</v>
      </c>
      <c r="D44" s="38" t="s">
        <v>633</v>
      </c>
      <c r="E44" s="16" t="n">
        <v>0</v>
      </c>
      <c r="F44" s="16" t="n">
        <v>0</v>
      </c>
      <c r="G44" s="16" t="n">
        <v>0</v>
      </c>
      <c r="H44" s="27"/>
      <c r="I44" s="27"/>
      <c r="J44" s="27"/>
      <c r="K44" s="40" t="n">
        <f aca="false">SUM(E44:J44)</f>
        <v>0</v>
      </c>
    </row>
    <row r="45" customFormat="false" ht="12.75" hidden="false" customHeight="true" outlineLevel="0" collapsed="false">
      <c r="A45" s="16" t="n">
        <v>44</v>
      </c>
      <c r="B45" s="16" t="n">
        <v>177455</v>
      </c>
      <c r="C45" s="21" t="s">
        <v>634</v>
      </c>
      <c r="D45" s="21" t="s">
        <v>101</v>
      </c>
      <c r="E45" s="16" t="n">
        <v>0</v>
      </c>
      <c r="F45" s="16" t="n">
        <v>0</v>
      </c>
      <c r="G45" s="16" t="n">
        <v>0</v>
      </c>
      <c r="H45" s="27" t="n">
        <v>0</v>
      </c>
      <c r="I45" s="27" t="n">
        <v>0</v>
      </c>
      <c r="J45" s="27" t="n">
        <v>0</v>
      </c>
      <c r="K45" s="40" t="n">
        <f aca="false">SUM(E45:J45)</f>
        <v>0</v>
      </c>
    </row>
    <row r="46" customFormat="false" ht="12.75" hidden="false" customHeight="true" outlineLevel="0" collapsed="false">
      <c r="A46" s="16" t="n">
        <v>45</v>
      </c>
      <c r="B46" s="44" t="n">
        <v>103908</v>
      </c>
      <c r="C46" s="21" t="s">
        <v>430</v>
      </c>
      <c r="D46" s="21" t="s">
        <v>635</v>
      </c>
      <c r="E46" s="16" t="n">
        <v>0</v>
      </c>
      <c r="F46" s="16" t="n">
        <v>0</v>
      </c>
      <c r="G46" s="16" t="n">
        <v>0</v>
      </c>
      <c r="H46" s="27" t="n">
        <v>0</v>
      </c>
      <c r="I46" s="27" t="n">
        <v>0</v>
      </c>
      <c r="J46" s="27" t="n">
        <v>0</v>
      </c>
      <c r="K46" s="40" t="n">
        <f aca="false">SUM(E46:J46)</f>
        <v>0</v>
      </c>
    </row>
    <row r="47" customFormat="false" ht="12.75" hidden="false" customHeight="true" outlineLevel="0" collapsed="false">
      <c r="A47" s="16" t="n">
        <v>46</v>
      </c>
      <c r="B47" s="16" t="n">
        <v>231460</v>
      </c>
      <c r="C47" s="45" t="s">
        <v>636</v>
      </c>
      <c r="D47" s="21" t="s">
        <v>637</v>
      </c>
      <c r="E47" s="16" t="n">
        <v>0</v>
      </c>
      <c r="F47" s="16" t="n">
        <v>0</v>
      </c>
      <c r="G47" s="16" t="n">
        <v>0</v>
      </c>
      <c r="H47" s="27"/>
      <c r="I47" s="27"/>
      <c r="J47" s="27"/>
      <c r="K47" s="40" t="n">
        <f aca="false">SUM(E47:J47)</f>
        <v>0</v>
      </c>
    </row>
    <row r="48" customFormat="false" ht="12.75" hidden="false" customHeight="true" outlineLevel="0" collapsed="false">
      <c r="A48" s="16" t="n">
        <v>47</v>
      </c>
      <c r="B48" s="37" t="n">
        <v>107145</v>
      </c>
      <c r="C48" s="46" t="s">
        <v>121</v>
      </c>
      <c r="D48" s="38" t="s">
        <v>501</v>
      </c>
      <c r="E48" s="16" t="n">
        <v>0</v>
      </c>
      <c r="F48" s="16" t="n">
        <v>0</v>
      </c>
      <c r="G48" s="16" t="n">
        <v>0</v>
      </c>
      <c r="H48" s="27"/>
      <c r="I48" s="27"/>
      <c r="J48" s="27"/>
      <c r="K48" s="40" t="n">
        <f aca="false">SUM(E48:J48)</f>
        <v>0</v>
      </c>
    </row>
    <row r="49" customFormat="false" ht="12.75" hidden="false" customHeight="true" outlineLevel="0" collapsed="false">
      <c r="A49" s="16" t="n">
        <v>48</v>
      </c>
      <c r="B49" s="47"/>
      <c r="C49" s="45" t="s">
        <v>638</v>
      </c>
      <c r="D49" s="21" t="s">
        <v>639</v>
      </c>
      <c r="E49" s="16" t="n">
        <v>0</v>
      </c>
      <c r="F49" s="16" t="n">
        <v>0</v>
      </c>
      <c r="G49" s="16" t="n">
        <v>0</v>
      </c>
      <c r="H49" s="27"/>
      <c r="I49" s="27"/>
      <c r="J49" s="27"/>
      <c r="K49" s="40" t="n">
        <f aca="false">SUM(E49:J49)</f>
        <v>0</v>
      </c>
    </row>
    <row r="50" customFormat="false" ht="12.75" hidden="false" customHeight="true" outlineLevel="0" collapsed="false">
      <c r="A50" s="16" t="n">
        <v>49</v>
      </c>
      <c r="B50" s="47"/>
      <c r="C50" s="46" t="s">
        <v>640</v>
      </c>
      <c r="D50" s="38" t="s">
        <v>641</v>
      </c>
      <c r="E50" s="16"/>
      <c r="F50" s="16"/>
      <c r="G50" s="16"/>
      <c r="H50" s="27" t="n">
        <v>0</v>
      </c>
      <c r="I50" s="27" t="n">
        <v>0</v>
      </c>
      <c r="J50" s="27" t="n">
        <v>0</v>
      </c>
      <c r="K50" s="40" t="n">
        <f aca="false">SUM(E50:J50)</f>
        <v>0</v>
      </c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3" min="3" style="48" width="30.14"/>
  </cols>
  <sheetData>
    <row r="1" customFormat="false" ht="12.75" hidden="false" customHeight="false" outlineLevel="0" collapsed="false">
      <c r="A1" s="48" t="s">
        <v>642</v>
      </c>
    </row>
    <row r="2" customFormat="false" ht="12.75" hidden="false" customHeight="false" outlineLevel="0" collapsed="false">
      <c r="A2" s="48" t="s">
        <v>643</v>
      </c>
      <c r="C2" s="48" t="s">
        <v>644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/>
  <dc:description/>
  <dc:language>en-US</dc:language>
  <cp:lastModifiedBy/>
  <dcterms:modified xsi:type="dcterms:W3CDTF">2025-12-24T13:44:28Z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