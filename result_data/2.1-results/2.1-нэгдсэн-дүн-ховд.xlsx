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С ангилал" sheetId="1" state="visible" r:id="rId3"/>
    <sheet name="D ангилал" sheetId="2" state="visible" r:id="rId4"/>
    <sheet name="E ангилал" sheetId="3" state="visible" r:id="rId5"/>
    <sheet name="F ангилал" sheetId="4" state="visible" r:id="rId6"/>
    <sheet name="S ангилал" sheetId="5" state="visible" r:id="rId7"/>
    <sheet name="T ангилал" sheetId="6" state="visible" r:id="rId8"/>
    <sheet name="Мэдээлэл" sheetId="7" state="visible" r:id="rId9"/>
  </sheets>
  <externalReferences>
    <externalReference r:id="rId10"/>
  </externalReferenc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<sst xmlns="http://schemas.openxmlformats.org/spreadsheetml/2006/main" count="932" uniqueCount="642">
  <si>
    <t xml:space="preserve">№</t>
  </si>
  <si>
    <t xml:space="preserve">ID</t>
  </si>
  <si>
    <t xml:space="preserve">Овог</t>
  </si>
  <si>
    <t xml:space="preserve">Нэр</t>
  </si>
  <si>
    <t xml:space="preserve"> №1</t>
  </si>
  <si>
    <t xml:space="preserve"> №2</t>
  </si>
  <si>
    <t xml:space="preserve"> №3</t>
  </si>
  <si>
    <t xml:space="preserve"> №4</t>
  </si>
  <si>
    <t xml:space="preserve">Нийт</t>
  </si>
  <si>
    <t xml:space="preserve">Чингүүн</t>
  </si>
  <si>
    <t xml:space="preserve">Төмөрхүү</t>
  </si>
  <si>
    <t xml:space="preserve">Тэлмэнсайхан</t>
  </si>
  <si>
    <t xml:space="preserve">Энхмөнх</t>
  </si>
  <si>
    <t xml:space="preserve">Энхнаран</t>
  </si>
  <si>
    <t xml:space="preserve">Хишигжаргал</t>
  </si>
  <si>
    <t xml:space="preserve">Мөнгөнбаатар</t>
  </si>
  <si>
    <t xml:space="preserve">Баянхүү</t>
  </si>
  <si>
    <t xml:space="preserve">Идэржавхлан</t>
  </si>
  <si>
    <t xml:space="preserve">Даваасүрэн</t>
  </si>
  <si>
    <t xml:space="preserve">Тэмүүжин</t>
  </si>
  <si>
    <t xml:space="preserve">Ганзориг</t>
  </si>
  <si>
    <t xml:space="preserve">Номин</t>
  </si>
  <si>
    <t xml:space="preserve">Батзориг</t>
  </si>
  <si>
    <t xml:space="preserve">Ган-Очир</t>
  </si>
  <si>
    <t xml:space="preserve">Очирбат</t>
  </si>
  <si>
    <t xml:space="preserve">Жанерке</t>
  </si>
  <si>
    <t xml:space="preserve">Хойчбай</t>
  </si>
  <si>
    <t xml:space="preserve">Энгүүн</t>
  </si>
  <si>
    <t xml:space="preserve">Баасандорж</t>
  </si>
  <si>
    <t xml:space="preserve">Дөлгөөнмөрөн</t>
  </si>
  <si>
    <t xml:space="preserve">Бүрэнбат</t>
  </si>
  <si>
    <t xml:space="preserve">Нямдаваа</t>
  </si>
  <si>
    <t xml:space="preserve">Тулга</t>
  </si>
  <si>
    <t xml:space="preserve">Пүрэвсайхан</t>
  </si>
  <si>
    <t xml:space="preserve">Энхбаяр</t>
  </si>
  <si>
    <t xml:space="preserve">Баттөгөлдөр</t>
  </si>
  <si>
    <t xml:space="preserve">А</t>
  </si>
  <si>
    <t xml:space="preserve">Билэг-Энэрэл</t>
  </si>
  <si>
    <t xml:space="preserve">Амгалан</t>
  </si>
  <si>
    <t xml:space="preserve">Ганболд</t>
  </si>
  <si>
    <t xml:space="preserve">Идэрмөнх</t>
  </si>
  <si>
    <t xml:space="preserve">Энхтайван</t>
  </si>
  <si>
    <t xml:space="preserve">Аялгуу</t>
  </si>
  <si>
    <t xml:space="preserve">Даваадорж</t>
  </si>
  <si>
    <t xml:space="preserve">Бүжинлхам</t>
  </si>
  <si>
    <t xml:space="preserve">Баттөр</t>
  </si>
  <si>
    <t xml:space="preserve">Ганцэцэг</t>
  </si>
  <si>
    <t xml:space="preserve">Саруул</t>
  </si>
  <si>
    <t xml:space="preserve">Мандахцолмон</t>
  </si>
  <si>
    <t xml:space="preserve">Буяннэмэх</t>
  </si>
  <si>
    <t xml:space="preserve">Азбилэг</t>
  </si>
  <si>
    <t xml:space="preserve">Хүрэлбаатар</t>
  </si>
  <si>
    <t xml:space="preserve">Гансүлд.</t>
  </si>
  <si>
    <t xml:space="preserve">Өсөхбаяр</t>
  </si>
  <si>
    <t xml:space="preserve">Сайнжаргал</t>
  </si>
  <si>
    <t xml:space="preserve">Гансүлд</t>
  </si>
  <si>
    <t xml:space="preserve">Батбуян</t>
  </si>
  <si>
    <t xml:space="preserve">Гэрэлт-Од</t>
  </si>
  <si>
    <t xml:space="preserve">Цогбадрах</t>
  </si>
  <si>
    <t xml:space="preserve">Уянга.</t>
  </si>
  <si>
    <t xml:space="preserve">Баярсайхан</t>
  </si>
  <si>
    <t xml:space="preserve">Онон</t>
  </si>
  <si>
    <t xml:space="preserve">Батсүх</t>
  </si>
  <si>
    <t xml:space="preserve">Гэрэлт-Оч</t>
  </si>
  <si>
    <t xml:space="preserve">Рэнцэнпүрэв</t>
  </si>
  <si>
    <t xml:space="preserve">Сүлд-Эрдэнэ</t>
  </si>
  <si>
    <t xml:space="preserve">Норовсамбуу</t>
  </si>
  <si>
    <t xml:space="preserve">Элбэгсайхан</t>
  </si>
  <si>
    <t xml:space="preserve">Цогоо</t>
  </si>
  <si>
    <t xml:space="preserve">Эрхэс</t>
  </si>
  <si>
    <t xml:space="preserve">Батхуяг</t>
  </si>
  <si>
    <t xml:space="preserve">Дүүрэнжаргал</t>
  </si>
  <si>
    <t xml:space="preserve">Даваажав</t>
  </si>
  <si>
    <t xml:space="preserve">Гэгээлэн</t>
  </si>
  <si>
    <t xml:space="preserve">Мөнхсүх</t>
  </si>
  <si>
    <t xml:space="preserve">Батсуурь</t>
  </si>
  <si>
    <t xml:space="preserve">Баясгалан</t>
  </si>
  <si>
    <t xml:space="preserve">Бямбабаяр</t>
  </si>
  <si>
    <t xml:space="preserve">Батхүрэл</t>
  </si>
  <si>
    <t xml:space="preserve">Жаргалан</t>
  </si>
  <si>
    <t xml:space="preserve">Батгэрэл</t>
  </si>
  <si>
    <t xml:space="preserve">Балжинням</t>
  </si>
  <si>
    <t xml:space="preserve">Аминхүслэн</t>
  </si>
  <si>
    <t xml:space="preserve">Баярхүү</t>
  </si>
  <si>
    <t xml:space="preserve">Тэнүүн</t>
  </si>
  <si>
    <t xml:space="preserve">Энхбаатар</t>
  </si>
  <si>
    <t xml:space="preserve">Энхшүр</t>
  </si>
  <si>
    <t xml:space="preserve">Амарсайхан</t>
  </si>
  <si>
    <t xml:space="preserve">Агьмарал</t>
  </si>
  <si>
    <t xml:space="preserve">Хүрэлцоож</t>
  </si>
  <si>
    <t xml:space="preserve">Ариунбат</t>
  </si>
  <si>
    <t xml:space="preserve">Ариунболд</t>
  </si>
  <si>
    <t xml:space="preserve">Энх-Эрдэнэ</t>
  </si>
  <si>
    <t xml:space="preserve">Мөнгөнхүү</t>
  </si>
  <si>
    <t xml:space="preserve">Оргил</t>
  </si>
  <si>
    <t xml:space="preserve">Нямсүрэн</t>
  </si>
  <si>
    <t xml:space="preserve">Галцог</t>
  </si>
  <si>
    <t xml:space="preserve">Даваасүх</t>
  </si>
  <si>
    <t xml:space="preserve">Ану</t>
  </si>
  <si>
    <t xml:space="preserve">Төрболд.</t>
  </si>
  <si>
    <t xml:space="preserve">Золзаяа</t>
  </si>
  <si>
    <t xml:space="preserve">Баянмөнх</t>
  </si>
  <si>
    <t xml:space="preserve">Сарангоо</t>
  </si>
  <si>
    <t xml:space="preserve">Болорсүх</t>
  </si>
  <si>
    <t xml:space="preserve">Цэрэнтогтох</t>
  </si>
  <si>
    <t xml:space="preserve">Хатанбаатар</t>
  </si>
  <si>
    <t xml:space="preserve">Төгсаялгуу</t>
  </si>
  <si>
    <t xml:space="preserve">Шинэ-Оргил</t>
  </si>
  <si>
    <t xml:space="preserve">Цэцэгмаа</t>
  </si>
  <si>
    <t xml:space="preserve">Бат-Ерөөлт</t>
  </si>
  <si>
    <t xml:space="preserve">Цоожхүүгийн</t>
  </si>
  <si>
    <t xml:space="preserve">Энхжин</t>
  </si>
  <si>
    <t xml:space="preserve">Сүхболд</t>
  </si>
  <si>
    <t xml:space="preserve">Дорждэрэм</t>
  </si>
  <si>
    <t xml:space="preserve">Батцэцэг</t>
  </si>
  <si>
    <t xml:space="preserve">Хадбаатар</t>
  </si>
  <si>
    <t xml:space="preserve">Галсандаваа</t>
  </si>
  <si>
    <t xml:space="preserve">Бүтэхбаяр</t>
  </si>
  <si>
    <t xml:space="preserve">Есү</t>
  </si>
  <si>
    <t xml:space="preserve">Тогтуунхүслэн</t>
  </si>
  <si>
    <t xml:space="preserve">Балдорж</t>
  </si>
  <si>
    <t xml:space="preserve">Гарьд</t>
  </si>
  <si>
    <t xml:space="preserve">Сугарбаяр</t>
  </si>
  <si>
    <t xml:space="preserve">Эрдэнэбаатар</t>
  </si>
  <si>
    <t xml:space="preserve">Баасанжав</t>
  </si>
  <si>
    <t xml:space="preserve">Мөнхбилэг</t>
  </si>
  <si>
    <t xml:space="preserve">Золбаяр</t>
  </si>
  <si>
    <t xml:space="preserve">Санчир</t>
  </si>
  <si>
    <t xml:space="preserve">Ганбаяр</t>
  </si>
  <si>
    <t xml:space="preserve">Очирсүлд</t>
  </si>
  <si>
    <t xml:space="preserve">Баатарсайхан</t>
  </si>
  <si>
    <t xml:space="preserve">Анандзаяа</t>
  </si>
  <si>
    <t xml:space="preserve">Мөнх-Очир</t>
  </si>
  <si>
    <t xml:space="preserve">Учрал</t>
  </si>
  <si>
    <t xml:space="preserve">Амарбаясгалан</t>
  </si>
  <si>
    <t xml:space="preserve">Төрмандах</t>
  </si>
  <si>
    <t xml:space="preserve">Санжмятав</t>
  </si>
  <si>
    <t xml:space="preserve">Нуртыле</t>
  </si>
  <si>
    <t xml:space="preserve">Керекбай</t>
  </si>
  <si>
    <t xml:space="preserve">Сарангуа</t>
  </si>
  <si>
    <t xml:space="preserve">Мөнхжаргал</t>
  </si>
  <si>
    <t xml:space="preserve">Ган-Эрдэнэ</t>
  </si>
  <si>
    <t xml:space="preserve">Ухаалаг</t>
  </si>
  <si>
    <t xml:space="preserve">Буяндэлгэр</t>
  </si>
  <si>
    <t xml:space="preserve">Үлэмжид</t>
  </si>
  <si>
    <t xml:space="preserve">Нямтулга</t>
  </si>
  <si>
    <t xml:space="preserve">Сулушаш</t>
  </si>
  <si>
    <t xml:space="preserve">Есенкелсин</t>
  </si>
  <si>
    <t xml:space="preserve">Оргилболд</t>
  </si>
  <si>
    <t xml:space="preserve">Мягмар</t>
  </si>
  <si>
    <t xml:space="preserve">Амгаланбаатар</t>
  </si>
  <si>
    <t xml:space="preserve">Жамъяндагва</t>
  </si>
  <si>
    <t xml:space="preserve">Сайнцаг</t>
  </si>
  <si>
    <t xml:space="preserve">Адьяабаатар</t>
  </si>
  <si>
    <t xml:space="preserve">Тэмүүлэн</t>
  </si>
  <si>
    <t xml:space="preserve">Батжаргал</t>
  </si>
  <si>
    <t xml:space="preserve">Хулан</t>
  </si>
  <si>
    <t xml:space="preserve">Ням-Очир</t>
  </si>
  <si>
    <t xml:space="preserve">Хүслэн</t>
  </si>
  <si>
    <t xml:space="preserve">Мөнхтогтох</t>
  </si>
  <si>
    <t xml:space="preserve">Маргад</t>
  </si>
  <si>
    <t xml:space="preserve">Отгонмягмар</t>
  </si>
  <si>
    <t xml:space="preserve">Мөнхзул</t>
  </si>
  <si>
    <t xml:space="preserve">Мөнгөн-Эрдэнэ</t>
  </si>
  <si>
    <t xml:space="preserve">Мөнхзаяа</t>
  </si>
  <si>
    <t xml:space="preserve">Өнөмөнх</t>
  </si>
  <si>
    <t xml:space="preserve">Амартүвшин</t>
  </si>
  <si>
    <t xml:space="preserve">Жавхлантөгс</t>
  </si>
  <si>
    <t xml:space="preserve">Гансүх</t>
  </si>
  <si>
    <t xml:space="preserve">Мөнхгал</t>
  </si>
  <si>
    <t xml:space="preserve">Батбаяр</t>
  </si>
  <si>
    <t xml:space="preserve">Наранбат</t>
  </si>
  <si>
    <t xml:space="preserve">Бат-Очир</t>
  </si>
  <si>
    <t xml:space="preserve">Энхжин.</t>
  </si>
  <si>
    <t xml:space="preserve">Мөнхзориг</t>
  </si>
  <si>
    <t xml:space="preserve">Энхжаргал</t>
  </si>
  <si>
    <t xml:space="preserve">Балт</t>
  </si>
  <si>
    <t xml:space="preserve">Ундрах</t>
  </si>
  <si>
    <t xml:space="preserve">Сайнбаяр</t>
  </si>
  <si>
    <t xml:space="preserve">Баяржавхлан</t>
  </si>
  <si>
    <t xml:space="preserve">Билгүүдэй</t>
  </si>
  <si>
    <t xml:space="preserve">Гэрэлбадрах</t>
  </si>
  <si>
    <t xml:space="preserve">Эрдэнэцэцэг</t>
  </si>
  <si>
    <t xml:space="preserve">Мөнгөншагай</t>
  </si>
  <si>
    <t xml:space="preserve">Сүлд-Од</t>
  </si>
  <si>
    <t xml:space="preserve">Алдар</t>
  </si>
  <si>
    <t xml:space="preserve">Дөлгөөнжаргал</t>
  </si>
  <si>
    <t xml:space="preserve">Доржсүрэн</t>
  </si>
  <si>
    <t xml:space="preserve">Тэгш-Эрдэнэ</t>
  </si>
  <si>
    <t xml:space="preserve">Жаргалтай</t>
  </si>
  <si>
    <t xml:space="preserve">Ананд</t>
  </si>
  <si>
    <t xml:space="preserve">Төгөлдөр</t>
  </si>
  <si>
    <t xml:space="preserve">Мягмаржав</t>
  </si>
  <si>
    <t xml:space="preserve">Мөнхцэцэг</t>
  </si>
  <si>
    <t xml:space="preserve">Жаминноров</t>
  </si>
  <si>
    <t xml:space="preserve">Түмэнцэцэг</t>
  </si>
  <si>
    <t xml:space="preserve">Билгүүн-Орших</t>
  </si>
  <si>
    <t xml:space="preserve">Биндэрьяа</t>
  </si>
  <si>
    <t xml:space="preserve">Батсайхан</t>
  </si>
  <si>
    <t xml:space="preserve">Сугар</t>
  </si>
  <si>
    <t xml:space="preserve">Ангирмаа</t>
  </si>
  <si>
    <t xml:space="preserve">Гантөмөр</t>
  </si>
  <si>
    <t xml:space="preserve">Өлзий-Учрал</t>
  </si>
  <si>
    <t xml:space="preserve">Бөхболд</t>
  </si>
  <si>
    <t xml:space="preserve">Оюундарь</t>
  </si>
  <si>
    <t xml:space="preserve">Энхболд</t>
  </si>
  <si>
    <t xml:space="preserve">Энхцоож</t>
  </si>
  <si>
    <t xml:space="preserve">Булгансайхан</t>
  </si>
  <si>
    <t xml:space="preserve">Оюунбаатар</t>
  </si>
  <si>
    <t xml:space="preserve">Энхбат</t>
  </si>
  <si>
    <t xml:space="preserve">Энхриймаа</t>
  </si>
  <si>
    <t xml:space="preserve">Даваа</t>
  </si>
  <si>
    <t xml:space="preserve">Оюунболд</t>
  </si>
  <si>
    <t xml:space="preserve">Хулангоо</t>
  </si>
  <si>
    <t xml:space="preserve">Анир-Орших</t>
  </si>
  <si>
    <t xml:space="preserve">Эрдэнэдалай</t>
  </si>
  <si>
    <t xml:space="preserve">Гончигсүрэн</t>
  </si>
  <si>
    <t xml:space="preserve">Ариун-Эрдэнэ</t>
  </si>
  <si>
    <t xml:space="preserve">Мэндбаяр</t>
  </si>
  <si>
    <t xml:space="preserve">Отгонбаяр</t>
  </si>
  <si>
    <t xml:space="preserve">Төртогтох</t>
  </si>
  <si>
    <t xml:space="preserve">Золжаргал</t>
  </si>
  <si>
    <t xml:space="preserve">Ганболор</t>
  </si>
  <si>
    <t xml:space="preserve">Намжилдорж</t>
  </si>
  <si>
    <t xml:space="preserve">Энхбилгүүн</t>
  </si>
  <si>
    <t xml:space="preserve">Жамъян-Осор</t>
  </si>
  <si>
    <t xml:space="preserve">Анурад</t>
  </si>
  <si>
    <t xml:space="preserve">Наранзаяа</t>
  </si>
  <si>
    <t xml:space="preserve">Эрхсаран</t>
  </si>
  <si>
    <t xml:space="preserve">Бадрал</t>
  </si>
  <si>
    <t xml:space="preserve">Нармандах</t>
  </si>
  <si>
    <t xml:space="preserve">Ууганбаяр</t>
  </si>
  <si>
    <t xml:space="preserve">Цагаандалай</t>
  </si>
  <si>
    <t xml:space="preserve">Энх-Амгалан</t>
  </si>
  <si>
    <t xml:space="preserve">Энхтүвшин</t>
  </si>
  <si>
    <t xml:space="preserve">Гантулга</t>
  </si>
  <si>
    <t xml:space="preserve">Мянганбаяр</t>
  </si>
  <si>
    <t xml:space="preserve">Одонхүү</t>
  </si>
  <si>
    <t xml:space="preserve">Цэлмэг</t>
  </si>
  <si>
    <t xml:space="preserve">Энхзаяа</t>
  </si>
  <si>
    <t xml:space="preserve">Алтансүх</t>
  </si>
  <si>
    <t xml:space="preserve">Бүрэнтөгс</t>
  </si>
  <si>
    <t xml:space="preserve">Балчиг</t>
  </si>
  <si>
    <t xml:space="preserve">Сүх-Очир</t>
  </si>
  <si>
    <t xml:space="preserve">Цэен-Ойдов</t>
  </si>
  <si>
    <t xml:space="preserve">Хосбилэг</t>
  </si>
  <si>
    <t xml:space="preserve">Ганцогт</t>
  </si>
  <si>
    <t xml:space="preserve">Аюурзана</t>
  </si>
  <si>
    <t xml:space="preserve">Бямбадорж</t>
  </si>
  <si>
    <t xml:space="preserve">Мижиддорж</t>
  </si>
  <si>
    <t xml:space="preserve">Бадмаараг</t>
  </si>
  <si>
    <t xml:space="preserve">Баатаржав</t>
  </si>
  <si>
    <t xml:space="preserve">Амина</t>
  </si>
  <si>
    <t xml:space="preserve">Хайртмөнх</t>
  </si>
  <si>
    <t xml:space="preserve">Нансалмаа</t>
  </si>
  <si>
    <t xml:space="preserve">Аружан</t>
  </si>
  <si>
    <t xml:space="preserve">Ерлан</t>
  </si>
  <si>
    <t xml:space="preserve">Анужин</t>
  </si>
  <si>
    <t xml:space="preserve">Энхманлай</t>
  </si>
  <si>
    <t xml:space="preserve">Баярдалай</t>
  </si>
  <si>
    <t xml:space="preserve">Батмөнх</t>
  </si>
  <si>
    <t xml:space="preserve">Олзжаргал</t>
  </si>
  <si>
    <t xml:space="preserve">Эрхэмбэлгэ</t>
  </si>
  <si>
    <t xml:space="preserve">Ариунболор</t>
  </si>
  <si>
    <t xml:space="preserve">Итгэл</t>
  </si>
  <si>
    <t xml:space="preserve">Магсар</t>
  </si>
  <si>
    <t xml:space="preserve">Оюун-Ундрал</t>
  </si>
  <si>
    <t xml:space="preserve">Алтанзул</t>
  </si>
  <si>
    <t xml:space="preserve">Далай</t>
  </si>
  <si>
    <t xml:space="preserve">Цагаандаваа</t>
  </si>
  <si>
    <t xml:space="preserve">Батням</t>
  </si>
  <si>
    <t xml:space="preserve">Элбэгзаяа</t>
  </si>
  <si>
    <t xml:space="preserve">Төмөрчөдөр</t>
  </si>
  <si>
    <t xml:space="preserve">Ганбаатар</t>
  </si>
  <si>
    <t xml:space="preserve">Халиун</t>
  </si>
  <si>
    <t xml:space="preserve">Жаргалдалай</t>
  </si>
  <si>
    <t xml:space="preserve">Оюунхорол</t>
  </si>
  <si>
    <t xml:space="preserve">Чулуунцэцэг</t>
  </si>
  <si>
    <t xml:space="preserve">Хишигмаа</t>
  </si>
  <si>
    <t xml:space="preserve">Эрдэнэбилэг</t>
  </si>
  <si>
    <t xml:space="preserve">Өнөмөнхлэй</t>
  </si>
  <si>
    <t xml:space="preserve">Ижилзаяа</t>
  </si>
  <si>
    <t xml:space="preserve">Манлай</t>
  </si>
  <si>
    <t xml:space="preserve">Мөнхбат</t>
  </si>
  <si>
    <t xml:space="preserve">Алтанхүү</t>
  </si>
  <si>
    <t xml:space="preserve">Цэвээнжаргал</t>
  </si>
  <si>
    <t xml:space="preserve">Алтанхуяг</t>
  </si>
  <si>
    <t xml:space="preserve">Ану-Үжин</t>
  </si>
  <si>
    <t xml:space="preserve">Лхагвасүрэн</t>
  </si>
  <si>
    <t xml:space="preserve">Буяндалай</t>
  </si>
  <si>
    <t xml:space="preserve">Амин-Эрдэнэ</t>
  </si>
  <si>
    <t xml:space="preserve">Мөнхбаатар</t>
  </si>
  <si>
    <t xml:space="preserve">Минжин</t>
  </si>
  <si>
    <t xml:space="preserve">Биндэръяа</t>
  </si>
  <si>
    <t xml:space="preserve">Бямбасэрж</t>
  </si>
  <si>
    <t xml:space="preserve">Нарсүмбэ</t>
  </si>
  <si>
    <t xml:space="preserve">Бат-Ирээдүй</t>
  </si>
  <si>
    <t xml:space="preserve">Баатарсүрэн</t>
  </si>
  <si>
    <t xml:space="preserve">Тэлмүүн</t>
  </si>
  <si>
    <t xml:space="preserve">Эрдэнэ</t>
  </si>
  <si>
    <t xml:space="preserve">Оюунбилэг</t>
  </si>
  <si>
    <t xml:space="preserve">Сүхбаатар</t>
  </si>
  <si>
    <t xml:space="preserve">Төвсайхан</t>
  </si>
  <si>
    <t xml:space="preserve">Хонгорзул</t>
  </si>
  <si>
    <t xml:space="preserve">Идэр</t>
  </si>
  <si>
    <t xml:space="preserve">Аззаяа</t>
  </si>
  <si>
    <t xml:space="preserve">Анхилуун</t>
  </si>
  <si>
    <t xml:space="preserve">Доржпүрэв</t>
  </si>
  <si>
    <t xml:space="preserve">Соёлтогтох</t>
  </si>
  <si>
    <t xml:space="preserve">Баттулга</t>
  </si>
  <si>
    <t xml:space="preserve">Дэлгэр</t>
  </si>
  <si>
    <t xml:space="preserve">Ариунцэцэг</t>
  </si>
  <si>
    <t xml:space="preserve">Ганцоож</t>
  </si>
  <si>
    <t xml:space="preserve">Мягмарсүрэн</t>
  </si>
  <si>
    <t xml:space="preserve">Отгоншар</t>
  </si>
  <si>
    <t xml:space="preserve">Цэцэгбал</t>
  </si>
  <si>
    <t xml:space="preserve">Цэнд-Аюуш</t>
  </si>
  <si>
    <t xml:space="preserve">Ялгуунсар</t>
  </si>
  <si>
    <t xml:space="preserve">Гүлнур</t>
  </si>
  <si>
    <t xml:space="preserve">Айтуган</t>
  </si>
  <si>
    <t xml:space="preserve">Бадамцэцэг</t>
  </si>
  <si>
    <t xml:space="preserve">Энэрэл</t>
  </si>
  <si>
    <t xml:space="preserve">Баяржаргал</t>
  </si>
  <si>
    <t xml:space="preserve">Цэнгүүн</t>
  </si>
  <si>
    <t xml:space="preserve">Баяр Угтах</t>
  </si>
  <si>
    <t xml:space="preserve">Түмэнжаргал</t>
  </si>
  <si>
    <t xml:space="preserve">Лхагвадорж</t>
  </si>
  <si>
    <t xml:space="preserve">Сэргэлэн</t>
  </si>
  <si>
    <t xml:space="preserve">Тайванжаргал</t>
  </si>
  <si>
    <t xml:space="preserve">Хуяг-Очир</t>
  </si>
  <si>
    <t xml:space="preserve">Нурбулан</t>
  </si>
  <si>
    <t xml:space="preserve">Кенжебай</t>
  </si>
  <si>
    <t xml:space="preserve">Тамир</t>
  </si>
  <si>
    <t xml:space="preserve">Ариунзаяа</t>
  </si>
  <si>
    <t xml:space="preserve">Салават</t>
  </si>
  <si>
    <t xml:space="preserve">Мичидмаа</t>
  </si>
  <si>
    <t xml:space="preserve">Түмэндэмбэрэл</t>
  </si>
  <si>
    <t xml:space="preserve">Сувд-Эрдэнэ</t>
  </si>
  <si>
    <t xml:space="preserve">Бууцагаан</t>
  </si>
  <si>
    <t xml:space="preserve">Мөнх-Үжин</t>
  </si>
  <si>
    <t xml:space="preserve">Даваажаргал</t>
  </si>
  <si>
    <t xml:space="preserve">Бахшашти</t>
  </si>
  <si>
    <t xml:space="preserve">Хаярбек</t>
  </si>
  <si>
    <t xml:space="preserve">Адъяа</t>
  </si>
  <si>
    <t xml:space="preserve">Номундалай</t>
  </si>
  <si>
    <t xml:space="preserve">Амарзаяа</t>
  </si>
  <si>
    <t xml:space="preserve">Үжин</t>
  </si>
  <si>
    <t xml:space="preserve">Б</t>
  </si>
  <si>
    <t xml:space="preserve">Энхсувд</t>
  </si>
  <si>
    <t xml:space="preserve">Наранбаяр</t>
  </si>
  <si>
    <t xml:space="preserve">Эрдэнэ-Очир</t>
  </si>
  <si>
    <t xml:space="preserve">Энхрий</t>
  </si>
  <si>
    <t xml:space="preserve">Ангараг</t>
  </si>
  <si>
    <t xml:space="preserve">Мөнхбадрал</t>
  </si>
  <si>
    <t xml:space="preserve">Ачлалт</t>
  </si>
  <si>
    <t xml:space="preserve">Батчулуун</t>
  </si>
  <si>
    <t xml:space="preserve">Алтжин</t>
  </si>
  <si>
    <t xml:space="preserve">Ганзаяа</t>
  </si>
  <si>
    <t xml:space="preserve">Бат-Эрдэнэ</t>
  </si>
  <si>
    <t xml:space="preserve">Аньс</t>
  </si>
  <si>
    <t xml:space="preserve">Болормаа</t>
  </si>
  <si>
    <t xml:space="preserve">Цагаач</t>
  </si>
  <si>
    <t xml:space="preserve">Азжаргал</t>
  </si>
  <si>
    <t xml:space="preserve">Мөнхөө</t>
  </si>
  <si>
    <t xml:space="preserve">Марал</t>
  </si>
  <si>
    <t xml:space="preserve">Батмонгол</t>
  </si>
  <si>
    <t xml:space="preserve">Отгонболор</t>
  </si>
  <si>
    <t xml:space="preserve">Баттөмөр</t>
  </si>
  <si>
    <t xml:space="preserve">Намуунзаяа</t>
  </si>
  <si>
    <t xml:space="preserve">Одмаа</t>
  </si>
  <si>
    <t xml:space="preserve">Батбаян</t>
  </si>
  <si>
    <t xml:space="preserve">Ганням</t>
  </si>
  <si>
    <t xml:space="preserve">Ганбат</t>
  </si>
  <si>
    <t xml:space="preserve">Өсөх-ирээдүй</t>
  </si>
  <si>
    <t xml:space="preserve">Барсүрэн</t>
  </si>
  <si>
    <t xml:space="preserve">Энх-Анир</t>
  </si>
  <si>
    <t xml:space="preserve">Солонго</t>
  </si>
  <si>
    <t xml:space="preserve">Пүрэвтулга</t>
  </si>
  <si>
    <t xml:space="preserve">Номин-Эрдэнэ</t>
  </si>
  <si>
    <t xml:space="preserve">Буянтогтох</t>
  </si>
  <si>
    <t xml:space="preserve">Лодой</t>
  </si>
  <si>
    <t xml:space="preserve">Төгсжаргал</t>
  </si>
  <si>
    <t xml:space="preserve">Алтангэрэл</t>
  </si>
  <si>
    <t xml:space="preserve">Аминзаяа</t>
  </si>
  <si>
    <t xml:space="preserve">Пүрэвжамц</t>
  </si>
  <si>
    <t xml:space="preserve"> №5</t>
  </si>
  <si>
    <t xml:space="preserve"> №6</t>
  </si>
  <si>
    <t xml:space="preserve">Болдбаатар</t>
  </si>
  <si>
    <t xml:space="preserve">Өлзий-Орших</t>
  </si>
  <si>
    <t xml:space="preserve">Алтынбек</t>
  </si>
  <si>
    <t xml:space="preserve">Асембай</t>
  </si>
  <si>
    <t xml:space="preserve">Алтан-Од</t>
  </si>
  <si>
    <t xml:space="preserve">Алтанзаяа</t>
  </si>
  <si>
    <t xml:space="preserve">Цоожхүү</t>
  </si>
  <si>
    <t xml:space="preserve">Бямба-Очир</t>
  </si>
  <si>
    <t xml:space="preserve">Анхбаяр</t>
  </si>
  <si>
    <t xml:space="preserve">Батцоож</t>
  </si>
  <si>
    <t xml:space="preserve">Бахатбол</t>
  </si>
  <si>
    <t xml:space="preserve">Мягмарпагдан</t>
  </si>
  <si>
    <t xml:space="preserve">Цэлмүүн</t>
  </si>
  <si>
    <t xml:space="preserve">Баянбат</t>
  </si>
  <si>
    <t xml:space="preserve">Баттогтох</t>
  </si>
  <si>
    <t xml:space="preserve">Батмэнд</t>
  </si>
  <si>
    <t xml:space="preserve">Баярсанаа</t>
  </si>
  <si>
    <t xml:space="preserve">Тэргил</t>
  </si>
  <si>
    <t xml:space="preserve">Зоригтбаатар</t>
  </si>
  <si>
    <t xml:space="preserve">Соёмбо</t>
  </si>
  <si>
    <t xml:space="preserve">Байгалмаа</t>
  </si>
  <si>
    <t xml:space="preserve">Сакен</t>
  </si>
  <si>
    <t xml:space="preserve">Онгорбай</t>
  </si>
  <si>
    <t xml:space="preserve">Төгрөгнаран</t>
  </si>
  <si>
    <t xml:space="preserve">Буянжаргал</t>
  </si>
  <si>
    <t xml:space="preserve">Сэр-Од</t>
  </si>
  <si>
    <t xml:space="preserve">Мягмарнаран</t>
  </si>
  <si>
    <t xml:space="preserve">Бямбатулга</t>
  </si>
  <si>
    <t xml:space="preserve">Чагнаадорж</t>
  </si>
  <si>
    <t xml:space="preserve">Түвшинтөгс</t>
  </si>
  <si>
    <t xml:space="preserve">Нямгэрэл</t>
  </si>
  <si>
    <t xml:space="preserve">Азбаяр</t>
  </si>
  <si>
    <t xml:space="preserve">Баасанхүү</t>
  </si>
  <si>
    <t xml:space="preserve">Тэргэл</t>
  </si>
  <si>
    <t xml:space="preserve">Адьшаа</t>
  </si>
  <si>
    <t xml:space="preserve">Нямдорж</t>
  </si>
  <si>
    <t xml:space="preserve">Мөнх-Оргил</t>
  </si>
  <si>
    <t xml:space="preserve">Лхагважаргал</t>
  </si>
  <si>
    <t xml:space="preserve">Цэцэн</t>
  </si>
  <si>
    <t xml:space="preserve">Зулаа</t>
  </si>
  <si>
    <t xml:space="preserve">Дэлгэрдалай</t>
  </si>
  <si>
    <t xml:space="preserve">Багжанар</t>
  </si>
  <si>
    <t xml:space="preserve">Эсенбол</t>
  </si>
  <si>
    <t xml:space="preserve">Зул</t>
  </si>
  <si>
    <t xml:space="preserve">Батсүлд</t>
  </si>
  <si>
    <t xml:space="preserve">Болд</t>
  </si>
  <si>
    <t xml:space="preserve">Дашцэрэн</t>
  </si>
  <si>
    <t xml:space="preserve">Цэнгүүжин</t>
  </si>
  <si>
    <t xml:space="preserve">Нандин-Эрдэнэ</t>
  </si>
  <si>
    <t xml:space="preserve">Маралаа</t>
  </si>
  <si>
    <t xml:space="preserve">Галбадрах</t>
  </si>
  <si>
    <t xml:space="preserve">Нуршаш</t>
  </si>
  <si>
    <t xml:space="preserve">Айболат</t>
  </si>
  <si>
    <t xml:space="preserve">Тэнүүннаран</t>
  </si>
  <si>
    <t xml:space="preserve">Отгонцоож</t>
  </si>
  <si>
    <t xml:space="preserve">Энхтогтох</t>
  </si>
  <si>
    <t xml:space="preserve">Санчирболд</t>
  </si>
  <si>
    <t xml:space="preserve">Амармэнд</t>
  </si>
  <si>
    <t xml:space="preserve">Ариунжаргал</t>
  </si>
  <si>
    <t xml:space="preserve">Баярмагнай</t>
  </si>
  <si>
    <t xml:space="preserve">Цэрэндонров</t>
  </si>
  <si>
    <t xml:space="preserve">Ядамжав</t>
  </si>
  <si>
    <t xml:space="preserve">Уртнасан</t>
  </si>
  <si>
    <t xml:space="preserve">Володя</t>
  </si>
  <si>
    <t xml:space="preserve">Фарида</t>
  </si>
  <si>
    <t xml:space="preserve">Жавхлант</t>
  </si>
  <si>
    <t xml:space="preserve">Оролмаа</t>
  </si>
  <si>
    <t xml:space="preserve">Баянбуян</t>
  </si>
  <si>
    <t xml:space="preserve">Баатар</t>
  </si>
  <si>
    <t xml:space="preserve">Цэлмүүннаран</t>
  </si>
  <si>
    <t xml:space="preserve">Батдорж</t>
  </si>
  <si>
    <t xml:space="preserve">Келбахыт</t>
  </si>
  <si>
    <t xml:space="preserve">Нухтархан</t>
  </si>
  <si>
    <t xml:space="preserve">Анужаргал</t>
  </si>
  <si>
    <t xml:space="preserve">Батнасан</t>
  </si>
  <si>
    <t xml:space="preserve">Тогтохжаргал</t>
  </si>
  <si>
    <t xml:space="preserve">Болбаатар</t>
  </si>
  <si>
    <t xml:space="preserve">Өлзийбадрах</t>
  </si>
  <si>
    <t xml:space="preserve">Мөрөн</t>
  </si>
  <si>
    <t xml:space="preserve">Нямсайхан</t>
  </si>
  <si>
    <t xml:space="preserve">Дандар</t>
  </si>
  <si>
    <t xml:space="preserve">Мөнх-ирээдүй</t>
  </si>
  <si>
    <t xml:space="preserve">Төрмөнх</t>
  </si>
  <si>
    <t xml:space="preserve">Билэгжаргал</t>
  </si>
  <si>
    <t xml:space="preserve">Лхагва</t>
  </si>
  <si>
    <t xml:space="preserve">Цогбаяр</t>
  </si>
  <si>
    <t xml:space="preserve">Чулуунбаатар</t>
  </si>
  <si>
    <t xml:space="preserve">Энхнасан</t>
  </si>
  <si>
    <t xml:space="preserve">Батбилэг</t>
  </si>
  <si>
    <t xml:space="preserve">Эрдэнэжаргал</t>
  </si>
  <si>
    <t xml:space="preserve">Өлзийжаргал</t>
  </si>
  <si>
    <t xml:space="preserve">Хишигбаатар</t>
  </si>
  <si>
    <t xml:space="preserve">Амгаланбаяр</t>
  </si>
  <si>
    <t xml:space="preserve">Алтан-Очир</t>
  </si>
  <si>
    <t xml:space="preserve">Ханбат</t>
  </si>
  <si>
    <t xml:space="preserve">Мөнхтүвшин</t>
  </si>
  <si>
    <t xml:space="preserve">Энх-Ундрал</t>
  </si>
  <si>
    <t xml:space="preserve">Батзаяа</t>
  </si>
  <si>
    <t xml:space="preserve">Жанцанноров</t>
  </si>
  <si>
    <t xml:space="preserve">Борхүү</t>
  </si>
  <si>
    <t xml:space="preserve">Энхмандах</t>
  </si>
  <si>
    <t xml:space="preserve">Намуунбайгаль</t>
  </si>
  <si>
    <t xml:space="preserve">Алтантуяа</t>
  </si>
  <si>
    <t xml:space="preserve">Бат-Оргил</t>
  </si>
  <si>
    <t xml:space="preserve">Батсүмбэр</t>
  </si>
  <si>
    <t xml:space="preserve">Болортуяа</t>
  </si>
  <si>
    <t xml:space="preserve">Гансум</t>
  </si>
  <si>
    <t xml:space="preserve">Баасандулам</t>
  </si>
  <si>
    <t xml:space="preserve">Дашням</t>
  </si>
  <si>
    <t xml:space="preserve">Ардах</t>
  </si>
  <si>
    <t xml:space="preserve">Жанибек</t>
  </si>
  <si>
    <t xml:space="preserve">Владимир</t>
  </si>
  <si>
    <t xml:space="preserve">Дөлбадрах</t>
  </si>
  <si>
    <t xml:space="preserve">Дарамрагчаа</t>
  </si>
  <si>
    <t xml:space="preserve">Сарнай</t>
  </si>
  <si>
    <t xml:space="preserve">Гэндэн</t>
  </si>
  <si>
    <t xml:space="preserve">Болд-Эрдэнэ</t>
  </si>
  <si>
    <t xml:space="preserve">Энхсайхан</t>
  </si>
  <si>
    <t xml:space="preserve">Лаура</t>
  </si>
  <si>
    <t xml:space="preserve">Ахит</t>
  </si>
  <si>
    <t xml:space="preserve">Эрдэнэхонгор</t>
  </si>
  <si>
    <t xml:space="preserve">Бадар-Ууган</t>
  </si>
  <si>
    <t xml:space="preserve">Цэрэнбадам</t>
  </si>
  <si>
    <t xml:space="preserve">Нямхүү</t>
  </si>
  <si>
    <t xml:space="preserve">Нарантуяа</t>
  </si>
  <si>
    <t xml:space="preserve">Наянтай</t>
  </si>
  <si>
    <t xml:space="preserve">Мөнхмишээл</t>
  </si>
  <si>
    <t xml:space="preserve">Боргил</t>
  </si>
  <si>
    <t xml:space="preserve">Сарангэрэл</t>
  </si>
  <si>
    <t xml:space="preserve">Ганхуяг</t>
  </si>
  <si>
    <t xml:space="preserve">Цэвээндорж</t>
  </si>
  <si>
    <t xml:space="preserve">Баярсүрэн</t>
  </si>
  <si>
    <t xml:space="preserve">Баянцэцэг</t>
  </si>
  <si>
    <t xml:space="preserve">Оюунболор</t>
  </si>
  <si>
    <t xml:space="preserve">Маралжингоо</t>
  </si>
  <si>
    <t xml:space="preserve">Буд-Эрдэнэ</t>
  </si>
  <si>
    <t xml:space="preserve">Нандинчимэг</t>
  </si>
  <si>
    <t xml:space="preserve">Билгүүн</t>
  </si>
  <si>
    <t xml:space="preserve">Даваацэцэг</t>
  </si>
  <si>
    <t xml:space="preserve">Бямбацогт</t>
  </si>
  <si>
    <t xml:space="preserve">Отгонбаатар</t>
  </si>
  <si>
    <t xml:space="preserve">Бадамсүрэн</t>
  </si>
  <si>
    <t xml:space="preserve">Энхсүлд</t>
  </si>
  <si>
    <t xml:space="preserve">Эрхэмбилэг</t>
  </si>
  <si>
    <t xml:space="preserve">Амаржаргал</t>
  </si>
  <si>
    <t xml:space="preserve">Номинсувд</t>
  </si>
  <si>
    <t xml:space="preserve">Төрболд</t>
  </si>
  <si>
    <t xml:space="preserve">Амгаланбадрах</t>
  </si>
  <si>
    <t xml:space="preserve">Содбилэг</t>
  </si>
  <si>
    <t xml:space="preserve">Баттөгс</t>
  </si>
  <si>
    <t xml:space="preserve">Хүрэлсүх</t>
  </si>
  <si>
    <t xml:space="preserve">Дондов</t>
  </si>
  <si>
    <t xml:space="preserve">Нарандулам</t>
  </si>
  <si>
    <t xml:space="preserve">Бадаа</t>
  </si>
  <si>
    <t xml:space="preserve">Цоггэрэл</t>
  </si>
  <si>
    <t xml:space="preserve">Эрхэмбаяр</t>
  </si>
  <si>
    <t xml:space="preserve">Ариунтуул</t>
  </si>
  <si>
    <t xml:space="preserve">Энхцэцэг</t>
  </si>
  <si>
    <t xml:space="preserve">Баярзаяа</t>
  </si>
  <si>
    <t xml:space="preserve">Цэцэгжаргал</t>
  </si>
  <si>
    <t xml:space="preserve">Барсболд</t>
  </si>
  <si>
    <t xml:space="preserve">Янжинхорол</t>
  </si>
  <si>
    <t xml:space="preserve">Мишка</t>
  </si>
  <si>
    <t xml:space="preserve">Соёлмаа</t>
  </si>
  <si>
    <t xml:space="preserve">Гангаа</t>
  </si>
  <si>
    <t xml:space="preserve">Ариунаа</t>
  </si>
  <si>
    <t xml:space="preserve">Бямбахүү</t>
  </si>
  <si>
    <t xml:space="preserve">Чулуундорж</t>
  </si>
  <si>
    <t xml:space="preserve">Цэрэнпил</t>
  </si>
  <si>
    <t xml:space="preserve">Энхтөр</t>
  </si>
  <si>
    <t xml:space="preserve">Нацагдагва</t>
  </si>
  <si>
    <t xml:space="preserve">Цообаяр</t>
  </si>
  <si>
    <t xml:space="preserve">Рэнцэндорж</t>
  </si>
  <si>
    <t xml:space="preserve">Алимаа</t>
  </si>
  <si>
    <t xml:space="preserve">Мягмартөмөр</t>
  </si>
  <si>
    <t xml:space="preserve">Рийбуян</t>
  </si>
  <si>
    <t xml:space="preserve">Тунгалаг</t>
  </si>
  <si>
    <t xml:space="preserve">Цогзолмаа</t>
  </si>
  <si>
    <t xml:space="preserve">Билэгсайхан</t>
  </si>
  <si>
    <t xml:space="preserve">Цэрэндагва</t>
  </si>
  <si>
    <t xml:space="preserve">Отгонсүрэн</t>
  </si>
  <si>
    <t xml:space="preserve">Ундралзаяа</t>
  </si>
  <si>
    <t xml:space="preserve">Ганцацрал</t>
  </si>
  <si>
    <t xml:space="preserve">Цэвэлмаа</t>
  </si>
  <si>
    <t xml:space="preserve">Сугарням</t>
  </si>
  <si>
    <t xml:space="preserve">Батчимэг</t>
  </si>
  <si>
    <t xml:space="preserve">Нямаа</t>
  </si>
  <si>
    <t xml:space="preserve">Уран-Өлзий</t>
  </si>
  <si>
    <t xml:space="preserve">Баатархуяг</t>
  </si>
  <si>
    <t xml:space="preserve">Жаргалмаа</t>
  </si>
  <si>
    <t xml:space="preserve">Тухпи</t>
  </si>
  <si>
    <t xml:space="preserve">Бахатгүл</t>
  </si>
  <si>
    <t xml:space="preserve">Нургаад</t>
  </si>
  <si>
    <t xml:space="preserve">Жанаргүл</t>
  </si>
  <si>
    <t xml:space="preserve">Пүрэвдорж</t>
  </si>
  <si>
    <t xml:space="preserve">Хастани</t>
  </si>
  <si>
    <t xml:space="preserve">Ризагүл</t>
  </si>
  <si>
    <t xml:space="preserve">Батцогт</t>
  </si>
  <si>
    <t xml:space="preserve">Отгонцэцэг</t>
  </si>
  <si>
    <t xml:space="preserve">Бат-Өлзий</t>
  </si>
  <si>
    <t xml:space="preserve">Гэрэлцэцэг</t>
  </si>
  <si>
    <t xml:space="preserve">Соёл-Эрдэнэ</t>
  </si>
  <si>
    <t xml:space="preserve">Бадамсүрэнхор</t>
  </si>
  <si>
    <t xml:space="preserve">Баяр-Угтах</t>
  </si>
  <si>
    <t xml:space="preserve">Бадамзаяа</t>
  </si>
  <si>
    <t xml:space="preserve">Отгонтуул</t>
  </si>
  <si>
    <t xml:space="preserve">Багдат</t>
  </si>
  <si>
    <t xml:space="preserve">Еркехулан</t>
  </si>
  <si>
    <t xml:space="preserve">Эрдэнэчимэг</t>
  </si>
  <si>
    <t xml:space="preserve">Цэгмэд</t>
  </si>
  <si>
    <t xml:space="preserve">Хашбаатар</t>
  </si>
  <si>
    <t xml:space="preserve">Лхамсүрэн</t>
  </si>
  <si>
    <t xml:space="preserve">Шагдарсүрэн</t>
  </si>
  <si>
    <t xml:space="preserve">Хишигсүрэн</t>
  </si>
  <si>
    <t xml:space="preserve">Тойлхан</t>
  </si>
  <si>
    <t xml:space="preserve">Бекежан</t>
  </si>
  <si>
    <t xml:space="preserve">Цогтгэрэл</t>
  </si>
  <si>
    <t xml:space="preserve">Номт</t>
  </si>
  <si>
    <t xml:space="preserve">Үржинбат</t>
  </si>
  <si>
    <t xml:space="preserve">Авирмэд</t>
  </si>
  <si>
    <t xml:space="preserve">Алмахан</t>
  </si>
  <si>
    <t xml:space="preserve">Арман</t>
  </si>
  <si>
    <t xml:space="preserve">Баасанжаргал</t>
  </si>
  <si>
    <t xml:space="preserve">Анхцооз</t>
  </si>
  <si>
    <t xml:space="preserve">Хаянхирваа</t>
  </si>
  <si>
    <t xml:space="preserve">Залуу</t>
  </si>
  <si>
    <t xml:space="preserve">Отгонсүх</t>
  </si>
  <si>
    <t xml:space="preserve">Баатарчулуун</t>
  </si>
  <si>
    <t xml:space="preserve">Гантогтох</t>
  </si>
  <si>
    <t xml:space="preserve">Готов</t>
  </si>
  <si>
    <t xml:space="preserve">Дамдинсүрэн</t>
  </si>
  <si>
    <t xml:space="preserve">Нурдан</t>
  </si>
  <si>
    <t xml:space="preserve">Ербулан</t>
  </si>
  <si>
    <t xml:space="preserve">Эрдэнэбаяр</t>
  </si>
  <si>
    <t xml:space="preserve">Төмөрбаатар</t>
  </si>
  <si>
    <t xml:space="preserve">Давгадорж</t>
  </si>
  <si>
    <t xml:space="preserve">Шүхэр</t>
  </si>
  <si>
    <t xml:space="preserve">Ансагаан</t>
  </si>
  <si>
    <t xml:space="preserve">Хамсбай</t>
  </si>
  <si>
    <t xml:space="preserve">Зогсоо</t>
  </si>
  <si>
    <t xml:space="preserve">Бямбарагчаа</t>
  </si>
  <si>
    <t xml:space="preserve">Далхаа</t>
  </si>
  <si>
    <t xml:space="preserve">Намхайцэрэн</t>
  </si>
  <si>
    <t xml:space="preserve">Цахиуртай</t>
  </si>
  <si>
    <t xml:space="preserve">Цэнгэлмаа</t>
  </si>
  <si>
    <t xml:space="preserve">Наранцацрал</t>
  </si>
  <si>
    <t xml:space="preserve">Гомбожав</t>
  </si>
  <si>
    <t xml:space="preserve">Оюунхүү</t>
  </si>
  <si>
    <t xml:space="preserve">Саруултунгалаг</t>
  </si>
  <si>
    <t xml:space="preserve">Төмөрцооз</t>
  </si>
  <si>
    <t xml:space="preserve">Саранчимэг</t>
  </si>
  <si>
    <t xml:space="preserve">Аймгийн нэр</t>
  </si>
  <si>
    <t xml:space="preserve">Ховд аймаг</t>
  </si>
  <si>
    <t xml:space="preserve">Аймгийн ID</t>
  </si>
  <si>
    <t xml:space="preserve">Хэрвээ мэдэж байвал бөглөөрэй.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</si>
</sst>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externalLink" Target="externalLinks/externalLink1.xml"/><Relationship Id="rId11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django/mmo/result_data/2.1-results/&#1061;&#1086;&#1074;&#1076;%20&#1072;&#1081;&#1084;&#1072;&#1075;%20&#1052;&#1052;62-II-1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93" colorId="64" zoomScale="100" zoomScaleNormal="100" zoomScalePageLayoutView="100" workbookViewId="0">
      <selection pane="topLeft" activeCell="A56" activeCellId="0" sqref="A56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3.51"/>
    <col collapsed="false" customWidth="false" hidden="false" outlineLevel="0" max="2" min="2" style="1" width="11.57"/>
    <col collapsed="false" customWidth="true" hidden="false" outlineLevel="0" max="3" min="3" style="1" width="18.29"/>
    <col collapsed="false" customWidth="true" hidden="false" outlineLevel="0" max="4" min="4" style="1" width="21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true" outlineLevel="0" collapsed="false">
      <c r="A2" s="0" t="n">
        <v>1</v>
      </c>
      <c r="B2" s="2" t="n">
        <v>196066</v>
      </c>
      <c r="C2" s="2" t="s">
        <v>9</v>
      </c>
      <c r="D2" s="2" t="s">
        <v>10</v>
      </c>
      <c r="E2" s="2" t="n">
        <f aca="false">VLOOKUP($B2,[1]Day1!$A$1:$H$394,4,FALSE())</f>
        <v>7</v>
      </c>
      <c r="F2" s="2" t="n">
        <f aca="false">VLOOKUP($B2,[1]Day1!$A$1:$H$394,5,FALSE())</f>
        <v>1.5</v>
      </c>
      <c r="G2" s="2" t="n">
        <f aca="false">VLOOKUP($B2,[1]Day1!$A$1:$H$394,6,FALSE())</f>
        <v>6</v>
      </c>
      <c r="H2" s="2" t="n">
        <f aca="false">VLOOKUP($B2,[1]Day1!$A$1:$H$394,7,FALSE())</f>
        <v>0</v>
      </c>
      <c r="I2" s="2" t="n">
        <f aca="false">SUM(E2:H2)</f>
        <v>14.5</v>
      </c>
      <c r="J2" s="0"/>
      <c r="K2" s="0"/>
      <c r="L2" s="0"/>
    </row>
    <row r="3" customFormat="false" ht="12.75" hidden="false" customHeight="true" outlineLevel="0" collapsed="false">
      <c r="A3" s="0" t="n">
        <v>2</v>
      </c>
      <c r="B3" s="2" t="n">
        <v>185254</v>
      </c>
      <c r="C3" s="2" t="s">
        <v>11</v>
      </c>
      <c r="D3" s="2" t="s">
        <v>12</v>
      </c>
      <c r="E3" s="2" t="n">
        <f aca="false">VLOOKUP($B3,[1]Day1!$A$1:$H$394,4,FALSE())</f>
        <v>7</v>
      </c>
      <c r="F3" s="2" t="n">
        <f aca="false">VLOOKUP($B3,[1]Day1!$A$1:$H$394,5,FALSE())</f>
        <v>0</v>
      </c>
      <c r="G3" s="2" t="n">
        <f aca="false">VLOOKUP($B3,[1]Day1!$A$1:$H$394,6,FALSE())</f>
        <v>7</v>
      </c>
      <c r="H3" s="2" t="n">
        <f aca="false">VLOOKUP($B3,[1]Day1!$A$1:$H$394,7,FALSE())</f>
        <v>0</v>
      </c>
      <c r="I3" s="2" t="n">
        <f aca="false">SUM(E3:H3)</f>
        <v>14</v>
      </c>
      <c r="J3" s="0"/>
      <c r="K3" s="0"/>
      <c r="L3" s="0"/>
    </row>
    <row r="4" customFormat="false" ht="12.75" hidden="false" customHeight="true" outlineLevel="0" collapsed="false">
      <c r="A4" s="0" t="n">
        <v>3</v>
      </c>
      <c r="B4" s="2" t="n">
        <v>185192</v>
      </c>
      <c r="C4" s="2" t="s">
        <v>13</v>
      </c>
      <c r="D4" s="2" t="s">
        <v>14</v>
      </c>
      <c r="E4" s="2" t="n">
        <f aca="false">VLOOKUP($B4,[1]Day1!$A$1:$H$394,4,FALSE())</f>
        <v>0</v>
      </c>
      <c r="F4" s="2" t="n">
        <f aca="false">VLOOKUP($B4,[1]Day1!$A$1:$H$394,5,FALSE())</f>
        <v>3</v>
      </c>
      <c r="G4" s="2" t="n">
        <f aca="false">VLOOKUP($B4,[1]Day1!$A$1:$H$394,6,FALSE())</f>
        <v>7</v>
      </c>
      <c r="H4" s="2" t="n">
        <f aca="false">VLOOKUP($B4,[1]Day1!$A$1:$H$394,7,FALSE())</f>
        <v>0</v>
      </c>
      <c r="I4" s="2" t="n">
        <f aca="false">SUM(E4:H4)</f>
        <v>10</v>
      </c>
      <c r="J4" s="0"/>
      <c r="K4" s="0"/>
      <c r="L4" s="0"/>
    </row>
    <row r="5" customFormat="false" ht="12.75" hidden="false" customHeight="true" outlineLevel="0" collapsed="false">
      <c r="A5" s="0" t="n">
        <v>4</v>
      </c>
      <c r="B5" s="2" t="n">
        <v>197176</v>
      </c>
      <c r="C5" s="2" t="s">
        <v>15</v>
      </c>
      <c r="D5" s="2" t="s">
        <v>16</v>
      </c>
      <c r="E5" s="2" t="n">
        <f aca="false">VLOOKUP($B5,[1]Day1!$A$1:$H$394,4,FALSE())</f>
        <v>0</v>
      </c>
      <c r="F5" s="2" t="n">
        <f aca="false">VLOOKUP($B5,[1]Day1!$A$1:$H$394,5,FALSE())</f>
        <v>3</v>
      </c>
      <c r="G5" s="2" t="n">
        <v>6</v>
      </c>
      <c r="H5" s="2" t="n">
        <f aca="false">VLOOKUP($B5,[1]Day1!$A$1:$H$394,7,FALSE())</f>
        <v>0</v>
      </c>
      <c r="I5" s="2" t="n">
        <f aca="false">SUM(E5:H5)</f>
        <v>9</v>
      </c>
      <c r="J5" s="0"/>
      <c r="K5" s="0"/>
      <c r="L5" s="0"/>
    </row>
    <row r="6" customFormat="false" ht="12.75" hidden="false" customHeight="true" outlineLevel="0" collapsed="false">
      <c r="A6" s="0" t="n">
        <v>5</v>
      </c>
      <c r="B6" s="2" t="n">
        <v>185249</v>
      </c>
      <c r="C6" s="2" t="s">
        <v>17</v>
      </c>
      <c r="D6" s="2" t="s">
        <v>18</v>
      </c>
      <c r="E6" s="2" t="n">
        <f aca="false">VLOOKUP($B6,[1]Day1!$A$1:$H$394,4,FALSE())</f>
        <v>7</v>
      </c>
      <c r="F6" s="2" t="n">
        <f aca="false">VLOOKUP($B6,[1]Day1!$A$1:$H$394,5,FALSE())</f>
        <v>0</v>
      </c>
      <c r="G6" s="2" t="n">
        <f aca="false">VLOOKUP($B6,[1]Day1!$A$1:$H$394,6,FALSE())</f>
        <v>0</v>
      </c>
      <c r="H6" s="2" t="n">
        <f aca="false">VLOOKUP($B6,[1]Day1!$A$1:$H$394,7,FALSE())</f>
        <v>1</v>
      </c>
      <c r="I6" s="2" t="n">
        <f aca="false">SUM(E6:H6)</f>
        <v>8</v>
      </c>
      <c r="J6" s="0"/>
      <c r="K6" s="0"/>
      <c r="L6" s="0"/>
    </row>
    <row r="7" customFormat="false" ht="12.75" hidden="false" customHeight="true" outlineLevel="0" collapsed="false">
      <c r="A7" s="0" t="n">
        <v>6</v>
      </c>
      <c r="B7" s="2" t="n">
        <v>195731</v>
      </c>
      <c r="C7" s="2" t="s">
        <v>19</v>
      </c>
      <c r="D7" s="2" t="s">
        <v>20</v>
      </c>
      <c r="E7" s="2" t="n">
        <f aca="false">VLOOKUP($B7,[1]Day1!$A$1:$H$394,4,FALSE())</f>
        <v>2</v>
      </c>
      <c r="F7" s="2" t="n">
        <f aca="false">VLOOKUP($B7,[1]Day1!$A$1:$H$394,5,FALSE())</f>
        <v>0</v>
      </c>
      <c r="G7" s="2" t="n">
        <f aca="false">VLOOKUP($B7,[1]Day1!$A$1:$H$394,6,FALSE())</f>
        <v>5</v>
      </c>
      <c r="H7" s="2" t="n">
        <f aca="false">VLOOKUP($B7,[1]Day1!$A$1:$H$394,7,FALSE())</f>
        <v>0</v>
      </c>
      <c r="I7" s="2" t="n">
        <f aca="false">SUM(E7:H7)</f>
        <v>7</v>
      </c>
      <c r="J7" s="0"/>
      <c r="K7" s="0"/>
      <c r="L7" s="0"/>
    </row>
    <row r="8" customFormat="false" ht="12.75" hidden="false" customHeight="true" outlineLevel="0" collapsed="false">
      <c r="A8" s="0" t="n">
        <v>7</v>
      </c>
      <c r="B8" s="2" t="n">
        <v>185252</v>
      </c>
      <c r="C8" s="2" t="s">
        <v>21</v>
      </c>
      <c r="D8" s="2" t="s">
        <v>22</v>
      </c>
      <c r="E8" s="2" t="n">
        <f aca="false">VLOOKUP($B8,[1]Day1!$A$1:$H$394,4,FALSE())</f>
        <v>0</v>
      </c>
      <c r="F8" s="2" t="n">
        <f aca="false">VLOOKUP($B8,[1]Day1!$A$1:$H$394,5,FALSE())</f>
        <v>0</v>
      </c>
      <c r="G8" s="2" t="n">
        <f aca="false">VLOOKUP($B8,[1]Day1!$A$1:$H$394,6,FALSE())</f>
        <v>6</v>
      </c>
      <c r="H8" s="2" t="n">
        <f aca="false">VLOOKUP($B8,[1]Day1!$A$1:$H$394,7,FALSE())</f>
        <v>1</v>
      </c>
      <c r="I8" s="2" t="n">
        <f aca="false">SUM(E8:H8)</f>
        <v>7</v>
      </c>
      <c r="J8" s="0"/>
      <c r="K8" s="0"/>
      <c r="L8" s="0"/>
    </row>
    <row r="9" customFormat="false" ht="12.75" hidden="false" customHeight="true" outlineLevel="0" collapsed="false">
      <c r="A9" s="0" t="n">
        <v>8</v>
      </c>
      <c r="B9" s="2" t="n">
        <v>196067</v>
      </c>
      <c r="C9" s="2" t="s">
        <v>23</v>
      </c>
      <c r="D9" s="2" t="s">
        <v>24</v>
      </c>
      <c r="E9" s="2" t="n">
        <f aca="false">VLOOKUP($B9,[1]Day1!$A$1:$H$394,4,FALSE())</f>
        <v>0</v>
      </c>
      <c r="F9" s="2" t="n">
        <f aca="false">VLOOKUP($B9,[1]Day1!$A$1:$H$394,5,FALSE())</f>
        <v>0</v>
      </c>
      <c r="G9" s="2" t="n">
        <f aca="false">VLOOKUP($B9,[1]Day1!$A$1:$H$394,6,FALSE())</f>
        <v>5</v>
      </c>
      <c r="H9" s="2" t="n">
        <f aca="false">VLOOKUP($B9,[1]Day1!$A$1:$H$394,7,FALSE())</f>
        <v>0</v>
      </c>
      <c r="I9" s="2" t="n">
        <f aca="false">SUM(E9:H9)</f>
        <v>5</v>
      </c>
      <c r="J9" s="0"/>
      <c r="K9" s="0"/>
      <c r="L9" s="0"/>
    </row>
    <row r="10" customFormat="false" ht="12.75" hidden="false" customHeight="true" outlineLevel="0" collapsed="false">
      <c r="A10" s="0" t="n">
        <v>9</v>
      </c>
      <c r="B10" s="2" t="n">
        <v>185222</v>
      </c>
      <c r="C10" s="2" t="s">
        <v>25</v>
      </c>
      <c r="D10" s="2" t="s">
        <v>26</v>
      </c>
      <c r="E10" s="2" t="n">
        <f aca="false">VLOOKUP($B10,[1]Day1!$A$1:$H$394,4,FALSE())</f>
        <v>0</v>
      </c>
      <c r="F10" s="2" t="n">
        <f aca="false">VLOOKUP($B10,[1]Day1!$A$1:$H$394,5,FALSE())</f>
        <v>0</v>
      </c>
      <c r="G10" s="2" t="n">
        <f aca="false">VLOOKUP($B10,[1]Day1!$A$1:$H$394,6,FALSE())</f>
        <v>5</v>
      </c>
      <c r="H10" s="2" t="n">
        <f aca="false">VLOOKUP($B10,[1]Day1!$A$1:$H$394,7,FALSE())</f>
        <v>0</v>
      </c>
      <c r="I10" s="2" t="n">
        <f aca="false">SUM(E10:H10)</f>
        <v>5</v>
      </c>
      <c r="J10" s="0"/>
      <c r="K10" s="0"/>
      <c r="L10" s="0"/>
    </row>
    <row r="11" customFormat="false" ht="12.75" hidden="false" customHeight="true" outlineLevel="0" collapsed="false">
      <c r="A11" s="0" t="n">
        <v>10</v>
      </c>
      <c r="B11" s="2" t="n">
        <v>205622</v>
      </c>
      <c r="C11" s="2" t="s">
        <v>27</v>
      </c>
      <c r="D11" s="2" t="s">
        <v>28</v>
      </c>
      <c r="E11" s="2" t="n">
        <f aca="false">VLOOKUP($B11,[1]Day1!$A$1:$H$394,4,FALSE())</f>
        <v>5</v>
      </c>
      <c r="F11" s="2" t="n">
        <f aca="false">VLOOKUP($B11,[1]Day1!$A$1:$H$394,5,FALSE())</f>
        <v>0</v>
      </c>
      <c r="G11" s="2" t="n">
        <f aca="false">VLOOKUP($B11,[1]Day1!$A$1:$H$394,6,FALSE())</f>
        <v>0</v>
      </c>
      <c r="H11" s="2" t="n">
        <f aca="false">VLOOKUP($B11,[1]Day1!$A$1:$H$394,7,FALSE())</f>
        <v>0</v>
      </c>
      <c r="I11" s="2" t="n">
        <f aca="false">SUM(E11:H11)</f>
        <v>5</v>
      </c>
      <c r="J11" s="0"/>
      <c r="K11" s="0"/>
      <c r="L11" s="0"/>
    </row>
    <row r="12" customFormat="false" ht="12.75" hidden="false" customHeight="true" outlineLevel="0" collapsed="false">
      <c r="A12" s="0" t="n">
        <v>11</v>
      </c>
      <c r="B12" s="2" t="n">
        <v>185187</v>
      </c>
      <c r="C12" s="2" t="s">
        <v>29</v>
      </c>
      <c r="D12" s="2" t="s">
        <v>30</v>
      </c>
      <c r="E12" s="2" t="n">
        <f aca="false">VLOOKUP($B12,[1]Day1!$A$1:$H$394,4,FALSE())</f>
        <v>0</v>
      </c>
      <c r="F12" s="2" t="n">
        <f aca="false">VLOOKUP($B12,[1]Day1!$A$1:$H$394,5,FALSE())</f>
        <v>3</v>
      </c>
      <c r="G12" s="2" t="n">
        <f aca="false">VLOOKUP($B12,[1]Day1!$A$1:$H$394,6,FALSE())</f>
        <v>1</v>
      </c>
      <c r="H12" s="2" t="n">
        <f aca="false">VLOOKUP($B12,[1]Day1!$A$1:$H$394,7,FALSE())</f>
        <v>0</v>
      </c>
      <c r="I12" s="2" t="n">
        <f aca="false">SUM(E12:H12)</f>
        <v>4</v>
      </c>
      <c r="J12" s="0"/>
      <c r="K12" s="0"/>
      <c r="L12" s="0"/>
    </row>
    <row r="13" customFormat="false" ht="12.75" hidden="false" customHeight="true" outlineLevel="0" collapsed="false">
      <c r="A13" s="0" t="n">
        <v>12</v>
      </c>
      <c r="B13" s="2" t="n">
        <v>187279</v>
      </c>
      <c r="C13" s="2" t="s">
        <v>31</v>
      </c>
      <c r="D13" s="2" t="s">
        <v>32</v>
      </c>
      <c r="E13" s="2" t="n">
        <f aca="false">VLOOKUP($B13,[1]Day1!$A$1:$H$394,4,FALSE())</f>
        <v>2</v>
      </c>
      <c r="F13" s="2" t="n">
        <f aca="false">VLOOKUP($B13,[1]Day1!$A$1:$H$394,5,FALSE())</f>
        <v>0</v>
      </c>
      <c r="G13" s="2" t="n">
        <f aca="false">VLOOKUP($B13,[1]Day1!$A$1:$H$394,6,FALSE())</f>
        <v>0</v>
      </c>
      <c r="H13" s="2" t="n">
        <f aca="false">VLOOKUP($B13,[1]Day1!$A$1:$H$394,7,FALSE())</f>
        <v>0</v>
      </c>
      <c r="I13" s="2" t="n">
        <f aca="false">SUM(E13:H13)</f>
        <v>2</v>
      </c>
      <c r="J13" s="0"/>
      <c r="K13" s="0"/>
      <c r="L13" s="0"/>
    </row>
    <row r="14" customFormat="false" ht="12.75" hidden="false" customHeight="true" outlineLevel="0" collapsed="false">
      <c r="A14" s="0" t="n">
        <v>13</v>
      </c>
      <c r="B14" s="2" t="n">
        <v>111961</v>
      </c>
      <c r="C14" s="2" t="s">
        <v>33</v>
      </c>
      <c r="D14" s="2" t="s">
        <v>34</v>
      </c>
      <c r="E14" s="2" t="n">
        <f aca="false">VLOOKUP($B14,[1]Day1!$A$1:$H$394,4,FALSE())</f>
        <v>2</v>
      </c>
      <c r="F14" s="2" t="n">
        <f aca="false">VLOOKUP($B14,[1]Day1!$A$1:$H$394,5,FALSE())</f>
        <v>0</v>
      </c>
      <c r="G14" s="2" t="n">
        <f aca="false">VLOOKUP($B14,[1]Day1!$A$1:$H$394,6,FALSE())</f>
        <v>0</v>
      </c>
      <c r="H14" s="2" t="n">
        <f aca="false">VLOOKUP($B14,[1]Day1!$A$1:$H$394,7,FALSE())</f>
        <v>0</v>
      </c>
      <c r="I14" s="2" t="n">
        <f aca="false">SUM(E14:H14)</f>
        <v>2</v>
      </c>
      <c r="J14" s="0"/>
      <c r="K14" s="0"/>
      <c r="L14" s="0"/>
    </row>
    <row r="15" customFormat="false" ht="12.75" hidden="false" customHeight="true" outlineLevel="0" collapsed="false">
      <c r="A15" s="0" t="n">
        <v>14</v>
      </c>
      <c r="B15" s="2" t="n">
        <v>185181</v>
      </c>
      <c r="C15" s="2" t="s">
        <v>35</v>
      </c>
      <c r="D15" s="2" t="s">
        <v>36</v>
      </c>
      <c r="E15" s="2" t="n">
        <f aca="false">VLOOKUP($B15,[1]Day1!$A$1:$H$394,4,FALSE())</f>
        <v>0</v>
      </c>
      <c r="F15" s="2" t="n">
        <f aca="false">VLOOKUP($B15,[1]Day1!$A$1:$H$394,5,FALSE())</f>
        <v>2</v>
      </c>
      <c r="G15" s="2" t="n">
        <f aca="false">VLOOKUP($B15,[1]Day1!$A$1:$H$394,6,FALSE())</f>
        <v>0</v>
      </c>
      <c r="H15" s="2" t="n">
        <f aca="false">VLOOKUP($B15,[1]Day1!$A$1:$H$394,7,FALSE())</f>
        <v>0</v>
      </c>
      <c r="I15" s="2" t="n">
        <f aca="false">SUM(E15:H15)</f>
        <v>2</v>
      </c>
      <c r="J15" s="0"/>
      <c r="K15" s="0"/>
      <c r="L15" s="0"/>
    </row>
    <row r="16" customFormat="false" ht="12.75" hidden="false" customHeight="true" outlineLevel="0" collapsed="false">
      <c r="A16" s="0" t="n">
        <v>15</v>
      </c>
      <c r="B16" s="2" t="n">
        <v>181050</v>
      </c>
      <c r="C16" s="2" t="s">
        <v>37</v>
      </c>
      <c r="D16" s="2" t="s">
        <v>10</v>
      </c>
      <c r="E16" s="2" t="n">
        <f aca="false">VLOOKUP($B16,[1]Day1!$A$1:$H$394,4,FALSE())</f>
        <v>2</v>
      </c>
      <c r="F16" s="2" t="n">
        <f aca="false">VLOOKUP($B16,[1]Day1!$A$1:$H$394,5,FALSE())</f>
        <v>0</v>
      </c>
      <c r="G16" s="2" t="n">
        <f aca="false">VLOOKUP($B16,[1]Day1!$A$1:$H$394,6,FALSE())</f>
        <v>0</v>
      </c>
      <c r="H16" s="2" t="n">
        <f aca="false">VLOOKUP($B16,[1]Day1!$A$1:$H$394,7,FALSE())</f>
        <v>0</v>
      </c>
      <c r="I16" s="2" t="n">
        <f aca="false">SUM(E16:H16)</f>
        <v>2</v>
      </c>
      <c r="J16" s="0"/>
      <c r="K16" s="0"/>
      <c r="L16" s="0"/>
    </row>
    <row r="17" customFormat="false" ht="12.75" hidden="false" customHeight="true" outlineLevel="0" collapsed="false">
      <c r="A17" s="0" t="n">
        <v>16</v>
      </c>
      <c r="B17" s="2" t="n">
        <v>185241</v>
      </c>
      <c r="C17" s="2" t="s">
        <v>38</v>
      </c>
      <c r="D17" s="2" t="s">
        <v>39</v>
      </c>
      <c r="E17" s="2" t="n">
        <f aca="false">VLOOKUP($B17,[1]Day1!$A$1:$H$394,4,FALSE())</f>
        <v>0</v>
      </c>
      <c r="F17" s="2" t="n">
        <f aca="false">VLOOKUP($B17,[1]Day1!$A$1:$H$394,5,FALSE())</f>
        <v>0</v>
      </c>
      <c r="G17" s="2" t="n">
        <f aca="false">VLOOKUP($B17,[1]Day1!$A$1:$H$394,6,FALSE())</f>
        <v>0</v>
      </c>
      <c r="H17" s="2" t="n">
        <f aca="false">VLOOKUP($B17,[1]Day1!$A$1:$H$394,7,FALSE())</f>
        <v>1</v>
      </c>
      <c r="I17" s="2" t="n">
        <f aca="false">SUM(E17:H17)</f>
        <v>1</v>
      </c>
      <c r="J17" s="0"/>
      <c r="K17" s="0"/>
      <c r="L17" s="0"/>
    </row>
    <row r="18" customFormat="false" ht="12.75" hidden="false" customHeight="true" outlineLevel="0" collapsed="false">
      <c r="A18" s="0" t="n">
        <v>17</v>
      </c>
      <c r="B18" s="2" t="n">
        <v>189753</v>
      </c>
      <c r="C18" s="2" t="s">
        <v>40</v>
      </c>
      <c r="D18" s="2" t="s">
        <v>41</v>
      </c>
      <c r="E18" s="2" t="n">
        <f aca="false">VLOOKUP($B18,[1]Day1!$A$1:$H$394,4,FALSE())</f>
        <v>0</v>
      </c>
      <c r="F18" s="2" t="n">
        <f aca="false">VLOOKUP($B18,[1]Day1!$A$1:$H$394,5,FALSE())</f>
        <v>0</v>
      </c>
      <c r="G18" s="2" t="n">
        <f aca="false">VLOOKUP($B18,[1]Day1!$A$1:$H$394,6,FALSE())</f>
        <v>1</v>
      </c>
      <c r="H18" s="2" t="n">
        <f aca="false">VLOOKUP($B18,[1]Day1!$A$1:$H$394,7,FALSE())</f>
        <v>0</v>
      </c>
      <c r="I18" s="2" t="n">
        <f aca="false">SUM(E18:H18)</f>
        <v>1</v>
      </c>
      <c r="J18" s="0"/>
      <c r="K18" s="0"/>
      <c r="L18" s="0"/>
    </row>
    <row r="19" customFormat="false" ht="12.75" hidden="false" customHeight="true" outlineLevel="0" collapsed="false">
      <c r="A19" s="0" t="n">
        <v>18</v>
      </c>
      <c r="B19" s="2" t="n">
        <v>181091</v>
      </c>
      <c r="C19" s="2" t="s">
        <v>42</v>
      </c>
      <c r="D19" s="2" t="s">
        <v>43</v>
      </c>
      <c r="E19" s="2" t="n">
        <f aca="false">VLOOKUP($B19,[1]Day1!$A$1:$H$394,4,FALSE())</f>
        <v>0</v>
      </c>
      <c r="F19" s="2" t="n">
        <f aca="false">VLOOKUP($B19,[1]Day1!$A$1:$H$394,5,FALSE())</f>
        <v>0</v>
      </c>
      <c r="G19" s="2" t="n">
        <f aca="false">VLOOKUP($B19,[1]Day1!$A$1:$H$394,6,FALSE())</f>
        <v>0</v>
      </c>
      <c r="H19" s="2" t="n">
        <f aca="false">VLOOKUP($B19,[1]Day1!$A$1:$H$394,7,FALSE())</f>
        <v>1</v>
      </c>
      <c r="I19" s="2" t="n">
        <f aca="false">SUM(E19:H19)</f>
        <v>1</v>
      </c>
      <c r="J19" s="0"/>
      <c r="K19" s="0"/>
      <c r="L19" s="0"/>
    </row>
    <row r="20" customFormat="false" ht="12.75" hidden="false" customHeight="true" outlineLevel="0" collapsed="false">
      <c r="A20" s="0" t="n">
        <v>19</v>
      </c>
      <c r="B20" s="2" t="n">
        <v>185242</v>
      </c>
      <c r="C20" s="2" t="s">
        <v>44</v>
      </c>
      <c r="D20" s="2" t="s">
        <v>45</v>
      </c>
      <c r="E20" s="2" t="n">
        <f aca="false">VLOOKUP($B20,[1]Day1!$A$1:$H$394,4,FALSE())</f>
        <v>0</v>
      </c>
      <c r="F20" s="2" t="n">
        <f aca="false">VLOOKUP($B20,[1]Day1!$A$1:$H$394,5,FALSE())</f>
        <v>0</v>
      </c>
      <c r="G20" s="2" t="n">
        <f aca="false">VLOOKUP($B20,[1]Day1!$A$1:$H$394,6,FALSE())</f>
        <v>0</v>
      </c>
      <c r="H20" s="2" t="n">
        <f aca="false">VLOOKUP($B20,[1]Day1!$A$1:$H$394,7,FALSE())</f>
        <v>1</v>
      </c>
      <c r="I20" s="2" t="n">
        <f aca="false">SUM(E20:H20)</f>
        <v>1</v>
      </c>
      <c r="J20" s="0"/>
      <c r="K20" s="0"/>
      <c r="L20" s="0"/>
    </row>
    <row r="21" customFormat="false" ht="12.75" hidden="false" customHeight="true" outlineLevel="0" collapsed="false">
      <c r="A21" s="0" t="n">
        <v>20</v>
      </c>
      <c r="B21" s="2" t="n">
        <v>194915</v>
      </c>
      <c r="C21" s="2" t="s">
        <v>46</v>
      </c>
      <c r="D21" s="2" t="s">
        <v>47</v>
      </c>
      <c r="E21" s="2" t="n">
        <f aca="false">VLOOKUP($B21,[1]Day1!$A$1:$H$394,4,FALSE())</f>
        <v>0.5</v>
      </c>
      <c r="F21" s="2" t="n">
        <f aca="false">VLOOKUP($B21,[1]Day1!$A$1:$H$394,5,FALSE())</f>
        <v>0</v>
      </c>
      <c r="G21" s="2" t="n">
        <f aca="false">VLOOKUP($B21,[1]Day1!$A$1:$H$394,6,FALSE())</f>
        <v>0</v>
      </c>
      <c r="H21" s="2" t="n">
        <f aca="false">VLOOKUP($B21,[1]Day1!$A$1:$H$394,7,FALSE())</f>
        <v>0</v>
      </c>
      <c r="I21" s="2" t="n">
        <f aca="false">SUM(E21:H21)</f>
        <v>0.5</v>
      </c>
      <c r="J21" s="0"/>
      <c r="K21" s="0"/>
      <c r="L21" s="0"/>
    </row>
    <row r="22" customFormat="false" ht="12.75" hidden="false" customHeight="true" outlineLevel="0" collapsed="false">
      <c r="A22" s="0" t="n">
        <v>21</v>
      </c>
      <c r="B22" s="2" t="n">
        <v>197200</v>
      </c>
      <c r="C22" s="2" t="s">
        <v>48</v>
      </c>
      <c r="D22" s="2" t="s">
        <v>49</v>
      </c>
      <c r="E22" s="2" t="n">
        <f aca="false">VLOOKUP($B22,[1]Day1!$A$1:$H$394,4,FALSE())</f>
        <v>0</v>
      </c>
      <c r="F22" s="2" t="n">
        <f aca="false">VLOOKUP($B22,[1]Day1!$A$1:$H$394,5,FALSE())</f>
        <v>0</v>
      </c>
      <c r="G22" s="2" t="n">
        <f aca="false">VLOOKUP($B22,[1]Day1!$A$1:$H$394,6,FALSE())</f>
        <v>0</v>
      </c>
      <c r="H22" s="2" t="n">
        <f aca="false">VLOOKUP($B22,[1]Day1!$A$1:$H$394,7,FALSE())</f>
        <v>0</v>
      </c>
      <c r="I22" s="2" t="n">
        <f aca="false">SUM(E22:H22)</f>
        <v>0</v>
      </c>
      <c r="J22" s="0"/>
      <c r="K22" s="0"/>
      <c r="L22" s="0"/>
    </row>
    <row r="23" customFormat="false" ht="12.75" hidden="false" customHeight="true" outlineLevel="0" collapsed="false">
      <c r="A23" s="0" t="n">
        <v>22</v>
      </c>
      <c r="B23" s="2" t="n">
        <v>181098</v>
      </c>
      <c r="C23" s="2" t="s">
        <v>50</v>
      </c>
      <c r="D23" s="2" t="s">
        <v>51</v>
      </c>
      <c r="E23" s="2" t="n">
        <f aca="false">VLOOKUP($B23,[1]Day1!$A$1:$H$394,4,FALSE())</f>
        <v>0</v>
      </c>
      <c r="F23" s="2" t="n">
        <f aca="false">VLOOKUP($B23,[1]Day1!$A$1:$H$394,5,FALSE())</f>
        <v>0</v>
      </c>
      <c r="G23" s="2" t="n">
        <f aca="false">VLOOKUP($B23,[1]Day1!$A$1:$H$394,6,FALSE())</f>
        <v>0</v>
      </c>
      <c r="H23" s="2" t="n">
        <f aca="false">VLOOKUP($B23,[1]Day1!$A$1:$H$394,7,FALSE())</f>
        <v>0</v>
      </c>
      <c r="I23" s="2" t="n">
        <f aca="false">SUM(E23:H23)</f>
        <v>0</v>
      </c>
      <c r="J23" s="0"/>
      <c r="K23" s="0"/>
      <c r="L23" s="0"/>
    </row>
    <row r="24" customFormat="false" ht="12.75" hidden="false" customHeight="true" outlineLevel="0" collapsed="false">
      <c r="A24" s="0" t="n">
        <v>23</v>
      </c>
      <c r="B24" s="2" t="n">
        <v>185183</v>
      </c>
      <c r="C24" s="2" t="s">
        <v>52</v>
      </c>
      <c r="D24" s="2" t="s">
        <v>39</v>
      </c>
      <c r="E24" s="2" t="n">
        <f aca="false">VLOOKUP($B24,[1]Day1!$A$1:$H$394,4,FALSE())</f>
        <v>0</v>
      </c>
      <c r="F24" s="2" t="n">
        <f aca="false">VLOOKUP($B24,[1]Day1!$A$1:$H$394,5,FALSE())</f>
        <v>0</v>
      </c>
      <c r="G24" s="2" t="n">
        <f aca="false">VLOOKUP($B24,[1]Day1!$A$1:$H$394,6,FALSE())</f>
        <v>0</v>
      </c>
      <c r="H24" s="2" t="n">
        <f aca="false">VLOOKUP($B24,[1]Day1!$A$1:$H$394,7,FALSE())</f>
        <v>0</v>
      </c>
      <c r="I24" s="2" t="n">
        <f aca="false">SUM(E24:H24)</f>
        <v>0</v>
      </c>
      <c r="J24" s="0"/>
      <c r="K24" s="0"/>
      <c r="L24" s="0"/>
    </row>
    <row r="25" customFormat="false" ht="12.75" hidden="false" customHeight="true" outlineLevel="0" collapsed="false">
      <c r="A25" s="0" t="n">
        <v>24</v>
      </c>
      <c r="B25" s="2" t="n">
        <v>181107</v>
      </c>
      <c r="C25" s="2" t="s">
        <v>53</v>
      </c>
      <c r="D25" s="2" t="s">
        <v>54</v>
      </c>
      <c r="E25" s="2" t="n">
        <f aca="false">VLOOKUP($B25,[1]Day1!$A$1:$H$394,4,FALSE())</f>
        <v>0</v>
      </c>
      <c r="F25" s="2" t="n">
        <f aca="false">VLOOKUP($B25,[1]Day1!$A$1:$H$394,5,FALSE())</f>
        <v>0</v>
      </c>
      <c r="G25" s="2" t="n">
        <f aca="false">VLOOKUP($B25,[1]Day1!$A$1:$H$394,6,FALSE())</f>
        <v>0</v>
      </c>
      <c r="H25" s="2" t="n">
        <f aca="false">VLOOKUP($B25,[1]Day1!$A$1:$H$394,7,FALSE())</f>
        <v>0</v>
      </c>
      <c r="I25" s="2" t="n">
        <f aca="false">SUM(E25:H25)</f>
        <v>0</v>
      </c>
      <c r="J25" s="0"/>
      <c r="K25" s="0"/>
      <c r="L25" s="0"/>
    </row>
    <row r="26" customFormat="false" ht="12.75" hidden="false" customHeight="true" outlineLevel="0" collapsed="false">
      <c r="A26" s="0" t="n">
        <v>25</v>
      </c>
      <c r="B26" s="2" t="n">
        <v>197177</v>
      </c>
      <c r="C26" s="2" t="s">
        <v>55</v>
      </c>
      <c r="D26" s="2" t="s">
        <v>56</v>
      </c>
      <c r="E26" s="2" t="n">
        <f aca="false">VLOOKUP($B26,[1]Day1!$A$1:$H$394,4,FALSE())</f>
        <v>0</v>
      </c>
      <c r="F26" s="2" t="n">
        <f aca="false">VLOOKUP($B26,[1]Day1!$A$1:$H$394,5,FALSE())</f>
        <v>0</v>
      </c>
      <c r="G26" s="2" t="n">
        <f aca="false">VLOOKUP($B26,[1]Day1!$A$1:$H$394,6,FALSE())</f>
        <v>0</v>
      </c>
      <c r="H26" s="2" t="n">
        <f aca="false">VLOOKUP($B26,[1]Day1!$A$1:$H$394,7,FALSE())</f>
        <v>0</v>
      </c>
      <c r="I26" s="2" t="n">
        <f aca="false">SUM(E26:H26)</f>
        <v>0</v>
      </c>
      <c r="J26" s="0"/>
      <c r="K26" s="0"/>
      <c r="L26" s="0"/>
    </row>
    <row r="27" customFormat="false" ht="12.75" hidden="false" customHeight="true" outlineLevel="0" collapsed="false">
      <c r="A27" s="0" t="n">
        <v>26</v>
      </c>
      <c r="B27" s="2" t="n">
        <v>185185</v>
      </c>
      <c r="C27" s="2" t="s">
        <v>57</v>
      </c>
      <c r="D27" s="2" t="s">
        <v>58</v>
      </c>
      <c r="E27" s="2" t="n">
        <f aca="false">VLOOKUP($B27,[1]Day1!$A$1:$H$394,4,FALSE())</f>
        <v>0</v>
      </c>
      <c r="F27" s="2" t="n">
        <f aca="false">VLOOKUP($B27,[1]Day1!$A$1:$H$394,5,FALSE())</f>
        <v>0</v>
      </c>
      <c r="G27" s="2" t="n">
        <f aca="false">VLOOKUP($B27,[1]Day1!$A$1:$H$394,6,FALSE())</f>
        <v>0</v>
      </c>
      <c r="H27" s="2" t="n">
        <f aca="false">VLOOKUP($B27,[1]Day1!$A$1:$H$394,7,FALSE())</f>
        <v>0</v>
      </c>
      <c r="I27" s="2" t="n">
        <f aca="false">SUM(E27:H27)</f>
        <v>0</v>
      </c>
      <c r="J27" s="0"/>
      <c r="K27" s="0"/>
      <c r="L27" s="0"/>
    </row>
    <row r="28" customFormat="false" ht="12.75" hidden="false" customHeight="true" outlineLevel="0" collapsed="false">
      <c r="A28" s="0" t="n">
        <v>27</v>
      </c>
      <c r="B28" s="2" t="n">
        <v>190486</v>
      </c>
      <c r="C28" s="2" t="s">
        <v>59</v>
      </c>
      <c r="D28" s="2" t="s">
        <v>60</v>
      </c>
      <c r="E28" s="2" t="n">
        <f aca="false">VLOOKUP($B28,[1]Day1!$A$1:$H$394,4,FALSE())</f>
        <v>0</v>
      </c>
      <c r="F28" s="2" t="n">
        <f aca="false">VLOOKUP($B28,[1]Day1!$A$1:$H$394,5,FALSE())</f>
        <v>0</v>
      </c>
      <c r="G28" s="2" t="n">
        <f aca="false">VLOOKUP($B28,[1]Day1!$A$1:$H$394,6,FALSE())</f>
        <v>0</v>
      </c>
      <c r="H28" s="2" t="n">
        <f aca="false">VLOOKUP($B28,[1]Day1!$A$1:$H$394,7,FALSE())</f>
        <v>0</v>
      </c>
      <c r="I28" s="2" t="n">
        <f aca="false">SUM(E28:H28)</f>
        <v>0</v>
      </c>
      <c r="J28" s="0"/>
      <c r="K28" s="0"/>
      <c r="L28" s="0"/>
    </row>
    <row r="29" customFormat="false" ht="12.75" hidden="false" customHeight="true" outlineLevel="0" collapsed="false">
      <c r="A29" s="0" t="n">
        <v>28</v>
      </c>
      <c r="B29" s="2" t="n">
        <v>197179</v>
      </c>
      <c r="C29" s="2" t="s">
        <v>61</v>
      </c>
      <c r="D29" s="2" t="s">
        <v>62</v>
      </c>
      <c r="E29" s="2" t="n">
        <f aca="false">VLOOKUP($B29,[1]Day1!$A$1:$H$394,4,FALSE())</f>
        <v>0</v>
      </c>
      <c r="F29" s="2" t="n">
        <f aca="false">VLOOKUP($B29,[1]Day1!$A$1:$H$394,5,FALSE())</f>
        <v>0</v>
      </c>
      <c r="G29" s="2" t="n">
        <f aca="false">VLOOKUP($B29,[1]Day1!$A$1:$H$394,6,FALSE())</f>
        <v>0</v>
      </c>
      <c r="H29" s="2" t="n">
        <f aca="false">VLOOKUP($B29,[1]Day1!$A$1:$H$394,7,FALSE())</f>
        <v>0</v>
      </c>
      <c r="I29" s="2" t="n">
        <f aca="false">SUM(E29:H29)</f>
        <v>0</v>
      </c>
      <c r="J29" s="0"/>
      <c r="K29" s="0"/>
      <c r="L29" s="0"/>
    </row>
    <row r="30" customFormat="false" ht="12.75" hidden="false" customHeight="true" outlineLevel="0" collapsed="false">
      <c r="A30" s="0" t="n">
        <v>29</v>
      </c>
      <c r="B30" s="2" t="n">
        <v>185186</v>
      </c>
      <c r="C30" s="2" t="s">
        <v>63</v>
      </c>
      <c r="D30" s="2" t="s">
        <v>64</v>
      </c>
      <c r="E30" s="2" t="n">
        <f aca="false">VLOOKUP($B30,[1]Day1!$A$1:$H$394,4,FALSE())</f>
        <v>0</v>
      </c>
      <c r="F30" s="2" t="n">
        <f aca="false">VLOOKUP($B30,[1]Day1!$A$1:$H$394,5,FALSE())</f>
        <v>0</v>
      </c>
      <c r="G30" s="2" t="n">
        <f aca="false">VLOOKUP($B30,[1]Day1!$A$1:$H$394,6,FALSE())</f>
        <v>0</v>
      </c>
      <c r="H30" s="2" t="n">
        <f aca="false">VLOOKUP($B30,[1]Day1!$A$1:$H$394,7,FALSE())</f>
        <v>0</v>
      </c>
      <c r="I30" s="2" t="n">
        <f aca="false">SUM(E30:H30)</f>
        <v>0</v>
      </c>
      <c r="J30" s="0"/>
      <c r="K30" s="0"/>
      <c r="L30" s="0"/>
    </row>
    <row r="31" customFormat="false" ht="12.75" hidden="false" customHeight="true" outlineLevel="0" collapsed="false">
      <c r="A31" s="0" t="n">
        <v>30</v>
      </c>
      <c r="B31" s="2" t="n">
        <v>197180</v>
      </c>
      <c r="C31" s="2" t="s">
        <v>65</v>
      </c>
      <c r="D31" s="2" t="s">
        <v>66</v>
      </c>
      <c r="E31" s="2" t="n">
        <f aca="false">VLOOKUP($B31,[1]Day1!$A$1:$H$394,4,FALSE())</f>
        <v>0</v>
      </c>
      <c r="F31" s="2" t="n">
        <f aca="false">VLOOKUP($B31,[1]Day1!$A$1:$H$394,5,FALSE())</f>
        <v>0</v>
      </c>
      <c r="G31" s="2" t="n">
        <f aca="false">VLOOKUP($B31,[1]Day1!$A$1:$H$394,6,FALSE())</f>
        <v>0</v>
      </c>
      <c r="H31" s="2" t="n">
        <f aca="false">VLOOKUP($B31,[1]Day1!$A$1:$H$394,7,FALSE())</f>
        <v>0</v>
      </c>
      <c r="I31" s="2" t="n">
        <f aca="false">SUM(E31:H31)</f>
        <v>0</v>
      </c>
      <c r="J31" s="0"/>
      <c r="K31" s="0"/>
      <c r="L31" s="0"/>
    </row>
    <row r="32" customFormat="false" ht="12.75" hidden="false" customHeight="true" outlineLevel="0" collapsed="false">
      <c r="A32" s="0" t="n">
        <v>31</v>
      </c>
      <c r="B32" s="2" t="n">
        <v>181059</v>
      </c>
      <c r="C32" s="2" t="s">
        <v>67</v>
      </c>
      <c r="D32" s="2" t="s">
        <v>68</v>
      </c>
      <c r="E32" s="2" t="n">
        <f aca="false">VLOOKUP($B32,[1]Day1!$A$1:$H$394,4,FALSE())</f>
        <v>0</v>
      </c>
      <c r="F32" s="2" t="n">
        <f aca="false">VLOOKUP($B32,[1]Day1!$A$1:$H$394,5,FALSE())</f>
        <v>0</v>
      </c>
      <c r="G32" s="2" t="n">
        <f aca="false">VLOOKUP($B32,[1]Day1!$A$1:$H$394,6,FALSE())</f>
        <v>0</v>
      </c>
      <c r="H32" s="2" t="n">
        <f aca="false">VLOOKUP($B32,[1]Day1!$A$1:$H$394,7,FALSE())</f>
        <v>0</v>
      </c>
      <c r="I32" s="2" t="n">
        <f aca="false">SUM(E32:H32)</f>
        <v>0</v>
      </c>
      <c r="J32" s="0"/>
      <c r="K32" s="0"/>
      <c r="L32" s="0"/>
    </row>
    <row r="33" customFormat="false" ht="12.75" hidden="false" customHeight="true" outlineLevel="0" collapsed="false">
      <c r="A33" s="0" t="n">
        <v>32</v>
      </c>
      <c r="B33" s="2" t="n">
        <v>181061</v>
      </c>
      <c r="C33" s="2" t="s">
        <v>69</v>
      </c>
      <c r="D33" s="2" t="s">
        <v>70</v>
      </c>
      <c r="E33" s="2" t="n">
        <f aca="false">VLOOKUP($B33,[1]Day1!$A$1:$H$394,4,FALSE())</f>
        <v>0</v>
      </c>
      <c r="F33" s="2" t="n">
        <f aca="false">VLOOKUP($B33,[1]Day1!$A$1:$H$394,5,FALSE())</f>
        <v>0</v>
      </c>
      <c r="G33" s="2" t="n">
        <f aca="false">VLOOKUP($B33,[1]Day1!$A$1:$H$394,6,FALSE())</f>
        <v>0</v>
      </c>
      <c r="H33" s="2" t="n">
        <f aca="false">VLOOKUP($B33,[1]Day1!$A$1:$H$394,7,FALSE())</f>
        <v>0</v>
      </c>
      <c r="I33" s="2" t="n">
        <f aca="false">SUM(E33:H33)</f>
        <v>0</v>
      </c>
      <c r="J33" s="0"/>
      <c r="K33" s="0"/>
      <c r="L33" s="0"/>
    </row>
    <row r="34" customFormat="false" ht="12.75" hidden="false" customHeight="true" outlineLevel="0" collapsed="false">
      <c r="A34" s="0" t="n">
        <v>33</v>
      </c>
      <c r="B34" s="2" t="n">
        <v>197186</v>
      </c>
      <c r="C34" s="2" t="s">
        <v>71</v>
      </c>
      <c r="D34" s="2" t="s">
        <v>72</v>
      </c>
      <c r="E34" s="2" t="n">
        <f aca="false">VLOOKUP($B34,[1]Day1!$A$1:$H$394,4,FALSE())</f>
        <v>0</v>
      </c>
      <c r="F34" s="2" t="n">
        <f aca="false">VLOOKUP($B34,[1]Day1!$A$1:$H$394,5,FALSE())</f>
        <v>0</v>
      </c>
      <c r="G34" s="2" t="n">
        <f aca="false">VLOOKUP($B34,[1]Day1!$A$1:$H$394,6,FALSE())</f>
        <v>0</v>
      </c>
      <c r="H34" s="2" t="n">
        <f aca="false">VLOOKUP($B34,[1]Day1!$A$1:$H$394,7,FALSE())</f>
        <v>0</v>
      </c>
      <c r="I34" s="2" t="n">
        <f aca="false">SUM(E34:H34)</f>
        <v>0</v>
      </c>
      <c r="J34" s="0"/>
      <c r="K34" s="0"/>
      <c r="L34" s="0"/>
    </row>
    <row r="35" customFormat="false" ht="12.75" hidden="false" customHeight="true" outlineLevel="0" collapsed="false">
      <c r="A35" s="0" t="n">
        <v>34</v>
      </c>
      <c r="B35" s="2" t="n">
        <v>197192</v>
      </c>
      <c r="C35" s="2" t="s">
        <v>73</v>
      </c>
      <c r="D35" s="2" t="s">
        <v>74</v>
      </c>
      <c r="E35" s="2" t="n">
        <f aca="false">VLOOKUP($B35,[1]Day1!$A$1:$H$394,4,FALSE())</f>
        <v>0</v>
      </c>
      <c r="F35" s="2" t="n">
        <f aca="false">VLOOKUP($B35,[1]Day1!$A$1:$H$394,5,FALSE())</f>
        <v>0</v>
      </c>
      <c r="G35" s="2" t="n">
        <f aca="false">VLOOKUP($B35,[1]Day1!$A$1:$H$394,6,FALSE())</f>
        <v>0</v>
      </c>
      <c r="H35" s="2" t="n">
        <f aca="false">VLOOKUP($B35,[1]Day1!$A$1:$H$394,7,FALSE())</f>
        <v>0</v>
      </c>
      <c r="I35" s="2" t="n">
        <f aca="false">SUM(E35:H35)</f>
        <v>0</v>
      </c>
      <c r="J35" s="0"/>
      <c r="K35" s="0"/>
      <c r="L35" s="0"/>
    </row>
    <row r="36" customFormat="false" ht="12.75" hidden="false" customHeight="true" outlineLevel="0" collapsed="false">
      <c r="A36" s="0" t="n">
        <v>35</v>
      </c>
      <c r="B36" s="2" t="n">
        <v>181096</v>
      </c>
      <c r="C36" s="2" t="s">
        <v>75</v>
      </c>
      <c r="D36" s="2" t="s">
        <v>76</v>
      </c>
      <c r="E36" s="2" t="n">
        <f aca="false">VLOOKUP($B36,[1]Day1!$A$1:$H$394,4,FALSE())</f>
        <v>0</v>
      </c>
      <c r="F36" s="2" t="n">
        <f aca="false">VLOOKUP($B36,[1]Day1!$A$1:$H$394,5,FALSE())</f>
        <v>0</v>
      </c>
      <c r="G36" s="2" t="n">
        <f aca="false">VLOOKUP($B36,[1]Day1!$A$1:$H$394,6,FALSE())</f>
        <v>0</v>
      </c>
      <c r="H36" s="2" t="n">
        <f aca="false">VLOOKUP($B36,[1]Day1!$A$1:$H$394,7,FALSE())</f>
        <v>0</v>
      </c>
      <c r="I36" s="2" t="n">
        <f aca="false">SUM(E36:H36)</f>
        <v>0</v>
      </c>
      <c r="J36" s="0"/>
      <c r="K36" s="0"/>
      <c r="L36" s="0"/>
    </row>
    <row r="37" customFormat="false" ht="12.75" hidden="false" customHeight="true" outlineLevel="0" collapsed="false">
      <c r="A37" s="0" t="n">
        <v>36</v>
      </c>
      <c r="B37" s="2" t="n">
        <v>197182</v>
      </c>
      <c r="C37" s="2" t="s">
        <v>77</v>
      </c>
      <c r="D37" s="2" t="s">
        <v>78</v>
      </c>
      <c r="E37" s="2" t="n">
        <f aca="false">VLOOKUP($B37,[1]Day1!$A$1:$H$394,4,FALSE())</f>
        <v>0</v>
      </c>
      <c r="F37" s="2" t="n">
        <f aca="false">VLOOKUP($B37,[1]Day1!$A$1:$H$394,5,FALSE())</f>
        <v>0</v>
      </c>
      <c r="G37" s="2" t="n">
        <f aca="false">VLOOKUP($B37,[1]Day1!$A$1:$H$394,6,FALSE())</f>
        <v>0</v>
      </c>
      <c r="H37" s="2" t="n">
        <f aca="false">VLOOKUP($B37,[1]Day1!$A$1:$H$394,7,FALSE())</f>
        <v>0</v>
      </c>
      <c r="I37" s="2" t="n">
        <f aca="false">SUM(E37:H37)</f>
        <v>0</v>
      </c>
      <c r="J37" s="0"/>
      <c r="K37" s="0"/>
      <c r="L37" s="0"/>
    </row>
    <row r="38" customFormat="false" ht="12.75" hidden="false" customHeight="true" outlineLevel="0" collapsed="false">
      <c r="A38" s="0" t="n">
        <v>37</v>
      </c>
      <c r="B38" s="2" t="n">
        <v>197188</v>
      </c>
      <c r="C38" s="2" t="s">
        <v>79</v>
      </c>
      <c r="D38" s="2" t="s">
        <v>80</v>
      </c>
      <c r="E38" s="2" t="n">
        <f aca="false">VLOOKUP($B38,[1]Day1!$A$1:$H$394,4,FALSE())</f>
        <v>0</v>
      </c>
      <c r="F38" s="2" t="n">
        <f aca="false">VLOOKUP($B38,[1]Day1!$A$1:$H$394,5,FALSE())</f>
        <v>0</v>
      </c>
      <c r="G38" s="2" t="n">
        <f aca="false">VLOOKUP($B38,[1]Day1!$A$1:$H$394,6,FALSE())</f>
        <v>0</v>
      </c>
      <c r="H38" s="2" t="n">
        <f aca="false">VLOOKUP($B38,[1]Day1!$A$1:$H$394,7,FALSE())</f>
        <v>0</v>
      </c>
      <c r="I38" s="2" t="n">
        <f aca="false">SUM(E38:H38)</f>
        <v>0</v>
      </c>
      <c r="J38" s="0"/>
      <c r="K38" s="0"/>
      <c r="L38" s="0"/>
    </row>
    <row r="39" customFormat="false" ht="12.75" hidden="false" customHeight="true" outlineLevel="0" collapsed="false">
      <c r="A39" s="0" t="n">
        <v>38</v>
      </c>
      <c r="B39" s="2" t="n">
        <v>196073</v>
      </c>
      <c r="C39" s="2" t="s">
        <v>81</v>
      </c>
      <c r="D39" s="2" t="s">
        <v>31</v>
      </c>
      <c r="E39" s="2" t="n">
        <f aca="false">VLOOKUP($B39,[1]Day1!$A$1:$H$394,4,FALSE())</f>
        <v>0</v>
      </c>
      <c r="F39" s="2" t="n">
        <f aca="false">VLOOKUP($B39,[1]Day1!$A$1:$H$394,5,FALSE())</f>
        <v>0</v>
      </c>
      <c r="G39" s="2" t="n">
        <f aca="false">VLOOKUP($B39,[1]Day1!$A$1:$H$394,6,FALSE())</f>
        <v>0</v>
      </c>
      <c r="H39" s="2" t="n">
        <f aca="false">VLOOKUP($B39,[1]Day1!$A$1:$H$394,7,FALSE())</f>
        <v>0</v>
      </c>
      <c r="I39" s="2" t="n">
        <f aca="false">SUM(E39:H39)</f>
        <v>0</v>
      </c>
      <c r="J39" s="0"/>
      <c r="K39" s="0"/>
      <c r="L39" s="0"/>
    </row>
    <row r="40" customFormat="false" ht="12.75" hidden="false" customHeight="true" outlineLevel="0" collapsed="false">
      <c r="A40" s="0" t="n">
        <v>39</v>
      </c>
      <c r="B40" s="2" t="n">
        <v>181087</v>
      </c>
      <c r="C40" s="2" t="s">
        <v>82</v>
      </c>
      <c r="D40" s="2" t="s">
        <v>83</v>
      </c>
      <c r="E40" s="2" t="n">
        <f aca="false">VLOOKUP($B40,[1]Day1!$A$1:$H$394,4,FALSE())</f>
        <v>0</v>
      </c>
      <c r="F40" s="2" t="n">
        <f aca="false">VLOOKUP($B40,[1]Day1!$A$1:$H$394,5,FALSE())</f>
        <v>0</v>
      </c>
      <c r="G40" s="2" t="n">
        <f aca="false">VLOOKUP($B40,[1]Day1!$A$1:$H$394,6,FALSE())</f>
        <v>0</v>
      </c>
      <c r="H40" s="2" t="n">
        <f aca="false">VLOOKUP($B40,[1]Day1!$A$1:$H$394,7,FALSE())</f>
        <v>0</v>
      </c>
      <c r="I40" s="2" t="n">
        <f aca="false">SUM(E40:H40)</f>
        <v>0</v>
      </c>
      <c r="J40" s="0"/>
      <c r="K40" s="0"/>
      <c r="L40" s="0"/>
    </row>
    <row r="41" customFormat="false" ht="12.75" hidden="false" customHeight="true" outlineLevel="0" collapsed="false">
      <c r="A41" s="0" t="n">
        <v>40</v>
      </c>
      <c r="B41" s="2" t="n">
        <v>190449</v>
      </c>
      <c r="C41" s="2" t="s">
        <v>84</v>
      </c>
      <c r="D41" s="2" t="s">
        <v>85</v>
      </c>
      <c r="E41" s="2" t="n">
        <f aca="false">VLOOKUP($B41,[1]Day1!$A$1:$H$394,4,FALSE())</f>
        <v>0</v>
      </c>
      <c r="F41" s="2" t="n">
        <f aca="false">VLOOKUP($B41,[1]Day1!$A$1:$H$394,5,FALSE())</f>
        <v>0</v>
      </c>
      <c r="G41" s="2" t="n">
        <f aca="false">VLOOKUP($B41,[1]Day1!$A$1:$H$394,6,FALSE())</f>
        <v>0</v>
      </c>
      <c r="H41" s="2" t="n">
        <f aca="false">VLOOKUP($B41,[1]Day1!$A$1:$H$394,7,FALSE())</f>
        <v>0</v>
      </c>
      <c r="I41" s="2" t="n">
        <f aca="false">SUM(E41:H41)</f>
        <v>0</v>
      </c>
      <c r="J41" s="0"/>
      <c r="K41" s="0"/>
      <c r="L41" s="0"/>
    </row>
    <row r="42" customFormat="false" ht="12.75" hidden="false" customHeight="true" outlineLevel="0" collapsed="false">
      <c r="A42" s="0" t="n">
        <v>41</v>
      </c>
      <c r="B42" s="2" t="n">
        <v>185257</v>
      </c>
      <c r="C42" s="2" t="s">
        <v>86</v>
      </c>
      <c r="D42" s="2" t="s">
        <v>87</v>
      </c>
      <c r="E42" s="2" t="n">
        <f aca="false">VLOOKUP($B42,[1]Day1!$A$1:$H$394,4,FALSE())</f>
        <v>0</v>
      </c>
      <c r="F42" s="2" t="n">
        <f aca="false">VLOOKUP($B42,[1]Day1!$A$1:$H$394,5,FALSE())</f>
        <v>0</v>
      </c>
      <c r="G42" s="2" t="n">
        <f aca="false">VLOOKUP($B42,[1]Day1!$A$1:$H$394,6,FALSE())</f>
        <v>0</v>
      </c>
      <c r="H42" s="2" t="n">
        <f aca="false">VLOOKUP($B42,[1]Day1!$A$1:$H$394,7,FALSE())</f>
        <v>0</v>
      </c>
      <c r="I42" s="2" t="n">
        <f aca="false">SUM(E42:H42)</f>
        <v>0</v>
      </c>
      <c r="J42" s="0"/>
      <c r="K42" s="0"/>
      <c r="L42" s="0"/>
    </row>
    <row r="43" customFormat="false" ht="12.75" hidden="false" customHeight="true" outlineLevel="0" collapsed="false">
      <c r="A43" s="0" t="n">
        <v>42</v>
      </c>
      <c r="B43" s="2" t="n">
        <v>181844</v>
      </c>
      <c r="C43" s="2" t="s">
        <v>88</v>
      </c>
      <c r="D43" s="2" t="s">
        <v>89</v>
      </c>
      <c r="E43" s="2" t="n">
        <f aca="false">VLOOKUP($B43,[1]Day1!$A$1:$H$394,4,FALSE())</f>
        <v>0</v>
      </c>
      <c r="F43" s="2" t="n">
        <f aca="false">VLOOKUP($B43,[1]Day1!$A$1:$H$394,5,FALSE())</f>
        <v>0</v>
      </c>
      <c r="G43" s="2" t="n">
        <f aca="false">VLOOKUP($B43,[1]Day1!$A$1:$H$394,6,FALSE())</f>
        <v>0</v>
      </c>
      <c r="H43" s="2" t="n">
        <f aca="false">VLOOKUP($B43,[1]Day1!$A$1:$H$394,7,FALSE())</f>
        <v>0</v>
      </c>
      <c r="I43" s="2" t="n">
        <f aca="false">SUM(E43:H43)</f>
        <v>0</v>
      </c>
      <c r="J43" s="0"/>
      <c r="K43" s="0"/>
      <c r="L43" s="0"/>
    </row>
    <row r="44" customFormat="false" ht="12.75" hidden="false" customHeight="true" outlineLevel="0" collapsed="false">
      <c r="A44" s="0" t="n">
        <v>43</v>
      </c>
      <c r="B44" s="2" t="n">
        <v>181850</v>
      </c>
      <c r="C44" s="2" t="s">
        <v>90</v>
      </c>
      <c r="D44" s="2" t="s">
        <v>91</v>
      </c>
      <c r="E44" s="2" t="n">
        <f aca="false">VLOOKUP($B44,[1]Day1!$A$1:$H$394,4,FALSE())</f>
        <v>0</v>
      </c>
      <c r="F44" s="2" t="n">
        <f aca="false">VLOOKUP($B44,[1]Day1!$A$1:$H$394,5,FALSE())</f>
        <v>0</v>
      </c>
      <c r="G44" s="2" t="n">
        <f aca="false">VLOOKUP($B44,[1]Day1!$A$1:$H$394,6,FALSE())</f>
        <v>0</v>
      </c>
      <c r="H44" s="2" t="n">
        <f aca="false">VLOOKUP($B44,[1]Day1!$A$1:$H$394,7,FALSE())</f>
        <v>0</v>
      </c>
      <c r="I44" s="2" t="n">
        <f aca="false">SUM(E44:H44)</f>
        <v>0</v>
      </c>
      <c r="J44" s="0"/>
      <c r="K44" s="0"/>
      <c r="L44" s="0"/>
    </row>
    <row r="45" customFormat="false" ht="12.75" hidden="false" customHeight="true" outlineLevel="0" collapsed="false">
      <c r="A45" s="0" t="n">
        <v>44</v>
      </c>
      <c r="B45" s="2" t="n">
        <v>181092</v>
      </c>
      <c r="C45" s="2" t="s">
        <v>92</v>
      </c>
      <c r="D45" s="2" t="s">
        <v>93</v>
      </c>
      <c r="E45" s="2" t="n">
        <f aca="false">VLOOKUP($B45,[1]Day1!$A$1:$H$394,4,FALSE())</f>
        <v>0</v>
      </c>
      <c r="F45" s="2" t="n">
        <f aca="false">VLOOKUP($B45,[1]Day1!$A$1:$H$394,5,FALSE())</f>
        <v>0</v>
      </c>
      <c r="G45" s="2" t="n">
        <f aca="false">VLOOKUP($B45,[1]Day1!$A$1:$H$394,6,FALSE())</f>
        <v>0</v>
      </c>
      <c r="H45" s="2" t="n">
        <f aca="false">VLOOKUP($B45,[1]Day1!$A$1:$H$394,7,FALSE())</f>
        <v>0</v>
      </c>
      <c r="I45" s="2" t="n">
        <f aca="false">SUM(E45:H45)</f>
        <v>0</v>
      </c>
      <c r="J45" s="0"/>
      <c r="K45" s="0"/>
      <c r="L45" s="0"/>
    </row>
    <row r="46" customFormat="false" ht="12.75" hidden="false" customHeight="true" outlineLevel="0" collapsed="false">
      <c r="A46" s="0" t="n">
        <v>45</v>
      </c>
      <c r="B46" s="2" t="n">
        <v>181082</v>
      </c>
      <c r="C46" s="2" t="s">
        <v>94</v>
      </c>
      <c r="D46" s="2" t="s">
        <v>95</v>
      </c>
      <c r="E46" s="2" t="n">
        <f aca="false">VLOOKUP($B46,[1]Day1!$A$1:$H$394,4,FALSE())</f>
        <v>0</v>
      </c>
      <c r="F46" s="2" t="n">
        <f aca="false">VLOOKUP($B46,[1]Day1!$A$1:$H$394,5,FALSE())</f>
        <v>0</v>
      </c>
      <c r="G46" s="2" t="n">
        <f aca="false">VLOOKUP($B46,[1]Day1!$A$1:$H$394,6,FALSE())</f>
        <v>0</v>
      </c>
      <c r="H46" s="2" t="n">
        <f aca="false">VLOOKUP($B46,[1]Day1!$A$1:$H$394,7,FALSE())</f>
        <v>0</v>
      </c>
      <c r="I46" s="2" t="n">
        <f aca="false">SUM(E46:H46)</f>
        <v>0</v>
      </c>
      <c r="J46" s="0"/>
      <c r="K46" s="0"/>
      <c r="L46" s="0"/>
    </row>
    <row r="47" customFormat="false" ht="12.75" hidden="false" customHeight="true" outlineLevel="0" collapsed="false">
      <c r="A47" s="0" t="n">
        <v>46</v>
      </c>
      <c r="B47" s="2" t="n">
        <v>185262</v>
      </c>
      <c r="C47" s="2" t="s">
        <v>96</v>
      </c>
      <c r="D47" s="2" t="s">
        <v>97</v>
      </c>
      <c r="E47" s="2" t="n">
        <f aca="false">VLOOKUP($B47,[1]Day1!$A$1:$H$394,4,FALSE())</f>
        <v>0</v>
      </c>
      <c r="F47" s="2" t="n">
        <f aca="false">VLOOKUP($B47,[1]Day1!$A$1:$H$394,5,FALSE())</f>
        <v>0</v>
      </c>
      <c r="G47" s="2" t="n">
        <f aca="false">VLOOKUP($B47,[1]Day1!$A$1:$H$394,6,FALSE())</f>
        <v>0</v>
      </c>
      <c r="H47" s="2" t="n">
        <f aca="false">VLOOKUP($B47,[1]Day1!$A$1:$H$394,7,FALSE())</f>
        <v>0</v>
      </c>
      <c r="I47" s="2" t="n">
        <f aca="false">SUM(E47:H47)</f>
        <v>0</v>
      </c>
      <c r="J47" s="0"/>
      <c r="K47" s="0"/>
      <c r="L47" s="0"/>
    </row>
    <row r="48" customFormat="false" ht="12.75" hidden="false" customHeight="true" outlineLevel="0" collapsed="false">
      <c r="A48" s="0" t="n">
        <v>47</v>
      </c>
      <c r="B48" s="2" t="n">
        <v>197187</v>
      </c>
      <c r="C48" s="2" t="s">
        <v>98</v>
      </c>
      <c r="D48" s="2" t="s">
        <v>28</v>
      </c>
      <c r="E48" s="2" t="n">
        <f aca="false">VLOOKUP($B48,[1]Day1!$A$1:$H$394,4,FALSE())</f>
        <v>0</v>
      </c>
      <c r="F48" s="2" t="n">
        <f aca="false">VLOOKUP($B48,[1]Day1!$A$1:$H$394,5,FALSE())</f>
        <v>0</v>
      </c>
      <c r="G48" s="2" t="n">
        <f aca="false">VLOOKUP($B48,[1]Day1!$A$1:$H$394,6,FALSE())</f>
        <v>0</v>
      </c>
      <c r="H48" s="2" t="n">
        <f aca="false">VLOOKUP($B48,[1]Day1!$A$1:$H$394,7,FALSE())</f>
        <v>0</v>
      </c>
      <c r="I48" s="2" t="n">
        <f aca="false">SUM(E48:H48)</f>
        <v>0</v>
      </c>
      <c r="J48" s="0"/>
      <c r="K48" s="0"/>
      <c r="L48" s="0"/>
    </row>
    <row r="49" customFormat="false" ht="12.75" hidden="false" customHeight="true" outlineLevel="0" collapsed="false">
      <c r="A49" s="0" t="n">
        <v>48</v>
      </c>
      <c r="B49" s="2" t="n">
        <v>162363</v>
      </c>
      <c r="C49" s="2" t="s">
        <v>99</v>
      </c>
      <c r="D49" s="2" t="s">
        <v>20</v>
      </c>
      <c r="E49" s="2" t="n">
        <f aca="false">VLOOKUP($B49,[1]Day1!$A$1:$H$394,4,FALSE())</f>
        <v>0</v>
      </c>
      <c r="F49" s="2" t="n">
        <f aca="false">VLOOKUP($B49,[1]Day1!$A$1:$H$394,5,FALSE())</f>
        <v>0</v>
      </c>
      <c r="G49" s="2" t="n">
        <f aca="false">VLOOKUP($B49,[1]Day1!$A$1:$H$394,6,FALSE())</f>
        <v>0</v>
      </c>
      <c r="H49" s="2" t="n">
        <f aca="false">VLOOKUP($B49,[1]Day1!$A$1:$H$394,7,FALSE())</f>
        <v>0</v>
      </c>
      <c r="I49" s="2" t="n">
        <f aca="false">SUM(E49:H49)</f>
        <v>0</v>
      </c>
      <c r="J49" s="0"/>
      <c r="K49" s="0"/>
      <c r="L49" s="0"/>
    </row>
    <row r="50" customFormat="false" ht="12.75" hidden="false" customHeight="true" outlineLevel="0" collapsed="false">
      <c r="A50" s="0" t="n">
        <v>49</v>
      </c>
      <c r="B50" s="2" t="n">
        <v>197184</v>
      </c>
      <c r="C50" s="2" t="s">
        <v>100</v>
      </c>
      <c r="D50" s="2" t="s">
        <v>101</v>
      </c>
      <c r="E50" s="2" t="n">
        <f aca="false">VLOOKUP($B50,[1]Day1!$A$1:$H$394,4,FALSE())</f>
        <v>0</v>
      </c>
      <c r="F50" s="2" t="n">
        <f aca="false">VLOOKUP($B50,[1]Day1!$A$1:$H$394,5,FALSE())</f>
        <v>0</v>
      </c>
      <c r="G50" s="2" t="n">
        <f aca="false">VLOOKUP($B50,[1]Day1!$A$1:$H$394,6,FALSE())</f>
        <v>0</v>
      </c>
      <c r="H50" s="2" t="n">
        <f aca="false">VLOOKUP($B50,[1]Day1!$A$1:$H$394,7,FALSE())</f>
        <v>0</v>
      </c>
      <c r="I50" s="2" t="n">
        <f aca="false">SUM(E50:H50)</f>
        <v>0</v>
      </c>
      <c r="J50" s="0"/>
      <c r="K50" s="0"/>
      <c r="L50" s="0"/>
    </row>
    <row r="51" customFormat="false" ht="12.75" hidden="false" customHeight="true" outlineLevel="0" collapsed="false">
      <c r="A51" s="0" t="n">
        <v>50</v>
      </c>
      <c r="B51" s="2" t="n">
        <v>185297</v>
      </c>
      <c r="C51" s="2" t="s">
        <v>102</v>
      </c>
      <c r="D51" s="2" t="s">
        <v>103</v>
      </c>
      <c r="E51" s="2" t="n">
        <f aca="false">VLOOKUP($B51,[1]Day1!$A$1:$H$394,4,FALSE())</f>
        <v>0</v>
      </c>
      <c r="F51" s="2" t="n">
        <f aca="false">VLOOKUP($B51,[1]Day1!$A$1:$H$394,5,FALSE())</f>
        <v>0</v>
      </c>
      <c r="G51" s="2" t="n">
        <f aca="false">VLOOKUP($B51,[1]Day1!$A$1:$H$394,6,FALSE())</f>
        <v>0</v>
      </c>
      <c r="H51" s="2" t="n">
        <f aca="false">VLOOKUP($B51,[1]Day1!$A$1:$H$394,7,FALSE())</f>
        <v>0</v>
      </c>
      <c r="I51" s="2" t="n">
        <f aca="false">SUM(E51:H51)</f>
        <v>0</v>
      </c>
      <c r="J51" s="0"/>
      <c r="K51" s="0"/>
      <c r="L51" s="0"/>
    </row>
    <row r="52" customFormat="false" ht="12.75" hidden="false" customHeight="true" outlineLevel="0" collapsed="false">
      <c r="A52" s="0" t="n">
        <v>51</v>
      </c>
      <c r="B52" s="2" t="n">
        <v>213856</v>
      </c>
      <c r="C52" s="2" t="s">
        <v>104</v>
      </c>
      <c r="D52" s="2" t="s">
        <v>105</v>
      </c>
      <c r="E52" s="2" t="n">
        <f aca="false">VLOOKUP($B52,[1]Day1!$A$1:$H$394,4,FALSE())</f>
        <v>0</v>
      </c>
      <c r="F52" s="2" t="n">
        <f aca="false">VLOOKUP($B52,[1]Day1!$A$1:$H$394,5,FALSE())</f>
        <v>0</v>
      </c>
      <c r="G52" s="2" t="n">
        <f aca="false">VLOOKUP($B52,[1]Day1!$A$1:$H$394,6,FALSE())</f>
        <v>0</v>
      </c>
      <c r="H52" s="2" t="n">
        <f aca="false">VLOOKUP($B52,[1]Day1!$A$1:$H$394,7,FALSE())</f>
        <v>0</v>
      </c>
      <c r="I52" s="2" t="n">
        <f aca="false">SUM(E52:H52)</f>
        <v>0</v>
      </c>
      <c r="J52" s="0"/>
      <c r="K52" s="0"/>
      <c r="L52" s="0"/>
    </row>
    <row r="53" customFormat="false" ht="12.75" hidden="false" customHeight="true" outlineLevel="0" collapsed="false">
      <c r="A53" s="0" t="n">
        <v>52</v>
      </c>
      <c r="B53" s="2" t="n">
        <v>219280</v>
      </c>
      <c r="C53" s="2" t="s">
        <v>106</v>
      </c>
      <c r="D53" s="2" t="s">
        <v>107</v>
      </c>
      <c r="E53" s="2" t="n">
        <f aca="false">VLOOKUP($B53,[1]Day1!$A$1:$H$394,4,FALSE())</f>
        <v>0</v>
      </c>
      <c r="F53" s="2" t="n">
        <f aca="false">VLOOKUP($B53,[1]Day1!$A$1:$H$394,5,FALSE())</f>
        <v>0</v>
      </c>
      <c r="G53" s="2" t="n">
        <f aca="false">VLOOKUP($B53,[1]Day1!$A$1:$H$394,6,FALSE())</f>
        <v>0</v>
      </c>
      <c r="H53" s="2" t="n">
        <f aca="false">VLOOKUP($B53,[1]Day1!$A$1:$H$394,7,FALSE())</f>
        <v>0</v>
      </c>
      <c r="I53" s="2" t="n">
        <f aca="false">SUM(E53:H53)</f>
        <v>0</v>
      </c>
      <c r="J53" s="0"/>
      <c r="K53" s="0"/>
      <c r="L53" s="0"/>
    </row>
    <row r="54" customFormat="false" ht="12.75" hidden="false" customHeight="true" outlineLevel="0" collapsed="false">
      <c r="A54" s="0" t="n">
        <v>53</v>
      </c>
      <c r="B54" s="2" t="n">
        <v>183292</v>
      </c>
      <c r="C54" s="2" t="s">
        <v>108</v>
      </c>
      <c r="D54" s="2" t="s">
        <v>20</v>
      </c>
      <c r="E54" s="2" t="n">
        <f aca="false">VLOOKUP($B54,[1]Day1!$A$1:$H$394,4,FALSE())</f>
        <v>0</v>
      </c>
      <c r="F54" s="2" t="n">
        <f aca="false">VLOOKUP($B54,[1]Day1!$A$1:$H$394,5,FALSE())</f>
        <v>0</v>
      </c>
      <c r="G54" s="2" t="n">
        <f aca="false">VLOOKUP($B54,[1]Day1!$A$1:$H$394,6,FALSE())</f>
        <v>0</v>
      </c>
      <c r="H54" s="2" t="n">
        <f aca="false">VLOOKUP($B54,[1]Day1!$A$1:$H$394,7,FALSE())</f>
        <v>0</v>
      </c>
      <c r="I54" s="2" t="n">
        <f aca="false">SUM(E54:H54)</f>
        <v>0</v>
      </c>
      <c r="J54" s="0"/>
      <c r="K54" s="0"/>
      <c r="L54" s="0"/>
    </row>
    <row r="55" customFormat="false" ht="12.75" hidden="false" customHeight="true" outlineLevel="0" collapsed="false">
      <c r="A55" s="0" t="n">
        <v>54</v>
      </c>
      <c r="B55" s="2" t="n">
        <v>219429</v>
      </c>
      <c r="C55" s="2" t="s">
        <v>109</v>
      </c>
      <c r="D55" s="2" t="s">
        <v>110</v>
      </c>
      <c r="E55" s="2" t="n">
        <f aca="false">VLOOKUP($B55,[1]Day1!$A$1:$H$394,4,FALSE())</f>
        <v>0</v>
      </c>
      <c r="F55" s="2" t="n">
        <f aca="false">VLOOKUP($B55,[1]Day1!$A$1:$H$394,5,FALSE())</f>
        <v>0</v>
      </c>
      <c r="G55" s="2" t="n">
        <f aca="false">VLOOKUP($B55,[1]Day1!$A$1:$H$394,6,FALSE())</f>
        <v>0</v>
      </c>
      <c r="H55" s="2" t="n">
        <f aca="false">VLOOKUP($B55,[1]Day1!$A$1:$H$394,7,FALSE())</f>
        <v>0</v>
      </c>
      <c r="I55" s="2" t="n">
        <f aca="false">SUM(E55:H55)</f>
        <v>0</v>
      </c>
      <c r="J55" s="0"/>
      <c r="K55" s="0"/>
      <c r="L55" s="0"/>
    </row>
    <row r="56" customFormat="false" ht="12.75" hidden="false" customHeight="true" outlineLevel="0" collapsed="false">
      <c r="A56" s="0" t="n">
        <v>55</v>
      </c>
      <c r="B56" s="2" t="n">
        <v>187502</v>
      </c>
      <c r="C56" s="2" t="s">
        <v>111</v>
      </c>
      <c r="D56" s="2" t="s">
        <v>112</v>
      </c>
      <c r="E56" s="2" t="n">
        <f aca="false">VLOOKUP($B56,[1]Day1!$A$1:$H$394,4,FALSE())</f>
        <v>0</v>
      </c>
      <c r="F56" s="2" t="n">
        <f aca="false">VLOOKUP($B56,[1]Day1!$A$1:$H$394,5,FALSE())</f>
        <v>0</v>
      </c>
      <c r="G56" s="2" t="n">
        <f aca="false">VLOOKUP($B56,[1]Day1!$A$1:$H$394,6,FALSE())</f>
        <v>0</v>
      </c>
      <c r="H56" s="2" t="n">
        <f aca="false">VLOOKUP($B56,[1]Day1!$A$1:$H$394,7,FALSE())</f>
        <v>0</v>
      </c>
      <c r="I56" s="2" t="n">
        <f aca="false">SUM(E56:H56)</f>
        <v>0</v>
      </c>
      <c r="J56" s="0"/>
      <c r="K56" s="0"/>
      <c r="L56" s="0"/>
    </row>
    <row r="57" customFormat="false" ht="12.75" hidden="false" customHeight="true" outlineLevel="0" collapsed="false">
      <c r="A57" s="0" t="n">
        <v>56</v>
      </c>
      <c r="B57" s="2" t="n">
        <v>111669</v>
      </c>
      <c r="C57" s="2" t="s">
        <v>67</v>
      </c>
      <c r="D57" s="2" t="s">
        <v>91</v>
      </c>
      <c r="E57" s="2" t="n">
        <f aca="false">VLOOKUP($B57,[1]Day1!$A$1:$H$394,4,FALSE())</f>
        <v>0</v>
      </c>
      <c r="F57" s="2" t="n">
        <f aca="false">VLOOKUP($B57,[1]Day1!$A$1:$H$394,5,FALSE())</f>
        <v>0</v>
      </c>
      <c r="G57" s="2" t="n">
        <f aca="false">VLOOKUP($B57,[1]Day1!$A$1:$H$394,6,FALSE())</f>
        <v>0</v>
      </c>
      <c r="H57" s="2" t="n">
        <f aca="false">VLOOKUP($B57,[1]Day1!$A$1:$H$394,7,FALSE())</f>
        <v>0</v>
      </c>
      <c r="I57" s="2" t="n">
        <f aca="false">SUM(E57:H57)</f>
        <v>0</v>
      </c>
      <c r="J57" s="0"/>
      <c r="K57" s="0"/>
      <c r="L57" s="0"/>
    </row>
    <row r="58" customFormat="false" ht="12.75" hidden="false" customHeight="true" outlineLevel="0" collapsed="false">
      <c r="A58" s="0" t="n">
        <v>57</v>
      </c>
      <c r="B58" s="2" t="n">
        <v>185284</v>
      </c>
      <c r="C58" s="2" t="s">
        <v>98</v>
      </c>
      <c r="D58" s="2" t="s">
        <v>113</v>
      </c>
      <c r="E58" s="2" t="n">
        <f aca="false">VLOOKUP($B58,[1]Day1!$A$1:$H$394,4,FALSE())</f>
        <v>1.5</v>
      </c>
      <c r="F58" s="2" t="n">
        <f aca="false">VLOOKUP($B58,[1]Day1!$A$1:$H$394,5,FALSE())</f>
        <v>0</v>
      </c>
      <c r="G58" s="2" t="n">
        <f aca="false">VLOOKUP($B58,[1]Day1!$A$1:$H$394,6,FALSE())</f>
        <v>6</v>
      </c>
      <c r="H58" s="2" t="n">
        <f aca="false">VLOOKUP($B58,[1]Day1!$A$1:$H$394,7,FALSE())</f>
        <v>1</v>
      </c>
      <c r="I58" s="2" t="n">
        <f aca="false">SUM(E58:H58)</f>
        <v>8.5</v>
      </c>
      <c r="J58" s="0"/>
      <c r="K58" s="0"/>
      <c r="L58" s="0"/>
      <c r="M58" s="0"/>
    </row>
    <row r="59" customFormat="false" ht="12.75" hidden="false" customHeight="true" outlineLevel="0" collapsed="false">
      <c r="A59" s="0" t="n">
        <v>58</v>
      </c>
      <c r="B59" s="2" t="n">
        <v>187417</v>
      </c>
      <c r="C59" s="2" t="s">
        <v>114</v>
      </c>
      <c r="D59" s="2" t="s">
        <v>115</v>
      </c>
      <c r="E59" s="2" t="n">
        <f aca="false">VLOOKUP($B59,[1]Day1!$A$1:$H$394,4,FALSE())</f>
        <v>1</v>
      </c>
      <c r="F59" s="2" t="n">
        <f aca="false">VLOOKUP($B59,[1]Day1!$A$1:$H$394,5,FALSE())</f>
        <v>0</v>
      </c>
      <c r="G59" s="2" t="n">
        <f aca="false">VLOOKUP($B59,[1]Day1!$A$1:$H$394,6,FALSE())</f>
        <v>6</v>
      </c>
      <c r="H59" s="2" t="n">
        <f aca="false">VLOOKUP($B59,[1]Day1!$A$1:$H$394,7,FALSE())</f>
        <v>1</v>
      </c>
      <c r="I59" s="2" t="n">
        <f aca="false">SUM(E59:H59)</f>
        <v>8</v>
      </c>
      <c r="J59" s="0"/>
      <c r="K59" s="0"/>
      <c r="L59" s="0"/>
      <c r="M59" s="0"/>
    </row>
    <row r="60" customFormat="false" ht="12.75" hidden="false" customHeight="true" outlineLevel="0" collapsed="false">
      <c r="A60" s="0" t="n">
        <v>59</v>
      </c>
      <c r="B60" s="2" t="n">
        <v>159136</v>
      </c>
      <c r="C60" s="2" t="s">
        <v>116</v>
      </c>
      <c r="D60" s="2" t="s">
        <v>117</v>
      </c>
      <c r="E60" s="2" t="n">
        <f aca="false">VLOOKUP($B60,[1]Day1!$A$1:$H$394,4,FALSE())</f>
        <v>1</v>
      </c>
      <c r="F60" s="2" t="n">
        <f aca="false">VLOOKUP($B60,[1]Day1!$A$1:$H$394,5,FALSE())</f>
        <v>0</v>
      </c>
      <c r="G60" s="2" t="n">
        <f aca="false">VLOOKUP($B60,[1]Day1!$A$1:$H$394,6,FALSE())</f>
        <v>7</v>
      </c>
      <c r="H60" s="2" t="n">
        <f aca="false">VLOOKUP($B60,[1]Day1!$A$1:$H$394,7,FALSE())</f>
        <v>0</v>
      </c>
      <c r="I60" s="2" t="n">
        <f aca="false">SUM(E60:H60)</f>
        <v>8</v>
      </c>
      <c r="J60" s="0"/>
      <c r="K60" s="0"/>
      <c r="L60" s="0"/>
      <c r="M60" s="0"/>
    </row>
    <row r="61" customFormat="false" ht="12.75" hidden="false" customHeight="true" outlineLevel="0" collapsed="false">
      <c r="A61" s="0" t="n">
        <v>60</v>
      </c>
      <c r="B61" s="2" t="n">
        <v>185285</v>
      </c>
      <c r="C61" s="2" t="s">
        <v>118</v>
      </c>
      <c r="D61" s="2" t="s">
        <v>113</v>
      </c>
      <c r="E61" s="2" t="n">
        <f aca="false">VLOOKUP($B61,[1]Day1!$A$1:$H$394,4,FALSE())</f>
        <v>0</v>
      </c>
      <c r="F61" s="2" t="n">
        <f aca="false">VLOOKUP($B61,[1]Day1!$A$1:$H$394,5,FALSE())</f>
        <v>0</v>
      </c>
      <c r="G61" s="2" t="n">
        <f aca="false">VLOOKUP($B61,[1]Day1!$A$1:$H$394,6,FALSE())</f>
        <v>6</v>
      </c>
      <c r="H61" s="2" t="n">
        <f aca="false">VLOOKUP($B61,[1]Day1!$A$1:$H$394,7,FALSE())</f>
        <v>1.5</v>
      </c>
      <c r="I61" s="2" t="n">
        <f aca="false">SUM(E61:H61)</f>
        <v>7.5</v>
      </c>
      <c r="J61" s="0"/>
      <c r="K61" s="0"/>
      <c r="L61" s="0"/>
      <c r="M61" s="0"/>
    </row>
    <row r="62" customFormat="false" ht="12.75" hidden="false" customHeight="true" outlineLevel="0" collapsed="false">
      <c r="A62" s="0" t="n">
        <v>61</v>
      </c>
      <c r="B62" s="2" t="n">
        <v>144728</v>
      </c>
      <c r="C62" s="2" t="s">
        <v>119</v>
      </c>
      <c r="D62" s="2" t="s">
        <v>120</v>
      </c>
      <c r="E62" s="2" t="n">
        <f aca="false">VLOOKUP($B62,[1]Day1!$A$1:$H$394,4,FALSE())</f>
        <v>0</v>
      </c>
      <c r="F62" s="2" t="n">
        <f aca="false">VLOOKUP($B62,[1]Day1!$A$1:$H$394,5,FALSE())</f>
        <v>2</v>
      </c>
      <c r="G62" s="2" t="n">
        <f aca="false">VLOOKUP($B62,[1]Day1!$A$1:$H$394,6,FALSE())</f>
        <v>5.5</v>
      </c>
      <c r="H62" s="2" t="n">
        <f aca="false">VLOOKUP($B62,[1]Day1!$A$1:$H$394,7,FALSE())</f>
        <v>0</v>
      </c>
      <c r="I62" s="2" t="n">
        <f aca="false">SUM(E62:H62)</f>
        <v>7.5</v>
      </c>
      <c r="J62" s="0"/>
      <c r="K62" s="0"/>
      <c r="L62" s="0"/>
      <c r="M62" s="0"/>
    </row>
    <row r="63" customFormat="false" ht="12.75" hidden="false" customHeight="true" outlineLevel="0" collapsed="false">
      <c r="A63" s="0" t="n">
        <v>62</v>
      </c>
      <c r="B63" s="2" t="n">
        <v>162248</v>
      </c>
      <c r="C63" s="2" t="s">
        <v>121</v>
      </c>
      <c r="D63" s="2" t="s">
        <v>122</v>
      </c>
      <c r="E63" s="2" t="n">
        <f aca="false">VLOOKUP($B63,[1]Day1!$A$1:$H$394,4,FALSE())</f>
        <v>0</v>
      </c>
      <c r="F63" s="2" t="n">
        <f aca="false">VLOOKUP($B63,[1]Day1!$A$1:$H$394,5,FALSE())</f>
        <v>0</v>
      </c>
      <c r="G63" s="2" t="n">
        <f aca="false">VLOOKUP($B63,[1]Day1!$A$1:$H$394,6,FALSE())</f>
        <v>6</v>
      </c>
      <c r="H63" s="2" t="n">
        <f aca="false">VLOOKUP($B63,[1]Day1!$A$1:$H$394,7,FALSE())</f>
        <v>0</v>
      </c>
      <c r="I63" s="2" t="n">
        <f aca="false">SUM(E63:H63)</f>
        <v>6</v>
      </c>
      <c r="J63" s="0"/>
      <c r="K63" s="0"/>
      <c r="L63" s="0"/>
      <c r="M63" s="0"/>
    </row>
    <row r="64" customFormat="false" ht="12.75" hidden="false" customHeight="true" outlineLevel="0" collapsed="false">
      <c r="A64" s="0" t="n">
        <v>63</v>
      </c>
      <c r="B64" s="2" t="n">
        <v>131693</v>
      </c>
      <c r="C64" s="2" t="s">
        <v>123</v>
      </c>
      <c r="D64" s="2" t="s">
        <v>124</v>
      </c>
      <c r="E64" s="2" t="n">
        <f aca="false">VLOOKUP($B64,[1]Day1!$A$1:$H$394,4,FALSE())</f>
        <v>0</v>
      </c>
      <c r="F64" s="2" t="n">
        <f aca="false">VLOOKUP($B64,[1]Day1!$A$1:$H$394,5,FALSE())</f>
        <v>0</v>
      </c>
      <c r="G64" s="2" t="n">
        <f aca="false">VLOOKUP($B64,[1]Day1!$A$1:$H$394,6,FALSE())</f>
        <v>6</v>
      </c>
      <c r="H64" s="2" t="n">
        <f aca="false">VLOOKUP($B64,[1]Day1!$A$1:$H$394,7,FALSE())</f>
        <v>0</v>
      </c>
      <c r="I64" s="2" t="n">
        <f aca="false">SUM(E64:H64)</f>
        <v>6</v>
      </c>
      <c r="J64" s="0"/>
      <c r="K64" s="0"/>
      <c r="L64" s="0"/>
      <c r="M64" s="0"/>
    </row>
    <row r="65" customFormat="false" ht="12.75" hidden="false" customHeight="true" outlineLevel="0" collapsed="false">
      <c r="A65" s="0" t="n">
        <v>64</v>
      </c>
      <c r="B65" s="2" t="n">
        <v>131712</v>
      </c>
      <c r="C65" s="2" t="s">
        <v>125</v>
      </c>
      <c r="D65" s="2" t="s">
        <v>126</v>
      </c>
      <c r="E65" s="2" t="n">
        <f aca="false">VLOOKUP($B65,[1]Day1!$A$1:$H$394,4,FALSE())</f>
        <v>0</v>
      </c>
      <c r="F65" s="2" t="n">
        <f aca="false">VLOOKUP($B65,[1]Day1!$A$1:$H$394,5,FALSE())</f>
        <v>0</v>
      </c>
      <c r="G65" s="2" t="n">
        <f aca="false">VLOOKUP($B65,[1]Day1!$A$1:$H$394,6,FALSE())</f>
        <v>5</v>
      </c>
      <c r="H65" s="2" t="n">
        <f aca="false">VLOOKUP($B65,[1]Day1!$A$1:$H$394,7,FALSE())</f>
        <v>0</v>
      </c>
      <c r="I65" s="2" t="n">
        <f aca="false">SUM(E65:H65)</f>
        <v>5</v>
      </c>
      <c r="J65" s="0"/>
      <c r="K65" s="0"/>
      <c r="L65" s="0"/>
      <c r="M65" s="0"/>
    </row>
    <row r="66" customFormat="false" ht="12.75" hidden="false" customHeight="true" outlineLevel="0" collapsed="false">
      <c r="A66" s="0" t="n">
        <v>65</v>
      </c>
      <c r="B66" s="2" t="n">
        <v>145506</v>
      </c>
      <c r="C66" s="2" t="s">
        <v>127</v>
      </c>
      <c r="D66" s="2" t="s">
        <v>128</v>
      </c>
      <c r="E66" s="2" t="n">
        <f aca="false">VLOOKUP($B66,[1]Day1!$A$1:$H$394,4,FALSE())</f>
        <v>0</v>
      </c>
      <c r="F66" s="2" t="n">
        <f aca="false">VLOOKUP($B66,[1]Day1!$A$1:$H$394,5,FALSE())</f>
        <v>0</v>
      </c>
      <c r="G66" s="2" t="n">
        <f aca="false">VLOOKUP($B66,[1]Day1!$A$1:$H$394,6,FALSE())</f>
        <v>5</v>
      </c>
      <c r="H66" s="2" t="n">
        <f aca="false">VLOOKUP($B66,[1]Day1!$A$1:$H$394,7,FALSE())</f>
        <v>0</v>
      </c>
      <c r="I66" s="2" t="n">
        <f aca="false">SUM(E66:H66)</f>
        <v>5</v>
      </c>
      <c r="J66" s="0"/>
      <c r="K66" s="0"/>
      <c r="L66" s="0"/>
      <c r="M66" s="0"/>
    </row>
    <row r="67" customFormat="false" ht="12.75" hidden="false" customHeight="true" outlineLevel="0" collapsed="false">
      <c r="A67" s="0" t="n">
        <v>66</v>
      </c>
      <c r="B67" s="2" t="n">
        <v>124381</v>
      </c>
      <c r="C67" s="2" t="s">
        <v>129</v>
      </c>
      <c r="D67" s="2" t="s">
        <v>120</v>
      </c>
      <c r="E67" s="2" t="n">
        <f aca="false">VLOOKUP($B67,[1]Day1!$A$1:$H$394,4,FALSE())</f>
        <v>1</v>
      </c>
      <c r="F67" s="2" t="n">
        <f aca="false">VLOOKUP($B67,[1]Day1!$A$1:$H$394,5,FALSE())</f>
        <v>0</v>
      </c>
      <c r="G67" s="2" t="n">
        <f aca="false">VLOOKUP($B67,[1]Day1!$A$1:$H$394,6,FALSE())</f>
        <v>3</v>
      </c>
      <c r="H67" s="2" t="n">
        <f aca="false">VLOOKUP($B67,[1]Day1!$A$1:$H$394,7,FALSE())</f>
        <v>0</v>
      </c>
      <c r="I67" s="2" t="n">
        <f aca="false">SUM(E67:H67)</f>
        <v>4</v>
      </c>
      <c r="J67" s="0"/>
      <c r="K67" s="0"/>
      <c r="L67" s="0"/>
      <c r="M67" s="0"/>
    </row>
    <row r="68" customFormat="false" ht="12.75" hidden="false" customHeight="true" outlineLevel="0" collapsed="false">
      <c r="A68" s="0" t="n">
        <v>67</v>
      </c>
      <c r="B68" s="2" t="n">
        <v>124388</v>
      </c>
      <c r="C68" s="2" t="s">
        <v>130</v>
      </c>
      <c r="D68" s="2" t="s">
        <v>60</v>
      </c>
      <c r="E68" s="2" t="n">
        <f aca="false">VLOOKUP($B68,[1]Day1!$A$1:$H$394,4,FALSE())</f>
        <v>1</v>
      </c>
      <c r="F68" s="2" t="n">
        <f aca="false">VLOOKUP($B68,[1]Day1!$A$1:$H$394,5,FALSE())</f>
        <v>0</v>
      </c>
      <c r="G68" s="2" t="n">
        <f aca="false">VLOOKUP($B68,[1]Day1!$A$1:$H$394,6,FALSE())</f>
        <v>3</v>
      </c>
      <c r="H68" s="2" t="n">
        <f aca="false">VLOOKUP($B68,[1]Day1!$A$1:$H$394,7,FALSE())</f>
        <v>0</v>
      </c>
      <c r="I68" s="2" t="n">
        <f aca="false">SUM(E68:H68)</f>
        <v>4</v>
      </c>
      <c r="J68" s="0"/>
      <c r="K68" s="0"/>
      <c r="L68" s="0"/>
      <c r="M68" s="0"/>
    </row>
    <row r="69" customFormat="false" ht="12.75" hidden="false" customHeight="true" outlineLevel="0" collapsed="false">
      <c r="A69" s="0" t="n">
        <v>68</v>
      </c>
      <c r="B69" s="2" t="n">
        <v>124372</v>
      </c>
      <c r="C69" s="2" t="s">
        <v>131</v>
      </c>
      <c r="D69" s="2" t="s">
        <v>132</v>
      </c>
      <c r="E69" s="2" t="n">
        <f aca="false">VLOOKUP($B69,[1]Day1!$A$1:$H$394,4,FALSE())</f>
        <v>1</v>
      </c>
      <c r="F69" s="2" t="n">
        <f aca="false">VLOOKUP($B69,[1]Day1!$A$1:$H$394,5,FALSE())</f>
        <v>2</v>
      </c>
      <c r="G69" s="2" t="n">
        <f aca="false">VLOOKUP($B69,[1]Day1!$A$1:$H$394,6,FALSE())</f>
        <v>0</v>
      </c>
      <c r="H69" s="2" t="n">
        <f aca="false">VLOOKUP($B69,[1]Day1!$A$1:$H$394,7,FALSE())</f>
        <v>0</v>
      </c>
      <c r="I69" s="2" t="n">
        <f aca="false">SUM(E69:H69)</f>
        <v>3</v>
      </c>
      <c r="J69" s="0"/>
      <c r="K69" s="0"/>
      <c r="L69" s="0"/>
      <c r="M69" s="0"/>
    </row>
    <row r="70" customFormat="false" ht="12.75" hidden="false" customHeight="true" outlineLevel="0" collapsed="false">
      <c r="A70" s="0" t="n">
        <v>69</v>
      </c>
      <c r="B70" s="2" t="n">
        <v>124387</v>
      </c>
      <c r="C70" s="2" t="s">
        <v>133</v>
      </c>
      <c r="D70" s="2" t="s">
        <v>134</v>
      </c>
      <c r="E70" s="2" t="n">
        <f aca="false">VLOOKUP($B70,[1]Day1!$A$1:$H$394,4,FALSE())</f>
        <v>0</v>
      </c>
      <c r="F70" s="2" t="n">
        <f aca="false">VLOOKUP($B70,[1]Day1!$A$1:$H$394,5,FALSE())</f>
        <v>0</v>
      </c>
      <c r="G70" s="2" t="n">
        <f aca="false">VLOOKUP($B70,[1]Day1!$A$1:$H$394,6,FALSE())</f>
        <v>3</v>
      </c>
      <c r="H70" s="2" t="n">
        <f aca="false">VLOOKUP($B70,[1]Day1!$A$1:$H$394,7,FALSE())</f>
        <v>0</v>
      </c>
      <c r="I70" s="2" t="n">
        <f aca="false">SUM(E70:H70)</f>
        <v>3</v>
      </c>
      <c r="J70" s="0"/>
      <c r="K70" s="0"/>
      <c r="L70" s="0"/>
      <c r="M70" s="0"/>
    </row>
    <row r="71" customFormat="false" ht="12.75" hidden="false" customHeight="true" outlineLevel="0" collapsed="false">
      <c r="A71" s="0" t="n">
        <v>70</v>
      </c>
      <c r="B71" s="2" t="n">
        <v>185292</v>
      </c>
      <c r="C71" s="2" t="s">
        <v>135</v>
      </c>
      <c r="D71" s="2" t="s">
        <v>136</v>
      </c>
      <c r="E71" s="2" t="n">
        <f aca="false">VLOOKUP($B71,[1]Day1!$A$1:$H$394,4,FALSE())</f>
        <v>0</v>
      </c>
      <c r="F71" s="2" t="n">
        <f aca="false">VLOOKUP($B71,[1]Day1!$A$1:$H$394,5,FALSE())</f>
        <v>0</v>
      </c>
      <c r="G71" s="2" t="n">
        <f aca="false">VLOOKUP($B71,[1]Day1!$A$1:$H$394,6,FALSE())</f>
        <v>3</v>
      </c>
      <c r="H71" s="2" t="n">
        <f aca="false">VLOOKUP($B71,[1]Day1!$A$1:$H$394,7,FALSE())</f>
        <v>0</v>
      </c>
      <c r="I71" s="2" t="n">
        <f aca="false">SUM(E71:H71)</f>
        <v>3</v>
      </c>
      <c r="J71" s="0"/>
      <c r="K71" s="0"/>
      <c r="L71" s="0"/>
      <c r="M71" s="0"/>
    </row>
    <row r="72" customFormat="false" ht="12.75" hidden="false" customHeight="true" outlineLevel="0" collapsed="false">
      <c r="A72" s="0" t="n">
        <v>71</v>
      </c>
      <c r="B72" s="2" t="n">
        <v>122516</v>
      </c>
      <c r="C72" s="2" t="s">
        <v>137</v>
      </c>
      <c r="D72" s="2" t="s">
        <v>138</v>
      </c>
      <c r="E72" s="2" t="n">
        <f aca="false">VLOOKUP($B72,[1]Day1!$A$1:$H$394,4,FALSE())</f>
        <v>0</v>
      </c>
      <c r="F72" s="2" t="n">
        <f aca="false">VLOOKUP($B72,[1]Day1!$A$1:$H$394,5,FALSE())</f>
        <v>0</v>
      </c>
      <c r="G72" s="2" t="n">
        <f aca="false">VLOOKUP($B72,[1]Day1!$A$1:$H$394,6,FALSE())</f>
        <v>3</v>
      </c>
      <c r="H72" s="2" t="n">
        <f aca="false">VLOOKUP($B72,[1]Day1!$A$1:$H$394,7,FALSE())</f>
        <v>0</v>
      </c>
      <c r="I72" s="2" t="n">
        <f aca="false">SUM(E72:H72)</f>
        <v>3</v>
      </c>
      <c r="J72" s="0"/>
      <c r="K72" s="0"/>
      <c r="L72" s="0"/>
      <c r="M72" s="0"/>
    </row>
    <row r="73" customFormat="false" ht="12.75" hidden="false" customHeight="true" outlineLevel="0" collapsed="false">
      <c r="A73" s="0" t="n">
        <v>72</v>
      </c>
      <c r="B73" s="2" t="n">
        <v>117566</v>
      </c>
      <c r="C73" s="2" t="s">
        <v>139</v>
      </c>
      <c r="D73" s="2" t="s">
        <v>140</v>
      </c>
      <c r="E73" s="2" t="n">
        <f aca="false">VLOOKUP($B73,[1]Day1!$A$1:$H$394,4,FALSE())</f>
        <v>0</v>
      </c>
      <c r="F73" s="2" t="n">
        <f aca="false">VLOOKUP($B73,[1]Day1!$A$1:$H$394,5,FALSE())</f>
        <v>0</v>
      </c>
      <c r="G73" s="2" t="n">
        <f aca="false">VLOOKUP($B73,[1]Day1!$A$1:$H$394,6,FALSE())</f>
        <v>3</v>
      </c>
      <c r="H73" s="2" t="n">
        <f aca="false">VLOOKUP($B73,[1]Day1!$A$1:$H$394,7,FALSE())</f>
        <v>0</v>
      </c>
      <c r="I73" s="2" t="n">
        <f aca="false">SUM(E73:H73)</f>
        <v>3</v>
      </c>
      <c r="J73" s="0"/>
      <c r="K73" s="0"/>
      <c r="L73" s="0"/>
      <c r="M73" s="0"/>
    </row>
    <row r="74" customFormat="false" ht="12.75" hidden="false" customHeight="true" outlineLevel="0" collapsed="false">
      <c r="A74" s="0" t="n">
        <v>73</v>
      </c>
      <c r="B74" s="2" t="n">
        <v>132940</v>
      </c>
      <c r="C74" s="2" t="s">
        <v>141</v>
      </c>
      <c r="D74" s="2" t="s">
        <v>20</v>
      </c>
      <c r="E74" s="2" t="n">
        <f aca="false">VLOOKUP($B74,[1]Day1!$A$1:$H$394,4,FALSE())</f>
        <v>2</v>
      </c>
      <c r="F74" s="2" t="n">
        <f aca="false">VLOOKUP($B74,[1]Day1!$A$1:$H$394,5,FALSE())</f>
        <v>0</v>
      </c>
      <c r="G74" s="2" t="n">
        <f aca="false">VLOOKUP($B74,[1]Day1!$A$1:$H$394,6,FALSE())</f>
        <v>0</v>
      </c>
      <c r="H74" s="2" t="n">
        <f aca="false">VLOOKUP($B74,[1]Day1!$A$1:$H$394,7,FALSE())</f>
        <v>0</v>
      </c>
      <c r="I74" s="2" t="n">
        <f aca="false">SUM(E74:H74)</f>
        <v>2</v>
      </c>
      <c r="J74" s="0"/>
      <c r="K74" s="0"/>
      <c r="L74" s="0"/>
      <c r="M74" s="0"/>
    </row>
    <row r="75" customFormat="false" ht="12.75" hidden="false" customHeight="true" outlineLevel="0" collapsed="false">
      <c r="A75" s="0" t="n">
        <v>74</v>
      </c>
      <c r="B75" s="2" t="n">
        <v>147916</v>
      </c>
      <c r="C75" s="2" t="s">
        <v>142</v>
      </c>
      <c r="D75" s="2" t="s">
        <v>143</v>
      </c>
      <c r="E75" s="2" t="n">
        <f aca="false">VLOOKUP($B75,[1]Day1!$A$1:$H$394,4,FALSE())</f>
        <v>2</v>
      </c>
      <c r="F75" s="2" t="n">
        <f aca="false">VLOOKUP($B75,[1]Day1!$A$1:$H$394,5,FALSE())</f>
        <v>0</v>
      </c>
      <c r="G75" s="2" t="n">
        <f aca="false">VLOOKUP($B75,[1]Day1!$A$1:$H$394,6,FALSE())</f>
        <v>0</v>
      </c>
      <c r="H75" s="2" t="n">
        <f aca="false">VLOOKUP($B75,[1]Day1!$A$1:$H$394,7,FALSE())</f>
        <v>0</v>
      </c>
      <c r="I75" s="2" t="n">
        <f aca="false">SUM(E75:H75)</f>
        <v>2</v>
      </c>
      <c r="J75" s="0"/>
      <c r="K75" s="0"/>
      <c r="L75" s="0"/>
      <c r="M75" s="0"/>
    </row>
    <row r="76" customFormat="false" ht="12.75" hidden="false" customHeight="true" outlineLevel="0" collapsed="false">
      <c r="A76" s="0" t="n">
        <v>75</v>
      </c>
      <c r="B76" s="2" t="n">
        <v>126607</v>
      </c>
      <c r="C76" s="2" t="s">
        <v>144</v>
      </c>
      <c r="D76" s="2" t="s">
        <v>145</v>
      </c>
      <c r="E76" s="2" t="n">
        <f aca="false">VLOOKUP($B76,[1]Day1!$A$1:$H$394,4,FALSE())</f>
        <v>2</v>
      </c>
      <c r="F76" s="2" t="n">
        <f aca="false">VLOOKUP($B76,[1]Day1!$A$1:$H$394,5,FALSE())</f>
        <v>0</v>
      </c>
      <c r="G76" s="2" t="n">
        <f aca="false">VLOOKUP($B76,[1]Day1!$A$1:$H$394,6,FALSE())</f>
        <v>0</v>
      </c>
      <c r="H76" s="2" t="n">
        <f aca="false">VLOOKUP($B76,[1]Day1!$A$1:$H$394,7,FALSE())</f>
        <v>0</v>
      </c>
      <c r="I76" s="2" t="n">
        <f aca="false">SUM(E76:H76)</f>
        <v>2</v>
      </c>
      <c r="J76" s="0"/>
      <c r="K76" s="0"/>
      <c r="L76" s="0"/>
      <c r="M76" s="0"/>
    </row>
    <row r="77" customFormat="false" ht="12.75" hidden="false" customHeight="true" outlineLevel="0" collapsed="false">
      <c r="A77" s="0" t="n">
        <v>76</v>
      </c>
      <c r="B77" s="2" t="n">
        <v>111396</v>
      </c>
      <c r="C77" s="2" t="s">
        <v>146</v>
      </c>
      <c r="D77" s="2" t="s">
        <v>147</v>
      </c>
      <c r="E77" s="2" t="n">
        <f aca="false">VLOOKUP($B77,[1]Day1!$A$1:$H$394,4,FALSE())</f>
        <v>2</v>
      </c>
      <c r="F77" s="2" t="n">
        <f aca="false">VLOOKUP($B77,[1]Day1!$A$1:$H$394,5,FALSE())</f>
        <v>0</v>
      </c>
      <c r="G77" s="2" t="n">
        <f aca="false">VLOOKUP($B77,[1]Day1!$A$1:$H$394,6,FALSE())</f>
        <v>0</v>
      </c>
      <c r="H77" s="2" t="n">
        <f aca="false">VLOOKUP($B77,[1]Day1!$A$1:$H$394,7,FALSE())</f>
        <v>0</v>
      </c>
      <c r="I77" s="2" t="n">
        <f aca="false">SUM(E77:H77)</f>
        <v>2</v>
      </c>
      <c r="J77" s="0"/>
      <c r="K77" s="0"/>
      <c r="L77" s="0"/>
      <c r="M77" s="0"/>
    </row>
    <row r="78" customFormat="false" ht="12.75" hidden="false" customHeight="true" outlineLevel="0" collapsed="false">
      <c r="A78" s="0" t="n">
        <v>77</v>
      </c>
      <c r="B78" s="2" t="n">
        <v>187434</v>
      </c>
      <c r="C78" s="2" t="s">
        <v>148</v>
      </c>
      <c r="D78" s="2" t="s">
        <v>149</v>
      </c>
      <c r="E78" s="2" t="n">
        <f aca="false">VLOOKUP($B78,[1]Day1!$A$1:$H$394,4,FALSE())</f>
        <v>1</v>
      </c>
      <c r="F78" s="2" t="n">
        <f aca="false">VLOOKUP($B78,[1]Day1!$A$1:$H$394,5,FALSE())</f>
        <v>1</v>
      </c>
      <c r="G78" s="2" t="n">
        <f aca="false">VLOOKUP($B78,[1]Day1!$A$1:$H$394,6,FALSE())</f>
        <v>0</v>
      </c>
      <c r="H78" s="2" t="n">
        <f aca="false">VLOOKUP($B78,[1]Day1!$A$1:$H$394,7,FALSE())</f>
        <v>0</v>
      </c>
      <c r="I78" s="2" t="n">
        <f aca="false">SUM(E78:H78)</f>
        <v>2</v>
      </c>
      <c r="J78" s="0"/>
      <c r="K78" s="0"/>
      <c r="L78" s="0"/>
      <c r="M78" s="0"/>
    </row>
    <row r="79" customFormat="false" ht="12.75" hidden="false" customHeight="true" outlineLevel="0" collapsed="false">
      <c r="A79" s="0" t="n">
        <v>78</v>
      </c>
      <c r="B79" s="2" t="n">
        <v>124376</v>
      </c>
      <c r="C79" s="2" t="s">
        <v>150</v>
      </c>
      <c r="D79" s="2" t="s">
        <v>151</v>
      </c>
      <c r="E79" s="2" t="n">
        <f aca="false">VLOOKUP($B79,[1]Day1!$A$1:$H$394,4,FALSE())</f>
        <v>1</v>
      </c>
      <c r="F79" s="2" t="n">
        <f aca="false">VLOOKUP($B79,[1]Day1!$A$1:$H$394,5,FALSE())</f>
        <v>0</v>
      </c>
      <c r="G79" s="2" t="n">
        <f aca="false">VLOOKUP($B79,[1]Day1!$A$1:$H$394,6,FALSE())</f>
        <v>1</v>
      </c>
      <c r="H79" s="2" t="n">
        <f aca="false">VLOOKUP($B79,[1]Day1!$A$1:$H$394,7,FALSE())</f>
        <v>0</v>
      </c>
      <c r="I79" s="2" t="n">
        <f aca="false">SUM(E79:H79)</f>
        <v>2</v>
      </c>
      <c r="J79" s="0"/>
      <c r="K79" s="0"/>
      <c r="L79" s="0"/>
      <c r="M79" s="0"/>
    </row>
    <row r="80" customFormat="false" ht="12.75" hidden="false" customHeight="true" outlineLevel="0" collapsed="false">
      <c r="A80" s="0" t="n">
        <v>79</v>
      </c>
      <c r="B80" s="2" t="n">
        <v>223001</v>
      </c>
      <c r="C80" s="2" t="s">
        <v>152</v>
      </c>
      <c r="D80" s="2" t="s">
        <v>153</v>
      </c>
      <c r="E80" s="2" t="n">
        <f aca="false">VLOOKUP($B80,[1]Day1!$A$1:$H$394,4,FALSE())</f>
        <v>1</v>
      </c>
      <c r="F80" s="2" t="n">
        <f aca="false">VLOOKUP($B80,[1]Day1!$A$1:$H$394,5,FALSE())</f>
        <v>0</v>
      </c>
      <c r="G80" s="2" t="n">
        <f aca="false">VLOOKUP($B80,[1]Day1!$A$1:$H$394,6,FALSE())</f>
        <v>0</v>
      </c>
      <c r="H80" s="2" t="n">
        <f aca="false">VLOOKUP($B80,[1]Day1!$A$1:$H$394,7,FALSE())</f>
        <v>1</v>
      </c>
      <c r="I80" s="2" t="n">
        <f aca="false">SUM(E80:H80)</f>
        <v>2</v>
      </c>
      <c r="J80" s="0"/>
      <c r="K80" s="0"/>
      <c r="L80" s="0"/>
      <c r="M80" s="0"/>
    </row>
    <row r="81" customFormat="false" ht="12.75" hidden="false" customHeight="true" outlineLevel="0" collapsed="false">
      <c r="A81" s="0" t="n">
        <v>80</v>
      </c>
      <c r="B81" s="2" t="n">
        <v>159948</v>
      </c>
      <c r="C81" s="2" t="s">
        <v>154</v>
      </c>
      <c r="D81" s="2" t="s">
        <v>155</v>
      </c>
      <c r="E81" s="2" t="n">
        <f aca="false">VLOOKUP($B81,[1]Day1!$A$1:$H$394,4,FALSE())</f>
        <v>0</v>
      </c>
      <c r="F81" s="2" t="n">
        <f aca="false">VLOOKUP($B81,[1]Day1!$A$1:$H$394,5,FALSE())</f>
        <v>1</v>
      </c>
      <c r="G81" s="2" t="n">
        <f aca="false">VLOOKUP($B81,[1]Day1!$A$1:$H$394,6,FALSE())</f>
        <v>0</v>
      </c>
      <c r="H81" s="2" t="n">
        <f aca="false">VLOOKUP($B81,[1]Day1!$A$1:$H$394,7,FALSE())</f>
        <v>1</v>
      </c>
      <c r="I81" s="2" t="n">
        <f aca="false">SUM(E81:H81)</f>
        <v>2</v>
      </c>
      <c r="J81" s="0"/>
      <c r="K81" s="0"/>
      <c r="L81" s="0"/>
      <c r="M81" s="0"/>
    </row>
    <row r="82" customFormat="false" ht="12.75" hidden="false" customHeight="true" outlineLevel="0" collapsed="false">
      <c r="A82" s="0" t="n">
        <v>81</v>
      </c>
      <c r="B82" s="2" t="n">
        <v>180871</v>
      </c>
      <c r="C82" s="2" t="s">
        <v>156</v>
      </c>
      <c r="D82" s="2" t="s">
        <v>157</v>
      </c>
      <c r="E82" s="2" t="n">
        <f aca="false">VLOOKUP($B82,[1]Day1!$A$1:$H$394,4,FALSE())</f>
        <v>1</v>
      </c>
      <c r="F82" s="2" t="n">
        <f aca="false">VLOOKUP($B82,[1]Day1!$A$1:$H$394,5,FALSE())</f>
        <v>0</v>
      </c>
      <c r="G82" s="2" t="n">
        <f aca="false">VLOOKUP($B82,[1]Day1!$A$1:$H$394,6,FALSE())</f>
        <v>1</v>
      </c>
      <c r="H82" s="2" t="n">
        <f aca="false">VLOOKUP($B82,[1]Day1!$A$1:$H$394,7,FALSE())</f>
        <v>0</v>
      </c>
      <c r="I82" s="2" t="n">
        <f aca="false">SUM(E82:H82)</f>
        <v>2</v>
      </c>
      <c r="J82" s="0"/>
      <c r="K82" s="0"/>
      <c r="L82" s="0"/>
      <c r="M82" s="0"/>
    </row>
    <row r="83" customFormat="false" ht="12.75" hidden="false" customHeight="true" outlineLevel="0" collapsed="false">
      <c r="A83" s="0" t="n">
        <v>82</v>
      </c>
      <c r="B83" s="2" t="n">
        <v>185304</v>
      </c>
      <c r="C83" s="2" t="s">
        <v>158</v>
      </c>
      <c r="D83" s="2" t="s">
        <v>159</v>
      </c>
      <c r="E83" s="2" t="n">
        <f aca="false">VLOOKUP($B83,[1]Day1!$A$1:$H$394,4,FALSE())</f>
        <v>1</v>
      </c>
      <c r="F83" s="2" t="n">
        <f aca="false">VLOOKUP($B83,[1]Day1!$A$1:$H$394,5,FALSE())</f>
        <v>0</v>
      </c>
      <c r="G83" s="2" t="n">
        <f aca="false">VLOOKUP($B83,[1]Day1!$A$1:$H$394,6,FALSE())</f>
        <v>0</v>
      </c>
      <c r="H83" s="2" t="n">
        <f aca="false">VLOOKUP($B83,[1]Day1!$A$1:$H$394,7,FALSE())</f>
        <v>1</v>
      </c>
      <c r="I83" s="2" t="n">
        <f aca="false">SUM(E83:H83)</f>
        <v>2</v>
      </c>
      <c r="J83" s="0"/>
      <c r="K83" s="0"/>
      <c r="L83" s="0"/>
      <c r="M83" s="0"/>
    </row>
    <row r="84" customFormat="false" ht="12.75" hidden="false" customHeight="true" outlineLevel="0" collapsed="false">
      <c r="A84" s="0" t="n">
        <v>83</v>
      </c>
      <c r="B84" s="2" t="n">
        <v>185684</v>
      </c>
      <c r="C84" s="2" t="s">
        <v>160</v>
      </c>
      <c r="D84" s="2" t="s">
        <v>161</v>
      </c>
      <c r="E84" s="2" t="n">
        <f aca="false">VLOOKUP($B84,[1]Day1!$A$1:$H$394,4,FALSE())</f>
        <v>1</v>
      </c>
      <c r="F84" s="2" t="n">
        <f aca="false">VLOOKUP($B84,[1]Day1!$A$1:$H$394,5,FALSE())</f>
        <v>0</v>
      </c>
      <c r="G84" s="2" t="n">
        <f aca="false">VLOOKUP($B84,[1]Day1!$A$1:$H$394,6,FALSE())</f>
        <v>0</v>
      </c>
      <c r="H84" s="2" t="n">
        <f aca="false">VLOOKUP($B84,[1]Day1!$A$1:$H$394,7,FALSE())</f>
        <v>1</v>
      </c>
      <c r="I84" s="2" t="n">
        <f aca="false">SUM(E84:H84)</f>
        <v>2</v>
      </c>
      <c r="J84" s="0"/>
      <c r="K84" s="0"/>
      <c r="L84" s="0"/>
      <c r="M84" s="0"/>
    </row>
    <row r="85" customFormat="false" ht="12.75" hidden="false" customHeight="true" outlineLevel="0" collapsed="false">
      <c r="A85" s="0" t="n">
        <v>84</v>
      </c>
      <c r="B85" s="2" t="n">
        <v>185687</v>
      </c>
      <c r="C85" s="2" t="s">
        <v>133</v>
      </c>
      <c r="D85" s="2" t="s">
        <v>162</v>
      </c>
      <c r="E85" s="2" t="n">
        <f aca="false">VLOOKUP($B85,[1]Day1!$A$1:$H$394,4,FALSE())</f>
        <v>0</v>
      </c>
      <c r="F85" s="2" t="n">
        <f aca="false">VLOOKUP($B85,[1]Day1!$A$1:$H$394,5,FALSE())</f>
        <v>0</v>
      </c>
      <c r="G85" s="2" t="n">
        <f aca="false">VLOOKUP($B85,[1]Day1!$A$1:$H$394,6,FALSE())</f>
        <v>1</v>
      </c>
      <c r="H85" s="2" t="n">
        <f aca="false">VLOOKUP($B85,[1]Day1!$A$1:$H$394,7,FALSE())</f>
        <v>1</v>
      </c>
      <c r="I85" s="2" t="n">
        <f aca="false">SUM(E85:H85)</f>
        <v>2</v>
      </c>
      <c r="J85" s="0"/>
      <c r="K85" s="0"/>
      <c r="L85" s="0"/>
      <c r="M85" s="0"/>
    </row>
    <row r="86" customFormat="false" ht="12.75" hidden="false" customHeight="true" outlineLevel="0" collapsed="false">
      <c r="A86" s="0" t="n">
        <v>85</v>
      </c>
      <c r="B86" s="2" t="n">
        <v>185196</v>
      </c>
      <c r="C86" s="2" t="s">
        <v>124</v>
      </c>
      <c r="D86" s="2" t="s">
        <v>22</v>
      </c>
      <c r="E86" s="2" t="n">
        <f aca="false">VLOOKUP($B86,[1]Day1!$A$1:$H$394,4,FALSE())</f>
        <v>0</v>
      </c>
      <c r="F86" s="2" t="n">
        <f aca="false">VLOOKUP($B86,[1]Day1!$A$1:$H$394,5,FALSE())</f>
        <v>2</v>
      </c>
      <c r="G86" s="2" t="n">
        <f aca="false">VLOOKUP($B86,[1]Day1!$A$1:$H$394,6,FALSE())</f>
        <v>0</v>
      </c>
      <c r="H86" s="2" t="n">
        <f aca="false">VLOOKUP($B86,[1]Day1!$A$1:$H$394,7,FALSE())</f>
        <v>0</v>
      </c>
      <c r="I86" s="2" t="n">
        <f aca="false">SUM(E86:H86)</f>
        <v>2</v>
      </c>
      <c r="J86" s="0"/>
      <c r="K86" s="0"/>
      <c r="L86" s="0"/>
      <c r="M86" s="0"/>
    </row>
    <row r="87" customFormat="false" ht="12.75" hidden="false" customHeight="true" outlineLevel="0" collapsed="false">
      <c r="A87" s="0" t="n">
        <v>86</v>
      </c>
      <c r="B87" s="2" t="n">
        <v>2890</v>
      </c>
      <c r="C87" s="2" t="s">
        <v>163</v>
      </c>
      <c r="D87" s="2" t="s">
        <v>164</v>
      </c>
      <c r="E87" s="2" t="n">
        <f aca="false">VLOOKUP($B87,[1]Day1!$A$1:$H$394,4,FALSE())</f>
        <v>1</v>
      </c>
      <c r="F87" s="2" t="n">
        <f aca="false">VLOOKUP($B87,[1]Day1!$A$1:$H$394,5,FALSE())</f>
        <v>0</v>
      </c>
      <c r="G87" s="2" t="n">
        <f aca="false">VLOOKUP($B87,[1]Day1!$A$1:$H$394,6,FALSE())</f>
        <v>0</v>
      </c>
      <c r="H87" s="2" t="n">
        <f aca="false">VLOOKUP($B87,[1]Day1!$A$1:$H$394,7,FALSE())</f>
        <v>0</v>
      </c>
      <c r="I87" s="2" t="n">
        <f aca="false">SUM(E87:H87)</f>
        <v>1</v>
      </c>
      <c r="J87" s="0"/>
      <c r="K87" s="0"/>
      <c r="L87" s="0"/>
      <c r="M87" s="0"/>
    </row>
    <row r="88" customFormat="false" ht="12.75" hidden="false" customHeight="true" outlineLevel="0" collapsed="false">
      <c r="A88" s="0" t="n">
        <v>87</v>
      </c>
      <c r="B88" s="2" t="n">
        <v>124386</v>
      </c>
      <c r="C88" s="2" t="s">
        <v>165</v>
      </c>
      <c r="D88" s="2" t="s">
        <v>128</v>
      </c>
      <c r="E88" s="2" t="n">
        <f aca="false">VLOOKUP($B88,[1]Day1!$A$1:$H$394,4,FALSE())</f>
        <v>0</v>
      </c>
      <c r="F88" s="2" t="n">
        <f aca="false">VLOOKUP($B88,[1]Day1!$A$1:$H$394,5,FALSE())</f>
        <v>0</v>
      </c>
      <c r="G88" s="2" t="n">
        <f aca="false">VLOOKUP($B88,[1]Day1!$A$1:$H$394,6,FALSE())</f>
        <v>0</v>
      </c>
      <c r="H88" s="2" t="n">
        <f aca="false">VLOOKUP($B88,[1]Day1!$A$1:$H$394,7,FALSE())</f>
        <v>1</v>
      </c>
      <c r="I88" s="2" t="n">
        <f aca="false">SUM(E88:H88)</f>
        <v>1</v>
      </c>
      <c r="J88" s="0"/>
      <c r="K88" s="0"/>
      <c r="L88" s="0"/>
      <c r="M88" s="0"/>
    </row>
    <row r="89" customFormat="false" ht="12.75" hidden="false" customHeight="true" outlineLevel="0" collapsed="false">
      <c r="A89" s="0" t="n">
        <v>88</v>
      </c>
      <c r="B89" s="2" t="n">
        <v>71077</v>
      </c>
      <c r="C89" s="2" t="s">
        <v>164</v>
      </c>
      <c r="D89" s="2" t="s">
        <v>166</v>
      </c>
      <c r="E89" s="2" t="n">
        <f aca="false">VLOOKUP($B89,[1]Day1!$A$1:$H$394,4,FALSE())</f>
        <v>0</v>
      </c>
      <c r="F89" s="2" t="n">
        <f aca="false">VLOOKUP($B89,[1]Day1!$A$1:$H$394,5,FALSE())</f>
        <v>0</v>
      </c>
      <c r="G89" s="2" t="n">
        <f aca="false">VLOOKUP($B89,[1]Day1!$A$1:$H$394,6,FALSE())</f>
        <v>1</v>
      </c>
      <c r="H89" s="2" t="n">
        <f aca="false">VLOOKUP($B89,[1]Day1!$A$1:$H$394,7,FALSE())</f>
        <v>0</v>
      </c>
      <c r="I89" s="2" t="n">
        <f aca="false">SUM(E89:H89)</f>
        <v>1</v>
      </c>
      <c r="J89" s="0"/>
      <c r="K89" s="0"/>
      <c r="L89" s="0"/>
      <c r="M89" s="0"/>
    </row>
    <row r="90" customFormat="false" ht="12.75" hidden="false" customHeight="true" outlineLevel="0" collapsed="false">
      <c r="A90" s="0" t="n">
        <v>89</v>
      </c>
      <c r="B90" s="2" t="n">
        <v>227361</v>
      </c>
      <c r="C90" s="2" t="s">
        <v>167</v>
      </c>
      <c r="D90" s="2" t="s">
        <v>168</v>
      </c>
      <c r="E90" s="2" t="n">
        <f aca="false">VLOOKUP($B90,[1]Day1!$A$1:$H$394,4,FALSE())</f>
        <v>1</v>
      </c>
      <c r="F90" s="2" t="n">
        <f aca="false">VLOOKUP($B90,[1]Day1!$A$1:$H$394,5,FALSE())</f>
        <v>0</v>
      </c>
      <c r="G90" s="2" t="n">
        <f aca="false">VLOOKUP($B90,[1]Day1!$A$1:$H$394,6,FALSE())</f>
        <v>0</v>
      </c>
      <c r="H90" s="2" t="n">
        <f aca="false">VLOOKUP($B90,[1]Day1!$A$1:$H$394,7,FALSE())</f>
        <v>0</v>
      </c>
      <c r="I90" s="2" t="n">
        <f aca="false">SUM(E90:H90)</f>
        <v>1</v>
      </c>
      <c r="J90" s="0"/>
      <c r="K90" s="0"/>
      <c r="L90" s="0"/>
      <c r="M90" s="0"/>
    </row>
    <row r="91" customFormat="false" ht="12.75" hidden="false" customHeight="true" outlineLevel="0" collapsed="false">
      <c r="A91" s="0" t="n">
        <v>90</v>
      </c>
      <c r="B91" s="2" t="n">
        <v>187492</v>
      </c>
      <c r="C91" s="2" t="s">
        <v>169</v>
      </c>
      <c r="D91" s="2" t="s">
        <v>170</v>
      </c>
      <c r="E91" s="2" t="n">
        <f aca="false">VLOOKUP($B91,[1]Day1!$A$1:$H$394,4,FALSE())</f>
        <v>1</v>
      </c>
      <c r="F91" s="2" t="n">
        <f aca="false">VLOOKUP($B91,[1]Day1!$A$1:$H$394,5,FALSE())</f>
        <v>0</v>
      </c>
      <c r="G91" s="2" t="n">
        <f aca="false">VLOOKUP($B91,[1]Day1!$A$1:$H$394,6,FALSE())</f>
        <v>0</v>
      </c>
      <c r="H91" s="2" t="n">
        <f aca="false">VLOOKUP($B91,[1]Day1!$A$1:$H$394,7,FALSE())</f>
        <v>0</v>
      </c>
      <c r="I91" s="2" t="n">
        <f aca="false">SUM(E91:H91)</f>
        <v>1</v>
      </c>
      <c r="J91" s="0"/>
      <c r="K91" s="0"/>
      <c r="L91" s="0"/>
      <c r="M91" s="0"/>
    </row>
    <row r="92" customFormat="false" ht="12.75" hidden="false" customHeight="true" outlineLevel="0" collapsed="false">
      <c r="A92" s="0" t="n">
        <v>91</v>
      </c>
      <c r="B92" s="2" t="n">
        <v>155160</v>
      </c>
      <c r="C92" s="2" t="s">
        <v>49</v>
      </c>
      <c r="D92" s="2" t="s">
        <v>20</v>
      </c>
      <c r="E92" s="2" t="n">
        <f aca="false">VLOOKUP($B92,[1]Day1!$A$1:$H$394,4,FALSE())</f>
        <v>1</v>
      </c>
      <c r="F92" s="2" t="n">
        <f aca="false">VLOOKUP($B92,[1]Day1!$A$1:$H$394,5,FALSE())</f>
        <v>0</v>
      </c>
      <c r="G92" s="2" t="n">
        <f aca="false">VLOOKUP($B92,[1]Day1!$A$1:$H$394,6,FALSE())</f>
        <v>0</v>
      </c>
      <c r="H92" s="2" t="n">
        <f aca="false">VLOOKUP($B92,[1]Day1!$A$1:$H$394,7,FALSE())</f>
        <v>0</v>
      </c>
      <c r="I92" s="2" t="n">
        <f aca="false">SUM(E92:H92)</f>
        <v>1</v>
      </c>
      <c r="J92" s="0"/>
      <c r="K92" s="0"/>
      <c r="L92" s="0"/>
      <c r="M92" s="0"/>
    </row>
    <row r="93" customFormat="false" ht="12.75" hidden="false" customHeight="true" outlineLevel="0" collapsed="false">
      <c r="A93" s="0" t="n">
        <v>92</v>
      </c>
      <c r="B93" s="2" t="n">
        <v>124378</v>
      </c>
      <c r="C93" s="2" t="s">
        <v>171</v>
      </c>
      <c r="D93" s="2" t="s">
        <v>172</v>
      </c>
      <c r="E93" s="2" t="n">
        <f aca="false">VLOOKUP($B93,[1]Day1!$A$1:$H$394,4,FALSE())</f>
        <v>1</v>
      </c>
      <c r="F93" s="2" t="n">
        <f aca="false">VLOOKUP($B93,[1]Day1!$A$1:$H$394,5,FALSE())</f>
        <v>0</v>
      </c>
      <c r="G93" s="2" t="n">
        <f aca="false">VLOOKUP($B93,[1]Day1!$A$1:$H$394,6,FALSE())</f>
        <v>0</v>
      </c>
      <c r="H93" s="2" t="n">
        <f aca="false">VLOOKUP($B93,[1]Day1!$A$1:$H$394,7,FALSE())</f>
        <v>0</v>
      </c>
      <c r="I93" s="2" t="n">
        <f aca="false">SUM(E93:H93)</f>
        <v>1</v>
      </c>
      <c r="J93" s="0"/>
      <c r="K93" s="0"/>
      <c r="L93" s="0"/>
      <c r="M93" s="0"/>
    </row>
    <row r="94" customFormat="false" ht="12.75" hidden="false" customHeight="true" outlineLevel="0" collapsed="false">
      <c r="A94" s="0" t="n">
        <v>93</v>
      </c>
      <c r="B94" s="2" t="n">
        <v>162539</v>
      </c>
      <c r="C94" s="2" t="s">
        <v>173</v>
      </c>
      <c r="D94" s="2" t="s">
        <v>174</v>
      </c>
      <c r="E94" s="2" t="n">
        <f aca="false">VLOOKUP($B94,[1]Day1!$A$1:$H$394,4,FALSE())</f>
        <v>1</v>
      </c>
      <c r="F94" s="2" t="n">
        <f aca="false">VLOOKUP($B94,[1]Day1!$A$1:$H$394,5,FALSE())</f>
        <v>0</v>
      </c>
      <c r="G94" s="2" t="n">
        <f aca="false">VLOOKUP($B94,[1]Day1!$A$1:$H$394,6,FALSE())</f>
        <v>0</v>
      </c>
      <c r="H94" s="2" t="n">
        <f aca="false">VLOOKUP($B94,[1]Day1!$A$1:$H$394,7,FALSE())</f>
        <v>0</v>
      </c>
      <c r="I94" s="2" t="n">
        <f aca="false">SUM(E94:H94)</f>
        <v>1</v>
      </c>
      <c r="J94" s="0"/>
      <c r="K94" s="0"/>
      <c r="L94" s="0"/>
      <c r="M94" s="0"/>
    </row>
    <row r="95" customFormat="false" ht="12.75" hidden="false" customHeight="true" outlineLevel="0" collapsed="false">
      <c r="A95" s="0" t="n">
        <v>94</v>
      </c>
      <c r="B95" s="2" t="n">
        <v>146933</v>
      </c>
      <c r="C95" s="2" t="s">
        <v>175</v>
      </c>
      <c r="D95" s="2" t="s">
        <v>176</v>
      </c>
      <c r="E95" s="2" t="n">
        <f aca="false">VLOOKUP($B95,[1]Day1!$A$1:$H$394,4,FALSE())</f>
        <v>1</v>
      </c>
      <c r="F95" s="2" t="n">
        <f aca="false">VLOOKUP($B95,[1]Day1!$A$1:$H$394,5,FALSE())</f>
        <v>0</v>
      </c>
      <c r="G95" s="2" t="n">
        <f aca="false">VLOOKUP($B95,[1]Day1!$A$1:$H$394,6,FALSE())</f>
        <v>0</v>
      </c>
      <c r="H95" s="2" t="n">
        <f aca="false">VLOOKUP($B95,[1]Day1!$A$1:$H$394,7,FALSE())</f>
        <v>0</v>
      </c>
      <c r="I95" s="2" t="n">
        <f aca="false">SUM(E95:H95)</f>
        <v>1</v>
      </c>
      <c r="J95" s="0"/>
      <c r="K95" s="0"/>
      <c r="L95" s="0"/>
      <c r="M95" s="0"/>
    </row>
    <row r="96" customFormat="false" ht="12.75" hidden="false" customHeight="true" outlineLevel="0" collapsed="false">
      <c r="A96" s="0" t="n">
        <v>95</v>
      </c>
      <c r="B96" s="2" t="n">
        <v>147437</v>
      </c>
      <c r="C96" s="2" t="s">
        <v>177</v>
      </c>
      <c r="D96" s="2" t="s">
        <v>178</v>
      </c>
      <c r="E96" s="2" t="n">
        <f aca="false">VLOOKUP($B96,[1]Day1!$A$1:$H$394,4,FALSE())</f>
        <v>1</v>
      </c>
      <c r="F96" s="2" t="n">
        <f aca="false">VLOOKUP($B96,[1]Day1!$A$1:$H$394,5,FALSE())</f>
        <v>0</v>
      </c>
      <c r="G96" s="2" t="n">
        <f aca="false">VLOOKUP($B96,[1]Day1!$A$1:$H$394,6,FALSE())</f>
        <v>0</v>
      </c>
      <c r="H96" s="2" t="n">
        <f aca="false">VLOOKUP($B96,[1]Day1!$A$1:$H$394,7,FALSE())</f>
        <v>0</v>
      </c>
      <c r="I96" s="2" t="n">
        <f aca="false">SUM(E96:H96)</f>
        <v>1</v>
      </c>
      <c r="J96" s="0"/>
      <c r="K96" s="0"/>
      <c r="L96" s="0"/>
      <c r="M96" s="0"/>
    </row>
    <row r="97" customFormat="false" ht="12.75" hidden="false" customHeight="true" outlineLevel="0" collapsed="false">
      <c r="A97" s="0" t="n">
        <v>96</v>
      </c>
      <c r="B97" s="2" t="n">
        <v>185689</v>
      </c>
      <c r="C97" s="2" t="s">
        <v>179</v>
      </c>
      <c r="D97" s="2" t="s">
        <v>39</v>
      </c>
      <c r="E97" s="2" t="n">
        <f aca="false">VLOOKUP($B97,[1]Day1!$A$1:$H$394,4,FALSE())</f>
        <v>1</v>
      </c>
      <c r="F97" s="2" t="n">
        <f aca="false">VLOOKUP($B97,[1]Day1!$A$1:$H$394,5,FALSE())</f>
        <v>0</v>
      </c>
      <c r="G97" s="2" t="n">
        <f aca="false">VLOOKUP($B97,[1]Day1!$A$1:$H$394,6,FALSE())</f>
        <v>0</v>
      </c>
      <c r="H97" s="2" t="n">
        <f aca="false">VLOOKUP($B97,[1]Day1!$A$1:$H$394,7,FALSE())</f>
        <v>0</v>
      </c>
      <c r="I97" s="2" t="n">
        <f aca="false">SUM(E97:H97)</f>
        <v>1</v>
      </c>
      <c r="J97" s="0"/>
      <c r="K97" s="0"/>
      <c r="L97" s="0"/>
      <c r="M97" s="0"/>
    </row>
    <row r="98" customFormat="false" ht="12.75" hidden="false" customHeight="true" outlineLevel="0" collapsed="false">
      <c r="A98" s="0" t="n">
        <v>97</v>
      </c>
      <c r="B98" s="2" t="n">
        <v>209372</v>
      </c>
      <c r="C98" s="2" t="s">
        <v>180</v>
      </c>
      <c r="D98" s="2" t="s">
        <v>181</v>
      </c>
      <c r="E98" s="2" t="n">
        <f aca="false">VLOOKUP($B98,[1]Day1!$A$1:$H$394,4,FALSE())</f>
        <v>1</v>
      </c>
      <c r="F98" s="2" t="n">
        <f aca="false">VLOOKUP($B98,[1]Day1!$A$1:$H$394,5,FALSE())</f>
        <v>0</v>
      </c>
      <c r="G98" s="2" t="n">
        <f aca="false">VLOOKUP($B98,[1]Day1!$A$1:$H$394,6,FALSE())</f>
        <v>0</v>
      </c>
      <c r="H98" s="2" t="n">
        <f aca="false">VLOOKUP($B98,[1]Day1!$A$1:$H$394,7,FALSE())</f>
        <v>0</v>
      </c>
      <c r="I98" s="2" t="n">
        <f aca="false">SUM(E98:H98)</f>
        <v>1</v>
      </c>
      <c r="J98" s="0"/>
      <c r="K98" s="0"/>
      <c r="L98" s="0"/>
      <c r="M98" s="0"/>
    </row>
    <row r="99" customFormat="false" ht="12.75" hidden="false" customHeight="true" outlineLevel="0" collapsed="false">
      <c r="A99" s="0" t="n">
        <v>98</v>
      </c>
      <c r="B99" s="2" t="n">
        <v>146828</v>
      </c>
      <c r="C99" s="2" t="s">
        <v>182</v>
      </c>
      <c r="D99" s="2" t="s">
        <v>183</v>
      </c>
      <c r="E99" s="2" t="n">
        <f aca="false">VLOOKUP($B99,[1]Day1!$A$1:$H$394,4,FALSE())</f>
        <v>0</v>
      </c>
      <c r="F99" s="2" t="n">
        <f aca="false">VLOOKUP($B99,[1]Day1!$A$1:$H$394,5,FALSE())</f>
        <v>0</v>
      </c>
      <c r="G99" s="2" t="n">
        <f aca="false">VLOOKUP($B99,[1]Day1!$A$1:$H$394,6,FALSE())</f>
        <v>0</v>
      </c>
      <c r="H99" s="2" t="n">
        <f aca="false">VLOOKUP($B99,[1]Day1!$A$1:$H$394,7,FALSE())</f>
        <v>1</v>
      </c>
      <c r="I99" s="2" t="n">
        <f aca="false">SUM(E99:H99)</f>
        <v>1</v>
      </c>
      <c r="J99" s="0"/>
      <c r="K99" s="0"/>
      <c r="L99" s="0"/>
      <c r="M99" s="0"/>
    </row>
    <row r="100" customFormat="false" ht="12.75" hidden="false" customHeight="true" outlineLevel="0" collapsed="false">
      <c r="A100" s="0" t="n">
        <v>99</v>
      </c>
      <c r="B100" s="2" t="n">
        <v>174200</v>
      </c>
      <c r="C100" s="2" t="s">
        <v>184</v>
      </c>
      <c r="D100" s="2" t="s">
        <v>185</v>
      </c>
      <c r="E100" s="2" t="n">
        <f aca="false">VLOOKUP($B100,[1]Day1!$A$1:$H$394,4,FALSE())</f>
        <v>0</v>
      </c>
      <c r="F100" s="2" t="n">
        <f aca="false">VLOOKUP($B100,[1]Day1!$A$1:$H$394,5,FALSE())</f>
        <v>0</v>
      </c>
      <c r="G100" s="2" t="n">
        <f aca="false">VLOOKUP($B100,[1]Day1!$A$1:$H$394,6,FALSE())</f>
        <v>1</v>
      </c>
      <c r="H100" s="2" t="n">
        <f aca="false">VLOOKUP($B100,[1]Day1!$A$1:$H$394,7,FALSE())</f>
        <v>0</v>
      </c>
      <c r="I100" s="2" t="n">
        <f aca="false">SUM(E100:H100)</f>
        <v>1</v>
      </c>
      <c r="J100" s="0"/>
      <c r="K100" s="0"/>
      <c r="L100" s="0"/>
      <c r="M100" s="0"/>
    </row>
    <row r="101" customFormat="false" ht="12.75" hidden="false" customHeight="true" outlineLevel="0" collapsed="false">
      <c r="A101" s="0" t="n">
        <v>100</v>
      </c>
      <c r="B101" s="2" t="n">
        <v>126663</v>
      </c>
      <c r="C101" s="2" t="s">
        <v>186</v>
      </c>
      <c r="D101" s="2" t="s">
        <v>187</v>
      </c>
      <c r="E101" s="2" t="n">
        <f aca="false">VLOOKUP($B101,[1]Day1!$A$1:$H$394,4,FALSE())</f>
        <v>1</v>
      </c>
      <c r="F101" s="2" t="n">
        <f aca="false">VLOOKUP($B101,[1]Day1!$A$1:$H$394,5,FALSE())</f>
        <v>0</v>
      </c>
      <c r="G101" s="2" t="n">
        <f aca="false">VLOOKUP($B101,[1]Day1!$A$1:$H$394,6,FALSE())</f>
        <v>0</v>
      </c>
      <c r="H101" s="2" t="n">
        <f aca="false">VLOOKUP($B101,[1]Day1!$A$1:$H$394,7,FALSE())</f>
        <v>0</v>
      </c>
      <c r="I101" s="2" t="n">
        <f aca="false">SUM(E101:H101)</f>
        <v>1</v>
      </c>
      <c r="J101" s="0"/>
      <c r="K101" s="0"/>
      <c r="L101" s="0"/>
      <c r="M101" s="0"/>
    </row>
    <row r="102" customFormat="false" ht="12.75" hidden="false" customHeight="true" outlineLevel="0" collapsed="false">
      <c r="A102" s="0" t="n">
        <v>101</v>
      </c>
      <c r="B102" s="2" t="n">
        <v>18238</v>
      </c>
      <c r="C102" s="2" t="s">
        <v>188</v>
      </c>
      <c r="D102" s="2" t="s">
        <v>128</v>
      </c>
      <c r="E102" s="2" t="n">
        <f aca="false">VLOOKUP($B102,[1]Day1!$A$1:$H$394,4,FALSE())</f>
        <v>0.5</v>
      </c>
      <c r="F102" s="2" t="n">
        <f aca="false">VLOOKUP($B102,[1]Day1!$A$1:$H$394,5,FALSE())</f>
        <v>0</v>
      </c>
      <c r="G102" s="2" t="n">
        <f aca="false">VLOOKUP($B102,[1]Day1!$A$1:$H$394,6,FALSE())</f>
        <v>0</v>
      </c>
      <c r="H102" s="2" t="n">
        <f aca="false">VLOOKUP($B102,[1]Day1!$A$1:$H$394,7,FALSE())</f>
        <v>0</v>
      </c>
      <c r="I102" s="2" t="n">
        <f aca="false">SUM(E102:H102)</f>
        <v>0.5</v>
      </c>
      <c r="J102" s="0"/>
      <c r="K102" s="0"/>
      <c r="L102" s="0"/>
      <c r="M102" s="0"/>
    </row>
    <row r="103" customFormat="false" ht="12.75" hidden="false" customHeight="true" outlineLevel="0" collapsed="false">
      <c r="A103" s="0" t="n">
        <v>102</v>
      </c>
      <c r="B103" s="2" t="n">
        <v>167116</v>
      </c>
      <c r="C103" s="2" t="s">
        <v>175</v>
      </c>
      <c r="D103" s="2" t="s">
        <v>189</v>
      </c>
      <c r="E103" s="2" t="n">
        <f aca="false">VLOOKUP($B103,[1]Day1!$A$1:$H$394,4,FALSE())</f>
        <v>0</v>
      </c>
      <c r="F103" s="2" t="n">
        <f aca="false">VLOOKUP($B103,[1]Day1!$A$1:$H$394,5,FALSE())</f>
        <v>0</v>
      </c>
      <c r="G103" s="2" t="n">
        <f aca="false">VLOOKUP($B103,[1]Day1!$A$1:$H$394,6,FALSE())</f>
        <v>0</v>
      </c>
      <c r="H103" s="2" t="n">
        <f aca="false">VLOOKUP($B103,[1]Day1!$A$1:$H$394,7,FALSE())</f>
        <v>0</v>
      </c>
      <c r="I103" s="2" t="n">
        <f aca="false">SUM(E103:H103)</f>
        <v>0</v>
      </c>
      <c r="J103" s="0"/>
      <c r="K103" s="0"/>
      <c r="L103" s="0"/>
      <c r="M103" s="0"/>
    </row>
    <row r="104" customFormat="false" ht="12.75" hidden="false" customHeight="true" outlineLevel="0" collapsed="false">
      <c r="A104" s="0" t="n">
        <v>103</v>
      </c>
      <c r="B104" s="2" t="n">
        <v>198335</v>
      </c>
      <c r="C104" s="2" t="s">
        <v>190</v>
      </c>
      <c r="D104" s="2" t="s">
        <v>191</v>
      </c>
      <c r="E104" s="2" t="n">
        <f aca="false">VLOOKUP($B104,[1]Day1!$A$1:$H$394,4,FALSE())</f>
        <v>0</v>
      </c>
      <c r="F104" s="2" t="n">
        <f aca="false">VLOOKUP($B104,[1]Day1!$A$1:$H$394,5,FALSE())</f>
        <v>0</v>
      </c>
      <c r="G104" s="2" t="n">
        <f aca="false">VLOOKUP($B104,[1]Day1!$A$1:$H$394,6,FALSE())</f>
        <v>0</v>
      </c>
      <c r="H104" s="2" t="n">
        <f aca="false">VLOOKUP($B104,[1]Day1!$A$1:$H$394,7,FALSE())</f>
        <v>0</v>
      </c>
      <c r="I104" s="2" t="n">
        <f aca="false">SUM(E104:H104)</f>
        <v>0</v>
      </c>
      <c r="J104" s="0"/>
      <c r="K104" s="0"/>
      <c r="L104" s="0"/>
      <c r="M104" s="0"/>
    </row>
    <row r="105" customFormat="false" ht="12.75" hidden="false" customHeight="true" outlineLevel="0" collapsed="false">
      <c r="A105" s="0" t="n">
        <v>104</v>
      </c>
      <c r="B105" s="2" t="n">
        <v>205916</v>
      </c>
      <c r="C105" s="2" t="s">
        <v>192</v>
      </c>
      <c r="D105" s="2" t="s">
        <v>193</v>
      </c>
      <c r="E105" s="2" t="n">
        <f aca="false">VLOOKUP($B105,[1]Day1!$A$1:$H$394,4,FALSE())</f>
        <v>0</v>
      </c>
      <c r="F105" s="2" t="n">
        <f aca="false">VLOOKUP($B105,[1]Day1!$A$1:$H$394,5,FALSE())</f>
        <v>0</v>
      </c>
      <c r="G105" s="2" t="n">
        <f aca="false">VLOOKUP($B105,[1]Day1!$A$1:$H$394,6,FALSE())</f>
        <v>0</v>
      </c>
      <c r="H105" s="2" t="n">
        <f aca="false">VLOOKUP($B105,[1]Day1!$A$1:$H$394,7,FALSE())</f>
        <v>0</v>
      </c>
      <c r="I105" s="2" t="n">
        <f aca="false">SUM(E105:H105)</f>
        <v>0</v>
      </c>
      <c r="J105" s="0"/>
      <c r="K105" s="0"/>
      <c r="L105" s="0"/>
      <c r="M105" s="0"/>
    </row>
    <row r="106" customFormat="false" ht="12.75" hidden="false" customHeight="true" outlineLevel="0" collapsed="false">
      <c r="A106" s="0" t="n">
        <v>105</v>
      </c>
      <c r="B106" s="2" t="n">
        <v>117922</v>
      </c>
      <c r="C106" s="2" t="s">
        <v>194</v>
      </c>
      <c r="D106" s="2" t="s">
        <v>195</v>
      </c>
      <c r="E106" s="2" t="n">
        <f aca="false">VLOOKUP($B106,[1]Day1!$A$1:$H$394,4,FALSE())</f>
        <v>0</v>
      </c>
      <c r="F106" s="2" t="n">
        <f aca="false">VLOOKUP($B106,[1]Day1!$A$1:$H$394,5,FALSE())</f>
        <v>0</v>
      </c>
      <c r="G106" s="2" t="n">
        <f aca="false">VLOOKUP($B106,[1]Day1!$A$1:$H$394,6,FALSE())</f>
        <v>0</v>
      </c>
      <c r="H106" s="2" t="n">
        <f aca="false">VLOOKUP($B106,[1]Day1!$A$1:$H$394,7,FALSE())</f>
        <v>0</v>
      </c>
      <c r="I106" s="2" t="n">
        <f aca="false">SUM(E106:H106)</f>
        <v>0</v>
      </c>
      <c r="J106" s="0"/>
      <c r="K106" s="0"/>
      <c r="L106" s="0"/>
      <c r="M106" s="0"/>
    </row>
    <row r="107" customFormat="false" ht="12.75" hidden="false" customHeight="true" outlineLevel="0" collapsed="false">
      <c r="A107" s="0" t="n">
        <v>106</v>
      </c>
      <c r="B107" s="2" t="n">
        <v>150343</v>
      </c>
      <c r="C107" s="2" t="s">
        <v>196</v>
      </c>
      <c r="D107" s="2" t="s">
        <v>60</v>
      </c>
      <c r="E107" s="2" t="n">
        <f aca="false">VLOOKUP($B107,[1]Day1!$A$1:$H$394,4,FALSE())</f>
        <v>0</v>
      </c>
      <c r="F107" s="2" t="n">
        <f aca="false">VLOOKUP($B107,[1]Day1!$A$1:$H$394,5,FALSE())</f>
        <v>0</v>
      </c>
      <c r="G107" s="2" t="n">
        <f aca="false">VLOOKUP($B107,[1]Day1!$A$1:$H$394,6,FALSE())</f>
        <v>0</v>
      </c>
      <c r="H107" s="2" t="n">
        <f aca="false">VLOOKUP($B107,[1]Day1!$A$1:$H$394,7,FALSE())</f>
        <v>0</v>
      </c>
      <c r="I107" s="2" t="n">
        <f aca="false">SUM(E107:H107)</f>
        <v>0</v>
      </c>
      <c r="J107" s="0"/>
      <c r="K107" s="0"/>
      <c r="L107" s="0"/>
      <c r="M107" s="0"/>
    </row>
    <row r="108" customFormat="false" ht="12.75" hidden="false" customHeight="true" outlineLevel="0" collapsed="false">
      <c r="A108" s="0" t="n">
        <v>107</v>
      </c>
      <c r="B108" s="2" t="n">
        <v>222947</v>
      </c>
      <c r="C108" s="2" t="s">
        <v>197</v>
      </c>
      <c r="D108" s="2" t="s">
        <v>198</v>
      </c>
      <c r="E108" s="2" t="n">
        <f aca="false">VLOOKUP($B108,[1]Day1!$A$1:$H$394,4,FALSE())</f>
        <v>0</v>
      </c>
      <c r="F108" s="2" t="n">
        <f aca="false">VLOOKUP($B108,[1]Day1!$A$1:$H$394,5,FALSE())</f>
        <v>0</v>
      </c>
      <c r="G108" s="2" t="n">
        <f aca="false">VLOOKUP($B108,[1]Day1!$A$1:$H$394,6,FALSE())</f>
        <v>0</v>
      </c>
      <c r="H108" s="2" t="n">
        <f aca="false">VLOOKUP($B108,[1]Day1!$A$1:$H$394,7,FALSE())</f>
        <v>0</v>
      </c>
      <c r="I108" s="2" t="n">
        <f aca="false">SUM(E108:H108)</f>
        <v>0</v>
      </c>
      <c r="J108" s="0"/>
      <c r="K108" s="0"/>
      <c r="L108" s="0"/>
      <c r="M108" s="0"/>
    </row>
    <row r="109" customFormat="false" ht="12.75" hidden="false" customHeight="true" outlineLevel="0" collapsed="false">
      <c r="A109" s="0" t="n">
        <v>108</v>
      </c>
      <c r="B109" s="2" t="n">
        <v>74069</v>
      </c>
      <c r="C109" s="2" t="s">
        <v>47</v>
      </c>
      <c r="D109" s="2" t="s">
        <v>199</v>
      </c>
      <c r="E109" s="2" t="n">
        <f aca="false">VLOOKUP($B109,[1]Day1!$A$1:$H$394,4,FALSE())</f>
        <v>0</v>
      </c>
      <c r="F109" s="2" t="n">
        <f aca="false">VLOOKUP($B109,[1]Day1!$A$1:$H$394,5,FALSE())</f>
        <v>0</v>
      </c>
      <c r="G109" s="2" t="n">
        <f aca="false">VLOOKUP($B109,[1]Day1!$A$1:$H$394,6,FALSE())</f>
        <v>0</v>
      </c>
      <c r="H109" s="2" t="n">
        <f aca="false">VLOOKUP($B109,[1]Day1!$A$1:$H$394,7,FALSE())</f>
        <v>0</v>
      </c>
      <c r="I109" s="2" t="n">
        <f aca="false">SUM(E109:H109)</f>
        <v>0</v>
      </c>
      <c r="J109" s="0"/>
      <c r="K109" s="0"/>
      <c r="L109" s="0"/>
      <c r="M109" s="0"/>
    </row>
    <row r="110" customFormat="false" ht="12.75" hidden="false" customHeight="true" outlineLevel="0" collapsed="false">
      <c r="A110" s="0" t="n">
        <v>109</v>
      </c>
      <c r="B110" s="2" t="n">
        <v>126520</v>
      </c>
      <c r="C110" s="2" t="s">
        <v>200</v>
      </c>
      <c r="D110" s="2" t="s">
        <v>201</v>
      </c>
      <c r="E110" s="2" t="n">
        <f aca="false">VLOOKUP($B110,[1]Day1!$A$1:$H$394,4,FALSE())</f>
        <v>0</v>
      </c>
      <c r="F110" s="2" t="n">
        <f aca="false">VLOOKUP($B110,[1]Day1!$A$1:$H$394,5,FALSE())</f>
        <v>0</v>
      </c>
      <c r="G110" s="2" t="n">
        <f aca="false">VLOOKUP($B110,[1]Day1!$A$1:$H$394,6,FALSE())</f>
        <v>0</v>
      </c>
      <c r="H110" s="2" t="n">
        <f aca="false">VLOOKUP($B110,[1]Day1!$A$1:$H$394,7,FALSE())</f>
        <v>0</v>
      </c>
      <c r="I110" s="2" t="n">
        <f aca="false">SUM(E110:H110)</f>
        <v>0</v>
      </c>
      <c r="J110" s="0"/>
      <c r="K110" s="0"/>
      <c r="L110" s="0"/>
      <c r="M110" s="0"/>
    </row>
    <row r="111" customFormat="false" ht="12.75" hidden="false" customHeight="true" outlineLevel="0" collapsed="false">
      <c r="A111" s="0" t="n">
        <v>110</v>
      </c>
      <c r="B111" s="2" t="n">
        <v>148114</v>
      </c>
      <c r="C111" s="2" t="s">
        <v>202</v>
      </c>
      <c r="D111" s="2" t="s">
        <v>203</v>
      </c>
      <c r="E111" s="2" t="n">
        <f aca="false">VLOOKUP($B111,[1]Day1!$A$1:$H$394,4,FALSE())</f>
        <v>0</v>
      </c>
      <c r="F111" s="2" t="n">
        <f aca="false">VLOOKUP($B111,[1]Day1!$A$1:$H$394,5,FALSE())</f>
        <v>0</v>
      </c>
      <c r="G111" s="2" t="n">
        <f aca="false">VLOOKUP($B111,[1]Day1!$A$1:$H$394,6,FALSE())</f>
        <v>0</v>
      </c>
      <c r="H111" s="2" t="n">
        <f aca="false">VLOOKUP($B111,[1]Day1!$A$1:$H$394,7,FALSE())</f>
        <v>0</v>
      </c>
      <c r="I111" s="2" t="n">
        <f aca="false">SUM(E111:H111)</f>
        <v>0</v>
      </c>
      <c r="J111" s="0"/>
      <c r="K111" s="0"/>
      <c r="L111" s="0"/>
      <c r="M111" s="0"/>
    </row>
    <row r="112" customFormat="false" ht="12.75" hidden="false" customHeight="true" outlineLevel="0" collapsed="false">
      <c r="A112" s="0" t="n">
        <v>111</v>
      </c>
      <c r="B112" s="2" t="n">
        <v>180862</v>
      </c>
      <c r="C112" s="2" t="s">
        <v>204</v>
      </c>
      <c r="D112" s="2" t="s">
        <v>205</v>
      </c>
      <c r="E112" s="2" t="n">
        <f aca="false">VLOOKUP($B112,[1]Day1!$A$1:$H$394,4,FALSE())</f>
        <v>0</v>
      </c>
      <c r="F112" s="2" t="n">
        <f aca="false">VLOOKUP($B112,[1]Day1!$A$1:$H$394,5,FALSE())</f>
        <v>0</v>
      </c>
      <c r="G112" s="2" t="n">
        <f aca="false">VLOOKUP($B112,[1]Day1!$A$1:$H$394,6,FALSE())</f>
        <v>0</v>
      </c>
      <c r="H112" s="2" t="n">
        <f aca="false">VLOOKUP($B112,[1]Day1!$A$1:$H$394,7,FALSE())</f>
        <v>0</v>
      </c>
      <c r="I112" s="2" t="n">
        <f aca="false">SUM(E112:H112)</f>
        <v>0</v>
      </c>
      <c r="J112" s="0"/>
      <c r="K112" s="0"/>
      <c r="L112" s="0"/>
      <c r="M112" s="0"/>
    </row>
    <row r="113" customFormat="false" ht="12.75" hidden="false" customHeight="true" outlineLevel="0" collapsed="false">
      <c r="A113" s="0" t="n">
        <v>112</v>
      </c>
      <c r="B113" s="2" t="n">
        <v>190162</v>
      </c>
      <c r="C113" s="2" t="s">
        <v>27</v>
      </c>
      <c r="D113" s="2" t="s">
        <v>206</v>
      </c>
      <c r="E113" s="2" t="n">
        <f aca="false">VLOOKUP($B113,[1]Day1!$A$1:$H$394,4,FALSE())</f>
        <v>0</v>
      </c>
      <c r="F113" s="2" t="n">
        <f aca="false">VLOOKUP($B113,[1]Day1!$A$1:$H$394,5,FALSE())</f>
        <v>0</v>
      </c>
      <c r="G113" s="2" t="n">
        <f aca="false">VLOOKUP($B113,[1]Day1!$A$1:$H$394,6,FALSE())</f>
        <v>0</v>
      </c>
      <c r="H113" s="2" t="n">
        <f aca="false">VLOOKUP($B113,[1]Day1!$A$1:$H$394,7,FALSE())</f>
        <v>0</v>
      </c>
      <c r="I113" s="2" t="n">
        <f aca="false">SUM(E113:H113)</f>
        <v>0</v>
      </c>
      <c r="J113" s="0"/>
      <c r="K113" s="0"/>
      <c r="L113" s="0"/>
      <c r="M113" s="0"/>
    </row>
    <row r="114" customFormat="false" ht="12.75" hidden="false" customHeight="true" outlineLevel="0" collapsed="false">
      <c r="A114" s="0" t="n">
        <v>113</v>
      </c>
      <c r="B114" s="2" t="n">
        <v>130571</v>
      </c>
      <c r="C114" s="2" t="s">
        <v>207</v>
      </c>
      <c r="D114" s="2" t="s">
        <v>208</v>
      </c>
      <c r="E114" s="2" t="n">
        <f aca="false">VLOOKUP($B114,[1]Day1!$A$1:$H$394,4,FALSE())</f>
        <v>0</v>
      </c>
      <c r="F114" s="2" t="n">
        <f aca="false">VLOOKUP($B114,[1]Day1!$A$1:$H$394,5,FALSE())</f>
        <v>0</v>
      </c>
      <c r="G114" s="2" t="n">
        <f aca="false">VLOOKUP($B114,[1]Day1!$A$1:$H$394,6,FALSE())</f>
        <v>0</v>
      </c>
      <c r="H114" s="2" t="n">
        <f aca="false">VLOOKUP($B114,[1]Day1!$A$1:$H$394,7,FALSE())</f>
        <v>0</v>
      </c>
      <c r="I114" s="2" t="n">
        <f aca="false">SUM(E114:H114)</f>
        <v>0</v>
      </c>
      <c r="J114" s="0"/>
      <c r="K114" s="0"/>
      <c r="L114" s="0"/>
      <c r="M114" s="0"/>
    </row>
    <row r="115" customFormat="false" ht="12.75" hidden="false" customHeight="true" outlineLevel="0" collapsed="false">
      <c r="A115" s="0" t="n">
        <v>114</v>
      </c>
      <c r="B115" s="2" t="n">
        <v>164128</v>
      </c>
      <c r="C115" s="2" t="s">
        <v>69</v>
      </c>
      <c r="D115" s="2" t="s">
        <v>209</v>
      </c>
      <c r="E115" s="2" t="n">
        <f aca="false">VLOOKUP($B115,[1]Day1!$A$1:$H$394,4,FALSE())</f>
        <v>0</v>
      </c>
      <c r="F115" s="2" t="n">
        <f aca="false">VLOOKUP($B115,[1]Day1!$A$1:$H$394,5,FALSE())</f>
        <v>0</v>
      </c>
      <c r="G115" s="2" t="n">
        <f aca="false">VLOOKUP($B115,[1]Day1!$A$1:$H$394,6,FALSE())</f>
        <v>0</v>
      </c>
      <c r="H115" s="2" t="n">
        <f aca="false">VLOOKUP($B115,[1]Day1!$A$1:$H$394,7,FALSE())</f>
        <v>0</v>
      </c>
      <c r="I115" s="2" t="n">
        <f aca="false">SUM(E115:H115)</f>
        <v>0</v>
      </c>
      <c r="J115" s="0"/>
      <c r="K115" s="0"/>
      <c r="L115" s="0"/>
      <c r="M115" s="0"/>
    </row>
    <row r="116" customFormat="false" ht="12.75" hidden="false" customHeight="true" outlineLevel="0" collapsed="false">
      <c r="A116" s="0" t="n">
        <v>115</v>
      </c>
      <c r="B116" s="2" t="n">
        <v>124227</v>
      </c>
      <c r="C116" s="2" t="s">
        <v>210</v>
      </c>
      <c r="D116" s="2" t="s">
        <v>211</v>
      </c>
      <c r="E116" s="2" t="n">
        <f aca="false">VLOOKUP($B116,[1]Day1!$A$1:$H$394,4,FALSE())</f>
        <v>0</v>
      </c>
      <c r="F116" s="2" t="n">
        <f aca="false">VLOOKUP($B116,[1]Day1!$A$1:$H$394,5,FALSE())</f>
        <v>0</v>
      </c>
      <c r="G116" s="2" t="n">
        <f aca="false">VLOOKUP($B116,[1]Day1!$A$1:$H$394,6,FALSE())</f>
        <v>0</v>
      </c>
      <c r="H116" s="2" t="n">
        <f aca="false">VLOOKUP($B116,[1]Day1!$A$1:$H$394,7,FALSE())</f>
        <v>0</v>
      </c>
      <c r="I116" s="2" t="n">
        <f aca="false">SUM(E116:H116)</f>
        <v>0</v>
      </c>
      <c r="J116" s="0"/>
      <c r="K116" s="0"/>
      <c r="L116" s="0"/>
      <c r="M116" s="0"/>
    </row>
    <row r="117" customFormat="false" ht="12.75" hidden="false" customHeight="true" outlineLevel="0" collapsed="false">
      <c r="A117" s="0" t="n">
        <v>116</v>
      </c>
      <c r="B117" s="2" t="n">
        <v>187883</v>
      </c>
      <c r="C117" s="2" t="s">
        <v>55</v>
      </c>
      <c r="D117" s="2" t="s">
        <v>212</v>
      </c>
      <c r="E117" s="2" t="n">
        <f aca="false">VLOOKUP($B117,[1]Day1!$A$1:$H$394,4,FALSE())</f>
        <v>0</v>
      </c>
      <c r="F117" s="2" t="n">
        <f aca="false">VLOOKUP($B117,[1]Day1!$A$1:$H$394,5,FALSE())</f>
        <v>0</v>
      </c>
      <c r="G117" s="2" t="n">
        <f aca="false">VLOOKUP($B117,[1]Day1!$A$1:$H$394,6,FALSE())</f>
        <v>0</v>
      </c>
      <c r="H117" s="2" t="n">
        <f aca="false">VLOOKUP($B117,[1]Day1!$A$1:$H$394,7,FALSE())</f>
        <v>0</v>
      </c>
      <c r="I117" s="2" t="n">
        <f aca="false">SUM(E117:H117)</f>
        <v>0</v>
      </c>
      <c r="J117" s="0"/>
      <c r="K117" s="0"/>
      <c r="L117" s="0"/>
      <c r="M117" s="0"/>
    </row>
    <row r="118" customFormat="false" ht="12.75" hidden="false" customHeight="true" outlineLevel="0" collapsed="false">
      <c r="A118" s="0" t="n">
        <v>117</v>
      </c>
      <c r="B118" s="2" t="n">
        <v>124227</v>
      </c>
      <c r="C118" s="2" t="s">
        <v>210</v>
      </c>
      <c r="D118" s="2" t="s">
        <v>211</v>
      </c>
      <c r="E118" s="2" t="n">
        <f aca="false">VLOOKUP($B118,[1]Day1!$A$1:$H$394,4,FALSE())</f>
        <v>0</v>
      </c>
      <c r="F118" s="2" t="n">
        <f aca="false">VLOOKUP($B118,[1]Day1!$A$1:$H$394,5,FALSE())</f>
        <v>0</v>
      </c>
      <c r="G118" s="2" t="n">
        <f aca="false">VLOOKUP($B118,[1]Day1!$A$1:$H$394,6,FALSE())</f>
        <v>0</v>
      </c>
      <c r="H118" s="2" t="n">
        <f aca="false">VLOOKUP($B118,[1]Day1!$A$1:$H$394,7,FALSE())</f>
        <v>0</v>
      </c>
      <c r="I118" s="2" t="n">
        <f aca="false">SUM(E118:H118)</f>
        <v>0</v>
      </c>
      <c r="J118" s="0"/>
      <c r="K118" s="0"/>
      <c r="L118" s="0"/>
      <c r="M118" s="0"/>
    </row>
    <row r="119" customFormat="false" ht="12.75" hidden="false" customHeight="true" outlineLevel="0" collapsed="false">
      <c r="A119" s="0" t="n">
        <v>118</v>
      </c>
      <c r="B119" s="2" t="n">
        <v>116428</v>
      </c>
      <c r="C119" s="2" t="s">
        <v>213</v>
      </c>
      <c r="D119" s="2" t="s">
        <v>20</v>
      </c>
      <c r="E119" s="2" t="n">
        <f aca="false">VLOOKUP($B119,[1]Day1!$A$1:$H$394,4,FALSE())</f>
        <v>0</v>
      </c>
      <c r="F119" s="2" t="n">
        <f aca="false">VLOOKUP($B119,[1]Day1!$A$1:$H$394,5,FALSE())</f>
        <v>0</v>
      </c>
      <c r="G119" s="2" t="n">
        <f aca="false">VLOOKUP($B119,[1]Day1!$A$1:$H$394,6,FALSE())</f>
        <v>0</v>
      </c>
      <c r="H119" s="2" t="n">
        <f aca="false">VLOOKUP($B119,[1]Day1!$A$1:$H$394,7,FALSE())</f>
        <v>0</v>
      </c>
      <c r="I119" s="2" t="n">
        <f aca="false">SUM(E119:H119)</f>
        <v>0</v>
      </c>
      <c r="J119" s="0"/>
      <c r="K119" s="0"/>
      <c r="L119" s="0"/>
      <c r="M119" s="0"/>
    </row>
    <row r="120" customFormat="false" ht="12.75" hidden="false" customHeight="true" outlineLevel="0" collapsed="false">
      <c r="A120" s="0" t="n">
        <v>119</v>
      </c>
      <c r="B120" s="2" t="n">
        <v>195630</v>
      </c>
      <c r="C120" s="2" t="s">
        <v>214</v>
      </c>
      <c r="D120" s="2" t="s">
        <v>215</v>
      </c>
      <c r="E120" s="2" t="n">
        <f aca="false">VLOOKUP($B120,[1]Day1!$A$1:$H$394,4,FALSE())</f>
        <v>0</v>
      </c>
      <c r="F120" s="2" t="n">
        <f aca="false">VLOOKUP($B120,[1]Day1!$A$1:$H$394,5,FALSE())</f>
        <v>0</v>
      </c>
      <c r="G120" s="2" t="n">
        <f aca="false">VLOOKUP($B120,[1]Day1!$A$1:$H$394,6,FALSE())</f>
        <v>0</v>
      </c>
      <c r="H120" s="2" t="n">
        <f aca="false">VLOOKUP($B120,[1]Day1!$A$1:$H$394,7,FALSE())</f>
        <v>0</v>
      </c>
      <c r="I120" s="2" t="n">
        <f aca="false">SUM(E120:H120)</f>
        <v>0</v>
      </c>
      <c r="J120" s="0"/>
      <c r="K120" s="0"/>
      <c r="L120" s="0"/>
      <c r="M120" s="0"/>
    </row>
    <row r="121" customFormat="false" ht="12.75" hidden="false" customHeight="true" outlineLevel="0" collapsed="false">
      <c r="A121" s="0" t="n">
        <v>120</v>
      </c>
      <c r="B121" s="2" t="n">
        <v>127069</v>
      </c>
      <c r="C121" s="2" t="s">
        <v>57</v>
      </c>
      <c r="D121" s="2" t="s">
        <v>216</v>
      </c>
      <c r="E121" s="2" t="n">
        <f aca="false">VLOOKUP($B121,[1]Day1!$A$1:$H$394,4,FALSE())</f>
        <v>0</v>
      </c>
      <c r="F121" s="2" t="n">
        <f aca="false">VLOOKUP($B121,[1]Day1!$A$1:$H$394,5,FALSE())</f>
        <v>0</v>
      </c>
      <c r="G121" s="2" t="n">
        <f aca="false">VLOOKUP($B121,[1]Day1!$A$1:$H$394,6,FALSE())</f>
        <v>0</v>
      </c>
      <c r="H121" s="2" t="n">
        <f aca="false">VLOOKUP($B121,[1]Day1!$A$1:$H$394,7,FALSE())</f>
        <v>0</v>
      </c>
      <c r="I121" s="2" t="n">
        <f aca="false">SUM(E121:H121)</f>
        <v>0</v>
      </c>
      <c r="J121" s="0"/>
      <c r="K121" s="0"/>
      <c r="L121" s="0"/>
      <c r="M121" s="0"/>
    </row>
    <row r="122" customFormat="false" ht="12.75" hidden="false" customHeight="true" outlineLevel="0" collapsed="false">
      <c r="A122" s="0" t="n">
        <v>121</v>
      </c>
      <c r="B122" s="2" t="n">
        <v>112760</v>
      </c>
      <c r="C122" s="2" t="s">
        <v>217</v>
      </c>
      <c r="D122" s="2" t="s">
        <v>218</v>
      </c>
      <c r="E122" s="2" t="n">
        <f aca="false">VLOOKUP($B122,[1]Day1!$A$1:$H$394,4,FALSE())</f>
        <v>0</v>
      </c>
      <c r="F122" s="2" t="n">
        <f aca="false">VLOOKUP($B122,[1]Day1!$A$1:$H$394,5,FALSE())</f>
        <v>0</v>
      </c>
      <c r="G122" s="2" t="n">
        <f aca="false">VLOOKUP($B122,[1]Day1!$A$1:$H$394,6,FALSE())</f>
        <v>0</v>
      </c>
      <c r="H122" s="2" t="n">
        <f aca="false">VLOOKUP($B122,[1]Day1!$A$1:$H$394,7,FALSE())</f>
        <v>0</v>
      </c>
      <c r="I122" s="2" t="n">
        <f aca="false">SUM(E122:H122)</f>
        <v>0</v>
      </c>
      <c r="J122" s="0"/>
      <c r="K122" s="0"/>
      <c r="L122" s="0"/>
      <c r="M122" s="0"/>
    </row>
    <row r="123" customFormat="false" ht="12.75" hidden="false" customHeight="true" outlineLevel="0" collapsed="false">
      <c r="A123" s="0" t="n">
        <v>122</v>
      </c>
      <c r="B123" s="2" t="n">
        <v>111608</v>
      </c>
      <c r="C123" s="2" t="s">
        <v>219</v>
      </c>
      <c r="D123" s="2" t="s">
        <v>57</v>
      </c>
      <c r="E123" s="2" t="n">
        <f aca="false">VLOOKUP($B123,[1]Day1!$A$1:$H$394,4,FALSE())</f>
        <v>0</v>
      </c>
      <c r="F123" s="2" t="n">
        <f aca="false">VLOOKUP($B123,[1]Day1!$A$1:$H$394,5,FALSE())</f>
        <v>0</v>
      </c>
      <c r="G123" s="2" t="n">
        <f aca="false">VLOOKUP($B123,[1]Day1!$A$1:$H$394,6,FALSE())</f>
        <v>0</v>
      </c>
      <c r="H123" s="2" t="n">
        <f aca="false">VLOOKUP($B123,[1]Day1!$A$1:$H$394,7,FALSE())</f>
        <v>0</v>
      </c>
      <c r="I123" s="2" t="n">
        <f aca="false">SUM(E123:H123)</f>
        <v>0</v>
      </c>
      <c r="J123" s="0"/>
      <c r="K123" s="0"/>
      <c r="L123" s="0"/>
      <c r="M123" s="0"/>
    </row>
    <row r="124" customFormat="false" ht="12.75" hidden="false" customHeight="true" outlineLevel="0" collapsed="false">
      <c r="A124" s="0" t="n">
        <v>123</v>
      </c>
      <c r="B124" s="2" t="n">
        <v>154261</v>
      </c>
      <c r="C124" s="2" t="s">
        <v>220</v>
      </c>
      <c r="D124" s="2" t="s">
        <v>221</v>
      </c>
      <c r="E124" s="2" t="n">
        <f aca="false">VLOOKUP($B124,[1]Day1!$A$1:$H$394,4,FALSE())</f>
        <v>0</v>
      </c>
      <c r="F124" s="2" t="n">
        <f aca="false">VLOOKUP($B124,[1]Day1!$A$1:$H$394,5,FALSE())</f>
        <v>0</v>
      </c>
      <c r="G124" s="2" t="n">
        <f aca="false">VLOOKUP($B124,[1]Day1!$A$1:$H$394,6,FALSE())</f>
        <v>0</v>
      </c>
      <c r="H124" s="2" t="n">
        <f aca="false">VLOOKUP($B124,[1]Day1!$A$1:$H$394,7,FALSE())</f>
        <v>0</v>
      </c>
      <c r="I124" s="2" t="n">
        <f aca="false">SUM(E124:H124)</f>
        <v>0</v>
      </c>
      <c r="J124" s="0"/>
      <c r="K124" s="0"/>
      <c r="L124" s="0"/>
      <c r="M124" s="0"/>
    </row>
    <row r="125" customFormat="false" ht="12.75" hidden="false" customHeight="true" outlineLevel="0" collapsed="false">
      <c r="A125" s="0" t="n">
        <v>124</v>
      </c>
      <c r="B125" s="2" t="n">
        <v>164037</v>
      </c>
      <c r="C125" s="2" t="s">
        <v>222</v>
      </c>
      <c r="D125" s="2" t="s">
        <v>223</v>
      </c>
      <c r="E125" s="2" t="n">
        <f aca="false">VLOOKUP($B125,[1]Day1!$A$1:$H$394,4,FALSE())</f>
        <v>0</v>
      </c>
      <c r="F125" s="2" t="n">
        <f aca="false">VLOOKUP($B125,[1]Day1!$A$1:$H$394,5,FALSE())</f>
        <v>0</v>
      </c>
      <c r="G125" s="2" t="n">
        <f aca="false">VLOOKUP($B125,[1]Day1!$A$1:$H$394,6,FALSE())</f>
        <v>0</v>
      </c>
      <c r="H125" s="2" t="n">
        <f aca="false">VLOOKUP($B125,[1]Day1!$A$1:$H$394,7,FALSE())</f>
        <v>0</v>
      </c>
      <c r="I125" s="2" t="n">
        <f aca="false">SUM(E125:H125)</f>
        <v>0</v>
      </c>
      <c r="J125" s="0"/>
      <c r="K125" s="0"/>
      <c r="L125" s="0"/>
      <c r="M125" s="0"/>
    </row>
    <row r="126" customFormat="false" ht="12.75" hidden="false" customHeight="true" outlineLevel="0" collapsed="false">
      <c r="A126" s="0" t="n">
        <v>125</v>
      </c>
      <c r="B126" s="2" t="n">
        <v>126654</v>
      </c>
      <c r="C126" s="2" t="s">
        <v>224</v>
      </c>
      <c r="D126" s="2" t="s">
        <v>225</v>
      </c>
      <c r="E126" s="2" t="n">
        <f aca="false">VLOOKUP($B126,[1]Day1!$A$1:$H$394,4,FALSE())</f>
        <v>0</v>
      </c>
      <c r="F126" s="2" t="n">
        <f aca="false">VLOOKUP($B126,[1]Day1!$A$1:$H$394,5,FALSE())</f>
        <v>0</v>
      </c>
      <c r="G126" s="2" t="n">
        <f aca="false">VLOOKUP($B126,[1]Day1!$A$1:$H$394,6,FALSE())</f>
        <v>0</v>
      </c>
      <c r="H126" s="2" t="n">
        <f aca="false">VLOOKUP($B126,[1]Day1!$A$1:$H$394,7,FALSE())</f>
        <v>0</v>
      </c>
      <c r="I126" s="2" t="n">
        <f aca="false">SUM(E126:H126)</f>
        <v>0</v>
      </c>
      <c r="J126" s="0"/>
      <c r="K126" s="0"/>
      <c r="L126" s="0"/>
      <c r="M126" s="0"/>
    </row>
    <row r="127" customFormat="false" ht="12.75" hidden="false" customHeight="true" outlineLevel="0" collapsed="false">
      <c r="A127" s="0" t="n">
        <v>126</v>
      </c>
      <c r="B127" s="2" t="n">
        <v>188093</v>
      </c>
      <c r="C127" s="2" t="s">
        <v>226</v>
      </c>
      <c r="D127" s="2" t="s">
        <v>34</v>
      </c>
      <c r="E127" s="2" t="n">
        <f aca="false">VLOOKUP($B127,[1]Day1!$A$1:$H$394,4,FALSE())</f>
        <v>0</v>
      </c>
      <c r="F127" s="2" t="n">
        <f aca="false">VLOOKUP($B127,[1]Day1!$A$1:$H$394,5,FALSE())</f>
        <v>0</v>
      </c>
      <c r="G127" s="2" t="n">
        <f aca="false">VLOOKUP($B127,[1]Day1!$A$1:$H$394,6,FALSE())</f>
        <v>0</v>
      </c>
      <c r="H127" s="2" t="n">
        <f aca="false">VLOOKUP($B127,[1]Day1!$A$1:$H$394,7,FALSE())</f>
        <v>0</v>
      </c>
      <c r="I127" s="2" t="n">
        <f aca="false">SUM(E127:H127)</f>
        <v>0</v>
      </c>
      <c r="J127" s="0"/>
      <c r="K127" s="0"/>
      <c r="L127" s="0"/>
      <c r="M127" s="0"/>
    </row>
    <row r="128" customFormat="false" ht="12.75" hidden="false" customHeight="true" outlineLevel="0" collapsed="false">
      <c r="A128" s="0" t="n">
        <v>127</v>
      </c>
      <c r="B128" s="2" t="n">
        <v>171678</v>
      </c>
      <c r="C128" s="2" t="s">
        <v>227</v>
      </c>
      <c r="D128" s="2" t="s">
        <v>101</v>
      </c>
      <c r="E128" s="2" t="n">
        <f aca="false">VLOOKUP($B128,[1]Day1!$A$1:$H$394,4,FALSE())</f>
        <v>0</v>
      </c>
      <c r="F128" s="2" t="n">
        <f aca="false">VLOOKUP($B128,[1]Day1!$A$1:$H$394,5,FALSE())</f>
        <v>0</v>
      </c>
      <c r="G128" s="2" t="n">
        <f aca="false">VLOOKUP($B128,[1]Day1!$A$1:$H$394,6,FALSE())</f>
        <v>0</v>
      </c>
      <c r="H128" s="2" t="n">
        <f aca="false">VLOOKUP($B128,[1]Day1!$A$1:$H$394,7,FALSE())</f>
        <v>0</v>
      </c>
      <c r="I128" s="2" t="n">
        <f aca="false">SUM(E128:H128)</f>
        <v>0</v>
      </c>
      <c r="J128" s="0"/>
      <c r="K128" s="0"/>
      <c r="L128" s="0"/>
      <c r="M128" s="0"/>
    </row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70" colorId="64" zoomScale="100" zoomScaleNormal="100" zoomScalePageLayoutView="100" workbookViewId="0">
      <selection pane="topLeft" activeCell="A2" activeCellId="0" sqref="A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3" width="4.57"/>
    <col collapsed="false" customWidth="false" hidden="false" outlineLevel="0" max="2" min="2" style="3" width="11.57"/>
    <col collapsed="false" customWidth="true" hidden="false" outlineLevel="0" max="3" min="3" style="3" width="22.71"/>
    <col collapsed="false" customWidth="true" hidden="false" outlineLevel="0" max="4" min="4" style="3" width="20.85"/>
    <col collapsed="false" customWidth="false" hidden="false" outlineLevel="0" max="16384" min="5" style="3" width="11.57"/>
  </cols>
  <sheetData>
    <row r="1" customFormat="false" ht="12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2.75" hidden="false" customHeight="true" outlineLevel="0" collapsed="false">
      <c r="A2" s="3" t="n">
        <v>1</v>
      </c>
      <c r="B2" s="2" t="n">
        <v>186917</v>
      </c>
      <c r="C2" s="2" t="s">
        <v>228</v>
      </c>
      <c r="D2" s="2" t="s">
        <v>205</v>
      </c>
      <c r="E2" s="2" t="n">
        <f aca="false">VLOOKUP($B2,[1]Day2!$A$1:$H$400,4,FALSE())</f>
        <v>4</v>
      </c>
      <c r="F2" s="2" t="n">
        <f aca="false">VLOOKUP($B2,[1]Day2!$A$1:$H$400,5,FALSE())</f>
        <v>0</v>
      </c>
      <c r="G2" s="2" t="n">
        <f aca="false">VLOOKUP($B2,[1]Day2!$A$1:$H$400,6,FALSE())</f>
        <v>0</v>
      </c>
      <c r="H2" s="2" t="n">
        <f aca="false">VLOOKUP($B2,[1]Day2!$A$1:$H$400,7,FALSE())</f>
        <v>0</v>
      </c>
      <c r="I2" s="2" t="n">
        <f aca="false">SUM(E2:H2)</f>
        <v>4</v>
      </c>
      <c r="J2" s="0"/>
      <c r="K2" s="0"/>
      <c r="L2" s="0"/>
      <c r="M2" s="0"/>
    </row>
    <row r="3" customFormat="false" ht="12.75" hidden="false" customHeight="true" outlineLevel="0" collapsed="false">
      <c r="A3" s="3" t="n">
        <v>2</v>
      </c>
      <c r="B3" s="2" t="n">
        <v>174556</v>
      </c>
      <c r="C3" s="2" t="s">
        <v>229</v>
      </c>
      <c r="D3" s="2" t="s">
        <v>230</v>
      </c>
      <c r="E3" s="2" t="n">
        <f aca="false">VLOOKUP($B3,[1]Day2!$A$1:$H$400,4,FALSE())</f>
        <v>3</v>
      </c>
      <c r="F3" s="2" t="n">
        <f aca="false">VLOOKUP($B3,[1]Day2!$A$1:$H$400,5,FALSE())</f>
        <v>0</v>
      </c>
      <c r="G3" s="2" t="n">
        <f aca="false">VLOOKUP($B3,[1]Day2!$A$1:$H$400,6,FALSE())</f>
        <v>0</v>
      </c>
      <c r="H3" s="2" t="n">
        <f aca="false">VLOOKUP($B3,[1]Day2!$A$1:$H$400,7,FALSE())</f>
        <v>0</v>
      </c>
      <c r="I3" s="2" t="n">
        <f aca="false">SUM(E3:H3)</f>
        <v>3</v>
      </c>
      <c r="J3" s="0"/>
      <c r="K3" s="0"/>
      <c r="L3" s="0"/>
      <c r="M3" s="0"/>
    </row>
    <row r="4" customFormat="false" ht="12.75" hidden="false" customHeight="true" outlineLevel="0" collapsed="false">
      <c r="A4" s="3" t="n">
        <v>3</v>
      </c>
      <c r="B4" s="2" t="n">
        <v>192744</v>
      </c>
      <c r="C4" s="2" t="s">
        <v>190</v>
      </c>
      <c r="D4" s="2" t="s">
        <v>231</v>
      </c>
      <c r="E4" s="2" t="n">
        <f aca="false">VLOOKUP($B4,[1]Day2!$A$1:$H$400,4,FALSE())</f>
        <v>2</v>
      </c>
      <c r="F4" s="2" t="n">
        <f aca="false">VLOOKUP($B4,[1]Day2!$A$1:$H$400,5,FALSE())</f>
        <v>0</v>
      </c>
      <c r="G4" s="2" t="n">
        <f aca="false">VLOOKUP($B4,[1]Day2!$A$1:$H$400,6,FALSE())</f>
        <v>0</v>
      </c>
      <c r="H4" s="2" t="n">
        <f aca="false">VLOOKUP($B4,[1]Day2!$A$1:$H$400,7,FALSE())</f>
        <v>0</v>
      </c>
      <c r="I4" s="2" t="n">
        <f aca="false">SUM(E4:H4)</f>
        <v>2</v>
      </c>
      <c r="J4" s="0"/>
      <c r="K4" s="0"/>
      <c r="L4" s="0"/>
      <c r="M4" s="0"/>
    </row>
    <row r="5" customFormat="false" ht="12.75" hidden="false" customHeight="true" outlineLevel="0" collapsed="false">
      <c r="A5" s="3" t="n">
        <v>4</v>
      </c>
      <c r="B5" s="2" t="n">
        <v>188003</v>
      </c>
      <c r="C5" s="2" t="s">
        <v>175</v>
      </c>
      <c r="D5" s="2" t="s">
        <v>232</v>
      </c>
      <c r="E5" s="2" t="n">
        <f aca="false">VLOOKUP($B5,[1]Day2!$A$1:$H$400,4,FALSE())</f>
        <v>0</v>
      </c>
      <c r="F5" s="2" t="n">
        <f aca="false">VLOOKUP($B5,[1]Day2!$A$1:$H$400,5,FALSE())</f>
        <v>0</v>
      </c>
      <c r="G5" s="2" t="n">
        <f aca="false">VLOOKUP($B5,[1]Day2!$A$1:$H$400,6,FALSE())</f>
        <v>0</v>
      </c>
      <c r="H5" s="2" t="n">
        <f aca="false">VLOOKUP($B5,[1]Day2!$A$1:$H$400,7,FALSE())</f>
        <v>0</v>
      </c>
      <c r="I5" s="2" t="n">
        <f aca="false">SUM(E5:H5)</f>
        <v>0</v>
      </c>
      <c r="J5" s="0"/>
      <c r="K5" s="0"/>
      <c r="L5" s="0"/>
      <c r="M5" s="0"/>
    </row>
    <row r="6" customFormat="false" ht="12.75" hidden="false" customHeight="true" outlineLevel="0" collapsed="false">
      <c r="A6" s="3" t="n">
        <v>5</v>
      </c>
      <c r="B6" s="2" t="n">
        <v>175004</v>
      </c>
      <c r="C6" s="2" t="s">
        <v>9</v>
      </c>
      <c r="D6" s="2" t="s">
        <v>49</v>
      </c>
      <c r="E6" s="2" t="n">
        <f aca="false">VLOOKUP($B6,[1]Day2!$A$1:$H$400,4,FALSE())</f>
        <v>0</v>
      </c>
      <c r="F6" s="2" t="n">
        <f aca="false">VLOOKUP($B6,[1]Day2!$A$1:$H$400,5,FALSE())</f>
        <v>0</v>
      </c>
      <c r="G6" s="2" t="n">
        <f aca="false">VLOOKUP($B6,[1]Day2!$A$1:$H$400,6,FALSE())</f>
        <v>0</v>
      </c>
      <c r="H6" s="2" t="n">
        <f aca="false">VLOOKUP($B6,[1]Day2!$A$1:$H$400,7,FALSE())</f>
        <v>0</v>
      </c>
      <c r="I6" s="2" t="n">
        <f aca="false">SUM(E6:H6)</f>
        <v>0</v>
      </c>
      <c r="J6" s="0"/>
      <c r="K6" s="0"/>
      <c r="L6" s="0"/>
      <c r="M6" s="0"/>
    </row>
    <row r="7" customFormat="false" ht="12.75" hidden="false" customHeight="true" outlineLevel="0" collapsed="false">
      <c r="A7" s="3" t="n">
        <v>6</v>
      </c>
      <c r="B7" s="2" t="n">
        <v>196042</v>
      </c>
      <c r="C7" s="2" t="s">
        <v>233</v>
      </c>
      <c r="D7" s="2" t="s">
        <v>10</v>
      </c>
      <c r="E7" s="2" t="n">
        <f aca="false">VLOOKUP($B7,[1]Day2!$A$1:$H$400,4,FALSE())</f>
        <v>0</v>
      </c>
      <c r="F7" s="2" t="n">
        <f aca="false">VLOOKUP($B7,[1]Day2!$A$1:$H$400,5,FALSE())</f>
        <v>0</v>
      </c>
      <c r="G7" s="2" t="n">
        <f aca="false">VLOOKUP($B7,[1]Day2!$A$1:$H$400,6,FALSE())</f>
        <v>0</v>
      </c>
      <c r="H7" s="2" t="n">
        <f aca="false">VLOOKUP($B7,[1]Day2!$A$1:$H$400,7,FALSE())</f>
        <v>0</v>
      </c>
      <c r="I7" s="2" t="n">
        <f aca="false">SUM(E7:H7)</f>
        <v>0</v>
      </c>
      <c r="J7" s="0"/>
      <c r="K7" s="0"/>
      <c r="L7" s="0"/>
      <c r="M7" s="0"/>
    </row>
    <row r="8" customFormat="false" ht="12.75" hidden="false" customHeight="true" outlineLevel="0" collapsed="false">
      <c r="A8" s="3" t="n">
        <v>7</v>
      </c>
      <c r="B8" s="2" t="n">
        <v>88991</v>
      </c>
      <c r="C8" s="2" t="s">
        <v>234</v>
      </c>
      <c r="D8" s="2" t="s">
        <v>235</v>
      </c>
      <c r="E8" s="2" t="n">
        <f aca="false">VLOOKUP($B8,[1]Day2!$A$1:$H$400,4,FALSE())</f>
        <v>0</v>
      </c>
      <c r="F8" s="2" t="n">
        <f aca="false">VLOOKUP($B8,[1]Day2!$A$1:$H$400,5,FALSE())</f>
        <v>0</v>
      </c>
      <c r="G8" s="2" t="n">
        <f aca="false">VLOOKUP($B8,[1]Day2!$A$1:$H$400,6,FALSE())</f>
        <v>0</v>
      </c>
      <c r="H8" s="2" t="n">
        <f aca="false">VLOOKUP($B8,[1]Day2!$A$1:$H$400,7,FALSE())</f>
        <v>0</v>
      </c>
      <c r="I8" s="2" t="n">
        <f aca="false">SUM(E8:H8)</f>
        <v>0</v>
      </c>
      <c r="J8" s="0"/>
      <c r="K8" s="0"/>
      <c r="L8" s="0"/>
      <c r="M8" s="0"/>
    </row>
    <row r="9" customFormat="false" ht="12.75" hidden="false" customHeight="true" outlineLevel="0" collapsed="false">
      <c r="A9" s="3" t="n">
        <v>8</v>
      </c>
      <c r="B9" s="2" t="n">
        <v>88997</v>
      </c>
      <c r="C9" s="2" t="s">
        <v>236</v>
      </c>
      <c r="D9" s="2" t="s">
        <v>237</v>
      </c>
      <c r="E9" s="2" t="n">
        <f aca="false">VLOOKUP($B9,[1]Day2!$A$1:$H$400,4,FALSE())</f>
        <v>0</v>
      </c>
      <c r="F9" s="2" t="n">
        <f aca="false">VLOOKUP($B9,[1]Day2!$A$1:$H$400,5,FALSE())</f>
        <v>0</v>
      </c>
      <c r="G9" s="2" t="n">
        <f aca="false">VLOOKUP($B9,[1]Day2!$A$1:$H$400,6,FALSE())</f>
        <v>0</v>
      </c>
      <c r="H9" s="2" t="n">
        <f aca="false">VLOOKUP($B9,[1]Day2!$A$1:$H$400,7,FALSE())</f>
        <v>0</v>
      </c>
      <c r="I9" s="2" t="n">
        <f aca="false">SUM(E9:H9)</f>
        <v>0</v>
      </c>
      <c r="J9" s="0"/>
      <c r="K9" s="0"/>
      <c r="L9" s="0"/>
      <c r="M9" s="0"/>
    </row>
    <row r="10" customFormat="false" ht="12.75" hidden="false" customHeight="true" outlineLevel="0" collapsed="false">
      <c r="A10" s="3" t="n">
        <v>9</v>
      </c>
      <c r="B10" s="2" t="n">
        <v>124028</v>
      </c>
      <c r="C10" s="2" t="s">
        <v>238</v>
      </c>
      <c r="D10" s="2" t="s">
        <v>219</v>
      </c>
      <c r="E10" s="2" t="n">
        <f aca="false">VLOOKUP($B10,[1]Day2!$A$1:$H$400,4,FALSE())</f>
        <v>0</v>
      </c>
      <c r="F10" s="2" t="n">
        <f aca="false">VLOOKUP($B10,[1]Day2!$A$1:$H$400,5,FALSE())</f>
        <v>0</v>
      </c>
      <c r="G10" s="2" t="n">
        <f aca="false">VLOOKUP($B10,[1]Day2!$A$1:$H$400,6,FALSE())</f>
        <v>0</v>
      </c>
      <c r="H10" s="2" t="n">
        <f aca="false">VLOOKUP($B10,[1]Day2!$A$1:$H$400,7,FALSE())</f>
        <v>0</v>
      </c>
      <c r="I10" s="2" t="n">
        <f aca="false">SUM(E10:H10)</f>
        <v>0</v>
      </c>
      <c r="J10" s="0"/>
      <c r="K10" s="0"/>
      <c r="L10" s="0"/>
      <c r="M10" s="0"/>
    </row>
    <row r="11" customFormat="false" ht="12.75" hidden="false" customHeight="true" outlineLevel="0" collapsed="false">
      <c r="A11" s="3" t="n">
        <v>10</v>
      </c>
      <c r="B11" s="2" t="n">
        <v>196638</v>
      </c>
      <c r="C11" s="2" t="s">
        <v>239</v>
      </c>
      <c r="D11" s="2" t="s">
        <v>240</v>
      </c>
      <c r="E11" s="2" t="n">
        <f aca="false">VLOOKUP($B11,[1]Day2!$A$1:$H$400,4,FALSE())</f>
        <v>0</v>
      </c>
      <c r="F11" s="2" t="n">
        <f aca="false">VLOOKUP($B11,[1]Day2!$A$1:$H$400,5,FALSE())</f>
        <v>0</v>
      </c>
      <c r="G11" s="2" t="n">
        <f aca="false">VLOOKUP($B11,[1]Day2!$A$1:$H$400,6,FALSE())</f>
        <v>0</v>
      </c>
      <c r="H11" s="2" t="n">
        <f aca="false">VLOOKUP($B11,[1]Day2!$A$1:$H$400,7,FALSE())</f>
        <v>0</v>
      </c>
      <c r="I11" s="2" t="n">
        <f aca="false">SUM(E11:H11)</f>
        <v>0</v>
      </c>
      <c r="J11" s="0"/>
      <c r="K11" s="0"/>
      <c r="L11" s="0"/>
      <c r="M11" s="0"/>
    </row>
    <row r="12" customFormat="false" ht="12.75" hidden="false" customHeight="true" outlineLevel="0" collapsed="false">
      <c r="A12" s="3" t="n">
        <v>11</v>
      </c>
      <c r="B12" s="2" t="n">
        <v>83909</v>
      </c>
      <c r="C12" s="2" t="s">
        <v>241</v>
      </c>
      <c r="D12" s="2" t="s">
        <v>178</v>
      </c>
      <c r="E12" s="2" t="n">
        <f aca="false">VLOOKUP($B12,[1]Day2!$A$1:$H$400,4,FALSE())</f>
        <v>0</v>
      </c>
      <c r="F12" s="2" t="n">
        <f aca="false">VLOOKUP($B12,[1]Day2!$A$1:$H$400,5,FALSE())</f>
        <v>0</v>
      </c>
      <c r="G12" s="2" t="n">
        <f aca="false">VLOOKUP($B12,[1]Day2!$A$1:$H$400,6,FALSE())</f>
        <v>0</v>
      </c>
      <c r="H12" s="2" t="n">
        <f aca="false">VLOOKUP($B12,[1]Day2!$A$1:$H$400,7,FALSE())</f>
        <v>0</v>
      </c>
      <c r="I12" s="2" t="n">
        <f aca="false">SUM(E12:H12)</f>
        <v>0</v>
      </c>
      <c r="J12" s="0"/>
      <c r="K12" s="0"/>
      <c r="L12" s="0"/>
      <c r="M12" s="0"/>
    </row>
    <row r="13" customFormat="false" ht="12.75" hidden="false" customHeight="true" outlineLevel="0" collapsed="false">
      <c r="A13" s="3" t="n">
        <v>12</v>
      </c>
      <c r="B13" s="2" t="n">
        <v>83920</v>
      </c>
      <c r="C13" s="2" t="s">
        <v>156</v>
      </c>
      <c r="D13" s="2" t="s">
        <v>242</v>
      </c>
      <c r="E13" s="2" t="n">
        <f aca="false">VLOOKUP($B13,[1]Day2!$A$1:$H$400,4,FALSE())</f>
        <v>0</v>
      </c>
      <c r="F13" s="2" t="n">
        <f aca="false">VLOOKUP($B13,[1]Day2!$A$1:$H$400,5,FALSE())</f>
        <v>0</v>
      </c>
      <c r="G13" s="2" t="n">
        <f aca="false">VLOOKUP($B13,[1]Day2!$A$1:$H$400,6,FALSE())</f>
        <v>0</v>
      </c>
      <c r="H13" s="2" t="n">
        <f aca="false">VLOOKUP($B13,[1]Day2!$A$1:$H$400,7,FALSE())</f>
        <v>0</v>
      </c>
      <c r="I13" s="2" t="n">
        <f aca="false">SUM(E13:H13)</f>
        <v>0</v>
      </c>
      <c r="J13" s="0"/>
      <c r="K13" s="0"/>
      <c r="L13" s="0"/>
      <c r="M13" s="0"/>
    </row>
    <row r="14" customFormat="false" ht="12.75" hidden="false" customHeight="true" outlineLevel="0" collapsed="false">
      <c r="A14" s="3" t="n">
        <v>13</v>
      </c>
      <c r="B14" s="2" t="n">
        <v>83927</v>
      </c>
      <c r="C14" s="2" t="s">
        <v>243</v>
      </c>
      <c r="D14" s="2" t="s">
        <v>244</v>
      </c>
      <c r="E14" s="2" t="n">
        <f aca="false">VLOOKUP($B14,[1]Day2!$A$1:$H$400,4,FALSE())</f>
        <v>0</v>
      </c>
      <c r="F14" s="2" t="n">
        <f aca="false">VLOOKUP($B14,[1]Day2!$A$1:$H$400,5,FALSE())</f>
        <v>0</v>
      </c>
      <c r="G14" s="2" t="n">
        <f aca="false">VLOOKUP($B14,[1]Day2!$A$1:$H$400,6,FALSE())</f>
        <v>0</v>
      </c>
      <c r="H14" s="2" t="n">
        <f aca="false">VLOOKUP($B14,[1]Day2!$A$1:$H$400,7,FALSE())</f>
        <v>0</v>
      </c>
      <c r="I14" s="2" t="n">
        <f aca="false">SUM(E14:H14)</f>
        <v>0</v>
      </c>
      <c r="J14" s="0"/>
      <c r="K14" s="0"/>
      <c r="L14" s="0"/>
      <c r="M14" s="0"/>
    </row>
    <row r="15" customFormat="false" ht="12.75" hidden="false" customHeight="true" outlineLevel="0" collapsed="false">
      <c r="A15" s="3" t="n">
        <v>14</v>
      </c>
      <c r="B15" s="2" t="n">
        <v>133280</v>
      </c>
      <c r="C15" s="2" t="s">
        <v>245</v>
      </c>
      <c r="D15" s="2" t="s">
        <v>246</v>
      </c>
      <c r="E15" s="2" t="n">
        <f aca="false">VLOOKUP($B15,[1]Day2!$A$1:$H$400,4,FALSE())</f>
        <v>0</v>
      </c>
      <c r="F15" s="2" t="n">
        <f aca="false">VLOOKUP($B15,[1]Day2!$A$1:$H$400,5,FALSE())</f>
        <v>0</v>
      </c>
      <c r="G15" s="2" t="n">
        <f aca="false">VLOOKUP($B15,[1]Day2!$A$1:$H$400,6,FALSE())</f>
        <v>0</v>
      </c>
      <c r="H15" s="2" t="n">
        <f aca="false">VLOOKUP($B15,[1]Day2!$A$1:$H$400,7,FALSE())</f>
        <v>0</v>
      </c>
      <c r="I15" s="2" t="n">
        <f aca="false">SUM(E15:H15)</f>
        <v>0</v>
      </c>
      <c r="J15" s="0"/>
      <c r="K15" s="0"/>
      <c r="L15" s="0"/>
      <c r="M15" s="0"/>
    </row>
    <row r="16" customFormat="false" ht="12.75" hidden="false" customHeight="true" outlineLevel="0" collapsed="false">
      <c r="A16" s="3" t="n">
        <v>15</v>
      </c>
      <c r="B16" s="2" t="n">
        <v>166655</v>
      </c>
      <c r="C16" s="2" t="s">
        <v>102</v>
      </c>
      <c r="D16" s="2" t="s">
        <v>247</v>
      </c>
      <c r="E16" s="2" t="n">
        <f aca="false">VLOOKUP($B16,[1]Day2!$A$1:$H$400,4,FALSE())</f>
        <v>0</v>
      </c>
      <c r="F16" s="2" t="n">
        <f aca="false">VLOOKUP($B16,[1]Day2!$A$1:$H$400,5,FALSE())</f>
        <v>0</v>
      </c>
      <c r="G16" s="2" t="n">
        <f aca="false">VLOOKUP($B16,[1]Day2!$A$1:$H$400,6,FALSE())</f>
        <v>0</v>
      </c>
      <c r="H16" s="2" t="n">
        <f aca="false">VLOOKUP($B16,[1]Day2!$A$1:$H$400,7,FALSE())</f>
        <v>0</v>
      </c>
      <c r="I16" s="2" t="n">
        <f aca="false">SUM(E16:H16)</f>
        <v>0</v>
      </c>
      <c r="J16" s="0"/>
      <c r="K16" s="0"/>
      <c r="L16" s="0"/>
      <c r="M16" s="0"/>
    </row>
    <row r="17" customFormat="false" ht="12.75" hidden="false" customHeight="true" outlineLevel="0" collapsed="false">
      <c r="A17" s="3" t="n">
        <v>16</v>
      </c>
      <c r="B17" s="2" t="n">
        <v>74043</v>
      </c>
      <c r="C17" s="2" t="s">
        <v>248</v>
      </c>
      <c r="D17" s="2" t="s">
        <v>249</v>
      </c>
      <c r="E17" s="2" t="n">
        <f aca="false">VLOOKUP($B17,[1]Day2!$A$1:$H$400,4,FALSE())</f>
        <v>0</v>
      </c>
      <c r="F17" s="2" t="n">
        <f aca="false">VLOOKUP($B17,[1]Day2!$A$1:$H$400,5,FALSE())</f>
        <v>0</v>
      </c>
      <c r="G17" s="2" t="n">
        <f aca="false">VLOOKUP($B17,[1]Day2!$A$1:$H$400,6,FALSE())</f>
        <v>0</v>
      </c>
      <c r="H17" s="2" t="n">
        <f aca="false">VLOOKUP($B17,[1]Day2!$A$1:$H$400,7,FALSE())</f>
        <v>0</v>
      </c>
      <c r="I17" s="2" t="n">
        <f aca="false">SUM(E17:H17)</f>
        <v>0</v>
      </c>
      <c r="J17" s="0"/>
      <c r="K17" s="0"/>
      <c r="L17" s="0"/>
      <c r="M17" s="0"/>
    </row>
    <row r="18" customFormat="false" ht="12.75" hidden="false" customHeight="true" outlineLevel="0" collapsed="false">
      <c r="A18" s="3" t="n">
        <v>17</v>
      </c>
      <c r="B18" s="2" t="n">
        <v>74051</v>
      </c>
      <c r="C18" s="2" t="s">
        <v>250</v>
      </c>
      <c r="D18" s="2" t="s">
        <v>251</v>
      </c>
      <c r="E18" s="2" t="n">
        <f aca="false">VLOOKUP($B18,[1]Day2!$A$1:$H$400,4,FALSE())</f>
        <v>0</v>
      </c>
      <c r="F18" s="2" t="n">
        <f aca="false">VLOOKUP($B18,[1]Day2!$A$1:$H$400,5,FALSE())</f>
        <v>0</v>
      </c>
      <c r="G18" s="2" t="n">
        <f aca="false">VLOOKUP($B18,[1]Day2!$A$1:$H$400,6,FALSE())</f>
        <v>0</v>
      </c>
      <c r="H18" s="2" t="n">
        <f aca="false">VLOOKUP($B18,[1]Day2!$A$1:$H$400,7,FALSE())</f>
        <v>0</v>
      </c>
      <c r="I18" s="2" t="n">
        <f aca="false">SUM(E18:H18)</f>
        <v>0</v>
      </c>
      <c r="J18" s="0"/>
      <c r="K18" s="0"/>
      <c r="L18" s="0"/>
      <c r="M18" s="0"/>
    </row>
    <row r="19" customFormat="false" ht="12.75" hidden="false" customHeight="true" outlineLevel="0" collapsed="false">
      <c r="A19" s="3" t="n">
        <v>18</v>
      </c>
      <c r="B19" s="2" t="n">
        <v>111753</v>
      </c>
      <c r="C19" s="2" t="s">
        <v>252</v>
      </c>
      <c r="D19" s="2" t="s">
        <v>253</v>
      </c>
      <c r="E19" s="2" t="n">
        <f aca="false">VLOOKUP($B19,[1]Day2!$A$1:$H$400,4,FALSE())</f>
        <v>0</v>
      </c>
      <c r="F19" s="2" t="n">
        <f aca="false">VLOOKUP($B19,[1]Day2!$A$1:$H$400,5,FALSE())</f>
        <v>0</v>
      </c>
      <c r="G19" s="2" t="n">
        <f aca="false">VLOOKUP($B19,[1]Day2!$A$1:$H$400,6,FALSE())</f>
        <v>0</v>
      </c>
      <c r="H19" s="2" t="n">
        <f aca="false">VLOOKUP($B19,[1]Day2!$A$1:$H$400,7,FALSE())</f>
        <v>0</v>
      </c>
      <c r="I19" s="2" t="n">
        <f aca="false">SUM(E19:H19)</f>
        <v>0</v>
      </c>
      <c r="J19" s="0"/>
      <c r="K19" s="0"/>
      <c r="L19" s="0"/>
      <c r="M19" s="0"/>
    </row>
    <row r="20" customFormat="false" ht="12.75" hidden="false" customHeight="true" outlineLevel="0" collapsed="false">
      <c r="A20" s="3" t="n">
        <v>19</v>
      </c>
      <c r="B20" s="2" t="n">
        <v>223952</v>
      </c>
      <c r="C20" s="2" t="s">
        <v>254</v>
      </c>
      <c r="D20" s="2" t="s">
        <v>211</v>
      </c>
      <c r="E20" s="2" t="n">
        <f aca="false">VLOOKUP($B20,[1]Day2!$A$1:$H$400,4,FALSE())</f>
        <v>0</v>
      </c>
      <c r="F20" s="2" t="n">
        <f aca="false">VLOOKUP($B20,[1]Day2!$A$1:$H$400,5,FALSE())</f>
        <v>0</v>
      </c>
      <c r="G20" s="2" t="n">
        <f aca="false">VLOOKUP($B20,[1]Day2!$A$1:$H$400,6,FALSE())</f>
        <v>0</v>
      </c>
      <c r="H20" s="2" t="n">
        <f aca="false">VLOOKUP($B20,[1]Day2!$A$1:$H$400,7,FALSE())</f>
        <v>0</v>
      </c>
      <c r="I20" s="2" t="n">
        <f aca="false">SUM(E20:H20)</f>
        <v>0</v>
      </c>
      <c r="J20" s="0"/>
      <c r="K20" s="0"/>
      <c r="L20" s="0"/>
      <c r="M20" s="0"/>
    </row>
    <row r="21" customFormat="false" ht="12.75" hidden="false" customHeight="true" outlineLevel="0" collapsed="false">
      <c r="A21" s="3" t="n">
        <v>20</v>
      </c>
      <c r="B21" s="2" t="n">
        <v>111570</v>
      </c>
      <c r="C21" s="2" t="s">
        <v>255</v>
      </c>
      <c r="D21" s="2" t="s">
        <v>256</v>
      </c>
      <c r="E21" s="2" t="n">
        <f aca="false">VLOOKUP($B21,[1]Day2!$A$1:$H$400,4,FALSE())</f>
        <v>0</v>
      </c>
      <c r="F21" s="2" t="n">
        <f aca="false">VLOOKUP($B21,[1]Day2!$A$1:$H$400,5,FALSE())</f>
        <v>0</v>
      </c>
      <c r="G21" s="2" t="n">
        <f aca="false">VLOOKUP($B21,[1]Day2!$A$1:$H$400,6,FALSE())</f>
        <v>0</v>
      </c>
      <c r="H21" s="2" t="n">
        <f aca="false">VLOOKUP($B21,[1]Day2!$A$1:$H$400,7,FALSE())</f>
        <v>0</v>
      </c>
      <c r="I21" s="2" t="n">
        <f aca="false">SUM(E21:H21)</f>
        <v>0</v>
      </c>
      <c r="J21" s="0"/>
      <c r="K21" s="0"/>
      <c r="L21" s="0"/>
      <c r="M21" s="0"/>
    </row>
    <row r="22" customFormat="false" ht="12.75" hidden="false" customHeight="true" outlineLevel="0" collapsed="false">
      <c r="A22" s="3" t="n">
        <v>21</v>
      </c>
      <c r="B22" s="2" t="n">
        <v>181522</v>
      </c>
      <c r="C22" s="2" t="s">
        <v>257</v>
      </c>
      <c r="D22" s="2" t="s">
        <v>258</v>
      </c>
      <c r="E22" s="2" t="n">
        <f aca="false">VLOOKUP($B22,[1]Day2!$A$1:$H$400,4,FALSE())</f>
        <v>0</v>
      </c>
      <c r="F22" s="2" t="n">
        <f aca="false">VLOOKUP($B22,[1]Day2!$A$1:$H$400,5,FALSE())</f>
        <v>0</v>
      </c>
      <c r="G22" s="2" t="n">
        <f aca="false">VLOOKUP($B22,[1]Day2!$A$1:$H$400,6,FALSE())</f>
        <v>0</v>
      </c>
      <c r="H22" s="2" t="n">
        <f aca="false">VLOOKUP($B22,[1]Day2!$A$1:$H$400,7,FALSE())</f>
        <v>0</v>
      </c>
      <c r="I22" s="2" t="n">
        <f aca="false">SUM(E22:H22)</f>
        <v>0</v>
      </c>
      <c r="J22" s="0"/>
      <c r="K22" s="0"/>
      <c r="L22" s="0"/>
      <c r="M22" s="0"/>
    </row>
    <row r="23" customFormat="false" ht="12.75" hidden="false" customHeight="true" outlineLevel="0" collapsed="false">
      <c r="A23" s="3" t="n">
        <v>22</v>
      </c>
      <c r="B23" s="2" t="n">
        <v>181525</v>
      </c>
      <c r="C23" s="2" t="s">
        <v>158</v>
      </c>
      <c r="D23" s="2" t="s">
        <v>259</v>
      </c>
      <c r="E23" s="2" t="n">
        <f aca="false">VLOOKUP($B23,[1]Day2!$A$1:$H$400,4,FALSE())</f>
        <v>0</v>
      </c>
      <c r="F23" s="2" t="n">
        <f aca="false">VLOOKUP($B23,[1]Day2!$A$1:$H$400,5,FALSE())</f>
        <v>0</v>
      </c>
      <c r="G23" s="2" t="n">
        <f aca="false">VLOOKUP($B23,[1]Day2!$A$1:$H$400,6,FALSE())</f>
        <v>0</v>
      </c>
      <c r="H23" s="2" t="n">
        <f aca="false">VLOOKUP($B23,[1]Day2!$A$1:$H$400,7,FALSE())</f>
        <v>0</v>
      </c>
      <c r="I23" s="2" t="n">
        <f aca="false">SUM(E23:H23)</f>
        <v>0</v>
      </c>
      <c r="J23" s="0"/>
      <c r="K23" s="0"/>
      <c r="L23" s="0"/>
      <c r="M23" s="0"/>
    </row>
    <row r="24" customFormat="false" ht="12.75" hidden="false" customHeight="true" outlineLevel="0" collapsed="false">
      <c r="A24" s="3" t="n">
        <v>23</v>
      </c>
      <c r="B24" s="2" t="n">
        <v>112064</v>
      </c>
      <c r="C24" s="2" t="s">
        <v>260</v>
      </c>
      <c r="D24" s="2" t="s">
        <v>261</v>
      </c>
      <c r="E24" s="2" t="n">
        <f aca="false">VLOOKUP($B24,[1]Day2!$A$1:$H$400,4,FALSE())</f>
        <v>0</v>
      </c>
      <c r="F24" s="2" t="n">
        <f aca="false">VLOOKUP($B24,[1]Day2!$A$1:$H$400,5,FALSE())</f>
        <v>0</v>
      </c>
      <c r="G24" s="2" t="n">
        <f aca="false">VLOOKUP($B24,[1]Day2!$A$1:$H$400,6,FALSE())</f>
        <v>0</v>
      </c>
      <c r="H24" s="2" t="n">
        <f aca="false">VLOOKUP($B24,[1]Day2!$A$1:$H$400,7,FALSE())</f>
        <v>0</v>
      </c>
      <c r="I24" s="2" t="n">
        <f aca="false">SUM(E24:H24)</f>
        <v>0</v>
      </c>
      <c r="J24" s="0"/>
      <c r="K24" s="0"/>
      <c r="L24" s="0"/>
      <c r="M24" s="0"/>
    </row>
    <row r="25" customFormat="false" ht="12.75" hidden="false" customHeight="true" outlineLevel="0" collapsed="false">
      <c r="A25" s="3" t="n">
        <v>24</v>
      </c>
      <c r="B25" s="2" t="n">
        <v>74053</v>
      </c>
      <c r="C25" s="2" t="s">
        <v>262</v>
      </c>
      <c r="D25" s="2" t="s">
        <v>263</v>
      </c>
      <c r="E25" s="2" t="n">
        <f aca="false">VLOOKUP($B25,[1]Day2!$A$1:$H$400,4,FALSE())</f>
        <v>0</v>
      </c>
      <c r="F25" s="2" t="n">
        <f aca="false">VLOOKUP($B25,[1]Day2!$A$1:$H$400,5,FALSE())</f>
        <v>0</v>
      </c>
      <c r="G25" s="2" t="n">
        <f aca="false">VLOOKUP($B25,[1]Day2!$A$1:$H$400,6,FALSE())</f>
        <v>0</v>
      </c>
      <c r="H25" s="2" t="n">
        <f aca="false">VLOOKUP($B25,[1]Day2!$A$1:$H$400,7,FALSE())</f>
        <v>0</v>
      </c>
      <c r="I25" s="2" t="n">
        <f aca="false">SUM(E25:H25)</f>
        <v>0</v>
      </c>
      <c r="J25" s="0"/>
      <c r="K25" s="0"/>
      <c r="L25" s="0"/>
      <c r="M25" s="0"/>
    </row>
    <row r="26" customFormat="false" ht="12.75" hidden="false" customHeight="true" outlineLevel="0" collapsed="false">
      <c r="A26" s="3" t="n">
        <v>25</v>
      </c>
      <c r="B26" s="2" t="n">
        <v>187530</v>
      </c>
      <c r="C26" s="2" t="s">
        <v>264</v>
      </c>
      <c r="D26" s="2" t="s">
        <v>265</v>
      </c>
      <c r="E26" s="2" t="n">
        <f aca="false">VLOOKUP($B26,[1]Day2!$A$1:$H$400,4,FALSE())</f>
        <v>0</v>
      </c>
      <c r="F26" s="2" t="n">
        <f aca="false">VLOOKUP($B26,[1]Day2!$A$1:$H$400,5,FALSE())</f>
        <v>0</v>
      </c>
      <c r="G26" s="2" t="n">
        <f aca="false">VLOOKUP($B26,[1]Day2!$A$1:$H$400,6,FALSE())</f>
        <v>0</v>
      </c>
      <c r="H26" s="2" t="n">
        <f aca="false">VLOOKUP($B26,[1]Day2!$A$1:$H$400,7,FALSE())</f>
        <v>0</v>
      </c>
      <c r="I26" s="2" t="n">
        <f aca="false">SUM(E26:H26)</f>
        <v>0</v>
      </c>
      <c r="J26" s="0"/>
      <c r="K26" s="0"/>
      <c r="L26" s="0"/>
      <c r="M26" s="0"/>
    </row>
    <row r="27" customFormat="false" ht="12.75" hidden="false" customHeight="true" outlineLevel="0" collapsed="false">
      <c r="A27" s="3" t="n">
        <v>26</v>
      </c>
      <c r="B27" s="2" t="n">
        <v>220595</v>
      </c>
      <c r="C27" s="2" t="s">
        <v>266</v>
      </c>
      <c r="D27" s="2" t="s">
        <v>267</v>
      </c>
      <c r="E27" s="2" t="n">
        <f aca="false">VLOOKUP($B27,[1]Day2!$A$1:$H$400,4,FALSE())</f>
        <v>0</v>
      </c>
      <c r="F27" s="2" t="n">
        <f aca="false">VLOOKUP($B27,[1]Day2!$A$1:$H$400,5,FALSE())</f>
        <v>0</v>
      </c>
      <c r="G27" s="2" t="n">
        <f aca="false">VLOOKUP($B27,[1]Day2!$A$1:$H$400,6,FALSE())</f>
        <v>0</v>
      </c>
      <c r="H27" s="2" t="n">
        <f aca="false">VLOOKUP($B27,[1]Day2!$A$1:$H$400,7,FALSE())</f>
        <v>0</v>
      </c>
      <c r="I27" s="2" t="n">
        <f aca="false">SUM(E27:H27)</f>
        <v>0</v>
      </c>
      <c r="J27" s="0"/>
      <c r="K27" s="0"/>
      <c r="L27" s="0"/>
      <c r="M27" s="0"/>
    </row>
    <row r="28" customFormat="false" ht="12.75" hidden="false" customHeight="true" outlineLevel="0" collapsed="false">
      <c r="A28" s="3" t="n">
        <v>27</v>
      </c>
      <c r="B28" s="2" t="n">
        <v>222710</v>
      </c>
      <c r="C28" s="2" t="s">
        <v>268</v>
      </c>
      <c r="D28" s="2" t="s">
        <v>269</v>
      </c>
      <c r="E28" s="2" t="n">
        <f aca="false">VLOOKUP($B28,[1]Day2!$A$1:$H$400,4,FALSE())</f>
        <v>0</v>
      </c>
      <c r="F28" s="2" t="n">
        <f aca="false">VLOOKUP($B28,[1]Day2!$A$1:$H$400,5,FALSE())</f>
        <v>0</v>
      </c>
      <c r="G28" s="2" t="n">
        <f aca="false">VLOOKUP($B28,[1]Day2!$A$1:$H$400,6,FALSE())</f>
        <v>0</v>
      </c>
      <c r="H28" s="2" t="n">
        <f aca="false">VLOOKUP($B28,[1]Day2!$A$1:$H$400,7,FALSE())</f>
        <v>0</v>
      </c>
      <c r="I28" s="2" t="n">
        <f aca="false">SUM(E28:H28)</f>
        <v>0</v>
      </c>
      <c r="J28" s="0"/>
      <c r="K28" s="0"/>
      <c r="L28" s="0"/>
      <c r="M28" s="0"/>
    </row>
    <row r="29" customFormat="false" ht="12.75" hidden="false" customHeight="true" outlineLevel="0" collapsed="false">
      <c r="A29" s="3" t="n">
        <v>28</v>
      </c>
      <c r="B29" s="2" t="n">
        <v>223462</v>
      </c>
      <c r="C29" s="2" t="s">
        <v>238</v>
      </c>
      <c r="D29" s="2" t="s">
        <v>270</v>
      </c>
      <c r="E29" s="2" t="n">
        <f aca="false">VLOOKUP($B29,[1]Day2!$A$1:$H$400,4,FALSE())</f>
        <v>0</v>
      </c>
      <c r="F29" s="2" t="n">
        <f aca="false">VLOOKUP($B29,[1]Day2!$A$1:$H$400,5,FALSE())</f>
        <v>0</v>
      </c>
      <c r="G29" s="2" t="n">
        <f aca="false">VLOOKUP($B29,[1]Day2!$A$1:$H$400,6,FALSE())</f>
        <v>0</v>
      </c>
      <c r="H29" s="2" t="n">
        <f aca="false">VLOOKUP($B29,[1]Day2!$A$1:$H$400,7,FALSE())</f>
        <v>0</v>
      </c>
      <c r="I29" s="2" t="n">
        <f aca="false">SUM(E29:H29)</f>
        <v>0</v>
      </c>
      <c r="J29" s="0"/>
      <c r="K29" s="0"/>
      <c r="L29" s="0"/>
      <c r="M29" s="0"/>
    </row>
    <row r="30" customFormat="false" ht="12.75" hidden="false" customHeight="true" outlineLevel="0" collapsed="false">
      <c r="A30" s="3" t="n">
        <v>29</v>
      </c>
      <c r="B30" s="2" t="n">
        <v>113065</v>
      </c>
      <c r="C30" s="2" t="s">
        <v>271</v>
      </c>
      <c r="D30" s="2" t="s">
        <v>272</v>
      </c>
      <c r="E30" s="2" t="n">
        <f aca="false">VLOOKUP($B30,[1]Day2!$A$1:$H$400,4,FALSE())</f>
        <v>0</v>
      </c>
      <c r="F30" s="2" t="n">
        <f aca="false">VLOOKUP($B30,[1]Day2!$A$1:$H$400,5,FALSE())</f>
        <v>0</v>
      </c>
      <c r="G30" s="2" t="n">
        <f aca="false">VLOOKUP($B30,[1]Day2!$A$1:$H$400,6,FALSE())</f>
        <v>0</v>
      </c>
      <c r="H30" s="2" t="n">
        <f aca="false">VLOOKUP($B30,[1]Day2!$A$1:$H$400,7,FALSE())</f>
        <v>0</v>
      </c>
      <c r="I30" s="2" t="n">
        <f aca="false">SUM(E30:H30)</f>
        <v>0</v>
      </c>
      <c r="J30" s="0"/>
      <c r="K30" s="0"/>
      <c r="L30" s="0"/>
      <c r="M30" s="0"/>
    </row>
    <row r="31" customFormat="false" ht="12.75" hidden="false" customHeight="true" outlineLevel="0" collapsed="false">
      <c r="A31" s="3" t="n">
        <v>30</v>
      </c>
      <c r="B31" s="2" t="n">
        <v>141476</v>
      </c>
      <c r="C31" s="2" t="s">
        <v>273</v>
      </c>
      <c r="D31" s="2" t="s">
        <v>274</v>
      </c>
      <c r="E31" s="2" t="n">
        <f aca="false">VLOOKUP($B31,[1]Day2!$A$1:$H$400,4,FALSE())</f>
        <v>0</v>
      </c>
      <c r="F31" s="2" t="n">
        <f aca="false">VLOOKUP($B31,[1]Day2!$A$1:$H$400,5,FALSE())</f>
        <v>0</v>
      </c>
      <c r="G31" s="2" t="n">
        <f aca="false">VLOOKUP($B31,[1]Day2!$A$1:$H$400,6,FALSE())</f>
        <v>0</v>
      </c>
      <c r="H31" s="2" t="n">
        <f aca="false">VLOOKUP($B31,[1]Day2!$A$1:$H$400,7,FALSE())</f>
        <v>0</v>
      </c>
      <c r="I31" s="2" t="n">
        <f aca="false">SUM(E31:H31)</f>
        <v>0</v>
      </c>
      <c r="J31" s="0"/>
      <c r="K31" s="0"/>
      <c r="L31" s="0"/>
      <c r="M31" s="0"/>
    </row>
    <row r="32" customFormat="false" ht="12.75" hidden="false" customHeight="true" outlineLevel="0" collapsed="false">
      <c r="A32" s="3" t="n">
        <v>31</v>
      </c>
      <c r="B32" s="2" t="n">
        <v>109722</v>
      </c>
      <c r="C32" s="2" t="s">
        <v>175</v>
      </c>
      <c r="D32" s="2" t="s">
        <v>275</v>
      </c>
      <c r="E32" s="2" t="n">
        <f aca="false">VLOOKUP($B32,[1]Day2!$A$1:$H$400,4,FALSE())</f>
        <v>0</v>
      </c>
      <c r="F32" s="2" t="n">
        <f aca="false">VLOOKUP($B32,[1]Day2!$A$1:$H$400,5,FALSE())</f>
        <v>0</v>
      </c>
      <c r="G32" s="2" t="n">
        <f aca="false">VLOOKUP($B32,[1]Day2!$A$1:$H$400,6,FALSE())</f>
        <v>0</v>
      </c>
      <c r="H32" s="2" t="n">
        <f aca="false">VLOOKUP($B32,[1]Day2!$A$1:$H$400,7,FALSE())</f>
        <v>0</v>
      </c>
      <c r="I32" s="2" t="n">
        <f aca="false">SUM(E32:H32)</f>
        <v>0</v>
      </c>
      <c r="J32" s="0"/>
      <c r="K32" s="0"/>
      <c r="L32" s="0"/>
      <c r="M32" s="0"/>
    </row>
    <row r="33" customFormat="false" ht="12.75" hidden="false" customHeight="true" outlineLevel="0" collapsed="false">
      <c r="A33" s="3" t="n">
        <v>32</v>
      </c>
      <c r="B33" s="2" t="n">
        <v>138766</v>
      </c>
      <c r="C33" s="2" t="s">
        <v>276</v>
      </c>
      <c r="D33" s="2" t="s">
        <v>277</v>
      </c>
      <c r="E33" s="2" t="n">
        <f aca="false">VLOOKUP($B33,[1]Day2!$A$1:$H$400,4,FALSE())</f>
        <v>0</v>
      </c>
      <c r="F33" s="2" t="n">
        <f aca="false">VLOOKUP($B33,[1]Day2!$A$1:$H$400,5,FALSE())</f>
        <v>0</v>
      </c>
      <c r="G33" s="2" t="n">
        <f aca="false">VLOOKUP($B33,[1]Day2!$A$1:$H$400,6,FALSE())</f>
        <v>0</v>
      </c>
      <c r="H33" s="2" t="n">
        <f aca="false">VLOOKUP($B33,[1]Day2!$A$1:$H$400,7,FALSE())</f>
        <v>0</v>
      </c>
      <c r="I33" s="2" t="n">
        <f aca="false">SUM(E33:H33)</f>
        <v>0</v>
      </c>
      <c r="J33" s="0"/>
      <c r="K33" s="0"/>
      <c r="L33" s="0"/>
      <c r="M33" s="0"/>
    </row>
    <row r="34" customFormat="false" ht="12.75" hidden="false" customHeight="true" outlineLevel="0" collapsed="false">
      <c r="A34" s="3" t="n">
        <v>33</v>
      </c>
      <c r="B34" s="2" t="n">
        <v>111331</v>
      </c>
      <c r="C34" s="2" t="s">
        <v>278</v>
      </c>
      <c r="D34" s="2" t="s">
        <v>279</v>
      </c>
      <c r="E34" s="2" t="n">
        <f aca="false">VLOOKUP($B34,[1]Day2!$A$1:$H$400,4,FALSE())</f>
        <v>0</v>
      </c>
      <c r="F34" s="2" t="n">
        <f aca="false">VLOOKUP($B34,[1]Day2!$A$1:$H$400,5,FALSE())</f>
        <v>0</v>
      </c>
      <c r="G34" s="2" t="n">
        <f aca="false">VLOOKUP($B34,[1]Day2!$A$1:$H$400,6,FALSE())</f>
        <v>0</v>
      </c>
      <c r="H34" s="2" t="n">
        <f aca="false">VLOOKUP($B34,[1]Day2!$A$1:$H$400,7,FALSE())</f>
        <v>0</v>
      </c>
      <c r="I34" s="2" t="n">
        <f aca="false">SUM(E34:H34)</f>
        <v>0</v>
      </c>
      <c r="J34" s="0"/>
      <c r="K34" s="0"/>
      <c r="L34" s="0"/>
      <c r="M34" s="0"/>
    </row>
    <row r="35" customFormat="false" ht="12.75" hidden="false" customHeight="true" outlineLevel="0" collapsed="false">
      <c r="A35" s="3" t="n">
        <v>34</v>
      </c>
      <c r="B35" s="2" t="n">
        <v>95427</v>
      </c>
      <c r="C35" s="2" t="s">
        <v>280</v>
      </c>
      <c r="D35" s="2" t="s">
        <v>51</v>
      </c>
      <c r="E35" s="2" t="n">
        <f aca="false">VLOOKUP($B35,[1]Day2!$A$1:$H$400,4,FALSE())</f>
        <v>0</v>
      </c>
      <c r="F35" s="2" t="n">
        <f aca="false">VLOOKUP($B35,[1]Day2!$A$1:$H$400,5,FALSE())</f>
        <v>0</v>
      </c>
      <c r="G35" s="2" t="n">
        <f aca="false">VLOOKUP($B35,[1]Day2!$A$1:$H$400,6,FALSE())</f>
        <v>0</v>
      </c>
      <c r="H35" s="2" t="n">
        <f aca="false">VLOOKUP($B35,[1]Day2!$A$1:$H$400,7,FALSE())</f>
        <v>0</v>
      </c>
      <c r="I35" s="2" t="n">
        <f aca="false">SUM(E35:H35)</f>
        <v>0</v>
      </c>
      <c r="J35" s="0"/>
      <c r="K35" s="0"/>
      <c r="L35" s="0"/>
      <c r="M35" s="0"/>
    </row>
    <row r="36" customFormat="false" ht="12.75" hidden="false" customHeight="true" outlineLevel="0" collapsed="false">
      <c r="A36" s="3" t="n">
        <v>35</v>
      </c>
      <c r="B36" s="2" t="n">
        <v>165616</v>
      </c>
      <c r="C36" s="2" t="s">
        <v>281</v>
      </c>
      <c r="D36" s="2" t="s">
        <v>260</v>
      </c>
      <c r="E36" s="2" t="n">
        <f aca="false">VLOOKUP($B36,[1]Day2!$A$1:$H$400,4,FALSE())</f>
        <v>0</v>
      </c>
      <c r="F36" s="2" t="n">
        <f aca="false">VLOOKUP($B36,[1]Day2!$A$1:$H$400,5,FALSE())</f>
        <v>0</v>
      </c>
      <c r="G36" s="2" t="n">
        <f aca="false">VLOOKUP($B36,[1]Day2!$A$1:$H$400,6,FALSE())</f>
        <v>0</v>
      </c>
      <c r="H36" s="2" t="n">
        <f aca="false">VLOOKUP($B36,[1]Day2!$A$1:$H$400,7,FALSE())</f>
        <v>0</v>
      </c>
      <c r="I36" s="2" t="n">
        <f aca="false">SUM(E36:H36)</f>
        <v>0</v>
      </c>
      <c r="J36" s="0"/>
      <c r="K36" s="0"/>
      <c r="L36" s="0"/>
      <c r="M36" s="0"/>
    </row>
    <row r="37" customFormat="false" ht="12.75" hidden="false" customHeight="true" outlineLevel="0" collapsed="false">
      <c r="A37" s="3" t="n">
        <v>36</v>
      </c>
      <c r="B37" s="2" t="n">
        <v>165643</v>
      </c>
      <c r="C37" s="2" t="s">
        <v>282</v>
      </c>
      <c r="D37" s="2" t="s">
        <v>283</v>
      </c>
      <c r="E37" s="2" t="n">
        <f aca="false">VLOOKUP($B37,[1]Day2!$A$1:$H$400,4,FALSE())</f>
        <v>0</v>
      </c>
      <c r="F37" s="2" t="n">
        <f aca="false">VLOOKUP($B37,[1]Day2!$A$1:$H$400,5,FALSE())</f>
        <v>0</v>
      </c>
      <c r="G37" s="2" t="n">
        <f aca="false">VLOOKUP($B37,[1]Day2!$A$1:$H$400,6,FALSE())</f>
        <v>0</v>
      </c>
      <c r="H37" s="2" t="n">
        <f aca="false">VLOOKUP($B37,[1]Day2!$A$1:$H$400,7,FALSE())</f>
        <v>0</v>
      </c>
      <c r="I37" s="2" t="n">
        <f aca="false">SUM(E37:H37)</f>
        <v>0</v>
      </c>
      <c r="J37" s="0"/>
      <c r="K37" s="0"/>
      <c r="L37" s="0"/>
      <c r="M37" s="0"/>
    </row>
    <row r="38" customFormat="false" ht="12.75" hidden="false" customHeight="true" outlineLevel="0" collapsed="false">
      <c r="A38" s="3" t="n">
        <v>37</v>
      </c>
      <c r="B38" s="2" t="n">
        <v>186793</v>
      </c>
      <c r="C38" s="2" t="s">
        <v>284</v>
      </c>
      <c r="D38" s="2" t="s">
        <v>285</v>
      </c>
      <c r="E38" s="2" t="n">
        <f aca="false">VLOOKUP($B38,[1]Day2!$A$1:$H$400,4,FALSE())</f>
        <v>0</v>
      </c>
      <c r="F38" s="2" t="n">
        <f aca="false">VLOOKUP($B38,[1]Day2!$A$1:$H$400,5,FALSE())</f>
        <v>0</v>
      </c>
      <c r="G38" s="2" t="n">
        <f aca="false">VLOOKUP($B38,[1]Day2!$A$1:$H$400,6,FALSE())</f>
        <v>0</v>
      </c>
      <c r="H38" s="2" t="n">
        <f aca="false">VLOOKUP($B38,[1]Day2!$A$1:$H$400,7,FALSE())</f>
        <v>0</v>
      </c>
      <c r="I38" s="2" t="n">
        <f aca="false">SUM(E38:H38)</f>
        <v>0</v>
      </c>
      <c r="J38" s="0"/>
      <c r="K38" s="0"/>
      <c r="L38" s="0"/>
      <c r="M38" s="0"/>
    </row>
    <row r="39" customFormat="false" ht="12.75" hidden="false" customHeight="true" outlineLevel="0" collapsed="false">
      <c r="A39" s="3" t="n">
        <v>38</v>
      </c>
      <c r="B39" s="2" t="n">
        <v>109847</v>
      </c>
      <c r="C39" s="2" t="s">
        <v>257</v>
      </c>
      <c r="D39" s="2" t="s">
        <v>286</v>
      </c>
      <c r="E39" s="2" t="n">
        <f aca="false">VLOOKUP($B39,[1]Day2!$A$1:$H$400,4,FALSE())</f>
        <v>0</v>
      </c>
      <c r="F39" s="2" t="n">
        <f aca="false">VLOOKUP($B39,[1]Day2!$A$1:$H$400,5,FALSE())</f>
        <v>0</v>
      </c>
      <c r="G39" s="2" t="n">
        <f aca="false">VLOOKUP($B39,[1]Day2!$A$1:$H$400,6,FALSE())</f>
        <v>0</v>
      </c>
      <c r="H39" s="2" t="n">
        <f aca="false">VLOOKUP($B39,[1]Day2!$A$1:$H$400,7,FALSE())</f>
        <v>0</v>
      </c>
      <c r="I39" s="2" t="n">
        <f aca="false">SUM(E39:H39)</f>
        <v>0</v>
      </c>
      <c r="J39" s="0"/>
      <c r="K39" s="0"/>
      <c r="L39" s="0"/>
      <c r="M39" s="0"/>
    </row>
    <row r="40" customFormat="false" ht="12.75" hidden="false" customHeight="true" outlineLevel="0" collapsed="false">
      <c r="A40" s="3" t="n">
        <v>39</v>
      </c>
      <c r="B40" s="2" t="n">
        <v>125987</v>
      </c>
      <c r="C40" s="2" t="s">
        <v>287</v>
      </c>
      <c r="D40" s="2" t="s">
        <v>288</v>
      </c>
      <c r="E40" s="2" t="n">
        <f aca="false">VLOOKUP($B40,[1]Day2!$A$1:$H$400,4,FALSE())</f>
        <v>0</v>
      </c>
      <c r="F40" s="2" t="n">
        <f aca="false">VLOOKUP($B40,[1]Day2!$A$1:$H$400,5,FALSE())</f>
        <v>0</v>
      </c>
      <c r="G40" s="2" t="n">
        <f aca="false">VLOOKUP($B40,[1]Day2!$A$1:$H$400,6,FALSE())</f>
        <v>0</v>
      </c>
      <c r="H40" s="2" t="n">
        <f aca="false">VLOOKUP($B40,[1]Day2!$A$1:$H$400,7,FALSE())</f>
        <v>0</v>
      </c>
      <c r="I40" s="2" t="n">
        <f aca="false">SUM(E40:H40)</f>
        <v>0</v>
      </c>
      <c r="J40" s="0"/>
      <c r="K40" s="0"/>
      <c r="L40" s="0"/>
      <c r="M40" s="0"/>
    </row>
    <row r="41" customFormat="false" ht="12.75" hidden="false" customHeight="true" outlineLevel="0" collapsed="false">
      <c r="A41" s="3" t="n">
        <v>40</v>
      </c>
      <c r="B41" s="2" t="n">
        <v>115699</v>
      </c>
      <c r="C41" s="2" t="s">
        <v>289</v>
      </c>
      <c r="D41" s="2" t="s">
        <v>145</v>
      </c>
      <c r="E41" s="2" t="n">
        <f aca="false">VLOOKUP($B41,[1]Day2!$A$1:$H$400,4,FALSE())</f>
        <v>0</v>
      </c>
      <c r="F41" s="2" t="n">
        <f aca="false">VLOOKUP($B41,[1]Day2!$A$1:$H$400,5,FALSE())</f>
        <v>0</v>
      </c>
      <c r="G41" s="2" t="n">
        <f aca="false">VLOOKUP($B41,[1]Day2!$A$1:$H$400,6,FALSE())</f>
        <v>0</v>
      </c>
      <c r="H41" s="2" t="n">
        <f aca="false">VLOOKUP($B41,[1]Day2!$A$1:$H$400,7,FALSE())</f>
        <v>0</v>
      </c>
      <c r="I41" s="2" t="n">
        <f aca="false">SUM(E41:H41)</f>
        <v>0</v>
      </c>
      <c r="J41" s="0"/>
      <c r="K41" s="0"/>
      <c r="L41" s="0"/>
      <c r="M41" s="0"/>
    </row>
    <row r="42" customFormat="false" ht="12.75" hidden="false" customHeight="true" outlineLevel="0" collapsed="false">
      <c r="A42" s="3" t="n">
        <v>41</v>
      </c>
      <c r="B42" s="2" t="n">
        <v>115704</v>
      </c>
      <c r="C42" s="2" t="s">
        <v>290</v>
      </c>
      <c r="D42" s="2" t="s">
        <v>291</v>
      </c>
      <c r="E42" s="2" t="n">
        <f aca="false">VLOOKUP($B42,[1]Day2!$A$1:$H$400,4,FALSE())</f>
        <v>0</v>
      </c>
      <c r="F42" s="2" t="n">
        <f aca="false">VLOOKUP($B42,[1]Day2!$A$1:$H$400,5,FALSE())</f>
        <v>0</v>
      </c>
      <c r="G42" s="2" t="n">
        <f aca="false">VLOOKUP($B42,[1]Day2!$A$1:$H$400,6,FALSE())</f>
        <v>0</v>
      </c>
      <c r="H42" s="2" t="n">
        <f aca="false">VLOOKUP($B42,[1]Day2!$A$1:$H$400,7,FALSE())</f>
        <v>0</v>
      </c>
      <c r="I42" s="2" t="n">
        <f aca="false">SUM(E42:H42)</f>
        <v>0</v>
      </c>
      <c r="J42" s="0"/>
      <c r="K42" s="0"/>
      <c r="L42" s="0"/>
      <c r="M42" s="0"/>
    </row>
    <row r="43" customFormat="false" ht="12.75" hidden="false" customHeight="true" outlineLevel="0" collapsed="false">
      <c r="A43" s="3" t="n">
        <v>42</v>
      </c>
      <c r="B43" s="2" t="n">
        <v>144390</v>
      </c>
      <c r="C43" s="2" t="s">
        <v>292</v>
      </c>
      <c r="D43" s="2" t="s">
        <v>101</v>
      </c>
      <c r="E43" s="2" t="n">
        <f aca="false">VLOOKUP($B43,[1]Day2!$A$1:$H$400,4,FALSE())</f>
        <v>0</v>
      </c>
      <c r="F43" s="2" t="n">
        <f aca="false">VLOOKUP($B43,[1]Day2!$A$1:$H$400,5,FALSE())</f>
        <v>0</v>
      </c>
      <c r="G43" s="2" t="n">
        <f aca="false">VLOOKUP($B43,[1]Day2!$A$1:$H$400,6,FALSE())</f>
        <v>0</v>
      </c>
      <c r="H43" s="2" t="n">
        <f aca="false">VLOOKUP($B43,[1]Day2!$A$1:$H$400,7,FALSE())</f>
        <v>0</v>
      </c>
      <c r="I43" s="2" t="n">
        <f aca="false">SUM(E43:H43)</f>
        <v>0</v>
      </c>
      <c r="J43" s="0"/>
      <c r="K43" s="0"/>
      <c r="L43" s="0"/>
      <c r="M43" s="0"/>
    </row>
    <row r="44" customFormat="false" ht="12.75" hidden="false" customHeight="true" outlineLevel="0" collapsed="false">
      <c r="A44" s="3" t="n">
        <v>43</v>
      </c>
      <c r="B44" s="2" t="n">
        <v>164472</v>
      </c>
      <c r="C44" s="2" t="s">
        <v>55</v>
      </c>
      <c r="D44" s="2" t="s">
        <v>22</v>
      </c>
      <c r="E44" s="2" t="n">
        <f aca="false">VLOOKUP($B44,[1]Day2!$A$1:$H$400,4,FALSE())</f>
        <v>0</v>
      </c>
      <c r="F44" s="2" t="n">
        <f aca="false">VLOOKUP($B44,[1]Day2!$A$1:$H$400,5,FALSE())</f>
        <v>0</v>
      </c>
      <c r="G44" s="2" t="n">
        <f aca="false">VLOOKUP($B44,[1]Day2!$A$1:$H$400,6,FALSE())</f>
        <v>0</v>
      </c>
      <c r="H44" s="2" t="n">
        <f aca="false">VLOOKUP($B44,[1]Day2!$A$1:$H$400,7,FALSE())</f>
        <v>0</v>
      </c>
      <c r="I44" s="2" t="n">
        <f aca="false">SUM(E44:H44)</f>
        <v>0</v>
      </c>
      <c r="J44" s="0"/>
      <c r="K44" s="0"/>
      <c r="L44" s="0"/>
      <c r="M44" s="0"/>
    </row>
    <row r="45" customFormat="false" ht="12.75" hidden="false" customHeight="true" outlineLevel="0" collapsed="false">
      <c r="A45" s="3" t="n">
        <v>44</v>
      </c>
      <c r="B45" s="2" t="n">
        <v>174382</v>
      </c>
      <c r="C45" s="2" t="s">
        <v>293</v>
      </c>
      <c r="D45" s="2" t="s">
        <v>294</v>
      </c>
      <c r="E45" s="2" t="n">
        <f aca="false">VLOOKUP($B45,[1]Day2!$A$1:$H$400,4,FALSE())</f>
        <v>0</v>
      </c>
      <c r="F45" s="2" t="n">
        <f aca="false">VLOOKUP($B45,[1]Day2!$A$1:$H$400,5,FALSE())</f>
        <v>0</v>
      </c>
      <c r="G45" s="2" t="n">
        <f aca="false">VLOOKUP($B45,[1]Day2!$A$1:$H$400,6,FALSE())</f>
        <v>0</v>
      </c>
      <c r="H45" s="2" t="n">
        <f aca="false">VLOOKUP($B45,[1]Day2!$A$1:$H$400,7,FALSE())</f>
        <v>0</v>
      </c>
      <c r="I45" s="2" t="n">
        <f aca="false">SUM(E45:H45)</f>
        <v>0</v>
      </c>
      <c r="J45" s="0"/>
      <c r="K45" s="0"/>
      <c r="L45" s="0"/>
      <c r="M45" s="0"/>
    </row>
    <row r="46" customFormat="false" ht="12.75" hidden="false" customHeight="true" outlineLevel="0" collapsed="false">
      <c r="A46" s="3" t="n">
        <v>45</v>
      </c>
      <c r="B46" s="2" t="n">
        <v>174464</v>
      </c>
      <c r="C46" s="2" t="s">
        <v>24</v>
      </c>
      <c r="D46" s="2" t="s">
        <v>295</v>
      </c>
      <c r="E46" s="2" t="n">
        <f aca="false">VLOOKUP($B46,[1]Day2!$A$1:$H$400,4,FALSE())</f>
        <v>0</v>
      </c>
      <c r="F46" s="2" t="n">
        <f aca="false">VLOOKUP($B46,[1]Day2!$A$1:$H$400,5,FALSE())</f>
        <v>0</v>
      </c>
      <c r="G46" s="2" t="n">
        <f aca="false">VLOOKUP($B46,[1]Day2!$A$1:$H$400,6,FALSE())</f>
        <v>0</v>
      </c>
      <c r="H46" s="2" t="n">
        <f aca="false">VLOOKUP($B46,[1]Day2!$A$1:$H$400,7,FALSE())</f>
        <v>0</v>
      </c>
      <c r="I46" s="2" t="n">
        <f aca="false">SUM(E46:H46)</f>
        <v>0</v>
      </c>
      <c r="J46" s="0"/>
      <c r="K46" s="0"/>
      <c r="L46" s="0"/>
      <c r="M46" s="0"/>
    </row>
    <row r="47" customFormat="false" ht="12.75" hidden="false" customHeight="true" outlineLevel="0" collapsed="false">
      <c r="A47" s="3" t="n">
        <v>46</v>
      </c>
      <c r="B47" s="2" t="n">
        <v>174562</v>
      </c>
      <c r="C47" s="2" t="s">
        <v>296</v>
      </c>
      <c r="D47" s="2" t="s">
        <v>297</v>
      </c>
      <c r="E47" s="2" t="n">
        <f aca="false">VLOOKUP($B47,[1]Day2!$A$1:$H$400,4,FALSE())</f>
        <v>0</v>
      </c>
      <c r="F47" s="2" t="n">
        <f aca="false">VLOOKUP($B47,[1]Day2!$A$1:$H$400,5,FALSE())</f>
        <v>0</v>
      </c>
      <c r="G47" s="2" t="n">
        <f aca="false">VLOOKUP($B47,[1]Day2!$A$1:$H$400,6,FALSE())</f>
        <v>0</v>
      </c>
      <c r="H47" s="2" t="n">
        <f aca="false">VLOOKUP($B47,[1]Day2!$A$1:$H$400,7,FALSE())</f>
        <v>0</v>
      </c>
      <c r="I47" s="2" t="n">
        <f aca="false">SUM(E47:H47)</f>
        <v>0</v>
      </c>
      <c r="J47" s="0"/>
      <c r="K47" s="0"/>
      <c r="L47" s="0"/>
      <c r="M47" s="0"/>
    </row>
    <row r="48" customFormat="false" ht="12.75" hidden="false" customHeight="true" outlineLevel="0" collapsed="false">
      <c r="A48" s="3" t="n">
        <v>47</v>
      </c>
      <c r="B48" s="2" t="n">
        <v>174878</v>
      </c>
      <c r="C48" s="2" t="s">
        <v>298</v>
      </c>
      <c r="D48" s="2" t="s">
        <v>299</v>
      </c>
      <c r="E48" s="2" t="n">
        <f aca="false">VLOOKUP($B48,[1]Day2!$A$1:$H$400,4,FALSE())</f>
        <v>0</v>
      </c>
      <c r="F48" s="2" t="n">
        <f aca="false">VLOOKUP($B48,[1]Day2!$A$1:$H$400,5,FALSE())</f>
        <v>0</v>
      </c>
      <c r="G48" s="2" t="n">
        <f aca="false">VLOOKUP($B48,[1]Day2!$A$1:$H$400,6,FALSE())</f>
        <v>0</v>
      </c>
      <c r="H48" s="2" t="n">
        <f aca="false">VLOOKUP($B48,[1]Day2!$A$1:$H$400,7,FALSE())</f>
        <v>0</v>
      </c>
      <c r="I48" s="2" t="n">
        <f aca="false">SUM(E48:H48)</f>
        <v>0</v>
      </c>
      <c r="J48" s="0"/>
      <c r="K48" s="0"/>
      <c r="L48" s="0"/>
      <c r="M48" s="0"/>
    </row>
    <row r="49" customFormat="false" ht="12.75" hidden="false" customHeight="true" outlineLevel="0" collapsed="false">
      <c r="A49" s="3" t="n">
        <v>48</v>
      </c>
      <c r="B49" s="2" t="n">
        <v>213249</v>
      </c>
      <c r="C49" s="2" t="s">
        <v>300</v>
      </c>
      <c r="D49" s="2" t="s">
        <v>301</v>
      </c>
      <c r="E49" s="2" t="n">
        <f aca="false">VLOOKUP($B49,[1]Day2!$A$1:$H$400,4,FALSE())</f>
        <v>0</v>
      </c>
      <c r="F49" s="2" t="n">
        <f aca="false">VLOOKUP($B49,[1]Day2!$A$1:$H$400,5,FALSE())</f>
        <v>0</v>
      </c>
      <c r="G49" s="2" t="n">
        <f aca="false">VLOOKUP($B49,[1]Day2!$A$1:$H$400,6,FALSE())</f>
        <v>0</v>
      </c>
      <c r="H49" s="2" t="n">
        <f aca="false">VLOOKUP($B49,[1]Day2!$A$1:$H$400,7,FALSE())</f>
        <v>0</v>
      </c>
      <c r="I49" s="2" t="n">
        <f aca="false">SUM(E49:H49)</f>
        <v>0</v>
      </c>
      <c r="J49" s="0"/>
      <c r="K49" s="0"/>
      <c r="L49" s="0"/>
      <c r="M49" s="0"/>
    </row>
    <row r="50" customFormat="false" ht="12.75" hidden="false" customHeight="true" outlineLevel="0" collapsed="false">
      <c r="A50" s="3" t="n">
        <v>49</v>
      </c>
      <c r="B50" s="2" t="n">
        <v>155596</v>
      </c>
      <c r="C50" s="2" t="s">
        <v>290</v>
      </c>
      <c r="D50" s="2" t="s">
        <v>286</v>
      </c>
      <c r="E50" s="2" t="n">
        <f aca="false">VLOOKUP($B50,[1]Day2!$A$1:$H$400,4,FALSE())</f>
        <v>4</v>
      </c>
      <c r="F50" s="2" t="n">
        <f aca="false">VLOOKUP($B50,[1]Day2!$A$1:$H$400,5,FALSE())</f>
        <v>7</v>
      </c>
      <c r="G50" s="2" t="n">
        <f aca="false">VLOOKUP($B50,[1]Day2!$A$1:$H$400,6,FALSE())</f>
        <v>0</v>
      </c>
      <c r="H50" s="2" t="n">
        <f aca="false">VLOOKUP($B50,[1]Day2!$A$1:$H$400,7,FALSE())</f>
        <v>0</v>
      </c>
      <c r="I50" s="2" t="n">
        <f aca="false">SUM(E50:H50)</f>
        <v>11</v>
      </c>
      <c r="J50" s="0"/>
      <c r="K50" s="0"/>
      <c r="L50" s="0"/>
      <c r="M50" s="0"/>
    </row>
    <row r="51" customFormat="false" ht="12.75" hidden="false" customHeight="true" outlineLevel="0" collapsed="false">
      <c r="A51" s="3" t="n">
        <v>50</v>
      </c>
      <c r="B51" s="2" t="n">
        <v>207261</v>
      </c>
      <c r="C51" s="2" t="s">
        <v>239</v>
      </c>
      <c r="D51" s="2" t="s">
        <v>302</v>
      </c>
      <c r="E51" s="2" t="n">
        <f aca="false">VLOOKUP($B51,[1]Day2!$A$1:$H$400,4,FALSE())</f>
        <v>0</v>
      </c>
      <c r="F51" s="2" t="n">
        <f aca="false">VLOOKUP($B51,[1]Day2!$A$1:$H$400,5,FALSE())</f>
        <v>0</v>
      </c>
      <c r="G51" s="2" t="n">
        <f aca="false">VLOOKUP($B51,[1]Day2!$A$1:$H$400,6,FALSE())</f>
        <v>0</v>
      </c>
      <c r="H51" s="2" t="n">
        <f aca="false">VLOOKUP($B51,[1]Day2!$A$1:$H$400,7,FALSE())</f>
        <v>7</v>
      </c>
      <c r="I51" s="2" t="n">
        <f aca="false">SUM(E51:H51)</f>
        <v>7</v>
      </c>
      <c r="J51" s="0"/>
      <c r="K51" s="0"/>
      <c r="L51" s="0"/>
      <c r="M51" s="0"/>
    </row>
    <row r="52" customFormat="false" ht="12.75" hidden="false" customHeight="true" outlineLevel="0" collapsed="false">
      <c r="A52" s="3" t="n">
        <v>51</v>
      </c>
      <c r="B52" s="2" t="n">
        <v>110302</v>
      </c>
      <c r="C52" s="2" t="s">
        <v>303</v>
      </c>
      <c r="D52" s="2" t="s">
        <v>304</v>
      </c>
      <c r="E52" s="2" t="n">
        <f aca="false">VLOOKUP($B52,[1]Day2!$A$1:$H$400,4,FALSE())</f>
        <v>0</v>
      </c>
      <c r="F52" s="2" t="n">
        <f aca="false">VLOOKUP($B52,[1]Day2!$A$1:$H$400,5,FALSE())</f>
        <v>6</v>
      </c>
      <c r="G52" s="2" t="n">
        <f aca="false">VLOOKUP($B52,[1]Day2!$A$1:$H$400,6,FALSE())</f>
        <v>0</v>
      </c>
      <c r="H52" s="2" t="n">
        <f aca="false">VLOOKUP($B52,[1]Day2!$A$1:$H$400,7,FALSE())</f>
        <v>0</v>
      </c>
      <c r="I52" s="2" t="n">
        <f aca="false">SUM(E52:H52)</f>
        <v>6</v>
      </c>
      <c r="J52" s="0"/>
      <c r="K52" s="0"/>
      <c r="L52" s="0"/>
      <c r="M52" s="0"/>
    </row>
    <row r="53" customFormat="false" ht="12.75" hidden="false" customHeight="true" outlineLevel="0" collapsed="false">
      <c r="A53" s="3" t="n">
        <v>52</v>
      </c>
      <c r="B53" s="2" t="n">
        <v>72374</v>
      </c>
      <c r="C53" s="2" t="s">
        <v>305</v>
      </c>
      <c r="D53" s="2" t="s">
        <v>124</v>
      </c>
      <c r="E53" s="2" t="n">
        <f aca="false">VLOOKUP($B53,[1]Day2!$A$1:$H$400,4,FALSE())</f>
        <v>0</v>
      </c>
      <c r="F53" s="2" t="n">
        <f aca="false">VLOOKUP($B53,[1]Day2!$A$1:$H$400,5,FALSE())</f>
        <v>0</v>
      </c>
      <c r="G53" s="2" t="n">
        <f aca="false">VLOOKUP($B53,[1]Day2!$A$1:$H$400,6,FALSE())</f>
        <v>5</v>
      </c>
      <c r="H53" s="2" t="n">
        <f aca="false">VLOOKUP($B53,[1]Day2!$A$1:$H$400,7,FALSE())</f>
        <v>0</v>
      </c>
      <c r="I53" s="2" t="n">
        <f aca="false">SUM(E53:H53)</f>
        <v>5</v>
      </c>
      <c r="J53" s="0"/>
      <c r="K53" s="0"/>
      <c r="L53" s="0"/>
      <c r="M53" s="0"/>
    </row>
    <row r="54" customFormat="false" ht="12.75" hidden="false" customHeight="true" outlineLevel="0" collapsed="false">
      <c r="A54" s="3" t="n">
        <v>53</v>
      </c>
      <c r="B54" s="2" t="n">
        <v>72378</v>
      </c>
      <c r="C54" s="2" t="s">
        <v>306</v>
      </c>
      <c r="D54" s="2" t="s">
        <v>307</v>
      </c>
      <c r="E54" s="2" t="n">
        <f aca="false">VLOOKUP($B54,[1]Day2!$A$1:$H$400,4,FALSE())</f>
        <v>0</v>
      </c>
      <c r="F54" s="2" t="n">
        <f aca="false">VLOOKUP($B54,[1]Day2!$A$1:$H$400,5,FALSE())</f>
        <v>0</v>
      </c>
      <c r="G54" s="2" t="n">
        <f aca="false">VLOOKUP($B54,[1]Day2!$A$1:$H$400,6,FALSE())</f>
        <v>5</v>
      </c>
      <c r="H54" s="2" t="n">
        <f aca="false">VLOOKUP($B54,[1]Day2!$A$1:$H$400,7,FALSE())</f>
        <v>0</v>
      </c>
      <c r="I54" s="2" t="n">
        <f aca="false">SUM(E54:H54)</f>
        <v>5</v>
      </c>
      <c r="J54" s="0"/>
      <c r="K54" s="0"/>
      <c r="L54" s="0"/>
      <c r="M54" s="0"/>
    </row>
    <row r="55" customFormat="false" ht="12.75" hidden="false" customHeight="true" outlineLevel="0" collapsed="false">
      <c r="A55" s="3" t="n">
        <v>54</v>
      </c>
      <c r="B55" s="2" t="n">
        <v>83902</v>
      </c>
      <c r="C55" s="2" t="s">
        <v>308</v>
      </c>
      <c r="D55" s="2" t="s">
        <v>309</v>
      </c>
      <c r="E55" s="2" t="n">
        <f aca="false">VLOOKUP($B55,[1]Day2!$A$1:$H$400,4,FALSE())</f>
        <v>1</v>
      </c>
      <c r="F55" s="2" t="n">
        <f aca="false">VLOOKUP($B55,[1]Day2!$A$1:$H$400,5,FALSE())</f>
        <v>0</v>
      </c>
      <c r="G55" s="2" t="n">
        <f aca="false">VLOOKUP($B55,[1]Day2!$A$1:$H$400,6,FALSE())</f>
        <v>2</v>
      </c>
      <c r="H55" s="2" t="n">
        <f aca="false">VLOOKUP($B55,[1]Day2!$A$1:$H$400,7,FALSE())</f>
        <v>0</v>
      </c>
      <c r="I55" s="2" t="n">
        <f aca="false">SUM(E55:H55)</f>
        <v>3</v>
      </c>
      <c r="J55" s="0"/>
      <c r="K55" s="0"/>
      <c r="L55" s="0"/>
      <c r="M55" s="0"/>
    </row>
    <row r="56" customFormat="false" ht="12.75" hidden="false" customHeight="true" outlineLevel="0" collapsed="false">
      <c r="A56" s="3" t="n">
        <v>55</v>
      </c>
      <c r="B56" s="2" t="n">
        <v>110920</v>
      </c>
      <c r="C56" s="2" t="s">
        <v>27</v>
      </c>
      <c r="D56" s="2" t="s">
        <v>310</v>
      </c>
      <c r="E56" s="2" t="n">
        <f aca="false">VLOOKUP($B56,[1]Day2!$A$1:$H$400,4,FALSE())</f>
        <v>2</v>
      </c>
      <c r="F56" s="2" t="n">
        <f aca="false">VLOOKUP($B56,[1]Day2!$A$1:$H$400,5,FALSE())</f>
        <v>0</v>
      </c>
      <c r="G56" s="2" t="n">
        <f aca="false">VLOOKUP($B56,[1]Day2!$A$1:$H$400,6,FALSE())</f>
        <v>0</v>
      </c>
      <c r="H56" s="2" t="n">
        <f aca="false">VLOOKUP($B56,[1]Day2!$A$1:$H$400,7,FALSE())</f>
        <v>0</v>
      </c>
      <c r="I56" s="2" t="n">
        <f aca="false">SUM(E56:H56)</f>
        <v>2</v>
      </c>
      <c r="J56" s="0"/>
      <c r="K56" s="0"/>
      <c r="L56" s="0"/>
      <c r="M56" s="0"/>
    </row>
    <row r="57" customFormat="false" ht="12.75" hidden="false" customHeight="true" outlineLevel="0" collapsed="false">
      <c r="A57" s="3" t="n">
        <v>56</v>
      </c>
      <c r="B57" s="2" t="n">
        <v>72372</v>
      </c>
      <c r="C57" s="2" t="s">
        <v>311</v>
      </c>
      <c r="D57" s="2" t="s">
        <v>312</v>
      </c>
      <c r="E57" s="2" t="n">
        <f aca="false">VLOOKUP($B57,[1]Day2!$A$1:$H$400,4,FALSE())</f>
        <v>2</v>
      </c>
      <c r="F57" s="2" t="n">
        <f aca="false">VLOOKUP($B57,[1]Day2!$A$1:$H$400,5,FALSE())</f>
        <v>0</v>
      </c>
      <c r="G57" s="2" t="n">
        <f aca="false">VLOOKUP($B57,[1]Day2!$A$1:$H$400,6,FALSE())</f>
        <v>0</v>
      </c>
      <c r="H57" s="2" t="n">
        <f aca="false">VLOOKUP($B57,[1]Day2!$A$1:$H$400,7,FALSE())</f>
        <v>0</v>
      </c>
      <c r="I57" s="2" t="n">
        <f aca="false">SUM(E57:H57)</f>
        <v>2</v>
      </c>
      <c r="J57" s="0"/>
      <c r="K57" s="0"/>
      <c r="L57" s="0"/>
      <c r="M57" s="0"/>
    </row>
    <row r="58" customFormat="false" ht="12.75" hidden="false" customHeight="true" outlineLevel="0" collapsed="false">
      <c r="A58" s="3" t="n">
        <v>57</v>
      </c>
      <c r="B58" s="2" t="n">
        <v>136384</v>
      </c>
      <c r="C58" s="2" t="s">
        <v>313</v>
      </c>
      <c r="D58" s="2" t="s">
        <v>314</v>
      </c>
      <c r="E58" s="2" t="n">
        <f aca="false">VLOOKUP($B58,[1]Day2!$A$1:$H$400,4,FALSE())</f>
        <v>2</v>
      </c>
      <c r="F58" s="2" t="n">
        <f aca="false">VLOOKUP($B58,[1]Day2!$A$1:$H$400,5,FALSE())</f>
        <v>0</v>
      </c>
      <c r="G58" s="2" t="n">
        <f aca="false">VLOOKUP($B58,[1]Day2!$A$1:$H$400,6,FALSE())</f>
        <v>0</v>
      </c>
      <c r="H58" s="2" t="n">
        <f aca="false">VLOOKUP($B58,[1]Day2!$A$1:$H$400,7,FALSE())</f>
        <v>0</v>
      </c>
      <c r="I58" s="2" t="n">
        <f aca="false">SUM(E58:H58)</f>
        <v>2</v>
      </c>
      <c r="J58" s="0"/>
      <c r="K58" s="0"/>
      <c r="L58" s="0"/>
      <c r="M58" s="0"/>
    </row>
    <row r="59" customFormat="false" ht="12.75" hidden="false" customHeight="true" outlineLevel="0" collapsed="false">
      <c r="A59" s="3" t="n">
        <v>58</v>
      </c>
      <c r="B59" s="2" t="n">
        <v>6061</v>
      </c>
      <c r="C59" s="2" t="s">
        <v>315</v>
      </c>
      <c r="D59" s="2" t="s">
        <v>316</v>
      </c>
      <c r="E59" s="2" t="n">
        <f aca="false">VLOOKUP($B59,[1]Day2!$A$1:$H$400,4,FALSE())</f>
        <v>2</v>
      </c>
      <c r="F59" s="2" t="n">
        <f aca="false">VLOOKUP($B59,[1]Day2!$A$1:$H$400,5,FALSE())</f>
        <v>0</v>
      </c>
      <c r="G59" s="2" t="n">
        <f aca="false">VLOOKUP($B59,[1]Day2!$A$1:$H$400,6,FALSE())</f>
        <v>0</v>
      </c>
      <c r="H59" s="2" t="n">
        <f aca="false">VLOOKUP($B59,[1]Day2!$A$1:$H$400,7,FALSE())</f>
        <v>0</v>
      </c>
      <c r="I59" s="2" t="n">
        <f aca="false">SUM(E59:H59)</f>
        <v>2</v>
      </c>
      <c r="J59" s="0"/>
      <c r="K59" s="0"/>
      <c r="L59" s="0"/>
      <c r="M59" s="0"/>
    </row>
    <row r="60" customFormat="false" ht="12.75" hidden="false" customHeight="true" outlineLevel="0" collapsed="false">
      <c r="A60" s="3" t="n">
        <v>59</v>
      </c>
      <c r="B60" s="2" t="n">
        <v>111048</v>
      </c>
      <c r="C60" s="2" t="s">
        <v>317</v>
      </c>
      <c r="D60" s="2" t="s">
        <v>28</v>
      </c>
      <c r="E60" s="2" t="n">
        <f aca="false">VLOOKUP($B60,[1]Day2!$A$1:$H$400,4,FALSE())</f>
        <v>1</v>
      </c>
      <c r="F60" s="2" t="n">
        <f aca="false">VLOOKUP($B60,[1]Day2!$A$1:$H$400,5,FALSE())</f>
        <v>0</v>
      </c>
      <c r="G60" s="2" t="n">
        <f aca="false">VLOOKUP($B60,[1]Day2!$A$1:$H$400,6,FALSE())</f>
        <v>0</v>
      </c>
      <c r="H60" s="2" t="n">
        <f aca="false">VLOOKUP($B60,[1]Day2!$A$1:$H$400,7,FALSE())</f>
        <v>0</v>
      </c>
      <c r="I60" s="2" t="n">
        <f aca="false">SUM(E60:H60)</f>
        <v>1</v>
      </c>
      <c r="J60" s="0"/>
      <c r="K60" s="0"/>
      <c r="L60" s="0"/>
      <c r="M60" s="0"/>
    </row>
    <row r="61" customFormat="false" ht="12.75" hidden="false" customHeight="true" outlineLevel="0" collapsed="false">
      <c r="A61" s="3" t="n">
        <v>60</v>
      </c>
      <c r="B61" s="2" t="n">
        <v>118416</v>
      </c>
      <c r="C61" s="2" t="s">
        <v>111</v>
      </c>
      <c r="D61" s="2" t="s">
        <v>235</v>
      </c>
      <c r="E61" s="2" t="n">
        <f aca="false">VLOOKUP($B61,[1]Day2!$A$1:$H$400,4,FALSE())</f>
        <v>0</v>
      </c>
      <c r="F61" s="2" t="n">
        <f aca="false">VLOOKUP($B61,[1]Day2!$A$1:$H$400,5,FALSE())</f>
        <v>0</v>
      </c>
      <c r="G61" s="2" t="n">
        <f aca="false">VLOOKUP($B61,[1]Day2!$A$1:$H$400,6,FALSE())</f>
        <v>0</v>
      </c>
      <c r="H61" s="2" t="n">
        <f aca="false">VLOOKUP($B61,[1]Day2!$A$1:$H$400,7,FALSE())</f>
        <v>1</v>
      </c>
      <c r="I61" s="2" t="n">
        <f aca="false">SUM(E61:H61)</f>
        <v>1</v>
      </c>
      <c r="J61" s="0"/>
      <c r="K61" s="0"/>
      <c r="L61" s="0"/>
      <c r="M61" s="0"/>
    </row>
    <row r="62" customFormat="false" ht="12.75" hidden="false" customHeight="true" outlineLevel="0" collapsed="false">
      <c r="A62" s="3" t="n">
        <v>61</v>
      </c>
      <c r="B62" s="2" t="n">
        <v>111053</v>
      </c>
      <c r="C62" s="2" t="s">
        <v>318</v>
      </c>
      <c r="D62" s="2" t="s">
        <v>319</v>
      </c>
      <c r="E62" s="2" t="n">
        <f aca="false">VLOOKUP($B62,[1]Day2!$A$1:$H$400,4,FALSE())</f>
        <v>0</v>
      </c>
      <c r="F62" s="2" t="n">
        <f aca="false">VLOOKUP($B62,[1]Day2!$A$1:$H$400,5,FALSE())</f>
        <v>0</v>
      </c>
      <c r="G62" s="2" t="n">
        <f aca="false">VLOOKUP($B62,[1]Day2!$A$1:$H$400,6,FALSE())</f>
        <v>0</v>
      </c>
      <c r="H62" s="2" t="n">
        <f aca="false">VLOOKUP($B62,[1]Day2!$A$1:$H$400,7,FALSE())</f>
        <v>0</v>
      </c>
      <c r="I62" s="2" t="n">
        <f aca="false">SUM(E62:H62)</f>
        <v>0</v>
      </c>
      <c r="J62" s="0"/>
      <c r="K62" s="0"/>
      <c r="L62" s="0"/>
      <c r="M62" s="0"/>
    </row>
    <row r="63" customFormat="false" ht="12.75" hidden="false" customHeight="true" outlineLevel="0" collapsed="false">
      <c r="A63" s="3" t="n">
        <v>62</v>
      </c>
      <c r="B63" s="2" t="n">
        <v>164667</v>
      </c>
      <c r="C63" s="2" t="s">
        <v>320</v>
      </c>
      <c r="D63" s="2" t="s">
        <v>313</v>
      </c>
      <c r="E63" s="2" t="n">
        <f aca="false">VLOOKUP($B63,[1]Day2!$A$1:$H$400,4,FALSE())</f>
        <v>0</v>
      </c>
      <c r="F63" s="2" t="n">
        <f aca="false">VLOOKUP($B63,[1]Day2!$A$1:$H$400,5,FALSE())</f>
        <v>0</v>
      </c>
      <c r="G63" s="2" t="n">
        <f aca="false">VLOOKUP($B63,[1]Day2!$A$1:$H$400,6,FALSE())</f>
        <v>0</v>
      </c>
      <c r="H63" s="2" t="n">
        <f aca="false">VLOOKUP($B63,[1]Day2!$A$1:$H$400,7,FALSE())</f>
        <v>0</v>
      </c>
      <c r="I63" s="2" t="n">
        <f aca="false">SUM(E63:H63)</f>
        <v>0</v>
      </c>
      <c r="J63" s="0"/>
      <c r="K63" s="0"/>
      <c r="L63" s="0"/>
      <c r="M63" s="0"/>
    </row>
    <row r="64" customFormat="false" ht="12.75" hidden="false" customHeight="true" outlineLevel="0" collapsed="false">
      <c r="A64" s="3" t="n">
        <v>63</v>
      </c>
      <c r="B64" s="2" t="n">
        <v>181492</v>
      </c>
      <c r="C64" s="2" t="s">
        <v>321</v>
      </c>
      <c r="D64" s="2" t="s">
        <v>322</v>
      </c>
      <c r="E64" s="2" t="n">
        <f aca="false">VLOOKUP($B64,[1]Day2!$A$1:$H$400,4,FALSE())</f>
        <v>0</v>
      </c>
      <c r="F64" s="2" t="n">
        <f aca="false">VLOOKUP($B64,[1]Day2!$A$1:$H$400,5,FALSE())</f>
        <v>0</v>
      </c>
      <c r="G64" s="2" t="n">
        <f aca="false">VLOOKUP($B64,[1]Day2!$A$1:$H$400,6,FALSE())</f>
        <v>0</v>
      </c>
      <c r="H64" s="2" t="n">
        <f aca="false">VLOOKUP($B64,[1]Day2!$A$1:$H$400,7,FALSE())</f>
        <v>0</v>
      </c>
      <c r="I64" s="2" t="n">
        <f aca="false">SUM(E64:H64)</f>
        <v>0</v>
      </c>
      <c r="J64" s="0"/>
      <c r="K64" s="0"/>
      <c r="L64" s="0"/>
      <c r="M64" s="0"/>
    </row>
    <row r="65" customFormat="false" ht="12.75" hidden="false" customHeight="true" outlineLevel="0" collapsed="false">
      <c r="A65" s="3" t="n">
        <v>64</v>
      </c>
      <c r="B65" s="2" t="n">
        <v>164796</v>
      </c>
      <c r="C65" s="2" t="s">
        <v>323</v>
      </c>
      <c r="D65" s="2" t="s">
        <v>324</v>
      </c>
      <c r="E65" s="2" t="n">
        <f aca="false">VLOOKUP($B65,[1]Day2!$A$1:$H$400,4,FALSE())</f>
        <v>0</v>
      </c>
      <c r="F65" s="2" t="n">
        <f aca="false">VLOOKUP($B65,[1]Day2!$A$1:$H$400,5,FALSE())</f>
        <v>0</v>
      </c>
      <c r="G65" s="2" t="n">
        <f aca="false">VLOOKUP($B65,[1]Day2!$A$1:$H$400,6,FALSE())</f>
        <v>0</v>
      </c>
      <c r="H65" s="2" t="n">
        <f aca="false">VLOOKUP($B65,[1]Day2!$A$1:$H$400,7,FALSE())</f>
        <v>0</v>
      </c>
      <c r="I65" s="2" t="n">
        <f aca="false">SUM(E65:H65)</f>
        <v>0</v>
      </c>
      <c r="J65" s="0"/>
      <c r="K65" s="0"/>
      <c r="L65" s="0"/>
      <c r="M65" s="0"/>
    </row>
    <row r="66" customFormat="false" ht="12.75" hidden="false" customHeight="true" outlineLevel="0" collapsed="false">
      <c r="A66" s="3" t="n">
        <v>65</v>
      </c>
      <c r="B66" s="2" t="n">
        <v>190426</v>
      </c>
      <c r="C66" s="2" t="s">
        <v>325</v>
      </c>
      <c r="D66" s="2" t="s">
        <v>34</v>
      </c>
      <c r="E66" s="2" t="n">
        <f aca="false">VLOOKUP($B66,[1]Day2!$A$1:$H$400,4,FALSE())</f>
        <v>0</v>
      </c>
      <c r="F66" s="2" t="n">
        <f aca="false">VLOOKUP($B66,[1]Day2!$A$1:$H$400,5,FALSE())</f>
        <v>0</v>
      </c>
      <c r="G66" s="2" t="n">
        <f aca="false">VLOOKUP($B66,[1]Day2!$A$1:$H$400,6,FALSE())</f>
        <v>0</v>
      </c>
      <c r="H66" s="2" t="n">
        <f aca="false">VLOOKUP($B66,[1]Day2!$A$1:$H$400,7,FALSE())</f>
        <v>0</v>
      </c>
      <c r="I66" s="2" t="n">
        <f aca="false">SUM(E66:H66)</f>
        <v>0</v>
      </c>
      <c r="J66" s="0"/>
      <c r="K66" s="0"/>
      <c r="L66" s="0"/>
      <c r="M66" s="0"/>
    </row>
    <row r="67" customFormat="false" ht="12.75" hidden="false" customHeight="true" outlineLevel="0" collapsed="false">
      <c r="A67" s="3" t="n">
        <v>66</v>
      </c>
      <c r="B67" s="2" t="n">
        <v>86893</v>
      </c>
      <c r="C67" s="2" t="s">
        <v>326</v>
      </c>
      <c r="D67" s="2" t="s">
        <v>327</v>
      </c>
      <c r="E67" s="2" t="n">
        <f aca="false">VLOOKUP($B67,[1]Day2!$A$1:$H$400,4,FALSE())</f>
        <v>0</v>
      </c>
      <c r="F67" s="2" t="n">
        <f aca="false">VLOOKUP($B67,[1]Day2!$A$1:$H$400,5,FALSE())</f>
        <v>0</v>
      </c>
      <c r="G67" s="2" t="n">
        <f aca="false">VLOOKUP($B67,[1]Day2!$A$1:$H$400,6,FALSE())</f>
        <v>0</v>
      </c>
      <c r="H67" s="2" t="n">
        <f aca="false">VLOOKUP($B67,[1]Day2!$A$1:$H$400,7,FALSE())</f>
        <v>0</v>
      </c>
      <c r="I67" s="2" t="n">
        <f aca="false">SUM(E67:H67)</f>
        <v>0</v>
      </c>
      <c r="J67" s="0"/>
      <c r="K67" s="0"/>
      <c r="L67" s="0"/>
      <c r="M67" s="0"/>
    </row>
    <row r="68" customFormat="false" ht="12.75" hidden="false" customHeight="true" outlineLevel="0" collapsed="false">
      <c r="A68" s="3" t="n">
        <v>67</v>
      </c>
      <c r="B68" s="2" t="n">
        <v>117485</v>
      </c>
      <c r="C68" s="2" t="s">
        <v>328</v>
      </c>
      <c r="D68" s="2" t="s">
        <v>329</v>
      </c>
      <c r="E68" s="2" t="n">
        <f aca="false">VLOOKUP($B68,[1]Day2!$A$1:$H$400,4,FALSE())</f>
        <v>0</v>
      </c>
      <c r="F68" s="2" t="n">
        <f aca="false">VLOOKUP($B68,[1]Day2!$A$1:$H$400,5,FALSE())</f>
        <v>0</v>
      </c>
      <c r="G68" s="2" t="n">
        <f aca="false">VLOOKUP($B68,[1]Day2!$A$1:$H$400,6,FALSE())</f>
        <v>0</v>
      </c>
      <c r="H68" s="2" t="n">
        <f aca="false">VLOOKUP($B68,[1]Day2!$A$1:$H$400,7,FALSE())</f>
        <v>0</v>
      </c>
      <c r="I68" s="2" t="n">
        <f aca="false">SUM(E68:H68)</f>
        <v>0</v>
      </c>
      <c r="J68" s="0"/>
      <c r="K68" s="0"/>
      <c r="L68" s="0"/>
      <c r="M68" s="0"/>
    </row>
    <row r="69" customFormat="false" ht="12.75" hidden="false" customHeight="true" outlineLevel="0" collapsed="false">
      <c r="A69" s="3" t="n">
        <v>68</v>
      </c>
      <c r="B69" s="2" t="n">
        <v>87043</v>
      </c>
      <c r="C69" s="2" t="s">
        <v>330</v>
      </c>
      <c r="D69" s="2" t="s">
        <v>331</v>
      </c>
      <c r="E69" s="2" t="n">
        <f aca="false">VLOOKUP($B69,[1]Day2!$A$1:$H$400,4,FALSE())</f>
        <v>0</v>
      </c>
      <c r="F69" s="2" t="n">
        <f aca="false">VLOOKUP($B69,[1]Day2!$A$1:$H$400,5,FALSE())</f>
        <v>0</v>
      </c>
      <c r="G69" s="2" t="n">
        <f aca="false">VLOOKUP($B69,[1]Day2!$A$1:$H$400,6,FALSE())</f>
        <v>0</v>
      </c>
      <c r="H69" s="2" t="n">
        <f aca="false">VLOOKUP($B69,[1]Day2!$A$1:$H$400,7,FALSE())</f>
        <v>0</v>
      </c>
      <c r="I69" s="2" t="n">
        <f aca="false">SUM(E69:H69)</f>
        <v>0</v>
      </c>
      <c r="J69" s="0"/>
      <c r="K69" s="0"/>
      <c r="L69" s="0"/>
      <c r="M69" s="0"/>
    </row>
    <row r="70" customFormat="false" ht="12.75" hidden="false" customHeight="true" outlineLevel="0" collapsed="false">
      <c r="A70" s="3" t="n">
        <v>69</v>
      </c>
      <c r="B70" s="2" t="n">
        <v>121837</v>
      </c>
      <c r="C70" s="2" t="s">
        <v>332</v>
      </c>
      <c r="D70" s="2" t="s">
        <v>18</v>
      </c>
      <c r="E70" s="2" t="n">
        <f aca="false">VLOOKUP($B70,[1]Day2!$A$1:$H$400,4,FALSE())</f>
        <v>0</v>
      </c>
      <c r="F70" s="2" t="n">
        <f aca="false">VLOOKUP($B70,[1]Day2!$A$1:$H$400,5,FALSE())</f>
        <v>0</v>
      </c>
      <c r="G70" s="2" t="n">
        <f aca="false">VLOOKUP($B70,[1]Day2!$A$1:$H$400,6,FALSE())</f>
        <v>0</v>
      </c>
      <c r="H70" s="2" t="n">
        <f aca="false">VLOOKUP($B70,[1]Day2!$A$1:$H$400,7,FALSE())</f>
        <v>0</v>
      </c>
      <c r="I70" s="2" t="n">
        <f aca="false">SUM(E70:H70)</f>
        <v>0</v>
      </c>
      <c r="J70" s="0"/>
      <c r="K70" s="0"/>
      <c r="L70" s="0"/>
      <c r="M70" s="0"/>
    </row>
    <row r="71" customFormat="false" ht="12.75" hidden="false" customHeight="true" outlineLevel="0" collapsed="false">
      <c r="A71" s="3" t="n">
        <v>70</v>
      </c>
      <c r="B71" s="2" t="n">
        <v>195772</v>
      </c>
      <c r="C71" s="2" t="s">
        <v>333</v>
      </c>
      <c r="D71" s="2" t="s">
        <v>334</v>
      </c>
      <c r="E71" s="2" t="n">
        <f aca="false">VLOOKUP($B71,[1]Day2!$A$1:$H$400,4,FALSE())</f>
        <v>0</v>
      </c>
      <c r="F71" s="2" t="n">
        <f aca="false">VLOOKUP($B71,[1]Day2!$A$1:$H$400,5,FALSE())</f>
        <v>0</v>
      </c>
      <c r="G71" s="2" t="n">
        <f aca="false">VLOOKUP($B71,[1]Day2!$A$1:$H$400,6,FALSE())</f>
        <v>0</v>
      </c>
      <c r="H71" s="2" t="n">
        <f aca="false">VLOOKUP($B71,[1]Day2!$A$1:$H$400,7,FALSE())</f>
        <v>0</v>
      </c>
      <c r="I71" s="2" t="n">
        <f aca="false">SUM(E71:H71)</f>
        <v>0</v>
      </c>
      <c r="J71" s="0"/>
      <c r="K71" s="0"/>
      <c r="L71" s="0"/>
      <c r="M71" s="0"/>
    </row>
    <row r="72" customFormat="false" ht="12.75" hidden="false" customHeight="true" outlineLevel="0" collapsed="false">
      <c r="A72" s="3" t="n">
        <v>71</v>
      </c>
      <c r="B72" s="2" t="n">
        <v>195774</v>
      </c>
      <c r="C72" s="2" t="s">
        <v>335</v>
      </c>
      <c r="D72" s="2" t="s">
        <v>34</v>
      </c>
      <c r="E72" s="2" t="n">
        <f aca="false">VLOOKUP($B72,[1]Day2!$A$1:$H$400,4,FALSE())</f>
        <v>0</v>
      </c>
      <c r="F72" s="2" t="n">
        <f aca="false">VLOOKUP($B72,[1]Day2!$A$1:$H$400,5,FALSE())</f>
        <v>0</v>
      </c>
      <c r="G72" s="2" t="n">
        <f aca="false">VLOOKUP($B72,[1]Day2!$A$1:$H$400,6,FALSE())</f>
        <v>0</v>
      </c>
      <c r="H72" s="2" t="n">
        <f aca="false">VLOOKUP($B72,[1]Day2!$A$1:$H$400,7,FALSE())</f>
        <v>0</v>
      </c>
      <c r="I72" s="2" t="n">
        <f aca="false">SUM(E72:H72)</f>
        <v>0</v>
      </c>
      <c r="J72" s="0"/>
      <c r="K72" s="0"/>
      <c r="L72" s="0"/>
      <c r="M72" s="0"/>
    </row>
    <row r="73" customFormat="false" ht="12.75" hidden="false" customHeight="true" outlineLevel="0" collapsed="false">
      <c r="A73" s="3" t="n">
        <v>72</v>
      </c>
      <c r="B73" s="2" t="n">
        <v>110891</v>
      </c>
      <c r="C73" s="2" t="s">
        <v>134</v>
      </c>
      <c r="D73" s="2" t="s">
        <v>336</v>
      </c>
      <c r="E73" s="2" t="n">
        <f aca="false">VLOOKUP($B73,[1]Day2!$A$1:$H$400,4,FALSE())</f>
        <v>0</v>
      </c>
      <c r="F73" s="2" t="n">
        <f aca="false">VLOOKUP($B73,[1]Day2!$A$1:$H$400,5,FALSE())</f>
        <v>0</v>
      </c>
      <c r="G73" s="2" t="n">
        <f aca="false">VLOOKUP($B73,[1]Day2!$A$1:$H$400,6,FALSE())</f>
        <v>0</v>
      </c>
      <c r="H73" s="2" t="n">
        <f aca="false">VLOOKUP($B73,[1]Day2!$A$1:$H$400,7,FALSE())</f>
        <v>0</v>
      </c>
      <c r="I73" s="2" t="n">
        <f aca="false">SUM(E73:H73)</f>
        <v>0</v>
      </c>
      <c r="J73" s="0"/>
      <c r="K73" s="0"/>
      <c r="L73" s="0"/>
      <c r="M73" s="0"/>
    </row>
    <row r="74" customFormat="false" ht="12.75" hidden="false" customHeight="true" outlineLevel="0" collapsed="false">
      <c r="A74" s="3" t="n">
        <v>73</v>
      </c>
      <c r="B74" s="2" t="n">
        <v>110924</v>
      </c>
      <c r="C74" s="2" t="s">
        <v>337</v>
      </c>
      <c r="D74" s="2" t="s">
        <v>338</v>
      </c>
      <c r="E74" s="2" t="n">
        <f aca="false">VLOOKUP($B74,[1]Day2!$A$1:$H$400,4,FALSE())</f>
        <v>0</v>
      </c>
      <c r="F74" s="2" t="n">
        <f aca="false">VLOOKUP($B74,[1]Day2!$A$1:$H$400,5,FALSE())</f>
        <v>0</v>
      </c>
      <c r="G74" s="2" t="n">
        <f aca="false">VLOOKUP($B74,[1]Day2!$A$1:$H$400,6,FALSE())</f>
        <v>0</v>
      </c>
      <c r="H74" s="2" t="n">
        <f aca="false">VLOOKUP($B74,[1]Day2!$A$1:$H$400,7,FALSE())</f>
        <v>0</v>
      </c>
      <c r="I74" s="2" t="n">
        <f aca="false">SUM(E74:H74)</f>
        <v>0</v>
      </c>
      <c r="J74" s="0"/>
      <c r="K74" s="0"/>
      <c r="L74" s="0"/>
      <c r="M74" s="0"/>
    </row>
    <row r="75" customFormat="false" ht="12.75" hidden="false" customHeight="true" outlineLevel="0" collapsed="false">
      <c r="A75" s="3" t="n">
        <v>74</v>
      </c>
      <c r="B75" s="2" t="n">
        <v>212534</v>
      </c>
      <c r="C75" s="2" t="s">
        <v>339</v>
      </c>
      <c r="D75" s="2" t="s">
        <v>340</v>
      </c>
      <c r="E75" s="2" t="n">
        <f aca="false">VLOOKUP($B75,[1]Day2!$A$1:$H$400,4,FALSE())</f>
        <v>0</v>
      </c>
      <c r="F75" s="2" t="n">
        <f aca="false">VLOOKUP($B75,[1]Day2!$A$1:$H$400,5,FALSE())</f>
        <v>0</v>
      </c>
      <c r="G75" s="2" t="n">
        <f aca="false">VLOOKUP($B75,[1]Day2!$A$1:$H$400,6,FALSE())</f>
        <v>0</v>
      </c>
      <c r="H75" s="2" t="n">
        <f aca="false">VLOOKUP($B75,[1]Day2!$A$1:$H$400,7,FALSE())</f>
        <v>0</v>
      </c>
      <c r="I75" s="2" t="n">
        <f aca="false">SUM(E75:H75)</f>
        <v>0</v>
      </c>
      <c r="J75" s="0"/>
      <c r="K75" s="0"/>
      <c r="L75" s="0"/>
      <c r="M75" s="0"/>
    </row>
    <row r="76" customFormat="false" ht="12.75" hidden="false" customHeight="true" outlineLevel="0" collapsed="false">
      <c r="A76" s="3" t="n">
        <v>75</v>
      </c>
      <c r="B76" s="2" t="n">
        <v>175032</v>
      </c>
      <c r="C76" s="2" t="s">
        <v>228</v>
      </c>
      <c r="D76" s="2" t="s">
        <v>80</v>
      </c>
      <c r="E76" s="2" t="n">
        <f aca="false">VLOOKUP($B76,[1]Day2!$A$1:$H$400,4,FALSE())</f>
        <v>0</v>
      </c>
      <c r="F76" s="2" t="n">
        <f aca="false">VLOOKUP($B76,[1]Day2!$A$1:$H$400,5,FALSE())</f>
        <v>0</v>
      </c>
      <c r="G76" s="2" t="n">
        <f aca="false">VLOOKUP($B76,[1]Day2!$A$1:$H$400,6,FALSE())</f>
        <v>0</v>
      </c>
      <c r="H76" s="2" t="n">
        <f aca="false">VLOOKUP($B76,[1]Day2!$A$1:$H$400,7,FALSE())</f>
        <v>0</v>
      </c>
      <c r="I76" s="2" t="n">
        <f aca="false">SUM(E76:H76)</f>
        <v>0</v>
      </c>
      <c r="J76" s="0"/>
      <c r="K76" s="0"/>
      <c r="L76" s="0"/>
      <c r="M76" s="0"/>
    </row>
    <row r="77" customFormat="false" ht="12.75" hidden="false" customHeight="true" outlineLevel="0" collapsed="false">
      <c r="A77" s="3" t="n">
        <v>76</v>
      </c>
      <c r="B77" s="2" t="n">
        <v>223928</v>
      </c>
      <c r="C77" s="2" t="s">
        <v>341</v>
      </c>
      <c r="D77" s="2" t="s">
        <v>342</v>
      </c>
      <c r="E77" s="2" t="n">
        <f aca="false">VLOOKUP($B77,[1]Day2!$A$1:$H$400,4,FALSE())</f>
        <v>0</v>
      </c>
      <c r="F77" s="2" t="n">
        <f aca="false">VLOOKUP($B77,[1]Day2!$A$1:$H$400,5,FALSE())</f>
        <v>0</v>
      </c>
      <c r="G77" s="2" t="n">
        <f aca="false">VLOOKUP($B77,[1]Day2!$A$1:$H$400,6,FALSE())</f>
        <v>0</v>
      </c>
      <c r="H77" s="2" t="n">
        <f aca="false">VLOOKUP($B77,[1]Day2!$A$1:$H$400,7,FALSE())</f>
        <v>0</v>
      </c>
      <c r="I77" s="2" t="n">
        <f aca="false">SUM(E77:H77)</f>
        <v>0</v>
      </c>
      <c r="J77" s="0"/>
      <c r="K77" s="0"/>
      <c r="L77" s="0"/>
      <c r="M77" s="0"/>
    </row>
    <row r="78" customFormat="false" ht="12.75" hidden="false" customHeight="true" outlineLevel="0" collapsed="false">
      <c r="A78" s="3" t="n">
        <v>77</v>
      </c>
      <c r="B78" s="2" t="n">
        <v>78586</v>
      </c>
      <c r="C78" s="2" t="s">
        <v>191</v>
      </c>
      <c r="D78" s="2" t="s">
        <v>343</v>
      </c>
      <c r="E78" s="2" t="n">
        <f aca="false">VLOOKUP($B78,[1]Day2!$A$1:$H$400,4,FALSE())</f>
        <v>0</v>
      </c>
      <c r="F78" s="2" t="n">
        <f aca="false">VLOOKUP($B78,[1]Day2!$A$1:$H$400,5,FALSE())</f>
        <v>0</v>
      </c>
      <c r="G78" s="2" t="n">
        <f aca="false">VLOOKUP($B78,[1]Day2!$A$1:$H$400,6,FALSE())</f>
        <v>0</v>
      </c>
      <c r="H78" s="2" t="n">
        <f aca="false">VLOOKUP($B78,[1]Day2!$A$1:$H$400,7,FALSE())</f>
        <v>0</v>
      </c>
      <c r="I78" s="2" t="n">
        <f aca="false">SUM(E78:H78)</f>
        <v>0</v>
      </c>
      <c r="J78" s="0"/>
      <c r="K78" s="0"/>
      <c r="L78" s="0"/>
      <c r="M78" s="0"/>
    </row>
    <row r="79" customFormat="false" ht="12.75" hidden="false" customHeight="true" outlineLevel="0" collapsed="false">
      <c r="A79" s="3" t="n">
        <v>78</v>
      </c>
      <c r="B79" s="2" t="n">
        <v>83905</v>
      </c>
      <c r="C79" s="2" t="s">
        <v>344</v>
      </c>
      <c r="D79" s="2" t="s">
        <v>124</v>
      </c>
      <c r="E79" s="2" t="n">
        <f aca="false">VLOOKUP($B79,[1]Day2!$A$1:$H$400,4,FALSE())</f>
        <v>0</v>
      </c>
      <c r="F79" s="2" t="n">
        <f aca="false">VLOOKUP($B79,[1]Day2!$A$1:$H$400,5,FALSE())</f>
        <v>0</v>
      </c>
      <c r="G79" s="2" t="n">
        <f aca="false">VLOOKUP($B79,[1]Day2!$A$1:$H$400,6,FALSE())</f>
        <v>0</v>
      </c>
      <c r="H79" s="2" t="n">
        <f aca="false">VLOOKUP($B79,[1]Day2!$A$1:$H$400,7,FALSE())</f>
        <v>0</v>
      </c>
      <c r="I79" s="2" t="n">
        <f aca="false">SUM(E79:H79)</f>
        <v>0</v>
      </c>
      <c r="J79" s="0"/>
      <c r="K79" s="0"/>
      <c r="L79" s="0"/>
      <c r="M79" s="0"/>
    </row>
    <row r="80" customFormat="false" ht="12.75" hidden="false" customHeight="true" outlineLevel="0" collapsed="false">
      <c r="A80" s="3" t="n">
        <v>79</v>
      </c>
      <c r="B80" s="2" t="n">
        <v>118386</v>
      </c>
      <c r="C80" s="2" t="s">
        <v>345</v>
      </c>
      <c r="D80" s="2" t="s">
        <v>155</v>
      </c>
      <c r="E80" s="2" t="n">
        <f aca="false">VLOOKUP($B80,[1]Day2!$A$1:$H$400,4,FALSE())</f>
        <v>0</v>
      </c>
      <c r="F80" s="2" t="n">
        <f aca="false">VLOOKUP($B80,[1]Day2!$A$1:$H$400,5,FALSE())</f>
        <v>0</v>
      </c>
      <c r="G80" s="2" t="n">
        <f aca="false">VLOOKUP($B80,[1]Day2!$A$1:$H$400,6,FALSE())</f>
        <v>0</v>
      </c>
      <c r="H80" s="2" t="n">
        <f aca="false">VLOOKUP($B80,[1]Day2!$A$1:$H$400,7,FALSE())</f>
        <v>0</v>
      </c>
      <c r="I80" s="2" t="n">
        <f aca="false">SUM(E80:H80)</f>
        <v>0</v>
      </c>
      <c r="J80" s="0"/>
      <c r="K80" s="0"/>
      <c r="L80" s="0"/>
      <c r="M80" s="0"/>
    </row>
    <row r="81" customFormat="false" ht="12.75" hidden="false" customHeight="true" outlineLevel="0" collapsed="false">
      <c r="A81" s="3" t="n">
        <v>80</v>
      </c>
      <c r="B81" s="2" t="n">
        <v>185342</v>
      </c>
      <c r="C81" s="2" t="s">
        <v>346</v>
      </c>
      <c r="D81" s="2" t="s">
        <v>347</v>
      </c>
      <c r="E81" s="2" t="n">
        <f aca="false">VLOOKUP($B81,[1]Day2!$A$1:$H$400,4,FALSE())</f>
        <v>0</v>
      </c>
      <c r="F81" s="2" t="n">
        <f aca="false">VLOOKUP($B81,[1]Day2!$A$1:$H$400,5,FALSE())</f>
        <v>0</v>
      </c>
      <c r="G81" s="2" t="n">
        <f aca="false">VLOOKUP($B81,[1]Day2!$A$1:$H$400,6,FALSE())</f>
        <v>0</v>
      </c>
      <c r="H81" s="2" t="n">
        <f aca="false">VLOOKUP($B81,[1]Day2!$A$1:$H$400,7,FALSE())</f>
        <v>0</v>
      </c>
      <c r="I81" s="2" t="n">
        <f aca="false">SUM(E81:H81)</f>
        <v>0</v>
      </c>
      <c r="J81" s="0"/>
      <c r="K81" s="0"/>
      <c r="L81" s="0"/>
      <c r="M81" s="0"/>
    </row>
    <row r="82" customFormat="false" ht="12.75" hidden="false" customHeight="true" outlineLevel="0" collapsed="false">
      <c r="A82" s="3" t="n">
        <v>81</v>
      </c>
      <c r="B82" s="2" t="n">
        <v>185346</v>
      </c>
      <c r="C82" s="2" t="s">
        <v>348</v>
      </c>
      <c r="D82" s="2" t="s">
        <v>87</v>
      </c>
      <c r="E82" s="2"/>
      <c r="F82" s="2"/>
      <c r="G82" s="2"/>
      <c r="H82" s="2"/>
      <c r="I82" s="2" t="n">
        <f aca="false">SUM(E82:H82)</f>
        <v>0</v>
      </c>
      <c r="J82" s="0"/>
      <c r="K82" s="0"/>
      <c r="L82" s="0"/>
      <c r="M82" s="0"/>
    </row>
    <row r="83" customFormat="false" ht="12.75" hidden="false" customHeight="true" outlineLevel="0" collapsed="false">
      <c r="A83" s="3" t="n">
        <v>82</v>
      </c>
      <c r="B83" s="2" t="n">
        <v>72328</v>
      </c>
      <c r="C83" s="2" t="s">
        <v>349</v>
      </c>
      <c r="D83" s="2" t="s">
        <v>350</v>
      </c>
      <c r="E83" s="2" t="n">
        <f aca="false">VLOOKUP($B83,[1]Day2!$A$1:$H$400,4,FALSE())</f>
        <v>0</v>
      </c>
      <c r="F83" s="2" t="n">
        <f aca="false">VLOOKUP($B83,[1]Day2!$A$1:$H$400,5,FALSE())</f>
        <v>0</v>
      </c>
      <c r="G83" s="2" t="n">
        <f aca="false">VLOOKUP($B83,[1]Day2!$A$1:$H$400,6,FALSE())</f>
        <v>0</v>
      </c>
      <c r="H83" s="2" t="n">
        <f aca="false">VLOOKUP($B83,[1]Day2!$A$1:$H$400,7,FALSE())</f>
        <v>0</v>
      </c>
      <c r="I83" s="2" t="n">
        <f aca="false">SUM(E83:H83)</f>
        <v>0</v>
      </c>
      <c r="J83" s="0"/>
      <c r="K83" s="0"/>
      <c r="L83" s="0"/>
      <c r="M83" s="0"/>
    </row>
    <row r="84" customFormat="false" ht="12.75" hidden="false" customHeight="true" outlineLevel="0" collapsed="false">
      <c r="A84" s="3" t="n">
        <v>83</v>
      </c>
      <c r="B84" s="2" t="n">
        <v>88983</v>
      </c>
      <c r="C84" s="2" t="s">
        <v>351</v>
      </c>
      <c r="D84" s="2" t="s">
        <v>222</v>
      </c>
      <c r="E84" s="2" t="n">
        <f aca="false">VLOOKUP($B84,[1]Day2!$A$1:$H$400,4,FALSE())</f>
        <v>0</v>
      </c>
      <c r="F84" s="2" t="n">
        <f aca="false">VLOOKUP($B84,[1]Day2!$A$1:$H$400,5,FALSE())</f>
        <v>0</v>
      </c>
      <c r="G84" s="2" t="n">
        <f aca="false">VLOOKUP($B84,[1]Day2!$A$1:$H$400,6,FALSE())</f>
        <v>0</v>
      </c>
      <c r="H84" s="2" t="n">
        <f aca="false">VLOOKUP($B84,[1]Day2!$A$1:$H$400,7,FALSE())</f>
        <v>0</v>
      </c>
      <c r="I84" s="2" t="n">
        <f aca="false">SUM(E84:H84)</f>
        <v>0</v>
      </c>
      <c r="J84" s="0"/>
      <c r="K84" s="0"/>
      <c r="L84" s="0"/>
      <c r="M84" s="0"/>
    </row>
    <row r="85" customFormat="false" ht="12.75" hidden="false" customHeight="true" outlineLevel="0" collapsed="false">
      <c r="A85" s="3" t="n">
        <v>84</v>
      </c>
      <c r="B85" s="2" t="n">
        <v>72495</v>
      </c>
      <c r="C85" s="2" t="s">
        <v>352</v>
      </c>
      <c r="D85" s="2" t="s">
        <v>183</v>
      </c>
      <c r="E85" s="2" t="n">
        <f aca="false">VLOOKUP($B85,[1]Day2!$A$1:$H$400,4,FALSE())</f>
        <v>0</v>
      </c>
      <c r="F85" s="2" t="n">
        <f aca="false">VLOOKUP($B85,[1]Day2!$A$1:$H$400,5,FALSE())</f>
        <v>0</v>
      </c>
      <c r="G85" s="2" t="n">
        <f aca="false">VLOOKUP($B85,[1]Day2!$A$1:$H$400,6,FALSE())</f>
        <v>0</v>
      </c>
      <c r="H85" s="2" t="n">
        <f aca="false">VLOOKUP($B85,[1]Day2!$A$1:$H$400,7,FALSE())</f>
        <v>0</v>
      </c>
      <c r="I85" s="2" t="n">
        <f aca="false">SUM(E85:H85)</f>
        <v>0</v>
      </c>
      <c r="J85" s="0"/>
      <c r="K85" s="0"/>
      <c r="L85" s="0"/>
      <c r="M85" s="0"/>
    </row>
    <row r="86" customFormat="false" ht="12.75" hidden="false" customHeight="true" outlineLevel="0" collapsed="false">
      <c r="A86" s="3" t="n">
        <v>85</v>
      </c>
      <c r="B86" s="2" t="n">
        <v>74034</v>
      </c>
      <c r="C86" s="2" t="s">
        <v>353</v>
      </c>
      <c r="D86" s="2" t="s">
        <v>354</v>
      </c>
      <c r="E86" s="2"/>
      <c r="F86" s="2"/>
      <c r="G86" s="2"/>
      <c r="H86" s="2"/>
      <c r="I86" s="2" t="n">
        <f aca="false">SUM(E86:H86)</f>
        <v>0</v>
      </c>
      <c r="J86" s="0"/>
      <c r="K86" s="0"/>
      <c r="L86" s="0"/>
      <c r="M86" s="0"/>
    </row>
    <row r="87" customFormat="false" ht="12.75" hidden="false" customHeight="true" outlineLevel="0" collapsed="false">
      <c r="A87" s="3" t="n">
        <v>86</v>
      </c>
      <c r="B87" s="2" t="n">
        <v>74035</v>
      </c>
      <c r="C87" s="2" t="s">
        <v>94</v>
      </c>
      <c r="D87" s="2" t="s">
        <v>355</v>
      </c>
      <c r="E87" s="2"/>
      <c r="F87" s="2"/>
      <c r="G87" s="2"/>
      <c r="H87" s="2"/>
      <c r="I87" s="2" t="n">
        <f aca="false">SUM(E87:H87)</f>
        <v>0</v>
      </c>
      <c r="J87" s="0"/>
      <c r="K87" s="0"/>
      <c r="L87" s="0"/>
      <c r="M87" s="0"/>
    </row>
    <row r="88" customFormat="false" ht="12.75" hidden="false" customHeight="true" outlineLevel="0" collapsed="false">
      <c r="A88" s="3" t="n">
        <v>87</v>
      </c>
      <c r="B88" s="2" t="n">
        <v>187776</v>
      </c>
      <c r="C88" s="2" t="s">
        <v>356</v>
      </c>
      <c r="D88" s="2" t="s">
        <v>31</v>
      </c>
      <c r="E88" s="2" t="n">
        <f aca="false">VLOOKUP($B88,[1]Day2!$A$1:$H$400,4,FALSE())</f>
        <v>0</v>
      </c>
      <c r="F88" s="2" t="n">
        <f aca="false">VLOOKUP($B88,[1]Day2!$A$1:$H$400,5,FALSE())</f>
        <v>0</v>
      </c>
      <c r="G88" s="2" t="n">
        <f aca="false">VLOOKUP($B88,[1]Day2!$A$1:$H$400,6,FALSE())</f>
        <v>0</v>
      </c>
      <c r="H88" s="2" t="n">
        <f aca="false">VLOOKUP($B88,[1]Day2!$A$1:$H$400,7,FALSE())</f>
        <v>0</v>
      </c>
      <c r="I88" s="2" t="n">
        <f aca="false">SUM(E88:H88)</f>
        <v>0</v>
      </c>
      <c r="J88" s="0"/>
      <c r="K88" s="0"/>
      <c r="L88" s="0"/>
      <c r="M88" s="0"/>
    </row>
    <row r="89" customFormat="false" ht="12.75" hidden="false" customHeight="true" outlineLevel="0" collapsed="false">
      <c r="A89" s="3" t="n">
        <v>88</v>
      </c>
      <c r="B89" s="2" t="n">
        <v>187800</v>
      </c>
      <c r="C89" s="2" t="s">
        <v>333</v>
      </c>
      <c r="D89" s="2" t="s">
        <v>309</v>
      </c>
      <c r="E89" s="2" t="n">
        <f aca="false">VLOOKUP($B89,[1]Day2!$A$1:$H$400,4,FALSE())</f>
        <v>0</v>
      </c>
      <c r="F89" s="2" t="n">
        <f aca="false">VLOOKUP($B89,[1]Day2!$A$1:$H$400,5,FALSE())</f>
        <v>0</v>
      </c>
      <c r="G89" s="2" t="n">
        <f aca="false">VLOOKUP($B89,[1]Day2!$A$1:$H$400,6,FALSE())</f>
        <v>0</v>
      </c>
      <c r="H89" s="2" t="n">
        <f aca="false">VLOOKUP($B89,[1]Day2!$A$1:$H$400,7,FALSE())</f>
        <v>0</v>
      </c>
      <c r="I89" s="2" t="n">
        <f aca="false">SUM(E89:H89)</f>
        <v>0</v>
      </c>
      <c r="J89" s="0"/>
      <c r="K89" s="0"/>
      <c r="L89" s="0"/>
      <c r="M89" s="0"/>
    </row>
    <row r="90" customFormat="false" ht="12.75" hidden="false" customHeight="true" outlineLevel="0" collapsed="false">
      <c r="A90" s="3" t="n">
        <v>89</v>
      </c>
      <c r="B90" s="2" t="n">
        <v>88984</v>
      </c>
      <c r="C90" s="2" t="s">
        <v>357</v>
      </c>
      <c r="D90" s="2" t="s">
        <v>358</v>
      </c>
      <c r="E90" s="2" t="n">
        <f aca="false">VLOOKUP($B90,[1]Day2!$A$1:$H$400,4,FALSE())</f>
        <v>0</v>
      </c>
      <c r="F90" s="2" t="n">
        <f aca="false">VLOOKUP($B90,[1]Day2!$A$1:$H$400,5,FALSE())</f>
        <v>0</v>
      </c>
      <c r="G90" s="2" t="n">
        <f aca="false">VLOOKUP($B90,[1]Day2!$A$1:$H$400,6,FALSE())</f>
        <v>0</v>
      </c>
      <c r="H90" s="2" t="n">
        <f aca="false">VLOOKUP($B90,[1]Day2!$A$1:$H$400,7,FALSE())</f>
        <v>0</v>
      </c>
      <c r="I90" s="2" t="n">
        <f aca="false">SUM(E90:H90)</f>
        <v>0</v>
      </c>
      <c r="J90" s="0"/>
      <c r="K90" s="0"/>
      <c r="L90" s="0"/>
      <c r="M90" s="0"/>
    </row>
    <row r="91" customFormat="false" ht="12.75" hidden="false" customHeight="true" outlineLevel="0" collapsed="false">
      <c r="A91" s="3" t="n">
        <v>90</v>
      </c>
      <c r="B91" s="2" t="n">
        <v>124324</v>
      </c>
      <c r="C91" s="2" t="s">
        <v>359</v>
      </c>
      <c r="D91" s="2" t="s">
        <v>286</v>
      </c>
      <c r="E91" s="2" t="n">
        <f aca="false">VLOOKUP($B91,[1]Day2!$A$1:$H$400,4,FALSE())</f>
        <v>0</v>
      </c>
      <c r="F91" s="2" t="n">
        <f aca="false">VLOOKUP($B91,[1]Day2!$A$1:$H$400,5,FALSE())</f>
        <v>0</v>
      </c>
      <c r="G91" s="2" t="n">
        <f aca="false">VLOOKUP($B91,[1]Day2!$A$1:$H$400,6,FALSE())</f>
        <v>0</v>
      </c>
      <c r="H91" s="2" t="n">
        <f aca="false">VLOOKUP($B91,[1]Day2!$A$1:$H$400,7,FALSE())</f>
        <v>0</v>
      </c>
      <c r="I91" s="2" t="n">
        <f aca="false">SUM(E91:H91)</f>
        <v>0</v>
      </c>
      <c r="J91" s="0"/>
      <c r="K91" s="0"/>
      <c r="L91" s="0"/>
      <c r="M91" s="0"/>
    </row>
    <row r="92" customFormat="false" ht="12.75" hidden="false" customHeight="true" outlineLevel="0" collapsed="false">
      <c r="A92" s="3" t="n">
        <v>91</v>
      </c>
      <c r="B92" s="2" t="n">
        <v>161745</v>
      </c>
      <c r="C92" s="2" t="s">
        <v>360</v>
      </c>
      <c r="D92" s="2" t="s">
        <v>361</v>
      </c>
      <c r="E92" s="2" t="n">
        <f aca="false">VLOOKUP($B92,[1]Day2!$A$1:$H$400,4,FALSE())</f>
        <v>0</v>
      </c>
      <c r="F92" s="2" t="n">
        <f aca="false">VLOOKUP($B92,[1]Day2!$A$1:$H$400,5,FALSE())</f>
        <v>0</v>
      </c>
      <c r="G92" s="2" t="n">
        <f aca="false">VLOOKUP($B92,[1]Day2!$A$1:$H$400,6,FALSE())</f>
        <v>0</v>
      </c>
      <c r="H92" s="2" t="n">
        <f aca="false">VLOOKUP($B92,[1]Day2!$A$1:$H$400,7,FALSE())</f>
        <v>0</v>
      </c>
      <c r="I92" s="2" t="n">
        <f aca="false">SUM(E92:H92)</f>
        <v>0</v>
      </c>
      <c r="J92" s="0"/>
      <c r="K92" s="0"/>
      <c r="L92" s="0"/>
      <c r="M92" s="0"/>
    </row>
    <row r="93" customFormat="false" ht="12.75" hidden="false" customHeight="true" outlineLevel="0" collapsed="false">
      <c r="A93" s="3" t="n">
        <v>92</v>
      </c>
      <c r="B93" s="2" t="n">
        <v>111183</v>
      </c>
      <c r="C93" s="2" t="s">
        <v>362</v>
      </c>
      <c r="D93" s="2" t="s">
        <v>363</v>
      </c>
      <c r="E93" s="2" t="n">
        <f aca="false">VLOOKUP($B93,[1]Day2!$A$1:$H$400,4,FALSE())</f>
        <v>0</v>
      </c>
      <c r="F93" s="2" t="n">
        <f aca="false">VLOOKUP($B93,[1]Day2!$A$1:$H$400,5,FALSE())</f>
        <v>0</v>
      </c>
      <c r="G93" s="2" t="n">
        <f aca="false">VLOOKUP($B93,[1]Day2!$A$1:$H$400,6,FALSE())</f>
        <v>0</v>
      </c>
      <c r="H93" s="2" t="n">
        <f aca="false">VLOOKUP($B93,[1]Day2!$A$1:$H$400,7,FALSE())</f>
        <v>0</v>
      </c>
      <c r="I93" s="2" t="n">
        <f aca="false">SUM(E93:H93)</f>
        <v>0</v>
      </c>
      <c r="J93" s="0"/>
      <c r="K93" s="0"/>
      <c r="L93" s="0"/>
      <c r="M93" s="0"/>
    </row>
    <row r="94" customFormat="false" ht="12.75" hidden="false" customHeight="true" outlineLevel="0" collapsed="false">
      <c r="A94" s="3" t="n">
        <v>93</v>
      </c>
      <c r="B94" s="2" t="n">
        <v>83897</v>
      </c>
      <c r="C94" s="2" t="s">
        <v>364</v>
      </c>
      <c r="D94" s="2" t="s">
        <v>365</v>
      </c>
      <c r="E94" s="2" t="n">
        <f aca="false">VLOOKUP($B94,[1]Day2!$A$1:$H$400,4,FALSE())</f>
        <v>0</v>
      </c>
      <c r="F94" s="2" t="n">
        <f aca="false">VLOOKUP($B94,[1]Day2!$A$1:$H$400,5,FALSE())</f>
        <v>0</v>
      </c>
      <c r="G94" s="2" t="n">
        <f aca="false">VLOOKUP($B94,[1]Day2!$A$1:$H$400,6,FALSE())</f>
        <v>0</v>
      </c>
      <c r="H94" s="2" t="n">
        <f aca="false">VLOOKUP($B94,[1]Day2!$A$1:$H$400,7,FALSE())</f>
        <v>0</v>
      </c>
      <c r="I94" s="2" t="n">
        <f aca="false">SUM(E94:H94)</f>
        <v>0</v>
      </c>
      <c r="J94" s="0"/>
      <c r="K94" s="0"/>
      <c r="L94" s="0"/>
      <c r="M94" s="0"/>
    </row>
    <row r="95" customFormat="false" ht="12.75" hidden="false" customHeight="true" outlineLevel="0" collapsed="false">
      <c r="A95" s="3" t="n">
        <v>94</v>
      </c>
      <c r="B95" s="2" t="n">
        <v>83901</v>
      </c>
      <c r="C95" s="2" t="s">
        <v>366</v>
      </c>
      <c r="D95" s="2" t="s">
        <v>367</v>
      </c>
      <c r="E95" s="2" t="n">
        <f aca="false">VLOOKUP($B95,[1]Day2!$A$1:$H$400,4,FALSE())</f>
        <v>0</v>
      </c>
      <c r="F95" s="2" t="n">
        <f aca="false">VLOOKUP($B95,[1]Day2!$A$1:$H$400,5,FALSE())</f>
        <v>0</v>
      </c>
      <c r="G95" s="2" t="n">
        <f aca="false">VLOOKUP($B95,[1]Day2!$A$1:$H$400,6,FALSE())</f>
        <v>0</v>
      </c>
      <c r="H95" s="2" t="n">
        <f aca="false">VLOOKUP($B95,[1]Day2!$A$1:$H$400,7,FALSE())</f>
        <v>0</v>
      </c>
      <c r="I95" s="2" t="n">
        <f aca="false">SUM(E95:H95)</f>
        <v>0</v>
      </c>
      <c r="J95" s="0"/>
      <c r="K95" s="0"/>
      <c r="L95" s="0"/>
      <c r="M95" s="0"/>
    </row>
    <row r="96" customFormat="false" ht="12.75" hidden="false" customHeight="true" outlineLevel="0" collapsed="false">
      <c r="A96" s="3" t="n">
        <v>95</v>
      </c>
      <c r="B96" s="2" t="n">
        <v>187822</v>
      </c>
      <c r="C96" s="2" t="s">
        <v>368</v>
      </c>
      <c r="D96" s="2" t="s">
        <v>166</v>
      </c>
      <c r="E96" s="2" t="n">
        <f aca="false">VLOOKUP($B96,[1]Day2!$A$1:$H$400,4,FALSE())</f>
        <v>0</v>
      </c>
      <c r="F96" s="2" t="n">
        <f aca="false">VLOOKUP($B96,[1]Day2!$A$1:$H$400,5,FALSE())</f>
        <v>0</v>
      </c>
      <c r="G96" s="2" t="n">
        <f aca="false">VLOOKUP($B96,[1]Day2!$A$1:$H$400,6,FALSE())</f>
        <v>0</v>
      </c>
      <c r="H96" s="2" t="n">
        <f aca="false">VLOOKUP($B96,[1]Day2!$A$1:$H$400,7,FALSE())</f>
        <v>0</v>
      </c>
      <c r="I96" s="2" t="n">
        <f aca="false">SUM(E96:H96)</f>
        <v>0</v>
      </c>
      <c r="J96" s="0"/>
      <c r="K96" s="0"/>
      <c r="L96" s="0"/>
      <c r="M96" s="0"/>
    </row>
    <row r="97" customFormat="false" ht="12.75" hidden="false" customHeight="true" outlineLevel="0" collapsed="false">
      <c r="A97" s="3" t="n">
        <v>96</v>
      </c>
      <c r="B97" s="2" t="n">
        <v>109008</v>
      </c>
      <c r="C97" s="2" t="s">
        <v>369</v>
      </c>
      <c r="D97" s="2" t="s">
        <v>219</v>
      </c>
      <c r="E97" s="2" t="n">
        <f aca="false">VLOOKUP($B97,[1]Day2!$A$1:$H$400,4,FALSE())</f>
        <v>0</v>
      </c>
      <c r="F97" s="2" t="n">
        <f aca="false">VLOOKUP($B97,[1]Day2!$A$1:$H$400,5,FALSE())</f>
        <v>0</v>
      </c>
      <c r="G97" s="2" t="n">
        <f aca="false">VLOOKUP($B97,[1]Day2!$A$1:$H$400,6,FALSE())</f>
        <v>0</v>
      </c>
      <c r="H97" s="2" t="n">
        <f aca="false">VLOOKUP($B97,[1]Day2!$A$1:$H$400,7,FALSE())</f>
        <v>0</v>
      </c>
      <c r="I97" s="2" t="n">
        <f aca="false">SUM(E97:H97)</f>
        <v>0</v>
      </c>
      <c r="J97" s="0"/>
      <c r="K97" s="0"/>
      <c r="L97" s="0"/>
      <c r="M97" s="0"/>
    </row>
    <row r="98" customFormat="false" ht="12.75" hidden="false" customHeight="true" outlineLevel="0" collapsed="false">
      <c r="A98" s="3" t="n">
        <v>97</v>
      </c>
      <c r="B98" s="2" t="n">
        <v>126050</v>
      </c>
      <c r="C98" s="2" t="s">
        <v>370</v>
      </c>
      <c r="D98" s="2" t="s">
        <v>301</v>
      </c>
      <c r="E98" s="2" t="n">
        <f aca="false">VLOOKUP($B98,[1]Day2!$A$1:$H$400,4,FALSE())</f>
        <v>0</v>
      </c>
      <c r="F98" s="2" t="n">
        <f aca="false">VLOOKUP($B98,[1]Day2!$A$1:$H$400,5,FALSE())</f>
        <v>0</v>
      </c>
      <c r="G98" s="2" t="n">
        <f aca="false">VLOOKUP($B98,[1]Day2!$A$1:$H$400,6,FALSE())</f>
        <v>0</v>
      </c>
      <c r="H98" s="2" t="n">
        <f aca="false">VLOOKUP($B98,[1]Day2!$A$1:$H$400,7,FALSE())</f>
        <v>0</v>
      </c>
      <c r="I98" s="2" t="n">
        <f aca="false">SUM(E98:H98)</f>
        <v>0</v>
      </c>
      <c r="J98" s="0"/>
      <c r="K98" s="0"/>
      <c r="L98" s="0"/>
      <c r="M98" s="0"/>
    </row>
    <row r="99" customFormat="false" ht="12.75" hidden="false" customHeight="true" outlineLevel="0" collapsed="false">
      <c r="A99" s="3" t="n">
        <v>98</v>
      </c>
      <c r="B99" s="2" t="n">
        <v>126053</v>
      </c>
      <c r="C99" s="2" t="s">
        <v>371</v>
      </c>
      <c r="D99" s="2" t="s">
        <v>372</v>
      </c>
      <c r="E99" s="2" t="n">
        <f aca="false">VLOOKUP($B99,[1]Day2!$A$1:$H$400,4,FALSE())</f>
        <v>0</v>
      </c>
      <c r="F99" s="2" t="n">
        <f aca="false">VLOOKUP($B99,[1]Day2!$A$1:$H$400,5,FALSE())</f>
        <v>0</v>
      </c>
      <c r="G99" s="2" t="n">
        <f aca="false">VLOOKUP($B99,[1]Day2!$A$1:$H$400,6,FALSE())</f>
        <v>0</v>
      </c>
      <c r="H99" s="2" t="n">
        <f aca="false">VLOOKUP($B99,[1]Day2!$A$1:$H$400,7,FALSE())</f>
        <v>0</v>
      </c>
      <c r="I99" s="2" t="n">
        <f aca="false">SUM(E99:H99)</f>
        <v>0</v>
      </c>
      <c r="J99" s="0"/>
      <c r="K99" s="0"/>
      <c r="L99" s="0"/>
      <c r="M99" s="0"/>
    </row>
    <row r="100" customFormat="false" ht="12.75" hidden="false" customHeight="true" outlineLevel="0" collapsed="false">
      <c r="A100" s="3" t="n">
        <v>99</v>
      </c>
      <c r="B100" s="2" t="n">
        <v>126092</v>
      </c>
      <c r="C100" s="2" t="s">
        <v>179</v>
      </c>
      <c r="D100" s="2" t="s">
        <v>235</v>
      </c>
      <c r="E100" s="2" t="n">
        <f aca="false">VLOOKUP($B100,[1]Day2!$A$1:$H$400,4,FALSE())</f>
        <v>0</v>
      </c>
      <c r="F100" s="2" t="n">
        <f aca="false">VLOOKUP($B100,[1]Day2!$A$1:$H$400,5,FALSE())</f>
        <v>0</v>
      </c>
      <c r="G100" s="2" t="n">
        <f aca="false">VLOOKUP($B100,[1]Day2!$A$1:$H$400,6,FALSE())</f>
        <v>0</v>
      </c>
      <c r="H100" s="2" t="n">
        <f aca="false">VLOOKUP($B100,[1]Day2!$A$1:$H$400,7,FALSE())</f>
        <v>0</v>
      </c>
      <c r="I100" s="2" t="n">
        <f aca="false">SUM(E100:H100)</f>
        <v>0</v>
      </c>
      <c r="J100" s="0"/>
      <c r="K100" s="0"/>
      <c r="L100" s="0"/>
      <c r="M100" s="0"/>
    </row>
    <row r="101" customFormat="false" ht="12.75" hidden="false" customHeight="true" outlineLevel="0" collapsed="false">
      <c r="A101" s="3" t="n">
        <v>100</v>
      </c>
      <c r="B101" s="2" t="n">
        <v>132785</v>
      </c>
      <c r="C101" s="2" t="s">
        <v>373</v>
      </c>
      <c r="D101" s="2" t="s">
        <v>374</v>
      </c>
      <c r="E101" s="2" t="n">
        <f aca="false">VLOOKUP($B101,[1]Day2!$A$1:$H$400,4,FALSE())</f>
        <v>0</v>
      </c>
      <c r="F101" s="2" t="n">
        <f aca="false">VLOOKUP($B101,[1]Day2!$A$1:$H$400,5,FALSE())</f>
        <v>0</v>
      </c>
      <c r="G101" s="2" t="n">
        <f aca="false">VLOOKUP($B101,[1]Day2!$A$1:$H$400,6,FALSE())</f>
        <v>0</v>
      </c>
      <c r="H101" s="2" t="n">
        <f aca="false">VLOOKUP($B101,[1]Day2!$A$1:$H$400,7,FALSE())</f>
        <v>0</v>
      </c>
      <c r="I101" s="2" t="n">
        <f aca="false">SUM(E101:H101)</f>
        <v>0</v>
      </c>
      <c r="J101" s="0"/>
      <c r="K101" s="0"/>
      <c r="L101" s="0"/>
      <c r="M101" s="0"/>
    </row>
    <row r="102" customFormat="false" ht="12.75" hidden="false" customHeight="true" outlineLevel="0" collapsed="false">
      <c r="A102" s="3" t="n">
        <v>101</v>
      </c>
      <c r="B102" s="2" t="n">
        <v>185218</v>
      </c>
      <c r="C102" s="2" t="s">
        <v>375</v>
      </c>
      <c r="D102" s="2" t="s">
        <v>376</v>
      </c>
      <c r="E102" s="2" t="n">
        <f aca="false">VLOOKUP($B102,[1]Day2!$A$1:$H$400,4,FALSE())</f>
        <v>0</v>
      </c>
      <c r="F102" s="2" t="n">
        <f aca="false">VLOOKUP($B102,[1]Day2!$A$1:$H$400,5,FALSE())</f>
        <v>0</v>
      </c>
      <c r="G102" s="2" t="n">
        <f aca="false">VLOOKUP($B102,[1]Day2!$A$1:$H$400,6,FALSE())</f>
        <v>0</v>
      </c>
      <c r="H102" s="2" t="n">
        <f aca="false">VLOOKUP($B102,[1]Day2!$A$1:$H$400,7,FALSE())</f>
        <v>0</v>
      </c>
      <c r="I102" s="2" t="n">
        <f aca="false">SUM(E102:H102)</f>
        <v>0</v>
      </c>
      <c r="J102" s="0"/>
      <c r="K102" s="0"/>
      <c r="L102" s="0"/>
      <c r="M102" s="0"/>
    </row>
    <row r="103" customFormat="false" ht="12.75" hidden="false" customHeight="true" outlineLevel="0" collapsed="false">
      <c r="A103" s="3" t="n">
        <v>102</v>
      </c>
      <c r="B103" s="2" t="n">
        <v>185225</v>
      </c>
      <c r="C103" s="2" t="s">
        <v>286</v>
      </c>
      <c r="D103" s="2" t="s">
        <v>377</v>
      </c>
      <c r="E103" s="2" t="n">
        <f aca="false">VLOOKUP($B103,[1]Day2!$A$1:$H$400,4,FALSE())</f>
        <v>0</v>
      </c>
      <c r="F103" s="2" t="n">
        <f aca="false">VLOOKUP($B103,[1]Day2!$A$1:$H$400,5,FALSE())</f>
        <v>0</v>
      </c>
      <c r="G103" s="2" t="n">
        <f aca="false">VLOOKUP($B103,[1]Day2!$A$1:$H$400,6,FALSE())</f>
        <v>0</v>
      </c>
      <c r="H103" s="2" t="n">
        <f aca="false">VLOOKUP($B103,[1]Day2!$A$1:$H$400,7,FALSE())</f>
        <v>0</v>
      </c>
      <c r="I103" s="2" t="n">
        <f aca="false">SUM(E103:H103)</f>
        <v>0</v>
      </c>
      <c r="J103" s="0"/>
      <c r="K103" s="0"/>
      <c r="L103" s="0"/>
      <c r="M103" s="0"/>
    </row>
    <row r="104" customFormat="false" ht="12.75" hidden="false" customHeight="true" outlineLevel="0" collapsed="false">
      <c r="A104" s="3" t="n">
        <v>103</v>
      </c>
      <c r="B104" s="2" t="n">
        <v>185228</v>
      </c>
      <c r="C104" s="2" t="s">
        <v>378</v>
      </c>
      <c r="D104" s="2" t="s">
        <v>43</v>
      </c>
      <c r="E104" s="2" t="n">
        <f aca="false">VLOOKUP($B104,[1]Day2!$A$1:$H$400,4,FALSE())</f>
        <v>0</v>
      </c>
      <c r="F104" s="2" t="n">
        <f aca="false">VLOOKUP($B104,[1]Day2!$A$1:$H$400,5,FALSE())</f>
        <v>0</v>
      </c>
      <c r="G104" s="2" t="n">
        <f aca="false">VLOOKUP($B104,[1]Day2!$A$1:$H$400,6,FALSE())</f>
        <v>0</v>
      </c>
      <c r="H104" s="2" t="n">
        <f aca="false">VLOOKUP($B104,[1]Day2!$A$1:$H$400,7,FALSE())</f>
        <v>0</v>
      </c>
      <c r="I104" s="2" t="n">
        <f aca="false">SUM(E104:H104)</f>
        <v>0</v>
      </c>
      <c r="J104" s="0"/>
      <c r="K104" s="0"/>
      <c r="L104" s="0"/>
      <c r="M104" s="0"/>
    </row>
    <row r="105" customFormat="false" ht="12.75" hidden="false" customHeight="true" outlineLevel="0" collapsed="false">
      <c r="A105" s="3" t="n">
        <v>104</v>
      </c>
      <c r="B105" s="2" t="n">
        <v>115715</v>
      </c>
      <c r="C105" s="2" t="s">
        <v>379</v>
      </c>
      <c r="D105" s="2" t="s">
        <v>380</v>
      </c>
      <c r="E105" s="2" t="n">
        <f aca="false">VLOOKUP($B105,[1]Day2!$A$1:$H$400,4,FALSE())</f>
        <v>0</v>
      </c>
      <c r="F105" s="2" t="n">
        <f aca="false">VLOOKUP($B105,[1]Day2!$A$1:$H$400,5,FALSE())</f>
        <v>0</v>
      </c>
      <c r="G105" s="2" t="n">
        <f aca="false">VLOOKUP($B105,[1]Day2!$A$1:$H$400,6,FALSE())</f>
        <v>0</v>
      </c>
      <c r="H105" s="2" t="n">
        <f aca="false">VLOOKUP($B105,[1]Day2!$A$1:$H$400,7,FALSE())</f>
        <v>0</v>
      </c>
      <c r="I105" s="2" t="n">
        <f aca="false">SUM(E105:H105)</f>
        <v>0</v>
      </c>
      <c r="J105" s="0"/>
      <c r="K105" s="0"/>
      <c r="L105" s="0"/>
      <c r="M105" s="0"/>
    </row>
    <row r="106" customFormat="false" ht="12.75" hidden="false" customHeight="true" outlineLevel="0" collapsed="false">
      <c r="A106" s="3" t="n">
        <v>105</v>
      </c>
      <c r="B106" s="2" t="n">
        <v>117384</v>
      </c>
      <c r="C106" s="2" t="s">
        <v>381</v>
      </c>
      <c r="D106" s="2" t="s">
        <v>382</v>
      </c>
      <c r="E106" s="2" t="n">
        <f aca="false">VLOOKUP($B106,[1]Day2!$A$1:$H$400,4,FALSE())</f>
        <v>0</v>
      </c>
      <c r="F106" s="2" t="n">
        <f aca="false">VLOOKUP($B106,[1]Day2!$A$1:$H$400,5,FALSE())</f>
        <v>0</v>
      </c>
      <c r="G106" s="2" t="n">
        <f aca="false">VLOOKUP($B106,[1]Day2!$A$1:$H$400,6,FALSE())</f>
        <v>0</v>
      </c>
      <c r="H106" s="2" t="n">
        <f aca="false">VLOOKUP($B106,[1]Day2!$A$1:$H$400,7,FALSE())</f>
        <v>0</v>
      </c>
      <c r="I106" s="2" t="n">
        <f aca="false">SUM(E106:H106)</f>
        <v>0</v>
      </c>
      <c r="J106" s="0"/>
      <c r="K106" s="0"/>
      <c r="L106" s="0"/>
      <c r="M106" s="0"/>
    </row>
    <row r="107" customFormat="false" ht="12.75" hidden="false" customHeight="true" outlineLevel="0" collapsed="false">
      <c r="A107" s="3" t="n">
        <v>106</v>
      </c>
      <c r="B107" s="2" t="n">
        <v>187899</v>
      </c>
      <c r="C107" s="2" t="s">
        <v>383</v>
      </c>
      <c r="D107" s="2" t="s">
        <v>384</v>
      </c>
      <c r="E107" s="2" t="n">
        <f aca="false">VLOOKUP($B107,[1]Day2!$A$1:$H$400,4,FALSE())</f>
        <v>0</v>
      </c>
      <c r="F107" s="2" t="n">
        <f aca="false">VLOOKUP($B107,[1]Day2!$A$1:$H$400,5,FALSE())</f>
        <v>0</v>
      </c>
      <c r="G107" s="2" t="n">
        <f aca="false">VLOOKUP($B107,[1]Day2!$A$1:$H$400,6,FALSE())</f>
        <v>0</v>
      </c>
      <c r="H107" s="2" t="n">
        <f aca="false">VLOOKUP($B107,[1]Day2!$A$1:$H$400,7,FALSE())</f>
        <v>0</v>
      </c>
      <c r="I107" s="2" t="n">
        <f aca="false">SUM(E107:H107)</f>
        <v>0</v>
      </c>
      <c r="J107" s="0"/>
      <c r="K107" s="0"/>
      <c r="L107" s="0"/>
      <c r="M107" s="0"/>
    </row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39" colorId="64" zoomScale="110" zoomScaleNormal="110" zoomScalePageLayoutView="100" workbookViewId="0">
      <selection pane="topLeft" activeCell="A2" activeCellId="0" sqref="A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4.29"/>
    <col collapsed="false" customWidth="false" hidden="false" outlineLevel="0" max="2" min="2" style="1" width="11.57"/>
    <col collapsed="false" customWidth="true" hidden="false" outlineLevel="0" max="3" min="3" style="1" width="19.42"/>
    <col collapsed="false" customWidth="true" hidden="false" outlineLevel="0" max="4" min="4" style="1" width="21.71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385</v>
      </c>
      <c r="J1" s="1" t="s">
        <v>386</v>
      </c>
      <c r="K1" s="1" t="s">
        <v>8</v>
      </c>
    </row>
    <row r="2" customFormat="false" ht="12.75" hidden="false" customHeight="true" outlineLevel="0" collapsed="false">
      <c r="A2" s="1" t="n">
        <v>1</v>
      </c>
      <c r="B2" s="2" t="n">
        <v>64385</v>
      </c>
      <c r="C2" s="2" t="s">
        <v>382</v>
      </c>
      <c r="D2" s="2" t="s">
        <v>209</v>
      </c>
      <c r="E2" s="2" t="n">
        <f aca="false">VLOOKUP($B2,[1]Day1!$A$1:$H$394,4,FALSE())</f>
        <v>7</v>
      </c>
      <c r="F2" s="2" t="n">
        <f aca="false">VLOOKUP($B2,[1]Day1!$A$1:$H$394,5,FALSE())</f>
        <v>2</v>
      </c>
      <c r="G2" s="2" t="n">
        <f aca="false">VLOOKUP($B2,[1]Day1!$A$1:$H$394,6,FALSE())</f>
        <v>0</v>
      </c>
      <c r="H2" s="2" t="n">
        <f aca="false">VLOOKUP($B2,[1]Day2!$A$1:$H$400,4,FALSE())</f>
        <v>7</v>
      </c>
      <c r="I2" s="2" t="n">
        <f aca="false">VLOOKUP($B2,[1]Day2!$A$1:$H$400,5,FALSE())</f>
        <v>0</v>
      </c>
      <c r="J2" s="2" t="n">
        <f aca="false">VLOOKUP($B2,[1]Day2!$A$1:$H$400,6,FALSE())</f>
        <v>0</v>
      </c>
      <c r="K2" s="2" t="n">
        <f aca="false">SUM(E2:H2)</f>
        <v>16</v>
      </c>
      <c r="L2" s="0"/>
      <c r="M2" s="0"/>
      <c r="N2" s="0"/>
      <c r="O2" s="0"/>
    </row>
    <row r="3" customFormat="false" ht="12.75" hidden="false" customHeight="true" outlineLevel="0" collapsed="false">
      <c r="A3" s="1" t="n">
        <v>2</v>
      </c>
      <c r="B3" s="2" t="n">
        <v>118504</v>
      </c>
      <c r="C3" s="2" t="s">
        <v>179</v>
      </c>
      <c r="D3" s="2" t="s">
        <v>387</v>
      </c>
      <c r="E3" s="2" t="n">
        <f aca="false">VLOOKUP($B3,[1]Day1!$A$1:$H$394,4,FALSE())</f>
        <v>7</v>
      </c>
      <c r="F3" s="2" t="n">
        <f aca="false">VLOOKUP($B3,[1]Day1!$A$1:$H$394,5,FALSE())</f>
        <v>4</v>
      </c>
      <c r="G3" s="2" t="n">
        <f aca="false">VLOOKUP($B3,[1]Day1!$A$1:$H$394,6,FALSE())</f>
        <v>0</v>
      </c>
      <c r="H3" s="2" t="n">
        <f aca="false">VLOOKUP($B3,[1]Day2!$A$1:$H$400,4,FALSE())</f>
        <v>1</v>
      </c>
      <c r="I3" s="2" t="n">
        <f aca="false">VLOOKUP($B3,[1]Day2!$A$1:$H$400,5,FALSE())</f>
        <v>0</v>
      </c>
      <c r="J3" s="2" t="n">
        <f aca="false">VLOOKUP($B3,[1]Day2!$A$1:$H$400,6,FALSE())</f>
        <v>0</v>
      </c>
      <c r="K3" s="2" t="n">
        <f aca="false">SUM(E3:H3)</f>
        <v>12</v>
      </c>
      <c r="L3" s="0"/>
      <c r="M3" s="0"/>
      <c r="N3" s="0"/>
      <c r="O3" s="0"/>
    </row>
    <row r="4" customFormat="false" ht="12.75" hidden="false" customHeight="true" outlineLevel="0" collapsed="false">
      <c r="A4" s="1" t="n">
        <v>3</v>
      </c>
      <c r="B4" s="2" t="n">
        <v>83942</v>
      </c>
      <c r="C4" s="2" t="s">
        <v>388</v>
      </c>
      <c r="D4" s="2" t="s">
        <v>60</v>
      </c>
      <c r="E4" s="2" t="n">
        <f aca="false">VLOOKUP($B4,[1]Day1!$A$1:$H$394,4,FALSE())</f>
        <v>7</v>
      </c>
      <c r="F4" s="2" t="n">
        <f aca="false">VLOOKUP($B4,[1]Day1!$A$1:$H$394,5,FALSE())</f>
        <v>3</v>
      </c>
      <c r="G4" s="2" t="n">
        <f aca="false">VLOOKUP($B4,[1]Day1!$A$1:$H$394,6,FALSE())</f>
        <v>0</v>
      </c>
      <c r="H4" s="2" t="n">
        <f aca="false">VLOOKUP($B4,[1]Day2!$A$1:$H$400,4,FALSE())</f>
        <v>1.5</v>
      </c>
      <c r="I4" s="2" t="n">
        <f aca="false">VLOOKUP($B4,[1]Day2!$A$1:$H$400,5,FALSE())</f>
        <v>0</v>
      </c>
      <c r="J4" s="2" t="n">
        <f aca="false">VLOOKUP($B4,[1]Day2!$A$1:$H$400,6,FALSE())</f>
        <v>0</v>
      </c>
      <c r="K4" s="2" t="n">
        <f aca="false">SUM(E4:H4)</f>
        <v>11.5</v>
      </c>
      <c r="L4" s="0"/>
      <c r="M4" s="0"/>
      <c r="N4" s="0"/>
      <c r="O4" s="0"/>
    </row>
    <row r="5" customFormat="false" ht="12.75" hidden="false" customHeight="true" outlineLevel="0" collapsed="false">
      <c r="A5" s="1" t="n">
        <v>4</v>
      </c>
      <c r="B5" s="2" t="n">
        <v>124360</v>
      </c>
      <c r="C5" s="2" t="s">
        <v>71</v>
      </c>
      <c r="D5" s="2" t="s">
        <v>143</v>
      </c>
      <c r="E5" s="2" t="n">
        <f aca="false">VLOOKUP($B5,[1]Day1!$A$1:$H$394,4,FALSE())</f>
        <v>7</v>
      </c>
      <c r="F5" s="2" t="n">
        <f aca="false">VLOOKUP($B5,[1]Day1!$A$1:$H$394,5,FALSE())</f>
        <v>3</v>
      </c>
      <c r="G5" s="2" t="n">
        <f aca="false">VLOOKUP($B5,[1]Day1!$A$1:$H$394,6,FALSE())</f>
        <v>0</v>
      </c>
      <c r="H5" s="2" t="n">
        <f aca="false">VLOOKUP($B5,[1]Day2!$A$1:$H$400,4,FALSE())</f>
        <v>1</v>
      </c>
      <c r="I5" s="2" t="n">
        <f aca="false">VLOOKUP($B5,[1]Day2!$A$1:$H$400,5,FALSE())</f>
        <v>0</v>
      </c>
      <c r="J5" s="2" t="n">
        <f aca="false">VLOOKUP($B5,[1]Day2!$A$1:$H$400,6,FALSE())</f>
        <v>0</v>
      </c>
      <c r="K5" s="2" t="n">
        <f aca="false">SUM(E5:H5)</f>
        <v>11</v>
      </c>
      <c r="L5" s="0"/>
      <c r="M5" s="0"/>
      <c r="N5" s="0"/>
      <c r="O5" s="0"/>
    </row>
    <row r="6" customFormat="false" ht="12.75" hidden="false" customHeight="true" outlineLevel="0" collapsed="false">
      <c r="A6" s="1" t="n">
        <v>5</v>
      </c>
      <c r="B6" s="2" t="n">
        <v>111565</v>
      </c>
      <c r="C6" s="2" t="s">
        <v>389</v>
      </c>
      <c r="D6" s="2" t="s">
        <v>390</v>
      </c>
      <c r="E6" s="2" t="n">
        <f aca="false">VLOOKUP($B6,[1]Day1!$A$1:$H$394,4,FALSE())</f>
        <v>3</v>
      </c>
      <c r="F6" s="2" t="n">
        <f aca="false">VLOOKUP($B6,[1]Day1!$A$1:$H$394,5,FALSE())</f>
        <v>2</v>
      </c>
      <c r="G6" s="2" t="n">
        <f aca="false">VLOOKUP($B6,[1]Day1!$A$1:$H$394,6,FALSE())</f>
        <v>0</v>
      </c>
      <c r="H6" s="2" t="n">
        <f aca="false">VLOOKUP($B6,[1]Day2!$A$1:$H$400,4,FALSE())</f>
        <v>6</v>
      </c>
      <c r="I6" s="2" t="n">
        <f aca="false">VLOOKUP($B6,[1]Day2!$A$1:$H$400,5,FALSE())</f>
        <v>0</v>
      </c>
      <c r="J6" s="2" t="n">
        <f aca="false">VLOOKUP($B6,[1]Day2!$A$1:$H$400,6,FALSE())</f>
        <v>0</v>
      </c>
      <c r="K6" s="2" t="n">
        <f aca="false">SUM(E6:H6)</f>
        <v>11</v>
      </c>
      <c r="L6" s="0"/>
      <c r="M6" s="0"/>
      <c r="N6" s="0"/>
      <c r="O6" s="0"/>
    </row>
    <row r="7" customFormat="false" ht="12.75" hidden="false" customHeight="true" outlineLevel="0" collapsed="false">
      <c r="A7" s="1" t="n">
        <v>6</v>
      </c>
      <c r="B7" s="2" t="n">
        <v>72425</v>
      </c>
      <c r="C7" s="2" t="s">
        <v>391</v>
      </c>
      <c r="D7" s="2" t="s">
        <v>392</v>
      </c>
      <c r="E7" s="2" t="n">
        <f aca="false">VLOOKUP($B7,[1]Day1!$A$1:$H$394,4,FALSE())</f>
        <v>7</v>
      </c>
      <c r="F7" s="2" t="n">
        <f aca="false">VLOOKUP($B7,[1]Day1!$A$1:$H$394,5,FALSE())</f>
        <v>2</v>
      </c>
      <c r="G7" s="2" t="n">
        <f aca="false">VLOOKUP($B7,[1]Day1!$A$1:$H$394,6,FALSE())</f>
        <v>0</v>
      </c>
      <c r="H7" s="2" t="n">
        <f aca="false">VLOOKUP($B7,[1]Day2!$A$1:$H$400,4,FALSE())</f>
        <v>1</v>
      </c>
      <c r="I7" s="2" t="n">
        <f aca="false">VLOOKUP($B7,[1]Day2!$A$1:$H$400,5,FALSE())</f>
        <v>0</v>
      </c>
      <c r="J7" s="2" t="n">
        <f aca="false">VLOOKUP($B7,[1]Day2!$A$1:$H$400,6,FALSE())</f>
        <v>0</v>
      </c>
      <c r="K7" s="2" t="n">
        <f aca="false">SUM(E7:H7)</f>
        <v>10</v>
      </c>
      <c r="L7" s="0"/>
      <c r="M7" s="0"/>
      <c r="N7" s="0"/>
      <c r="O7" s="0"/>
    </row>
    <row r="8" customFormat="false" ht="12.75" hidden="false" customHeight="true" outlineLevel="0" collapsed="false">
      <c r="A8" s="1" t="n">
        <v>7</v>
      </c>
      <c r="B8" s="2" t="n">
        <v>118142</v>
      </c>
      <c r="C8" s="2" t="s">
        <v>35</v>
      </c>
      <c r="D8" s="2" t="s">
        <v>393</v>
      </c>
      <c r="E8" s="2" t="n">
        <f aca="false">VLOOKUP($B8,[1]Day1!$A$1:$H$394,4,FALSE())</f>
        <v>7</v>
      </c>
      <c r="F8" s="2" t="n">
        <f aca="false">VLOOKUP($B8,[1]Day1!$A$1:$H$394,5,FALSE())</f>
        <v>3</v>
      </c>
      <c r="G8" s="2" t="n">
        <f aca="false">VLOOKUP($B8,[1]Day1!$A$1:$H$394,6,FALSE())</f>
        <v>0</v>
      </c>
      <c r="H8" s="2" t="n">
        <f aca="false">VLOOKUP($B8,[1]Day2!$A$1:$H$400,4,FALSE())</f>
        <v>0</v>
      </c>
      <c r="I8" s="2" t="n">
        <f aca="false">VLOOKUP($B8,[1]Day2!$A$1:$H$400,5,FALSE())</f>
        <v>0</v>
      </c>
      <c r="J8" s="2" t="n">
        <f aca="false">VLOOKUP($B8,[1]Day2!$A$1:$H$400,6,FALSE())</f>
        <v>0</v>
      </c>
      <c r="K8" s="2" t="n">
        <f aca="false">SUM(E8:H8)</f>
        <v>10</v>
      </c>
      <c r="L8" s="0"/>
      <c r="M8" s="0"/>
      <c r="N8" s="0"/>
      <c r="O8" s="0"/>
    </row>
    <row r="9" customFormat="false" ht="12.75" hidden="false" customHeight="true" outlineLevel="0" collapsed="false">
      <c r="A9" s="1" t="n">
        <v>8</v>
      </c>
      <c r="B9" s="2" t="n">
        <v>185840</v>
      </c>
      <c r="C9" s="2" t="s">
        <v>322</v>
      </c>
      <c r="D9" s="2" t="s">
        <v>261</v>
      </c>
      <c r="E9" s="2" t="n">
        <f aca="false">VLOOKUP($B9,[1]Day1!$A$1:$H$394,4,FALSE())</f>
        <v>7</v>
      </c>
      <c r="F9" s="2" t="n">
        <f aca="false">VLOOKUP($B9,[1]Day1!$A$1:$H$394,5,FALSE())</f>
        <v>2</v>
      </c>
      <c r="G9" s="2" t="n">
        <f aca="false">VLOOKUP($B9,[1]Day1!$A$1:$H$394,6,FALSE())</f>
        <v>0</v>
      </c>
      <c r="H9" s="2" t="n">
        <f aca="false">VLOOKUP($B9,[1]Day2!$A$1:$H$400,4,FALSE())</f>
        <v>1</v>
      </c>
      <c r="I9" s="2" t="n">
        <f aca="false">VLOOKUP($B9,[1]Day2!$A$1:$H$400,5,FALSE())</f>
        <v>0</v>
      </c>
      <c r="J9" s="2" t="n">
        <f aca="false">VLOOKUP($B9,[1]Day2!$A$1:$H$400,6,FALSE())</f>
        <v>0</v>
      </c>
      <c r="K9" s="2" t="n">
        <f aca="false">SUM(E9:H9)</f>
        <v>10</v>
      </c>
      <c r="L9" s="0"/>
      <c r="M9" s="0"/>
      <c r="N9" s="0"/>
      <c r="O9" s="0"/>
    </row>
    <row r="10" customFormat="false" ht="12.75" hidden="false" customHeight="true" outlineLevel="0" collapsed="false">
      <c r="A10" s="1" t="n">
        <v>9</v>
      </c>
      <c r="B10" s="2" t="n">
        <v>60958</v>
      </c>
      <c r="C10" s="2" t="s">
        <v>394</v>
      </c>
      <c r="D10" s="2" t="s">
        <v>91</v>
      </c>
      <c r="E10" s="2" t="n">
        <f aca="false">VLOOKUP($B10,[1]Day1!$A$1:$H$394,4,FALSE())</f>
        <v>7</v>
      </c>
      <c r="F10" s="2" t="n">
        <f aca="false">VLOOKUP($B10,[1]Day1!$A$1:$H$394,5,FALSE())</f>
        <v>2</v>
      </c>
      <c r="G10" s="2" t="n">
        <f aca="false">VLOOKUP($B10,[1]Day1!$A$1:$H$394,6,FALSE())</f>
        <v>0</v>
      </c>
      <c r="H10" s="2" t="n">
        <f aca="false">VLOOKUP($B10,[1]Day2!$A$1:$H$400,4,FALSE())</f>
        <v>0</v>
      </c>
      <c r="I10" s="2" t="n">
        <f aca="false">VLOOKUP($B10,[1]Day2!$A$1:$H$400,5,FALSE())</f>
        <v>0</v>
      </c>
      <c r="J10" s="2" t="n">
        <f aca="false">VLOOKUP($B10,[1]Day2!$A$1:$H$400,6,FALSE())</f>
        <v>0</v>
      </c>
      <c r="K10" s="2" t="n">
        <f aca="false">SUM(E10:H10)</f>
        <v>9</v>
      </c>
      <c r="L10" s="0"/>
      <c r="M10" s="0"/>
      <c r="N10" s="0"/>
      <c r="O10" s="0"/>
    </row>
    <row r="11" customFormat="false" ht="12.75" hidden="false" customHeight="true" outlineLevel="0" collapsed="false">
      <c r="A11" s="1" t="n">
        <v>10</v>
      </c>
      <c r="B11" s="2" t="n">
        <v>58142</v>
      </c>
      <c r="C11" s="2" t="s">
        <v>395</v>
      </c>
      <c r="D11" s="2" t="s">
        <v>396</v>
      </c>
      <c r="E11" s="2" t="n">
        <f aca="false">VLOOKUP($B11,[1]Day1!$A$1:$H$394,4,FALSE())</f>
        <v>7</v>
      </c>
      <c r="F11" s="2" t="n">
        <f aca="false">VLOOKUP($B11,[1]Day1!$A$1:$H$394,5,FALSE())</f>
        <v>2</v>
      </c>
      <c r="G11" s="2" t="n">
        <f aca="false">VLOOKUP($B11,[1]Day1!$A$1:$H$394,6,FALSE())</f>
        <v>0</v>
      </c>
      <c r="H11" s="2" t="n">
        <f aca="false">VLOOKUP($B11,[1]Day2!$A$1:$H$400,4,FALSE())</f>
        <v>0</v>
      </c>
      <c r="I11" s="2" t="n">
        <f aca="false">VLOOKUP($B11,[1]Day2!$A$1:$H$400,5,FALSE())</f>
        <v>0</v>
      </c>
      <c r="J11" s="2" t="n">
        <f aca="false">VLOOKUP($B11,[1]Day2!$A$1:$H$400,6,FALSE())</f>
        <v>0</v>
      </c>
      <c r="K11" s="2" t="n">
        <f aca="false">SUM(E11:H11)</f>
        <v>9</v>
      </c>
      <c r="L11" s="0"/>
      <c r="M11" s="0"/>
      <c r="N11" s="0"/>
      <c r="O11" s="0"/>
    </row>
    <row r="12" customFormat="false" ht="12.75" hidden="false" customHeight="true" outlineLevel="0" collapsed="false">
      <c r="A12" s="1" t="n">
        <v>11</v>
      </c>
      <c r="B12" s="2" t="n">
        <v>97542</v>
      </c>
      <c r="C12" s="2" t="s">
        <v>330</v>
      </c>
      <c r="D12" s="2" t="s">
        <v>397</v>
      </c>
      <c r="E12" s="2" t="n">
        <f aca="false">VLOOKUP($B12,[1]Day1!$A$1:$H$394,4,FALSE())</f>
        <v>7</v>
      </c>
      <c r="F12" s="2" t="n">
        <f aca="false">VLOOKUP($B12,[1]Day1!$A$1:$H$394,5,FALSE())</f>
        <v>2</v>
      </c>
      <c r="G12" s="2" t="n">
        <f aca="false">VLOOKUP($B12,[1]Day1!$A$1:$H$394,6,FALSE())</f>
        <v>0</v>
      </c>
      <c r="H12" s="2" t="n">
        <f aca="false">VLOOKUP($B12,[1]Day2!$A$1:$H$400,4,FALSE())</f>
        <v>0</v>
      </c>
      <c r="I12" s="2" t="n">
        <f aca="false">VLOOKUP($B12,[1]Day2!$A$1:$H$400,5,FALSE())</f>
        <v>0</v>
      </c>
      <c r="J12" s="2" t="n">
        <f aca="false">VLOOKUP($B12,[1]Day2!$A$1:$H$400,6,FALSE())</f>
        <v>0</v>
      </c>
      <c r="K12" s="2" t="n">
        <f aca="false">SUM(E12:H12)</f>
        <v>9</v>
      </c>
      <c r="L12" s="0"/>
      <c r="M12" s="0"/>
      <c r="N12" s="0"/>
      <c r="O12" s="0"/>
    </row>
    <row r="13" customFormat="false" ht="12.75" hidden="false" customHeight="true" outlineLevel="0" collapsed="false">
      <c r="A13" s="1" t="n">
        <v>12</v>
      </c>
      <c r="B13" s="2" t="n">
        <v>114590</v>
      </c>
      <c r="C13" s="2" t="s">
        <v>398</v>
      </c>
      <c r="D13" s="2" t="s">
        <v>395</v>
      </c>
      <c r="E13" s="2" t="n">
        <f aca="false">VLOOKUP($B13,[1]Day1!$A$1:$H$394,4,FALSE())</f>
        <v>7</v>
      </c>
      <c r="F13" s="2" t="n">
        <f aca="false">VLOOKUP($B13,[1]Day1!$A$1:$H$394,5,FALSE())</f>
        <v>0</v>
      </c>
      <c r="G13" s="2" t="n">
        <f aca="false">VLOOKUP($B13,[1]Day1!$A$1:$H$394,6,FALSE())</f>
        <v>0</v>
      </c>
      <c r="H13" s="2" t="n">
        <f aca="false">VLOOKUP($B13,[1]Day2!$A$1:$H$400,4,FALSE())</f>
        <v>0</v>
      </c>
      <c r="I13" s="2" t="n">
        <f aca="false">VLOOKUP($B13,[1]Day2!$A$1:$H$400,5,FALSE())</f>
        <v>0</v>
      </c>
      <c r="J13" s="2" t="n">
        <f aca="false">VLOOKUP($B13,[1]Day2!$A$1:$H$400,6,FALSE())</f>
        <v>0</v>
      </c>
      <c r="K13" s="2" t="n">
        <f aca="false">SUM(E13:H13)</f>
        <v>7</v>
      </c>
      <c r="L13" s="0"/>
      <c r="M13" s="0"/>
      <c r="N13" s="0"/>
      <c r="O13" s="0"/>
    </row>
    <row r="14" customFormat="false" ht="12.75" hidden="false" customHeight="true" outlineLevel="0" collapsed="false">
      <c r="A14" s="1" t="n">
        <v>13</v>
      </c>
      <c r="B14" s="2" t="n">
        <v>187582</v>
      </c>
      <c r="C14" s="2" t="s">
        <v>399</v>
      </c>
      <c r="D14" s="2" t="s">
        <v>24</v>
      </c>
      <c r="E14" s="2" t="n">
        <f aca="false">VLOOKUP($B14,[1]Day1!$A$1:$H$394,4,FALSE())</f>
        <v>5</v>
      </c>
      <c r="F14" s="2" t="n">
        <f aca="false">VLOOKUP($B14,[1]Day1!$A$1:$H$394,5,FALSE())</f>
        <v>2</v>
      </c>
      <c r="G14" s="2" t="n">
        <f aca="false">VLOOKUP($B14,[1]Day1!$A$1:$H$394,6,FALSE())</f>
        <v>0</v>
      </c>
      <c r="H14" s="2" t="n">
        <f aca="false">VLOOKUP($B14,[1]Day2!$A$1:$H$400,4,FALSE())</f>
        <v>0</v>
      </c>
      <c r="I14" s="2" t="n">
        <f aca="false">VLOOKUP($B14,[1]Day2!$A$1:$H$400,5,FALSE())</f>
        <v>0</v>
      </c>
      <c r="J14" s="2" t="n">
        <f aca="false">VLOOKUP($B14,[1]Day2!$A$1:$H$400,6,FALSE())</f>
        <v>0</v>
      </c>
      <c r="K14" s="2" t="n">
        <f aca="false">SUM(E14:H14)</f>
        <v>7</v>
      </c>
      <c r="L14" s="0"/>
      <c r="M14" s="0"/>
      <c r="N14" s="0"/>
      <c r="O14" s="0"/>
    </row>
    <row r="15" customFormat="false" ht="12.75" hidden="false" customHeight="true" outlineLevel="0" collapsed="false">
      <c r="A15" s="1" t="n">
        <v>14</v>
      </c>
      <c r="B15" s="2" t="n">
        <v>109357</v>
      </c>
      <c r="C15" s="2" t="s">
        <v>313</v>
      </c>
      <c r="D15" s="2" t="s">
        <v>400</v>
      </c>
      <c r="E15" s="2" t="n">
        <f aca="false">VLOOKUP($B15,[1]Day1!$A$1:$H$394,4,FALSE())</f>
        <v>4</v>
      </c>
      <c r="F15" s="2" t="n">
        <f aca="false">VLOOKUP($B15,[1]Day1!$A$1:$H$394,5,FALSE())</f>
        <v>0</v>
      </c>
      <c r="G15" s="2" t="n">
        <f aca="false">VLOOKUP($B15,[1]Day1!$A$1:$H$394,6,FALSE())</f>
        <v>0</v>
      </c>
      <c r="H15" s="2" t="n">
        <f aca="false">VLOOKUP($B15,[1]Day2!$A$1:$H$400,4,FALSE())</f>
        <v>0</v>
      </c>
      <c r="I15" s="2" t="n">
        <f aca="false">VLOOKUP($B15,[1]Day2!$A$1:$H$400,5,FALSE())</f>
        <v>0</v>
      </c>
      <c r="J15" s="2" t="n">
        <f aca="false">VLOOKUP($B15,[1]Day2!$A$1:$H$400,6,FALSE())</f>
        <v>0</v>
      </c>
      <c r="K15" s="2" t="n">
        <f aca="false">SUM(E15:H15)</f>
        <v>4</v>
      </c>
      <c r="L15" s="0"/>
      <c r="M15" s="0"/>
      <c r="N15" s="0"/>
      <c r="O15" s="0"/>
    </row>
    <row r="16" customFormat="false" ht="12.75" hidden="false" customHeight="true" outlineLevel="0" collapsed="false">
      <c r="A16" s="1" t="n">
        <v>15</v>
      </c>
      <c r="B16" s="2" t="n">
        <v>117121</v>
      </c>
      <c r="C16" s="2" t="s">
        <v>401</v>
      </c>
      <c r="D16" s="2" t="s">
        <v>205</v>
      </c>
      <c r="E16" s="2" t="n">
        <f aca="false">VLOOKUP($B16,[1]Day1!$A$1:$H$394,4,FALSE())</f>
        <v>0</v>
      </c>
      <c r="F16" s="2" t="n">
        <f aca="false">VLOOKUP($B16,[1]Day1!$A$1:$H$394,5,FALSE())</f>
        <v>3</v>
      </c>
      <c r="G16" s="2" t="n">
        <f aca="false">VLOOKUP($B16,[1]Day1!$A$1:$H$394,6,FALSE())</f>
        <v>0</v>
      </c>
      <c r="H16" s="2" t="n">
        <f aca="false">VLOOKUP($B16,[1]Day2!$A$1:$H$400,4,FALSE())</f>
        <v>0</v>
      </c>
      <c r="I16" s="2" t="n">
        <f aca="false">VLOOKUP($B16,[1]Day2!$A$1:$H$400,5,FALSE())</f>
        <v>0</v>
      </c>
      <c r="J16" s="2" t="n">
        <f aca="false">VLOOKUP($B16,[1]Day2!$A$1:$H$400,6,FALSE())</f>
        <v>0</v>
      </c>
      <c r="K16" s="2" t="n">
        <f aca="false">SUM(E16:H16)</f>
        <v>3</v>
      </c>
      <c r="L16" s="0"/>
      <c r="M16" s="0"/>
      <c r="N16" s="0"/>
      <c r="O16" s="0"/>
    </row>
    <row r="17" customFormat="false" ht="12.75" hidden="false" customHeight="true" outlineLevel="0" collapsed="false">
      <c r="A17" s="1" t="n">
        <v>16</v>
      </c>
      <c r="B17" s="2" t="n">
        <v>122126</v>
      </c>
      <c r="C17" s="2" t="s">
        <v>166</v>
      </c>
      <c r="D17" s="2" t="s">
        <v>220</v>
      </c>
      <c r="E17" s="2" t="n">
        <f aca="false">VLOOKUP($B17,[1]Day1!$A$1:$H$394,4,FALSE())</f>
        <v>0</v>
      </c>
      <c r="F17" s="2" t="n">
        <f aca="false">VLOOKUP($B17,[1]Day1!$A$1:$H$394,5,FALSE())</f>
        <v>3</v>
      </c>
      <c r="G17" s="2" t="n">
        <f aca="false">VLOOKUP($B17,[1]Day1!$A$1:$H$394,6,FALSE())</f>
        <v>0</v>
      </c>
      <c r="H17" s="2" t="n">
        <f aca="false">VLOOKUP($B17,[1]Day2!$A$1:$H$400,4,FALSE())</f>
        <v>0</v>
      </c>
      <c r="I17" s="2" t="n">
        <f aca="false">VLOOKUP($B17,[1]Day2!$A$1:$H$400,5,FALSE())</f>
        <v>0</v>
      </c>
      <c r="J17" s="2" t="n">
        <f aca="false">VLOOKUP($B17,[1]Day2!$A$1:$H$400,6,FALSE())</f>
        <v>0</v>
      </c>
      <c r="K17" s="2" t="n">
        <f aca="false">SUM(E17:H17)</f>
        <v>3</v>
      </c>
      <c r="L17" s="0"/>
      <c r="M17" s="0"/>
      <c r="N17" s="0"/>
      <c r="O17" s="0"/>
    </row>
    <row r="18" customFormat="false" ht="12.75" hidden="false" customHeight="true" outlineLevel="0" collapsed="false">
      <c r="A18" s="1" t="n">
        <v>17</v>
      </c>
      <c r="B18" s="2" t="n">
        <v>110029</v>
      </c>
      <c r="C18" s="2" t="s">
        <v>127</v>
      </c>
      <c r="D18" s="2" t="s">
        <v>182</v>
      </c>
      <c r="E18" s="2" t="n">
        <f aca="false">VLOOKUP($B18,[1]Day1!$A$1:$H$394,4,FALSE())</f>
        <v>0</v>
      </c>
      <c r="F18" s="2" t="n">
        <f aca="false">VLOOKUP($B18,[1]Day1!$A$1:$H$394,5,FALSE())</f>
        <v>2</v>
      </c>
      <c r="G18" s="2" t="n">
        <f aca="false">VLOOKUP($B18,[1]Day1!$A$1:$H$394,6,FALSE())</f>
        <v>0</v>
      </c>
      <c r="H18" s="2" t="n">
        <f aca="false">VLOOKUP($B18,[1]Day2!$A$1:$H$400,4,FALSE())</f>
        <v>0</v>
      </c>
      <c r="I18" s="2" t="n">
        <f aca="false">VLOOKUP($B18,[1]Day2!$A$1:$H$400,5,FALSE())</f>
        <v>0</v>
      </c>
      <c r="J18" s="2" t="n">
        <f aca="false">VLOOKUP($B18,[1]Day2!$A$1:$H$400,6,FALSE())</f>
        <v>0</v>
      </c>
      <c r="K18" s="2" t="n">
        <f aca="false">SUM(E18:H18)</f>
        <v>2</v>
      </c>
      <c r="L18" s="0"/>
      <c r="M18" s="0"/>
      <c r="N18" s="0"/>
      <c r="O18" s="0"/>
    </row>
    <row r="19" customFormat="false" ht="12.75" hidden="false" customHeight="true" outlineLevel="0" collapsed="false">
      <c r="A19" s="1" t="n">
        <v>18</v>
      </c>
      <c r="B19" s="2" t="n">
        <v>184434</v>
      </c>
      <c r="C19" s="2" t="s">
        <v>402</v>
      </c>
      <c r="D19" s="2" t="s">
        <v>403</v>
      </c>
      <c r="E19" s="2" t="n">
        <f aca="false">VLOOKUP($B19,[1]Day1!$A$1:$H$394,4,FALSE())</f>
        <v>0</v>
      </c>
      <c r="F19" s="2" t="n">
        <f aca="false">VLOOKUP($B19,[1]Day1!$A$1:$H$394,5,FALSE())</f>
        <v>1</v>
      </c>
      <c r="G19" s="2" t="n">
        <f aca="false">VLOOKUP($B19,[1]Day1!$A$1:$H$394,6,FALSE())</f>
        <v>0</v>
      </c>
      <c r="H19" s="2" t="n">
        <f aca="false">VLOOKUP($B19,[1]Day2!$A$1:$H$400,4,FALSE())</f>
        <v>0</v>
      </c>
      <c r="I19" s="2" t="n">
        <f aca="false">VLOOKUP($B19,[1]Day2!$A$1:$H$400,5,FALSE())</f>
        <v>0</v>
      </c>
      <c r="J19" s="2" t="n">
        <f aca="false">VLOOKUP($B19,[1]Day2!$A$1:$H$400,6,FALSE())</f>
        <v>0</v>
      </c>
      <c r="K19" s="2" t="n">
        <f aca="false">SUM(E19:H19)</f>
        <v>1</v>
      </c>
      <c r="L19" s="0"/>
      <c r="M19" s="0"/>
      <c r="N19" s="0"/>
      <c r="O19" s="0"/>
    </row>
    <row r="20" customFormat="false" ht="12.75" hidden="false" customHeight="true" outlineLevel="0" collapsed="false">
      <c r="A20" s="1" t="n">
        <v>19</v>
      </c>
      <c r="B20" s="2" t="n">
        <v>111245</v>
      </c>
      <c r="C20" s="2" t="s">
        <v>404</v>
      </c>
      <c r="D20" s="2" t="s">
        <v>405</v>
      </c>
      <c r="E20" s="2" t="n">
        <f aca="false">VLOOKUP($B20,[1]Day1!$A$1:$H$394,4,FALSE())</f>
        <v>0</v>
      </c>
      <c r="F20" s="2" t="n">
        <f aca="false">VLOOKUP($B20,[1]Day1!$A$1:$H$394,5,FALSE())</f>
        <v>0</v>
      </c>
      <c r="G20" s="2" t="n">
        <f aca="false">VLOOKUP($B20,[1]Day1!$A$1:$H$394,6,FALSE())</f>
        <v>0</v>
      </c>
      <c r="H20" s="2" t="n">
        <f aca="false">VLOOKUP($B20,[1]Day2!$A$1:$H$400,4,FALSE())</f>
        <v>0</v>
      </c>
      <c r="I20" s="2" t="n">
        <f aca="false">VLOOKUP($B20,[1]Day2!$A$1:$H$400,5,FALSE())</f>
        <v>0</v>
      </c>
      <c r="J20" s="2" t="n">
        <f aca="false">VLOOKUP($B20,[1]Day2!$A$1:$H$400,6,FALSE())</f>
        <v>0</v>
      </c>
      <c r="K20" s="2" t="n">
        <f aca="false">SUM(E20:H20)</f>
        <v>0</v>
      </c>
      <c r="L20" s="0"/>
      <c r="M20" s="0"/>
      <c r="N20" s="0"/>
      <c r="O20" s="0"/>
    </row>
    <row r="21" customFormat="false" ht="12.75" hidden="false" customHeight="true" outlineLevel="0" collapsed="false">
      <c r="A21" s="1" t="n">
        <v>20</v>
      </c>
      <c r="B21" s="2" t="n">
        <v>115662</v>
      </c>
      <c r="C21" s="2" t="s">
        <v>406</v>
      </c>
      <c r="D21" s="2" t="s">
        <v>407</v>
      </c>
      <c r="E21" s="2" t="n">
        <f aca="false">VLOOKUP($B21,[1]Day1!$A$1:$H$394,4,FALSE())</f>
        <v>0</v>
      </c>
      <c r="F21" s="2" t="n">
        <f aca="false">VLOOKUP($B21,[1]Day1!$A$1:$H$394,5,FALSE())</f>
        <v>0</v>
      </c>
      <c r="G21" s="2" t="n">
        <f aca="false">VLOOKUP($B21,[1]Day1!$A$1:$H$394,6,FALSE())</f>
        <v>0</v>
      </c>
      <c r="H21" s="2" t="n">
        <f aca="false">VLOOKUP($B21,[1]Day2!$A$1:$H$400,4,FALSE())</f>
        <v>0</v>
      </c>
      <c r="I21" s="2" t="n">
        <f aca="false">VLOOKUP($B21,[1]Day2!$A$1:$H$400,5,FALSE())</f>
        <v>0</v>
      </c>
      <c r="J21" s="2" t="n">
        <f aca="false">VLOOKUP($B21,[1]Day2!$A$1:$H$400,6,FALSE())</f>
        <v>0</v>
      </c>
      <c r="K21" s="2" t="n">
        <f aca="false">SUM(E21:H21)</f>
        <v>0</v>
      </c>
      <c r="L21" s="0"/>
      <c r="M21" s="0"/>
      <c r="N21" s="0"/>
      <c r="O21" s="0"/>
    </row>
    <row r="22" customFormat="false" ht="12.75" hidden="false" customHeight="true" outlineLevel="0" collapsed="false">
      <c r="A22" s="1" t="n">
        <v>21</v>
      </c>
      <c r="B22" s="2" t="n">
        <v>119123</v>
      </c>
      <c r="C22" s="2" t="s">
        <v>408</v>
      </c>
      <c r="D22" s="2" t="s">
        <v>409</v>
      </c>
      <c r="E22" s="2" t="n">
        <f aca="false">VLOOKUP($B22,[1]Day1!$A$1:$H$394,4,FALSE())</f>
        <v>0</v>
      </c>
      <c r="F22" s="2" t="n">
        <f aca="false">VLOOKUP($B22,[1]Day1!$A$1:$H$394,5,FALSE())</f>
        <v>0</v>
      </c>
      <c r="G22" s="2" t="n">
        <f aca="false">VLOOKUP($B22,[1]Day1!$A$1:$H$394,6,FALSE())</f>
        <v>0</v>
      </c>
      <c r="H22" s="2" t="n">
        <f aca="false">VLOOKUP($B22,[1]Day2!$A$1:$H$400,4,FALSE())</f>
        <v>0</v>
      </c>
      <c r="I22" s="2" t="n">
        <f aca="false">VLOOKUP($B22,[1]Day2!$A$1:$H$400,5,FALSE())</f>
        <v>0</v>
      </c>
      <c r="J22" s="2" t="n">
        <f aca="false">VLOOKUP($B22,[1]Day2!$A$1:$H$400,6,FALSE())</f>
        <v>0</v>
      </c>
      <c r="K22" s="2" t="n">
        <f aca="false">SUM(E22:H22)</f>
        <v>0</v>
      </c>
      <c r="L22" s="0"/>
      <c r="M22" s="0"/>
      <c r="N22" s="0"/>
      <c r="O22" s="0"/>
    </row>
    <row r="23" customFormat="false" ht="12.75" hidden="false" customHeight="true" outlineLevel="0" collapsed="false">
      <c r="A23" s="1" t="n">
        <v>22</v>
      </c>
      <c r="B23" s="2" t="n">
        <v>187396</v>
      </c>
      <c r="C23" s="2" t="s">
        <v>410</v>
      </c>
      <c r="D23" s="2" t="s">
        <v>411</v>
      </c>
      <c r="E23" s="2" t="n">
        <f aca="false">VLOOKUP($B23,[1]Day1!$A$1:$H$394,4,FALSE())</f>
        <v>0</v>
      </c>
      <c r="F23" s="2" t="n">
        <f aca="false">VLOOKUP($B23,[1]Day1!$A$1:$H$394,5,FALSE())</f>
        <v>0</v>
      </c>
      <c r="G23" s="2" t="n">
        <f aca="false">VLOOKUP($B23,[1]Day1!$A$1:$H$394,6,FALSE())</f>
        <v>0</v>
      </c>
      <c r="H23" s="2" t="n">
        <f aca="false">VLOOKUP($B23,[1]Day2!$A$1:$H$400,4,FALSE())</f>
        <v>0</v>
      </c>
      <c r="I23" s="2" t="n">
        <f aca="false">VLOOKUP($B23,[1]Day2!$A$1:$H$400,5,FALSE())</f>
        <v>0</v>
      </c>
      <c r="J23" s="2" t="n">
        <f aca="false">VLOOKUP($B23,[1]Day2!$A$1:$H$400,6,FALSE())</f>
        <v>0</v>
      </c>
      <c r="K23" s="2" t="n">
        <f aca="false">SUM(E23:H23)</f>
        <v>0</v>
      </c>
      <c r="L23" s="0"/>
      <c r="M23" s="0"/>
      <c r="N23" s="0"/>
      <c r="O23" s="0"/>
    </row>
    <row r="24" customFormat="false" ht="12.75" hidden="false" customHeight="true" outlineLevel="0" collapsed="false">
      <c r="A24" s="1" t="n">
        <v>23</v>
      </c>
      <c r="B24" s="2" t="n">
        <v>118508</v>
      </c>
      <c r="C24" s="2" t="s">
        <v>362</v>
      </c>
      <c r="D24" s="2" t="s">
        <v>412</v>
      </c>
      <c r="E24" s="2" t="n">
        <f aca="false">VLOOKUP($B24,[1]Day1!$A$1:$H$394,4,FALSE())</f>
        <v>0</v>
      </c>
      <c r="F24" s="2" t="n">
        <f aca="false">VLOOKUP($B24,[1]Day1!$A$1:$H$394,5,FALSE())</f>
        <v>0</v>
      </c>
      <c r="G24" s="2" t="n">
        <f aca="false">VLOOKUP($B24,[1]Day1!$A$1:$H$394,6,FALSE())</f>
        <v>0</v>
      </c>
      <c r="H24" s="2" t="n">
        <f aca="false">VLOOKUP($B24,[1]Day2!$A$1:$H$400,4,FALSE())</f>
        <v>0</v>
      </c>
      <c r="I24" s="2" t="n">
        <f aca="false">VLOOKUP($B24,[1]Day2!$A$1:$H$400,5,FALSE())</f>
        <v>0</v>
      </c>
      <c r="J24" s="2" t="n">
        <f aca="false">VLOOKUP($B24,[1]Day2!$A$1:$H$400,6,FALSE())</f>
        <v>0</v>
      </c>
      <c r="K24" s="2" t="n">
        <f aca="false">SUM(E24:H24)</f>
        <v>0</v>
      </c>
      <c r="L24" s="0"/>
      <c r="M24" s="0"/>
      <c r="N24" s="0"/>
      <c r="O24" s="0"/>
    </row>
    <row r="25" customFormat="false" ht="12.75" hidden="false" customHeight="true" outlineLevel="0" collapsed="false">
      <c r="A25" s="1" t="n">
        <v>24</v>
      </c>
      <c r="B25" s="2" t="n">
        <v>118586</v>
      </c>
      <c r="C25" s="2" t="s">
        <v>413</v>
      </c>
      <c r="D25" s="2" t="s">
        <v>414</v>
      </c>
      <c r="E25" s="2" t="n">
        <f aca="false">VLOOKUP($B25,[1]Day1!$A$1:$H$394,4,FALSE())</f>
        <v>0</v>
      </c>
      <c r="F25" s="2" t="n">
        <f aca="false">VLOOKUP($B25,[1]Day1!$A$1:$H$394,5,FALSE())</f>
        <v>0</v>
      </c>
      <c r="G25" s="2" t="n">
        <f aca="false">VLOOKUP($B25,[1]Day1!$A$1:$H$394,6,FALSE())</f>
        <v>0</v>
      </c>
      <c r="H25" s="2" t="n">
        <f aca="false">VLOOKUP($B25,[1]Day2!$A$1:$H$400,4,FALSE())</f>
        <v>0</v>
      </c>
      <c r="I25" s="2" t="n">
        <f aca="false">VLOOKUP($B25,[1]Day2!$A$1:$H$400,5,FALSE())</f>
        <v>0</v>
      </c>
      <c r="J25" s="2" t="n">
        <f aca="false">VLOOKUP($B25,[1]Day2!$A$1:$H$400,6,FALSE())</f>
        <v>0</v>
      </c>
      <c r="K25" s="2" t="n">
        <f aca="false">SUM(E25:H25)</f>
        <v>0</v>
      </c>
      <c r="L25" s="0"/>
      <c r="M25" s="0"/>
      <c r="N25" s="0"/>
      <c r="O25" s="0"/>
    </row>
    <row r="26" customFormat="false" ht="12.75" hidden="false" customHeight="true" outlineLevel="0" collapsed="false">
      <c r="A26" s="1" t="n">
        <v>25</v>
      </c>
      <c r="B26" s="2" t="n">
        <v>109385</v>
      </c>
      <c r="C26" s="2" t="s">
        <v>170</v>
      </c>
      <c r="D26" s="2" t="s">
        <v>415</v>
      </c>
      <c r="E26" s="2" t="n">
        <f aca="false">VLOOKUP($B26,[1]Day1!$A$1:$H$394,4,FALSE())</f>
        <v>0</v>
      </c>
      <c r="F26" s="2" t="n">
        <f aca="false">VLOOKUP($B26,[1]Day1!$A$1:$H$394,5,FALSE())</f>
        <v>0</v>
      </c>
      <c r="G26" s="2" t="n">
        <f aca="false">VLOOKUP($B26,[1]Day1!$A$1:$H$394,6,FALSE())</f>
        <v>0</v>
      </c>
      <c r="H26" s="2" t="n">
        <f aca="false">VLOOKUP($B26,[1]Day2!$A$1:$H$400,4,FALSE())</f>
        <v>0</v>
      </c>
      <c r="I26" s="2" t="n">
        <f aca="false">VLOOKUP($B26,[1]Day2!$A$1:$H$400,5,FALSE())</f>
        <v>0</v>
      </c>
      <c r="J26" s="2" t="n">
        <f aca="false">VLOOKUP($B26,[1]Day2!$A$1:$H$400,6,FALSE())</f>
        <v>0</v>
      </c>
      <c r="K26" s="2" t="n">
        <f aca="false">SUM(E26:H26)</f>
        <v>0</v>
      </c>
      <c r="L26" s="0"/>
      <c r="M26" s="0"/>
      <c r="N26" s="0"/>
      <c r="O26" s="0"/>
    </row>
    <row r="27" customFormat="false" ht="12.75" hidden="false" customHeight="true" outlineLevel="0" collapsed="false">
      <c r="A27" s="1" t="n">
        <v>26</v>
      </c>
      <c r="B27" s="2" t="n">
        <v>81407</v>
      </c>
      <c r="C27" s="2" t="s">
        <v>381</v>
      </c>
      <c r="D27" s="2" t="s">
        <v>412</v>
      </c>
      <c r="E27" s="2" t="n">
        <f aca="false">VLOOKUP($B27,[1]Day1!$A$1:$H$394,4,FALSE())</f>
        <v>7</v>
      </c>
      <c r="F27" s="2" t="n">
        <f aca="false">VLOOKUP($B27,[1]Day1!$A$1:$H$394,5,FALSE())</f>
        <v>7</v>
      </c>
      <c r="G27" s="2" t="n">
        <f aca="false">VLOOKUP($B27,[1]Day1!$A$1:$H$394,6,FALSE())</f>
        <v>0</v>
      </c>
      <c r="H27" s="2" t="n">
        <f aca="false">VLOOKUP($B27,'[1]10-р анги өдөр-2'!$F$3:$K$43,4,FALSE())</f>
        <v>6</v>
      </c>
      <c r="I27" s="2" t="n">
        <f aca="false">VLOOKUP($B27,'[1]10-р анги өдөр-2'!$F$3:$K$43,5,FALSE())</f>
        <v>0</v>
      </c>
      <c r="J27" s="2" t="n">
        <f aca="false">VLOOKUP($B27,'[1]10-р анги өдөр-2'!$F$3:$K$43,6,FALSE())</f>
        <v>7</v>
      </c>
      <c r="K27" s="2" t="n">
        <f aca="false">SUM(E27:J27)</f>
        <v>27</v>
      </c>
      <c r="L27" s="0"/>
      <c r="M27" s="0"/>
      <c r="N27" s="0"/>
      <c r="O27" s="0"/>
    </row>
    <row r="28" customFormat="false" ht="12.75" hidden="false" customHeight="true" outlineLevel="0" collapsed="false">
      <c r="A28" s="1" t="n">
        <v>27</v>
      </c>
      <c r="B28" s="2" t="n">
        <v>81436</v>
      </c>
      <c r="C28" s="2" t="s">
        <v>19</v>
      </c>
      <c r="D28" s="2" t="s">
        <v>205</v>
      </c>
      <c r="E28" s="2" t="n">
        <f aca="false">VLOOKUP($B28,[1]Day1!$A$1:$H$394,4,FALSE())</f>
        <v>7</v>
      </c>
      <c r="F28" s="2" t="n">
        <f aca="false">VLOOKUP($B28,[1]Day1!$A$1:$H$394,5,FALSE())</f>
        <v>3</v>
      </c>
      <c r="G28" s="2" t="n">
        <f aca="false">VLOOKUP($B28,[1]Day1!$A$1:$H$394,6,FALSE())</f>
        <v>0</v>
      </c>
      <c r="H28" s="2" t="n">
        <f aca="false">VLOOKUP($B28,'[1]10-р анги өдөр-2'!$F$3:$K$43,4,FALSE())</f>
        <v>0</v>
      </c>
      <c r="I28" s="2" t="n">
        <f aca="false">VLOOKUP($B28,'[1]10-р анги өдөр-2'!$F$3:$K$43,5,FALSE())</f>
        <v>0</v>
      </c>
      <c r="J28" s="2" t="n">
        <f aca="false">VLOOKUP($B28,'[1]10-р анги өдөр-2'!$F$3:$K$43,6,FALSE())</f>
        <v>7</v>
      </c>
      <c r="K28" s="2" t="n">
        <f aca="false">SUM(E28:J28)</f>
        <v>17</v>
      </c>
      <c r="L28" s="0"/>
      <c r="M28" s="0"/>
      <c r="N28" s="0"/>
      <c r="O28" s="0"/>
    </row>
    <row r="29" customFormat="false" ht="12.75" hidden="false" customHeight="true" outlineLevel="0" collapsed="false">
      <c r="A29" s="1" t="n">
        <v>28</v>
      </c>
      <c r="B29" s="2" t="n">
        <v>111815</v>
      </c>
      <c r="C29" s="2" t="s">
        <v>416</v>
      </c>
      <c r="D29" s="2" t="s">
        <v>417</v>
      </c>
      <c r="E29" s="2" t="n">
        <f aca="false">VLOOKUP($B29,[1]Day1!$A$1:$H$394,4,FALSE())</f>
        <v>7</v>
      </c>
      <c r="F29" s="2" t="n">
        <f aca="false">VLOOKUP($B29,[1]Day1!$A$1:$H$394,5,FALSE())</f>
        <v>2</v>
      </c>
      <c r="G29" s="2" t="n">
        <f aca="false">VLOOKUP($B29,[1]Day1!$A$1:$H$394,6,FALSE())</f>
        <v>0</v>
      </c>
      <c r="H29" s="2" t="n">
        <f aca="false">VLOOKUP($B29,'[1]10-р анги өдөр-2'!$F$3:$K$43,4,FALSE())</f>
        <v>6</v>
      </c>
      <c r="I29" s="2" t="n">
        <f aca="false">VLOOKUP($B29,'[1]10-р анги өдөр-2'!$F$3:$K$43,5,FALSE())</f>
        <v>0</v>
      </c>
      <c r="J29" s="2" t="n">
        <f aca="false">VLOOKUP($B29,'[1]10-р анги өдөр-2'!$F$3:$K$43,6,FALSE())</f>
        <v>0</v>
      </c>
      <c r="K29" s="2" t="n">
        <f aca="false">SUM(E29:J29)</f>
        <v>15</v>
      </c>
      <c r="L29" s="0"/>
      <c r="M29" s="0"/>
      <c r="N29" s="0"/>
      <c r="O29" s="0"/>
    </row>
    <row r="30" customFormat="false" ht="12.75" hidden="false" customHeight="true" outlineLevel="0" collapsed="false">
      <c r="A30" s="1" t="n">
        <v>29</v>
      </c>
      <c r="B30" s="2" t="n">
        <v>72371</v>
      </c>
      <c r="C30" s="2" t="s">
        <v>418</v>
      </c>
      <c r="D30" s="2" t="s">
        <v>124</v>
      </c>
      <c r="E30" s="2" t="n">
        <f aca="false">VLOOKUP($B30,[1]Day1!$A$1:$H$394,4,FALSE())</f>
        <v>7</v>
      </c>
      <c r="F30" s="2" t="n">
        <f aca="false">VLOOKUP($B30,[1]Day1!$A$1:$H$394,5,FALSE())</f>
        <v>4</v>
      </c>
      <c r="G30" s="2" t="n">
        <f aca="false">VLOOKUP($B30,[1]Day1!$A$1:$H$394,6,FALSE())</f>
        <v>0</v>
      </c>
      <c r="H30" s="2" t="n">
        <f aca="false">VLOOKUP($B30,'[1]10-р анги өдөр-2'!$F$3:$K$43,4,FALSE())</f>
        <v>1</v>
      </c>
      <c r="I30" s="2" t="n">
        <f aca="false">VLOOKUP($B30,'[1]10-р анги өдөр-2'!$F$3:$K$43,5,FALSE())</f>
        <v>0.5</v>
      </c>
      <c r="J30" s="2" t="n">
        <f aca="false">VLOOKUP($B30,'[1]10-р анги өдөр-2'!$F$3:$K$43,6,FALSE())</f>
        <v>0</v>
      </c>
      <c r="K30" s="2" t="n">
        <f aca="false">SUM(E30:J30)</f>
        <v>12.5</v>
      </c>
      <c r="L30" s="0"/>
      <c r="M30" s="0"/>
      <c r="N30" s="0"/>
      <c r="O30" s="0"/>
    </row>
    <row r="31" customFormat="false" ht="12.75" hidden="false" customHeight="true" outlineLevel="0" collapsed="false">
      <c r="A31" s="1" t="n">
        <v>30</v>
      </c>
      <c r="B31" s="2" t="n">
        <v>81422</v>
      </c>
      <c r="C31" s="2" t="s">
        <v>183</v>
      </c>
      <c r="D31" s="2" t="s">
        <v>419</v>
      </c>
      <c r="E31" s="2" t="n">
        <f aca="false">VLOOKUP($B31,[1]Day1!$A$1:$H$394,4,FALSE())</f>
        <v>7</v>
      </c>
      <c r="F31" s="2" t="n">
        <f aca="false">VLOOKUP($B31,[1]Day1!$A$1:$H$394,5,FALSE())</f>
        <v>4</v>
      </c>
      <c r="G31" s="2" t="n">
        <f aca="false">VLOOKUP($B31,[1]Day1!$A$1:$H$394,6,FALSE())</f>
        <v>0</v>
      </c>
      <c r="H31" s="2" t="n">
        <f aca="false">VLOOKUP($B31,'[1]10-р анги өдөр-2'!$F$3:$K$43,4,FALSE())</f>
        <v>1</v>
      </c>
      <c r="I31" s="2" t="n">
        <f aca="false">VLOOKUP($B31,'[1]10-р анги өдөр-2'!$F$3:$K$43,5,FALSE())</f>
        <v>0</v>
      </c>
      <c r="J31" s="2" t="n">
        <f aca="false">VLOOKUP($B31,'[1]10-р анги өдөр-2'!$F$3:$K$43,6,FALSE())</f>
        <v>0</v>
      </c>
      <c r="K31" s="2" t="n">
        <f aca="false">SUM(E31:J31)</f>
        <v>12</v>
      </c>
      <c r="L31" s="0"/>
      <c r="M31" s="0"/>
      <c r="N31" s="0"/>
      <c r="O31" s="0"/>
    </row>
    <row r="32" customFormat="false" ht="12.75" hidden="false" customHeight="true" outlineLevel="0" collapsed="false">
      <c r="A32" s="1" t="n">
        <v>31</v>
      </c>
      <c r="B32" s="2" t="n">
        <v>73757</v>
      </c>
      <c r="C32" s="2" t="s">
        <v>420</v>
      </c>
      <c r="D32" s="2" t="s">
        <v>18</v>
      </c>
      <c r="E32" s="2" t="n">
        <f aca="false">VLOOKUP($B32,[1]Day1!$A$1:$H$394,4,FALSE())</f>
        <v>7</v>
      </c>
      <c r="F32" s="2" t="n">
        <f aca="false">VLOOKUP($B32,[1]Day1!$A$1:$H$394,5,FALSE())</f>
        <v>3</v>
      </c>
      <c r="G32" s="2" t="n">
        <f aca="false">VLOOKUP($B32,[1]Day1!$A$1:$H$394,6,FALSE())</f>
        <v>0</v>
      </c>
      <c r="H32" s="2" t="n">
        <f aca="false">VLOOKUP($B32,'[1]10-р анги өдөр-2'!$F$3:$K$43,4,FALSE())</f>
        <v>1</v>
      </c>
      <c r="I32" s="2" t="n">
        <f aca="false">VLOOKUP($B32,'[1]10-р анги өдөр-2'!$F$3:$K$43,5,FALSE())</f>
        <v>0</v>
      </c>
      <c r="J32" s="2" t="n">
        <f aca="false">VLOOKUP($B32,'[1]10-р анги өдөр-2'!$F$3:$K$43,6,FALSE())</f>
        <v>0</v>
      </c>
      <c r="K32" s="2" t="n">
        <f aca="false">SUM(E32:J32)</f>
        <v>11</v>
      </c>
      <c r="L32" s="0"/>
      <c r="M32" s="0"/>
      <c r="N32" s="0"/>
      <c r="O32" s="0"/>
    </row>
    <row r="33" customFormat="false" ht="12.75" hidden="false" customHeight="true" outlineLevel="0" collapsed="false">
      <c r="A33" s="1" t="n">
        <v>32</v>
      </c>
      <c r="B33" s="2" t="n">
        <v>118299</v>
      </c>
      <c r="C33" s="2" t="s">
        <v>421</v>
      </c>
      <c r="D33" s="2" t="s">
        <v>312</v>
      </c>
      <c r="E33" s="2" t="n">
        <f aca="false">VLOOKUP($B33,[1]Day1!$A$1:$H$394,4,FALSE())</f>
        <v>7</v>
      </c>
      <c r="F33" s="2" t="n">
        <f aca="false">VLOOKUP($B33,[1]Day1!$A$1:$H$394,5,FALSE())</f>
        <v>4</v>
      </c>
      <c r="G33" s="2" t="n">
        <f aca="false">VLOOKUP($B33,[1]Day1!$A$1:$H$394,6,FALSE())</f>
        <v>0</v>
      </c>
      <c r="H33" s="2" t="n">
        <f aca="false">VLOOKUP($B33,'[1]10-р анги өдөр-2'!$F$3:$K$43,4,FALSE())</f>
        <v>0</v>
      </c>
      <c r="I33" s="2" t="n">
        <f aca="false">VLOOKUP($B33,'[1]10-р анги өдөр-2'!$F$3:$K$43,5,FALSE())</f>
        <v>0</v>
      </c>
      <c r="J33" s="2" t="n">
        <f aca="false">VLOOKUP($B33,'[1]10-р анги өдөр-2'!$F$3:$K$43,6,FALSE())</f>
        <v>0</v>
      </c>
      <c r="K33" s="2" t="n">
        <f aca="false">SUM(E33:J33)</f>
        <v>11</v>
      </c>
      <c r="L33" s="0"/>
      <c r="M33" s="0"/>
      <c r="N33" s="0"/>
      <c r="O33" s="0"/>
    </row>
    <row r="34" customFormat="false" ht="12.75" hidden="false" customHeight="true" outlineLevel="0" collapsed="false">
      <c r="A34" s="1" t="n">
        <v>33</v>
      </c>
      <c r="B34" s="2" t="n">
        <v>118641</v>
      </c>
      <c r="C34" s="2" t="s">
        <v>160</v>
      </c>
      <c r="D34" s="2" t="s">
        <v>128</v>
      </c>
      <c r="E34" s="2" t="n">
        <f aca="false">VLOOKUP($B34,[1]Day1!$A$1:$H$394,4,FALSE())</f>
        <v>7</v>
      </c>
      <c r="F34" s="2" t="n">
        <f aca="false">VLOOKUP($B34,[1]Day1!$A$1:$H$394,5,FALSE())</f>
        <v>4</v>
      </c>
      <c r="G34" s="2" t="n">
        <f aca="false">VLOOKUP($B34,[1]Day1!$A$1:$H$394,6,FALSE())</f>
        <v>0</v>
      </c>
      <c r="H34" s="2" t="n">
        <f aca="false">VLOOKUP($B34,'[1]10-р анги өдөр-2'!$F$3:$K$43,4,FALSE())</f>
        <v>0</v>
      </c>
      <c r="I34" s="2" t="n">
        <f aca="false">VLOOKUP($B34,'[1]10-р анги өдөр-2'!$F$3:$K$43,5,FALSE())</f>
        <v>0</v>
      </c>
      <c r="J34" s="2" t="n">
        <f aca="false">VLOOKUP($B34,'[1]10-р анги өдөр-2'!$F$3:$K$43,6,FALSE())</f>
        <v>0</v>
      </c>
      <c r="K34" s="2" t="n">
        <f aca="false">SUM(E34:J34)</f>
        <v>11</v>
      </c>
      <c r="L34" s="0"/>
      <c r="M34" s="0"/>
      <c r="N34" s="0"/>
      <c r="O34" s="0"/>
    </row>
    <row r="35" customFormat="false" ht="12.75" hidden="false" customHeight="true" outlineLevel="0" collapsed="false">
      <c r="A35" s="1" t="n">
        <v>34</v>
      </c>
      <c r="B35" s="2" t="n">
        <v>110925</v>
      </c>
      <c r="C35" s="2" t="s">
        <v>47</v>
      </c>
      <c r="D35" s="2" t="s">
        <v>192</v>
      </c>
      <c r="E35" s="2" t="n">
        <f aca="false">VLOOKUP($B35,[1]Day1!$A$1:$H$394,4,FALSE())</f>
        <v>7</v>
      </c>
      <c r="F35" s="2" t="n">
        <f aca="false">VLOOKUP($B35,[1]Day1!$A$1:$H$394,5,FALSE())</f>
        <v>4</v>
      </c>
      <c r="G35" s="2" t="n">
        <f aca="false">VLOOKUP($B35,[1]Day1!$A$1:$H$394,6,FALSE())</f>
        <v>0</v>
      </c>
      <c r="H35" s="2" t="n">
        <f aca="false">VLOOKUP($B35,'[1]10-р анги өдөр-2'!$F$3:$K$43,4,FALSE())</f>
        <v>0</v>
      </c>
      <c r="I35" s="2" t="n">
        <f aca="false">VLOOKUP($B35,'[1]10-р анги өдөр-2'!$F$3:$K$43,5,FALSE())</f>
        <v>0</v>
      </c>
      <c r="J35" s="2" t="n">
        <f aca="false">VLOOKUP($B35,'[1]10-р анги өдөр-2'!$F$3:$K$43,6,FALSE())</f>
        <v>0</v>
      </c>
      <c r="K35" s="2" t="n">
        <f aca="false">SUM(E35:J35)</f>
        <v>11</v>
      </c>
      <c r="L35" s="0"/>
      <c r="M35" s="0"/>
      <c r="N35" s="0"/>
      <c r="O35" s="0"/>
    </row>
    <row r="36" customFormat="false" ht="12.75" hidden="false" customHeight="true" outlineLevel="0" collapsed="false">
      <c r="A36" s="1" t="n">
        <v>35</v>
      </c>
      <c r="B36" s="2" t="n">
        <v>119874</v>
      </c>
      <c r="C36" s="2" t="s">
        <v>9</v>
      </c>
      <c r="D36" s="2" t="s">
        <v>422</v>
      </c>
      <c r="E36" s="2" t="n">
        <f aca="false">VLOOKUP($B36,[1]Day1!$A$1:$H$394,4,FALSE())</f>
        <v>7</v>
      </c>
      <c r="F36" s="2" t="n">
        <f aca="false">VLOOKUP($B36,[1]Day1!$A$1:$H$394,5,FALSE())</f>
        <v>3</v>
      </c>
      <c r="G36" s="2" t="n">
        <f aca="false">VLOOKUP($B36,[1]Day1!$A$1:$H$394,6,FALSE())</f>
        <v>0</v>
      </c>
      <c r="H36" s="2" t="n">
        <f aca="false">VLOOKUP($B36,'[1]10-р анги өдөр-2'!$F$3:$K$43,4,FALSE())</f>
        <v>0</v>
      </c>
      <c r="I36" s="2" t="n">
        <f aca="false">VLOOKUP($B36,'[1]10-р анги өдөр-2'!$F$3:$K$43,5,FALSE())</f>
        <v>0</v>
      </c>
      <c r="J36" s="2" t="n">
        <f aca="false">VLOOKUP($B36,'[1]10-р анги өдөр-2'!$F$3:$K$43,6,FALSE())</f>
        <v>0</v>
      </c>
      <c r="K36" s="2" t="n">
        <f aca="false">SUM(E36:J36)</f>
        <v>10</v>
      </c>
      <c r="L36" s="0"/>
      <c r="M36" s="0"/>
      <c r="N36" s="0"/>
      <c r="O36" s="0"/>
    </row>
    <row r="37" customFormat="false" ht="12.75" hidden="false" customHeight="true" outlineLevel="0" collapsed="false">
      <c r="A37" s="1" t="n">
        <v>36</v>
      </c>
      <c r="B37" s="2" t="n">
        <v>183220</v>
      </c>
      <c r="C37" s="2" t="s">
        <v>423</v>
      </c>
      <c r="D37" s="2" t="s">
        <v>53</v>
      </c>
      <c r="E37" s="2" t="n">
        <f aca="false">VLOOKUP($B37,[1]Day1!$A$1:$H$394,4,FALSE())</f>
        <v>7</v>
      </c>
      <c r="F37" s="2" t="n">
        <f aca="false">VLOOKUP($B37,[1]Day1!$A$1:$H$394,5,FALSE())</f>
        <v>2</v>
      </c>
      <c r="G37" s="2" t="n">
        <f aca="false">VLOOKUP($B37,[1]Day1!$A$1:$H$394,6,FALSE())</f>
        <v>0</v>
      </c>
      <c r="H37" s="2" t="n">
        <f aca="false">VLOOKUP($B37,'[1]10-р анги өдөр-2'!$F$3:$K$43,4,FALSE())</f>
        <v>1</v>
      </c>
      <c r="I37" s="2" t="n">
        <f aca="false">VLOOKUP($B37,'[1]10-р анги өдөр-2'!$F$3:$K$43,5,FALSE())</f>
        <v>0</v>
      </c>
      <c r="J37" s="2" t="n">
        <f aca="false">VLOOKUP($B37,'[1]10-р анги өдөр-2'!$F$3:$K$43,6,FALSE())</f>
        <v>0</v>
      </c>
      <c r="K37" s="2" t="n">
        <f aca="false">SUM(E37:J37)</f>
        <v>10</v>
      </c>
      <c r="L37" s="0"/>
      <c r="M37" s="0"/>
      <c r="N37" s="0"/>
      <c r="O37" s="0"/>
    </row>
    <row r="38" customFormat="false" ht="12.75" hidden="false" customHeight="true" outlineLevel="0" collapsed="false">
      <c r="A38" s="1" t="n">
        <v>37</v>
      </c>
      <c r="B38" s="2" t="n">
        <v>118196</v>
      </c>
      <c r="C38" s="2" t="s">
        <v>424</v>
      </c>
      <c r="D38" s="2" t="s">
        <v>168</v>
      </c>
      <c r="E38" s="2" t="n">
        <f aca="false">VLOOKUP($B38,[1]Day1!$A$1:$H$394,4,FALSE())</f>
        <v>7</v>
      </c>
      <c r="F38" s="2" t="n">
        <f aca="false">VLOOKUP($B38,[1]Day1!$A$1:$H$394,5,FALSE())</f>
        <v>2</v>
      </c>
      <c r="G38" s="2" t="n">
        <f aca="false">VLOOKUP($B38,[1]Day1!$A$1:$H$394,6,FALSE())</f>
        <v>0</v>
      </c>
      <c r="H38" s="2" t="n">
        <f aca="false">VLOOKUP($B38,'[1]10-р анги өдөр-2'!$F$3:$K$43,4,FALSE())</f>
        <v>0</v>
      </c>
      <c r="I38" s="2" t="n">
        <f aca="false">VLOOKUP($B38,'[1]10-р анги өдөр-2'!$F$3:$K$43,5,FALSE())</f>
        <v>0</v>
      </c>
      <c r="J38" s="2" t="n">
        <f aca="false">VLOOKUP($B38,'[1]10-р анги өдөр-2'!$F$3:$K$43,6,FALSE())</f>
        <v>0</v>
      </c>
      <c r="K38" s="2" t="n">
        <f aca="false">SUM(E38:J38)</f>
        <v>9</v>
      </c>
      <c r="L38" s="0"/>
      <c r="M38" s="0"/>
      <c r="N38" s="0"/>
      <c r="O38" s="0"/>
    </row>
    <row r="39" customFormat="false" ht="12.75" hidden="false" customHeight="true" outlineLevel="0" collapsed="false">
      <c r="A39" s="1" t="n">
        <v>38</v>
      </c>
      <c r="B39" s="2" t="n">
        <v>52574</v>
      </c>
      <c r="C39" s="2" t="s">
        <v>425</v>
      </c>
      <c r="D39" s="2" t="s">
        <v>270</v>
      </c>
      <c r="E39" s="2" t="n">
        <f aca="false">VLOOKUP($B39,[1]Day1!$A$1:$H$394,4,FALSE())</f>
        <v>7</v>
      </c>
      <c r="F39" s="2" t="n">
        <f aca="false">VLOOKUP($B39,[1]Day1!$A$1:$H$394,5,FALSE())</f>
        <v>2</v>
      </c>
      <c r="G39" s="2" t="n">
        <f aca="false">VLOOKUP($B39,[1]Day1!$A$1:$H$394,6,FALSE())</f>
        <v>0</v>
      </c>
      <c r="H39" s="2" t="n">
        <f aca="false">VLOOKUP($B39,'[1]10-р анги өдөр-2'!$F$3:$K$43,4,FALSE())</f>
        <v>0</v>
      </c>
      <c r="I39" s="2" t="n">
        <f aca="false">VLOOKUP($B39,'[1]10-р анги өдөр-2'!$F$3:$K$43,5,FALSE())</f>
        <v>0</v>
      </c>
      <c r="J39" s="2" t="n">
        <f aca="false">VLOOKUP($B39,'[1]10-р анги өдөр-2'!$F$3:$K$43,6,FALSE())</f>
        <v>0</v>
      </c>
      <c r="K39" s="2" t="n">
        <f aca="false">SUM(E39:J39)</f>
        <v>9</v>
      </c>
      <c r="L39" s="0"/>
      <c r="M39" s="0"/>
      <c r="N39" s="0"/>
      <c r="O39" s="0"/>
    </row>
    <row r="40" customFormat="false" ht="12.75" hidden="false" customHeight="true" outlineLevel="0" collapsed="false">
      <c r="A40" s="1" t="n">
        <v>39</v>
      </c>
      <c r="B40" s="2" t="n">
        <v>119572</v>
      </c>
      <c r="C40" s="2" t="s">
        <v>426</v>
      </c>
      <c r="D40" s="2" t="s">
        <v>427</v>
      </c>
      <c r="E40" s="2" t="n">
        <f aca="false">VLOOKUP($B40,[1]Day1!$A$1:$H$394,4,FALSE())</f>
        <v>7</v>
      </c>
      <c r="F40" s="2" t="n">
        <f aca="false">VLOOKUP($B40,[1]Day1!$A$1:$H$394,5,FALSE())</f>
        <v>2</v>
      </c>
      <c r="G40" s="2" t="n">
        <f aca="false">VLOOKUP($B40,[1]Day1!$A$1:$H$394,6,FALSE())</f>
        <v>0</v>
      </c>
      <c r="H40" s="2" t="n">
        <f aca="false">VLOOKUP($B40,'[1]10-р анги өдөр-2'!$F$3:$K$43,4,FALSE())</f>
        <v>0</v>
      </c>
      <c r="I40" s="2" t="n">
        <f aca="false">VLOOKUP($B40,'[1]10-р анги өдөр-2'!$F$3:$K$43,5,FALSE())</f>
        <v>0</v>
      </c>
      <c r="J40" s="2" t="n">
        <f aca="false">VLOOKUP($B40,'[1]10-р анги өдөр-2'!$F$3:$K$43,6,FALSE())</f>
        <v>0</v>
      </c>
      <c r="K40" s="2" t="n">
        <f aca="false">SUM(E40:J40)</f>
        <v>9</v>
      </c>
      <c r="L40" s="0"/>
      <c r="M40" s="0"/>
      <c r="N40" s="0"/>
      <c r="O40" s="0"/>
    </row>
    <row r="41" customFormat="false" ht="12.75" hidden="false" customHeight="true" outlineLevel="0" collapsed="false">
      <c r="A41" s="1" t="n">
        <v>40</v>
      </c>
      <c r="B41" s="2" t="n">
        <v>206976</v>
      </c>
      <c r="C41" s="2" t="s">
        <v>428</v>
      </c>
      <c r="D41" s="2" t="s">
        <v>429</v>
      </c>
      <c r="E41" s="2" t="n">
        <f aca="false">VLOOKUP($B41,[1]Day1!$A$1:$H$394,4,FALSE())</f>
        <v>7</v>
      </c>
      <c r="F41" s="2" t="n">
        <f aca="false">VLOOKUP($B41,[1]Day1!$A$1:$H$394,5,FALSE())</f>
        <v>2</v>
      </c>
      <c r="G41" s="2" t="n">
        <f aca="false">VLOOKUP($B41,[1]Day1!$A$1:$H$394,6,FALSE())</f>
        <v>0</v>
      </c>
      <c r="H41" s="2" t="n">
        <f aca="false">VLOOKUP($B41,'[1]10-р анги өдөр-2'!$F$3:$K$43,4,FALSE())</f>
        <v>0</v>
      </c>
      <c r="I41" s="2" t="n">
        <f aca="false">VLOOKUP($B41,'[1]10-р анги өдөр-2'!$F$3:$K$43,5,FALSE())</f>
        <v>0</v>
      </c>
      <c r="J41" s="2" t="n">
        <f aca="false">VLOOKUP($B41,'[1]10-р анги өдөр-2'!$F$3:$K$43,6,FALSE())</f>
        <v>0</v>
      </c>
      <c r="K41" s="2" t="n">
        <f aca="false">SUM(E41:J41)</f>
        <v>9</v>
      </c>
      <c r="L41" s="0"/>
      <c r="M41" s="0"/>
      <c r="N41" s="0"/>
      <c r="O41" s="0"/>
    </row>
    <row r="42" customFormat="false" ht="12.75" hidden="false" customHeight="true" outlineLevel="0" collapsed="false">
      <c r="A42" s="1" t="n">
        <v>41</v>
      </c>
      <c r="B42" s="2" t="n">
        <v>109300</v>
      </c>
      <c r="C42" s="2" t="s">
        <v>260</v>
      </c>
      <c r="D42" s="2" t="s">
        <v>430</v>
      </c>
      <c r="E42" s="2" t="n">
        <f aca="false">VLOOKUP($B42,[1]Day1!$A$1:$H$394,4,FALSE())</f>
        <v>7</v>
      </c>
      <c r="F42" s="2" t="n">
        <f aca="false">VLOOKUP($B42,[1]Day1!$A$1:$H$394,5,FALSE())</f>
        <v>2</v>
      </c>
      <c r="G42" s="2" t="n">
        <f aca="false">VLOOKUP($B42,[1]Day1!$A$1:$H$394,6,FALSE())</f>
        <v>0</v>
      </c>
      <c r="H42" s="2" t="n">
        <f aca="false">VLOOKUP($B42,'[1]10-р анги өдөр-2'!$F$3:$K$43,4,FALSE())</f>
        <v>0</v>
      </c>
      <c r="I42" s="2" t="n">
        <f aca="false">VLOOKUP($B42,'[1]10-р анги өдөр-2'!$F$3:$K$43,5,FALSE())</f>
        <v>0</v>
      </c>
      <c r="J42" s="2" t="n">
        <f aca="false">VLOOKUP($B42,'[1]10-р анги өдөр-2'!$F$3:$K$43,6,FALSE())</f>
        <v>0</v>
      </c>
      <c r="K42" s="2" t="n">
        <f aca="false">SUM(E42:J42)</f>
        <v>9</v>
      </c>
      <c r="L42" s="0"/>
      <c r="M42" s="0"/>
      <c r="N42" s="0"/>
      <c r="O42" s="0"/>
    </row>
    <row r="43" customFormat="false" ht="12.75" hidden="false" customHeight="true" outlineLevel="0" collapsed="false">
      <c r="A43" s="1" t="n">
        <v>42</v>
      </c>
      <c r="B43" s="2" t="n">
        <v>81414</v>
      </c>
      <c r="C43" s="2" t="s">
        <v>431</v>
      </c>
      <c r="D43" s="2" t="s">
        <v>432</v>
      </c>
      <c r="E43" s="2" t="n">
        <f aca="false">VLOOKUP($B43,[1]Day1!$A$1:$H$394,4,FALSE())</f>
        <v>7</v>
      </c>
      <c r="F43" s="2" t="n">
        <f aca="false">VLOOKUP($B43,[1]Day1!$A$1:$H$394,5,FALSE())</f>
        <v>2</v>
      </c>
      <c r="G43" s="2" t="n">
        <f aca="false">VLOOKUP($B43,[1]Day1!$A$1:$H$394,6,FALSE())</f>
        <v>0</v>
      </c>
      <c r="H43" s="2" t="n">
        <f aca="false">VLOOKUP($B43,'[1]10-р анги өдөр-2'!$F$3:$K$43,4,FALSE())</f>
        <v>0</v>
      </c>
      <c r="I43" s="2" t="n">
        <f aca="false">VLOOKUP($B43,'[1]10-р анги өдөр-2'!$F$3:$K$43,5,FALSE())</f>
        <v>0</v>
      </c>
      <c r="J43" s="2" t="n">
        <f aca="false">VLOOKUP($B43,'[1]10-р анги өдөр-2'!$F$3:$K$43,6,FALSE())</f>
        <v>0</v>
      </c>
      <c r="K43" s="2" t="n">
        <f aca="false">SUM(E43:J43)</f>
        <v>9</v>
      </c>
      <c r="L43" s="0"/>
      <c r="M43" s="0"/>
      <c r="N43" s="0"/>
      <c r="O43" s="0"/>
    </row>
    <row r="44" customFormat="false" ht="12.75" hidden="false" customHeight="true" outlineLevel="0" collapsed="false">
      <c r="A44" s="1" t="n">
        <v>43</v>
      </c>
      <c r="B44" s="2" t="n">
        <v>127024</v>
      </c>
      <c r="C44" s="2" t="s">
        <v>433</v>
      </c>
      <c r="D44" s="2" t="s">
        <v>39</v>
      </c>
      <c r="E44" s="2" t="n">
        <f aca="false">VLOOKUP($B44,[1]Day1!$A$1:$H$394,4,FALSE())</f>
        <v>7</v>
      </c>
      <c r="F44" s="2" t="n">
        <f aca="false">VLOOKUP($B44,[1]Day1!$A$1:$H$394,5,FALSE())</f>
        <v>0</v>
      </c>
      <c r="G44" s="2" t="n">
        <f aca="false">VLOOKUP($B44,[1]Day1!$A$1:$H$394,6,FALSE())</f>
        <v>0</v>
      </c>
      <c r="H44" s="2" t="n">
        <f aca="false">VLOOKUP($B44,'[1]10-р анги өдөр-2'!$F$3:$K$43,4,FALSE())</f>
        <v>0</v>
      </c>
      <c r="I44" s="2" t="n">
        <f aca="false">VLOOKUP($B44,'[1]10-р анги өдөр-2'!$F$3:$K$43,5,FALSE())</f>
        <v>0</v>
      </c>
      <c r="J44" s="2" t="n">
        <f aca="false">VLOOKUP($B44,'[1]10-р анги өдөр-2'!$F$3:$K$43,6,FALSE())</f>
        <v>0</v>
      </c>
      <c r="K44" s="2" t="n">
        <f aca="false">SUM(E44:J44)</f>
        <v>7</v>
      </c>
      <c r="L44" s="0"/>
      <c r="M44" s="0"/>
      <c r="N44" s="0"/>
      <c r="O44" s="0"/>
    </row>
    <row r="45" customFormat="false" ht="12.75" hidden="false" customHeight="true" outlineLevel="0" collapsed="false">
      <c r="A45" s="1" t="n">
        <v>44</v>
      </c>
      <c r="B45" s="2" t="n">
        <v>212268</v>
      </c>
      <c r="C45" s="2" t="s">
        <v>434</v>
      </c>
      <c r="D45" s="2" t="s">
        <v>327</v>
      </c>
      <c r="E45" s="2" t="n">
        <f aca="false">VLOOKUP($B45,[1]Day1!$A$1:$H$394,4,FALSE())</f>
        <v>7</v>
      </c>
      <c r="F45" s="2" t="n">
        <f aca="false">VLOOKUP($B45,[1]Day1!$A$1:$H$394,5,FALSE())</f>
        <v>0</v>
      </c>
      <c r="G45" s="2" t="n">
        <f aca="false">VLOOKUP($B45,[1]Day1!$A$1:$H$394,6,FALSE())</f>
        <v>0</v>
      </c>
      <c r="H45" s="2" t="n">
        <f aca="false">VLOOKUP($B45,'[1]10-р анги өдөр-2'!$F$3:$K$43,4,FALSE())</f>
        <v>0</v>
      </c>
      <c r="I45" s="2" t="n">
        <f aca="false">VLOOKUP($B45,'[1]10-р анги өдөр-2'!$F$3:$K$43,5,FALSE())</f>
        <v>0</v>
      </c>
      <c r="J45" s="2" t="n">
        <f aca="false">VLOOKUP($B45,'[1]10-р анги өдөр-2'!$F$3:$K$43,6,FALSE())</f>
        <v>0</v>
      </c>
      <c r="K45" s="2" t="n">
        <f aca="false">SUM(E45:J45)</f>
        <v>7</v>
      </c>
      <c r="L45" s="0"/>
      <c r="M45" s="0"/>
      <c r="N45" s="0"/>
      <c r="O45" s="0"/>
    </row>
    <row r="46" customFormat="false" ht="12.75" hidden="false" customHeight="true" outlineLevel="0" collapsed="false">
      <c r="A46" s="1" t="n">
        <v>45</v>
      </c>
      <c r="B46" s="2" t="n">
        <v>136996</v>
      </c>
      <c r="C46" s="2" t="s">
        <v>435</v>
      </c>
      <c r="D46" s="2" t="s">
        <v>314</v>
      </c>
      <c r="E46" s="2" t="n">
        <f aca="false">VLOOKUP($B46,[1]Day1!$A$1:$H$394,4,FALSE())</f>
        <v>7</v>
      </c>
      <c r="F46" s="2" t="n">
        <f aca="false">VLOOKUP($B46,[1]Day1!$A$1:$H$394,5,FALSE())</f>
        <v>0</v>
      </c>
      <c r="G46" s="2" t="n">
        <f aca="false">VLOOKUP($B46,[1]Day1!$A$1:$H$394,6,FALSE())</f>
        <v>0</v>
      </c>
      <c r="H46" s="2" t="n">
        <f aca="false">VLOOKUP($B46,'[1]10-р анги өдөр-2'!$F$3:$K$43,4,FALSE())</f>
        <v>0</v>
      </c>
      <c r="I46" s="2" t="n">
        <f aca="false">VLOOKUP($B46,'[1]10-р анги өдөр-2'!$F$3:$K$43,5,FALSE())</f>
        <v>0</v>
      </c>
      <c r="J46" s="2" t="n">
        <f aca="false">VLOOKUP($B46,'[1]10-р анги өдөр-2'!$F$3:$K$43,6,FALSE())</f>
        <v>0</v>
      </c>
      <c r="K46" s="2" t="n">
        <f aca="false">SUM(E46:J46)</f>
        <v>7</v>
      </c>
      <c r="L46" s="0"/>
      <c r="M46" s="0"/>
      <c r="N46" s="0"/>
      <c r="O46" s="0"/>
    </row>
    <row r="47" customFormat="false" ht="12.75" hidden="false" customHeight="true" outlineLevel="0" collapsed="false">
      <c r="A47" s="1" t="n">
        <v>46</v>
      </c>
      <c r="B47" s="2" t="n">
        <v>50160</v>
      </c>
      <c r="C47" s="2" t="s">
        <v>399</v>
      </c>
      <c r="D47" s="2" t="s">
        <v>372</v>
      </c>
      <c r="E47" s="2" t="n">
        <f aca="false">VLOOKUP($B47,[1]Day1!$A$1:$H$394,4,FALSE())</f>
        <v>7</v>
      </c>
      <c r="F47" s="2" t="n">
        <f aca="false">VLOOKUP($B47,[1]Day1!$A$1:$H$394,5,FALSE())</f>
        <v>0</v>
      </c>
      <c r="G47" s="2" t="n">
        <f aca="false">VLOOKUP($B47,[1]Day1!$A$1:$H$394,6,FALSE())</f>
        <v>0</v>
      </c>
      <c r="H47" s="2" t="n">
        <f aca="false">VLOOKUP($B47,'[1]10-р анги өдөр-2'!$F$3:$K$43,4,FALSE())</f>
        <v>0</v>
      </c>
      <c r="I47" s="2" t="n">
        <f aca="false">VLOOKUP($B47,'[1]10-р анги өдөр-2'!$F$3:$K$43,5,FALSE())</f>
        <v>0</v>
      </c>
      <c r="J47" s="2" t="n">
        <f aca="false">VLOOKUP($B47,'[1]10-р анги өдөр-2'!$F$3:$K$43,6,FALSE())</f>
        <v>0</v>
      </c>
      <c r="K47" s="2" t="n">
        <f aca="false">SUM(E47:J47)</f>
        <v>7</v>
      </c>
      <c r="L47" s="0"/>
      <c r="M47" s="0"/>
      <c r="N47" s="0"/>
      <c r="O47" s="0"/>
    </row>
    <row r="48" customFormat="false" ht="12.75" hidden="false" customHeight="true" outlineLevel="0" collapsed="false">
      <c r="A48" s="1" t="n">
        <v>47</v>
      </c>
      <c r="B48" s="2" t="n">
        <v>187841</v>
      </c>
      <c r="C48" s="2" t="s">
        <v>436</v>
      </c>
      <c r="D48" s="2" t="s">
        <v>437</v>
      </c>
      <c r="E48" s="2" t="n">
        <f aca="false">VLOOKUP($B48,[1]Day1!$A$1:$H$394,4,FALSE())</f>
        <v>1</v>
      </c>
      <c r="F48" s="2" t="n">
        <f aca="false">VLOOKUP($B48,[1]Day1!$A$1:$H$394,5,FALSE())</f>
        <v>4</v>
      </c>
      <c r="G48" s="2" t="n">
        <f aca="false">VLOOKUP($B48,[1]Day1!$A$1:$H$394,6,FALSE())</f>
        <v>0</v>
      </c>
      <c r="H48" s="2" t="n">
        <f aca="false">VLOOKUP($B48,'[1]10-р анги өдөр-2'!$F$3:$K$43,4,FALSE())</f>
        <v>0</v>
      </c>
      <c r="I48" s="2" t="n">
        <f aca="false">VLOOKUP($B48,'[1]10-р анги өдөр-2'!$F$3:$K$43,5,FALSE())</f>
        <v>0</v>
      </c>
      <c r="J48" s="2" t="n">
        <f aca="false">VLOOKUP($B48,'[1]10-р анги өдөр-2'!$F$3:$K$43,6,FALSE())</f>
        <v>0</v>
      </c>
      <c r="K48" s="2" t="n">
        <f aca="false">SUM(E48:J48)</f>
        <v>5</v>
      </c>
      <c r="L48" s="0"/>
      <c r="M48" s="0"/>
      <c r="N48" s="0"/>
      <c r="O48" s="0"/>
    </row>
    <row r="49" customFormat="false" ht="12.75" hidden="false" customHeight="true" outlineLevel="0" collapsed="false">
      <c r="A49" s="1" t="n">
        <v>48</v>
      </c>
      <c r="B49" s="2" t="n">
        <v>187836</v>
      </c>
      <c r="C49" s="2" t="s">
        <v>438</v>
      </c>
      <c r="D49" s="2" t="s">
        <v>439</v>
      </c>
      <c r="E49" s="2" t="n">
        <f aca="false">VLOOKUP($B49,[1]Day1!$A$1:$H$394,4,FALSE())</f>
        <v>1</v>
      </c>
      <c r="F49" s="2" t="n">
        <f aca="false">VLOOKUP($B49,[1]Day1!$A$1:$H$394,5,FALSE())</f>
        <v>3</v>
      </c>
      <c r="G49" s="2" t="n">
        <f aca="false">VLOOKUP($B49,[1]Day1!$A$1:$H$394,6,FALSE())</f>
        <v>0</v>
      </c>
      <c r="H49" s="2" t="n">
        <f aca="false">VLOOKUP($B49,'[1]10-р анги өдөр-2'!$F$3:$K$43,4,FALSE())</f>
        <v>0</v>
      </c>
      <c r="I49" s="2" t="n">
        <f aca="false">VLOOKUP($B49,'[1]10-р анги өдөр-2'!$F$3:$K$43,5,FALSE())</f>
        <v>0</v>
      </c>
      <c r="J49" s="2" t="n">
        <f aca="false">VLOOKUP($B49,'[1]10-р анги өдөр-2'!$F$3:$K$43,6,FALSE())</f>
        <v>0</v>
      </c>
      <c r="K49" s="2" t="n">
        <f aca="false">SUM(E49:J49)</f>
        <v>4</v>
      </c>
      <c r="L49" s="0"/>
      <c r="M49" s="0"/>
      <c r="N49" s="0"/>
      <c r="O49" s="0"/>
    </row>
    <row r="50" customFormat="false" ht="12.75" hidden="false" customHeight="true" outlineLevel="0" collapsed="false">
      <c r="A50" s="1" t="n">
        <v>49</v>
      </c>
      <c r="B50" s="2" t="n">
        <v>51485</v>
      </c>
      <c r="C50" s="2" t="s">
        <v>440</v>
      </c>
      <c r="D50" s="2" t="s">
        <v>441</v>
      </c>
      <c r="E50" s="2" t="n">
        <f aca="false">VLOOKUP($B50,[1]Day1!$A$1:$H$394,4,FALSE())</f>
        <v>4</v>
      </c>
      <c r="F50" s="2" t="n">
        <f aca="false">VLOOKUP($B50,[1]Day1!$A$1:$H$394,5,FALSE())</f>
        <v>0</v>
      </c>
      <c r="G50" s="2" t="n">
        <f aca="false">VLOOKUP($B50,[1]Day1!$A$1:$H$394,6,FALSE())</f>
        <v>0</v>
      </c>
      <c r="H50" s="2" t="n">
        <f aca="false">VLOOKUP($B50,'[1]10-р анги өдөр-2'!$F$3:$K$43,4,FALSE())</f>
        <v>0</v>
      </c>
      <c r="I50" s="2" t="n">
        <f aca="false">VLOOKUP($B50,'[1]10-р анги өдөр-2'!$F$3:$K$43,5,FALSE())</f>
        <v>0</v>
      </c>
      <c r="J50" s="2" t="n">
        <f aca="false">VLOOKUP($B50,'[1]10-р анги өдөр-2'!$F$3:$K$43,6,FALSE())</f>
        <v>0</v>
      </c>
      <c r="K50" s="2" t="n">
        <f aca="false">SUM(E50:J50)</f>
        <v>4</v>
      </c>
      <c r="L50" s="0"/>
      <c r="M50" s="0"/>
      <c r="N50" s="0"/>
      <c r="O50" s="0"/>
    </row>
    <row r="51" customFormat="false" ht="12.75" hidden="false" customHeight="true" outlineLevel="0" collapsed="false">
      <c r="A51" s="1" t="n">
        <v>50</v>
      </c>
      <c r="B51" s="2" t="n">
        <v>115673</v>
      </c>
      <c r="C51" s="2" t="s">
        <v>442</v>
      </c>
      <c r="D51" s="2" t="s">
        <v>437</v>
      </c>
      <c r="E51" s="2" t="n">
        <f aca="false">VLOOKUP($B51,[1]Day1!$A$1:$H$394,4,FALSE())</f>
        <v>4</v>
      </c>
      <c r="F51" s="2" t="n">
        <f aca="false">VLOOKUP($B51,[1]Day1!$A$1:$H$394,5,FALSE())</f>
        <v>0</v>
      </c>
      <c r="G51" s="2" t="n">
        <f aca="false">VLOOKUP($B51,[1]Day1!$A$1:$H$394,6,FALSE())</f>
        <v>0</v>
      </c>
      <c r="H51" s="2" t="n">
        <f aca="false">VLOOKUP($B51,'[1]10-р анги өдөр-2'!$F$3:$K$43,4,FALSE())</f>
        <v>0</v>
      </c>
      <c r="I51" s="2" t="n">
        <f aca="false">VLOOKUP($B51,'[1]10-р анги өдөр-2'!$F$3:$K$43,5,FALSE())</f>
        <v>0</v>
      </c>
      <c r="J51" s="2" t="n">
        <f aca="false">VLOOKUP($B51,'[1]10-р анги өдөр-2'!$F$3:$K$43,6,FALSE())</f>
        <v>0</v>
      </c>
      <c r="K51" s="2" t="n">
        <f aca="false">SUM(E51:J51)</f>
        <v>4</v>
      </c>
      <c r="L51" s="0"/>
      <c r="M51" s="0"/>
      <c r="N51" s="0"/>
      <c r="O51" s="0"/>
    </row>
    <row r="52" customFormat="false" ht="12.75" hidden="false" customHeight="true" outlineLevel="0" collapsed="false">
      <c r="A52" s="1" t="n">
        <v>51</v>
      </c>
      <c r="B52" s="2" t="n">
        <v>109467</v>
      </c>
      <c r="C52" s="2" t="s">
        <v>443</v>
      </c>
      <c r="D52" s="2" t="s">
        <v>313</v>
      </c>
      <c r="E52" s="2" t="n">
        <f aca="false">VLOOKUP($B52,[1]Day1!$A$1:$H$394,4,FALSE())</f>
        <v>4</v>
      </c>
      <c r="F52" s="2" t="n">
        <f aca="false">VLOOKUP($B52,[1]Day1!$A$1:$H$394,5,FALSE())</f>
        <v>0</v>
      </c>
      <c r="G52" s="2" t="n">
        <f aca="false">VLOOKUP($B52,[1]Day1!$A$1:$H$394,6,FALSE())</f>
        <v>0</v>
      </c>
      <c r="H52" s="2" t="n">
        <f aca="false">VLOOKUP($B52,'[1]10-р анги өдөр-2'!$F$3:$K$43,4,FALSE())</f>
        <v>0</v>
      </c>
      <c r="I52" s="2" t="n">
        <f aca="false">VLOOKUP($B52,'[1]10-р анги өдөр-2'!$F$3:$K$43,5,FALSE())</f>
        <v>0</v>
      </c>
      <c r="J52" s="2" t="n">
        <f aca="false">VLOOKUP($B52,'[1]10-р анги өдөр-2'!$F$3:$K$43,6,FALSE())</f>
        <v>0</v>
      </c>
      <c r="K52" s="2" t="n">
        <f aca="false">SUM(E52:J52)</f>
        <v>4</v>
      </c>
      <c r="L52" s="0"/>
      <c r="M52" s="0"/>
      <c r="N52" s="0"/>
      <c r="O52" s="0"/>
    </row>
    <row r="53" customFormat="false" ht="12.75" hidden="false" customHeight="true" outlineLevel="0" collapsed="false">
      <c r="A53" s="1" t="n">
        <v>52</v>
      </c>
      <c r="B53" s="2" t="n">
        <v>181570</v>
      </c>
      <c r="C53" s="2" t="s">
        <v>444</v>
      </c>
      <c r="D53" s="2" t="s">
        <v>260</v>
      </c>
      <c r="E53" s="2" t="n">
        <f aca="false">VLOOKUP($B53,[1]Day1!$A$1:$H$394,4,FALSE())</f>
        <v>1</v>
      </c>
      <c r="F53" s="2" t="n">
        <f aca="false">VLOOKUP($B53,[1]Day1!$A$1:$H$394,5,FALSE())</f>
        <v>2</v>
      </c>
      <c r="G53" s="2" t="n">
        <f aca="false">VLOOKUP($B53,[1]Day1!$A$1:$H$394,6,FALSE())</f>
        <v>0</v>
      </c>
      <c r="H53" s="2" t="n">
        <f aca="false">VLOOKUP($B53,'[1]10-р анги өдөр-2'!$F$3:$K$43,4,FALSE())</f>
        <v>1</v>
      </c>
      <c r="I53" s="2" t="n">
        <f aca="false">VLOOKUP($B53,'[1]10-р анги өдөр-2'!$F$3:$K$43,5,FALSE())</f>
        <v>0</v>
      </c>
      <c r="J53" s="2" t="n">
        <f aca="false">VLOOKUP($B53,'[1]10-р анги өдөр-2'!$F$3:$K$43,6,FALSE())</f>
        <v>0</v>
      </c>
      <c r="K53" s="2" t="n">
        <f aca="false">SUM(E53:J53)</f>
        <v>4</v>
      </c>
      <c r="L53" s="0"/>
      <c r="M53" s="0"/>
      <c r="N53" s="0"/>
      <c r="O53" s="0"/>
    </row>
    <row r="54" customFormat="false" ht="12.75" hidden="false" customHeight="true" outlineLevel="0" collapsed="false">
      <c r="A54" s="1" t="n">
        <v>53</v>
      </c>
      <c r="B54" s="2" t="n">
        <v>96536</v>
      </c>
      <c r="C54" s="2" t="s">
        <v>445</v>
      </c>
      <c r="D54" s="2" t="s">
        <v>446</v>
      </c>
      <c r="E54" s="2" t="n">
        <f aca="false">VLOOKUP($B54,[1]Day1!$A$1:$H$394,4,FALSE())</f>
        <v>0</v>
      </c>
      <c r="F54" s="2" t="n">
        <f aca="false">VLOOKUP($B54,[1]Day1!$A$1:$H$394,5,FALSE())</f>
        <v>2</v>
      </c>
      <c r="G54" s="2" t="n">
        <f aca="false">VLOOKUP($B54,[1]Day1!$A$1:$H$394,6,FALSE())</f>
        <v>0</v>
      </c>
      <c r="H54" s="2" t="n">
        <f aca="false">VLOOKUP($B54,'[1]10-р анги өдөр-2'!$F$3:$K$43,4,FALSE())</f>
        <v>1</v>
      </c>
      <c r="I54" s="2" t="n">
        <f aca="false">VLOOKUP($B54,'[1]10-р анги өдөр-2'!$F$3:$K$43,5,FALSE())</f>
        <v>0</v>
      </c>
      <c r="J54" s="2" t="n">
        <f aca="false">VLOOKUP($B54,'[1]10-р анги өдөр-2'!$F$3:$K$43,6,FALSE())</f>
        <v>0</v>
      </c>
      <c r="K54" s="2" t="n">
        <f aca="false">SUM(E54:J54)</f>
        <v>3</v>
      </c>
      <c r="L54" s="0"/>
      <c r="M54" s="0"/>
      <c r="N54" s="0"/>
      <c r="O54" s="0"/>
    </row>
    <row r="55" customFormat="false" ht="12.75" hidden="false" customHeight="true" outlineLevel="0" collapsed="false">
      <c r="A55" s="1" t="n">
        <v>54</v>
      </c>
      <c r="B55" s="2" t="n">
        <v>186864</v>
      </c>
      <c r="C55" s="2" t="s">
        <v>14</v>
      </c>
      <c r="D55" s="2" t="s">
        <v>128</v>
      </c>
      <c r="E55" s="2" t="n">
        <f aca="false">VLOOKUP($B55,[1]Day1!$A$1:$H$394,4,FALSE())</f>
        <v>0</v>
      </c>
      <c r="F55" s="2" t="n">
        <f aca="false">VLOOKUP($B55,[1]Day1!$A$1:$H$394,5,FALSE())</f>
        <v>2</v>
      </c>
      <c r="G55" s="2" t="n">
        <f aca="false">VLOOKUP($B55,[1]Day1!$A$1:$H$394,6,FALSE())</f>
        <v>0</v>
      </c>
      <c r="H55" s="2" t="n">
        <f aca="false">VLOOKUP($B55,'[1]10-р анги өдөр-2'!$F$3:$K$43,4,FALSE())</f>
        <v>0</v>
      </c>
      <c r="I55" s="2" t="n">
        <f aca="false">VLOOKUP($B55,'[1]10-р анги өдөр-2'!$F$3:$K$43,5,FALSE())</f>
        <v>0</v>
      </c>
      <c r="J55" s="2" t="n">
        <f aca="false">VLOOKUP($B55,'[1]10-р анги өдөр-2'!$F$3:$K$43,6,FALSE())</f>
        <v>0</v>
      </c>
      <c r="K55" s="2" t="n">
        <f aca="false">SUM(E55:J55)</f>
        <v>2</v>
      </c>
      <c r="L55" s="0"/>
      <c r="M55" s="0"/>
      <c r="N55" s="0"/>
      <c r="O55" s="0"/>
    </row>
    <row r="56" customFormat="false" ht="12.75" hidden="false" customHeight="true" outlineLevel="0" collapsed="false">
      <c r="A56" s="1" t="n">
        <v>55</v>
      </c>
      <c r="B56" s="2" t="n">
        <v>118935</v>
      </c>
      <c r="C56" s="2" t="s">
        <v>447</v>
      </c>
      <c r="D56" s="2" t="s">
        <v>448</v>
      </c>
      <c r="E56" s="2" t="n">
        <f aca="false">VLOOKUP($B56,[1]Day1!$A$1:$H$394,4,FALSE())</f>
        <v>0</v>
      </c>
      <c r="F56" s="2" t="n">
        <f aca="false">VLOOKUP($B56,[1]Day1!$A$1:$H$394,5,FALSE())</f>
        <v>2</v>
      </c>
      <c r="G56" s="2" t="n">
        <f aca="false">VLOOKUP($B56,[1]Day1!$A$1:$H$394,6,FALSE())</f>
        <v>0</v>
      </c>
      <c r="H56" s="2" t="n">
        <f aca="false">VLOOKUP($B56,'[1]10-р анги өдөр-2'!$F$3:$K$43,4,FALSE())</f>
        <v>0</v>
      </c>
      <c r="I56" s="2" t="n">
        <f aca="false">VLOOKUP($B56,'[1]10-р анги өдөр-2'!$F$3:$K$43,5,FALSE())</f>
        <v>0</v>
      </c>
      <c r="J56" s="2" t="n">
        <f aca="false">VLOOKUP($B56,'[1]10-р анги өдөр-2'!$F$3:$K$43,6,FALSE())</f>
        <v>0</v>
      </c>
      <c r="K56" s="2" t="n">
        <f aca="false">SUM(E56:J56)</f>
        <v>2</v>
      </c>
      <c r="L56" s="0"/>
      <c r="M56" s="0"/>
      <c r="N56" s="0"/>
      <c r="O56" s="0"/>
    </row>
    <row r="57" customFormat="false" ht="12.75" hidden="false" customHeight="true" outlineLevel="0" collapsed="false">
      <c r="A57" s="1" t="n">
        <v>56</v>
      </c>
      <c r="B57" s="2" t="n">
        <v>186921</v>
      </c>
      <c r="C57" s="2" t="s">
        <v>21</v>
      </c>
      <c r="D57" s="2" t="s">
        <v>449</v>
      </c>
      <c r="E57" s="2" t="n">
        <f aca="false">VLOOKUP($B57,[1]Day1!$A$1:$H$394,4,FALSE())</f>
        <v>0</v>
      </c>
      <c r="F57" s="2" t="n">
        <f aca="false">VLOOKUP($B57,[1]Day1!$A$1:$H$394,5,FALSE())</f>
        <v>2</v>
      </c>
      <c r="G57" s="2" t="n">
        <f aca="false">VLOOKUP($B57,[1]Day1!$A$1:$H$394,6,FALSE())</f>
        <v>0</v>
      </c>
      <c r="H57" s="2" t="n">
        <f aca="false">VLOOKUP($B57,'[1]10-р анги өдөр-2'!$F$3:$K$43,4,FALSE())</f>
        <v>0</v>
      </c>
      <c r="I57" s="2" t="n">
        <f aca="false">VLOOKUP($B57,'[1]10-р анги өдөр-2'!$F$3:$K$43,5,FALSE())</f>
        <v>0</v>
      </c>
      <c r="J57" s="2" t="n">
        <f aca="false">VLOOKUP($B57,'[1]10-р анги өдөр-2'!$F$3:$K$43,6,FALSE())</f>
        <v>0</v>
      </c>
      <c r="K57" s="2" t="n">
        <f aca="false">SUM(E57:J57)</f>
        <v>2</v>
      </c>
      <c r="L57" s="0"/>
      <c r="M57" s="0"/>
      <c r="N57" s="0"/>
      <c r="O57" s="0"/>
    </row>
    <row r="58" customFormat="false" ht="12.75" hidden="false" customHeight="true" outlineLevel="0" collapsed="false">
      <c r="A58" s="1" t="n">
        <v>57</v>
      </c>
      <c r="B58" s="2" t="n">
        <v>108195</v>
      </c>
      <c r="C58" s="2" t="s">
        <v>298</v>
      </c>
      <c r="D58" s="2" t="s">
        <v>235</v>
      </c>
      <c r="E58" s="2" t="n">
        <f aca="false">VLOOKUP($B58,[1]Day1!$A$1:$H$394,4,FALSE())</f>
        <v>1</v>
      </c>
      <c r="F58" s="2" t="n">
        <f aca="false">VLOOKUP($B58,[1]Day1!$A$1:$H$394,5,FALSE())</f>
        <v>0</v>
      </c>
      <c r="G58" s="2" t="n">
        <f aca="false">VLOOKUP($B58,[1]Day1!$A$1:$H$394,6,FALSE())</f>
        <v>0</v>
      </c>
      <c r="H58" s="2" t="n">
        <f aca="false">VLOOKUP($B58,'[1]10-р анги өдөр-2'!$F$3:$K$43,4,FALSE())</f>
        <v>0</v>
      </c>
      <c r="I58" s="2" t="n">
        <f aca="false">VLOOKUP($B58,'[1]10-р анги өдөр-2'!$F$3:$K$43,5,FALSE())</f>
        <v>0</v>
      </c>
      <c r="J58" s="2" t="n">
        <f aca="false">VLOOKUP($B58,'[1]10-р анги өдөр-2'!$F$3:$K$43,6,FALSE())</f>
        <v>0</v>
      </c>
      <c r="K58" s="2" t="n">
        <f aca="false">SUM(E58:J58)</f>
        <v>1</v>
      </c>
      <c r="L58" s="0"/>
      <c r="M58" s="0"/>
      <c r="N58" s="0"/>
      <c r="O58" s="0"/>
    </row>
    <row r="59" customFormat="false" ht="12.75" hidden="false" customHeight="true" outlineLevel="0" collapsed="false">
      <c r="A59" s="1" t="n">
        <v>58</v>
      </c>
      <c r="B59" s="2" t="n">
        <v>155702</v>
      </c>
      <c r="C59" s="2" t="s">
        <v>450</v>
      </c>
      <c r="D59" s="2" t="s">
        <v>451</v>
      </c>
      <c r="E59" s="2" t="n">
        <f aca="false">VLOOKUP($B59,[1]Day1!$A$1:$H$394,4,FALSE())</f>
        <v>1</v>
      </c>
      <c r="F59" s="2" t="n">
        <f aca="false">VLOOKUP($B59,[1]Day1!$A$1:$H$394,5,FALSE())</f>
        <v>0</v>
      </c>
      <c r="G59" s="2" t="n">
        <f aca="false">VLOOKUP($B59,[1]Day1!$A$1:$H$394,6,FALSE())</f>
        <v>0</v>
      </c>
      <c r="H59" s="2" t="n">
        <f aca="false">VLOOKUP($B59,'[1]10-р анги өдөр-2'!$F$3:$K$43,4,FALSE())</f>
        <v>0</v>
      </c>
      <c r="I59" s="2" t="n">
        <f aca="false">VLOOKUP($B59,'[1]10-р анги өдөр-2'!$F$3:$K$43,5,FALSE())</f>
        <v>0</v>
      </c>
      <c r="J59" s="2" t="n">
        <f aca="false">VLOOKUP($B59,'[1]10-р анги өдөр-2'!$F$3:$K$43,6,FALSE())</f>
        <v>0</v>
      </c>
      <c r="K59" s="2" t="n">
        <f aca="false">SUM(E59:J59)</f>
        <v>1</v>
      </c>
      <c r="L59" s="0"/>
      <c r="M59" s="0"/>
      <c r="N59" s="0"/>
      <c r="O59" s="0"/>
    </row>
    <row r="60" customFormat="false" ht="12.75" hidden="false" customHeight="true" outlineLevel="0" collapsed="false">
      <c r="A60" s="1" t="n">
        <v>59</v>
      </c>
      <c r="B60" s="2" t="n">
        <v>119856</v>
      </c>
      <c r="C60" s="2" t="s">
        <v>452</v>
      </c>
      <c r="D60" s="2" t="s">
        <v>453</v>
      </c>
      <c r="E60" s="2" t="n">
        <f aca="false">VLOOKUP($B60,[1]Day1!$A$1:$H$394,4,FALSE())</f>
        <v>0</v>
      </c>
      <c r="F60" s="2" t="n">
        <f aca="false">VLOOKUP($B60,[1]Day1!$A$1:$H$394,5,FALSE())</f>
        <v>0</v>
      </c>
      <c r="G60" s="2" t="n">
        <f aca="false">VLOOKUP($B60,[1]Day1!$A$1:$H$394,6,FALSE())</f>
        <v>0</v>
      </c>
      <c r="H60" s="2" t="n">
        <f aca="false">VLOOKUP($B60,'[1]10-р анги өдөр-2'!$F$3:$K$43,4,FALSE())</f>
        <v>0</v>
      </c>
      <c r="I60" s="2" t="n">
        <f aca="false">VLOOKUP($B60,'[1]10-р анги өдөр-2'!$F$3:$K$43,5,FALSE())</f>
        <v>0</v>
      </c>
      <c r="J60" s="2" t="n">
        <f aca="false">VLOOKUP($B60,'[1]10-р анги өдөр-2'!$F$3:$K$43,6,FALSE())</f>
        <v>0</v>
      </c>
      <c r="K60" s="2" t="n">
        <f aca="false">SUM(E60:J60)</f>
        <v>0</v>
      </c>
      <c r="L60" s="0"/>
      <c r="M60" s="0"/>
      <c r="N60" s="0"/>
      <c r="O60" s="0"/>
    </row>
    <row r="61" customFormat="false" ht="12.75" hidden="false" customHeight="true" outlineLevel="0" collapsed="false">
      <c r="A61" s="1" t="n">
        <v>60</v>
      </c>
      <c r="B61" s="2" t="n">
        <v>127016</v>
      </c>
      <c r="C61" s="2" t="s">
        <v>454</v>
      </c>
      <c r="D61" s="2" t="s">
        <v>455</v>
      </c>
      <c r="E61" s="2" t="n">
        <f aca="false">VLOOKUP($B61,[1]Day1!$A$1:$H$394,4,FALSE())</f>
        <v>0</v>
      </c>
      <c r="F61" s="2" t="n">
        <f aca="false">VLOOKUP($B61,[1]Day1!$A$1:$H$394,5,FALSE())</f>
        <v>0</v>
      </c>
      <c r="G61" s="2" t="n">
        <f aca="false">VLOOKUP($B61,[1]Day1!$A$1:$H$394,6,FALSE())</f>
        <v>0</v>
      </c>
      <c r="H61" s="2" t="n">
        <f aca="false">VLOOKUP($B61,'[1]10-р анги өдөр-2'!$F$3:$K$43,4,FALSE())</f>
        <v>0</v>
      </c>
      <c r="I61" s="2" t="n">
        <f aca="false">VLOOKUP($B61,'[1]10-р анги өдөр-2'!$F$3:$K$43,5,FALSE())</f>
        <v>0</v>
      </c>
      <c r="J61" s="2" t="n">
        <f aca="false">VLOOKUP($B61,'[1]10-р анги өдөр-2'!$F$3:$K$43,6,FALSE())</f>
        <v>0</v>
      </c>
      <c r="K61" s="2" t="n">
        <f aca="false">SUM(E61:J61)</f>
        <v>0</v>
      </c>
      <c r="L61" s="0"/>
      <c r="M61" s="0"/>
      <c r="N61" s="0"/>
      <c r="O61" s="0"/>
    </row>
    <row r="62" customFormat="false" ht="12.75" hidden="false" customHeight="true" outlineLevel="0" collapsed="false">
      <c r="A62" s="1" t="n">
        <v>61</v>
      </c>
      <c r="B62" s="2" t="n">
        <v>181339</v>
      </c>
      <c r="C62" s="2" t="s">
        <v>456</v>
      </c>
      <c r="D62" s="2" t="s">
        <v>457</v>
      </c>
      <c r="E62" s="2" t="n">
        <f aca="false">VLOOKUP($B62,[1]Day1!$A$1:$H$394,4,FALSE())</f>
        <v>0</v>
      </c>
      <c r="F62" s="2" t="n">
        <f aca="false">VLOOKUP($B62,[1]Day1!$A$1:$H$394,5,FALSE())</f>
        <v>0</v>
      </c>
      <c r="G62" s="2" t="n">
        <f aca="false">VLOOKUP($B62,[1]Day1!$A$1:$H$394,6,FALSE())</f>
        <v>0</v>
      </c>
      <c r="H62" s="2" t="n">
        <f aca="false">VLOOKUP($B62,'[1]10-р анги өдөр-2'!$F$3:$K$43,4,FALSE())</f>
        <v>0</v>
      </c>
      <c r="I62" s="2" t="n">
        <f aca="false">VLOOKUP($B62,'[1]10-р анги өдөр-2'!$F$3:$K$43,5,FALSE())</f>
        <v>0</v>
      </c>
      <c r="J62" s="2" t="n">
        <f aca="false">VLOOKUP($B62,'[1]10-р анги өдөр-2'!$F$3:$K$43,6,FALSE())</f>
        <v>0</v>
      </c>
      <c r="K62" s="2" t="n">
        <f aca="false">SUM(E62:J62)</f>
        <v>0</v>
      </c>
      <c r="L62" s="0"/>
      <c r="M62" s="0"/>
      <c r="N62" s="0"/>
      <c r="O62" s="0"/>
    </row>
    <row r="63" customFormat="false" ht="12.75" hidden="false" customHeight="true" outlineLevel="0" collapsed="false">
      <c r="A63" s="1" t="n">
        <v>62</v>
      </c>
      <c r="B63" s="2" t="n">
        <v>155666</v>
      </c>
      <c r="C63" s="2" t="s">
        <v>458</v>
      </c>
      <c r="D63" s="2" t="s">
        <v>459</v>
      </c>
      <c r="E63" s="2" t="n">
        <f aca="false">VLOOKUP($B63,[1]Day1!$A$1:$H$394,4,FALSE())</f>
        <v>0</v>
      </c>
      <c r="F63" s="2" t="n">
        <f aca="false">VLOOKUP($B63,[1]Day1!$A$1:$H$394,5,FALSE())</f>
        <v>0</v>
      </c>
      <c r="G63" s="2" t="n">
        <f aca="false">VLOOKUP($B63,[1]Day1!$A$1:$H$394,6,FALSE())</f>
        <v>0</v>
      </c>
      <c r="H63" s="2" t="n">
        <f aca="false">VLOOKUP($B63,'[1]10-р анги өдөр-2'!$F$3:$K$43,4,FALSE())</f>
        <v>0</v>
      </c>
      <c r="I63" s="2" t="n">
        <f aca="false">VLOOKUP($B63,'[1]10-р анги өдөр-2'!$F$3:$K$43,5,FALSE())</f>
        <v>0</v>
      </c>
      <c r="J63" s="2" t="n">
        <f aca="false">VLOOKUP($B63,'[1]10-р анги өдөр-2'!$F$3:$K$43,6,FALSE())</f>
        <v>0</v>
      </c>
      <c r="K63" s="2" t="n">
        <f aca="false">SUM(E63:J63)</f>
        <v>0</v>
      </c>
      <c r="L63" s="0"/>
      <c r="M63" s="0"/>
      <c r="N63" s="0"/>
      <c r="O63" s="0"/>
    </row>
    <row r="64" customFormat="false" ht="12.75" hidden="false" customHeight="true" outlineLevel="0" collapsed="false">
      <c r="A64" s="1" t="n">
        <v>63</v>
      </c>
      <c r="B64" s="2" t="n">
        <v>174358</v>
      </c>
      <c r="C64" s="2" t="s">
        <v>460</v>
      </c>
      <c r="D64" s="2" t="s">
        <v>461</v>
      </c>
      <c r="E64" s="2" t="n">
        <f aca="false">VLOOKUP($B64,[1]Day1!$A$1:$H$394,4,FALSE())</f>
        <v>0</v>
      </c>
      <c r="F64" s="2" t="n">
        <f aca="false">VLOOKUP($B64,[1]Day1!$A$1:$H$394,5,FALSE())</f>
        <v>0</v>
      </c>
      <c r="G64" s="2" t="n">
        <f aca="false">VLOOKUP($B64,[1]Day1!$A$1:$H$394,6,FALSE())</f>
        <v>0</v>
      </c>
      <c r="H64" s="2" t="n">
        <f aca="false">VLOOKUP($B64,'[1]10-р анги өдөр-2'!$F$3:$K$43,4,FALSE())</f>
        <v>0</v>
      </c>
      <c r="I64" s="2" t="n">
        <f aca="false">VLOOKUP($B64,'[1]10-р анги өдөр-2'!$F$3:$K$43,5,FALSE())</f>
        <v>0</v>
      </c>
      <c r="J64" s="2" t="n">
        <f aca="false">VLOOKUP($B64,'[1]10-р анги өдөр-2'!$F$3:$K$43,6,FALSE())</f>
        <v>0</v>
      </c>
      <c r="K64" s="2" t="n">
        <f aca="false">SUM(E64:J64)</f>
        <v>0</v>
      </c>
      <c r="L64" s="0"/>
      <c r="M64" s="0"/>
      <c r="N64" s="0"/>
      <c r="O64" s="0"/>
    </row>
    <row r="65" customFormat="false" ht="12.75" hidden="false" customHeight="true" outlineLevel="0" collapsed="false">
      <c r="A65" s="1" t="n">
        <v>64</v>
      </c>
      <c r="B65" s="2" t="n">
        <v>196624</v>
      </c>
      <c r="C65" s="2" t="s">
        <v>462</v>
      </c>
      <c r="D65" s="2" t="s">
        <v>463</v>
      </c>
      <c r="E65" s="2" t="n">
        <f aca="false">VLOOKUP($B65,[1]Day1!$A$1:$H$394,4,FALSE())</f>
        <v>0</v>
      </c>
      <c r="F65" s="2" t="n">
        <f aca="false">VLOOKUP($B65,[1]Day1!$A$1:$H$394,5,FALSE())</f>
        <v>0</v>
      </c>
      <c r="G65" s="2" t="n">
        <f aca="false">VLOOKUP($B65,[1]Day1!$A$1:$H$394,6,FALSE())</f>
        <v>0</v>
      </c>
      <c r="H65" s="2" t="n">
        <f aca="false">VLOOKUP($B65,'[1]10-р анги өдөр-2'!$F$3:$K$43,4,FALSE())</f>
        <v>0</v>
      </c>
      <c r="I65" s="2" t="n">
        <f aca="false">VLOOKUP($B65,'[1]10-р анги өдөр-2'!$F$3:$K$43,5,FALSE())</f>
        <v>0</v>
      </c>
      <c r="J65" s="2" t="n">
        <f aca="false">VLOOKUP($B65,'[1]10-р анги өдөр-2'!$F$3:$K$43,6,FALSE())</f>
        <v>0</v>
      </c>
      <c r="K65" s="2" t="n">
        <f aca="false">SUM(E65:J65)</f>
        <v>0</v>
      </c>
      <c r="L65" s="0"/>
      <c r="M65" s="0"/>
      <c r="N65" s="0"/>
      <c r="O65" s="0"/>
    </row>
    <row r="66" customFormat="false" ht="12.75" hidden="false" customHeight="true" outlineLevel="0" collapsed="false">
      <c r="A66" s="1" t="n">
        <v>65</v>
      </c>
      <c r="B66" s="2" t="n">
        <v>204719</v>
      </c>
      <c r="C66" s="2" t="s">
        <v>333</v>
      </c>
      <c r="D66" s="2" t="s">
        <v>464</v>
      </c>
      <c r="E66" s="2" t="n">
        <f aca="false">VLOOKUP($B66,[1]Day1!$A$1:$H$394,4,FALSE())</f>
        <v>0</v>
      </c>
      <c r="F66" s="2" t="n">
        <f aca="false">VLOOKUP($B66,[1]Day1!$A$1:$H$394,5,FALSE())</f>
        <v>0</v>
      </c>
      <c r="G66" s="2" t="n">
        <f aca="false">VLOOKUP($B66,[1]Day1!$A$1:$H$394,6,FALSE())</f>
        <v>0</v>
      </c>
      <c r="H66" s="2" t="n">
        <f aca="false">VLOOKUP($B66,'[1]10-р анги өдөр-2'!$F$3:$K$43,4,FALSE())</f>
        <v>0</v>
      </c>
      <c r="I66" s="2" t="n">
        <f aca="false">VLOOKUP($B66,'[1]10-р анги өдөр-2'!$F$3:$K$43,5,FALSE())</f>
        <v>0</v>
      </c>
      <c r="J66" s="2" t="n">
        <f aca="false">VLOOKUP($B66,'[1]10-р анги өдөр-2'!$F$3:$K$43,6,FALSE())</f>
        <v>0</v>
      </c>
      <c r="K66" s="2" t="n">
        <f aca="false">SUM(E66:J66)</f>
        <v>0</v>
      </c>
      <c r="L66" s="0"/>
      <c r="M66" s="0"/>
      <c r="N66" s="0"/>
      <c r="O66" s="0"/>
    </row>
    <row r="67" customFormat="false" ht="12.75" hidden="false" customHeight="true" outlineLevel="0" collapsed="false">
      <c r="A67" s="1" t="n">
        <v>66</v>
      </c>
      <c r="B67" s="2" t="n">
        <v>175146</v>
      </c>
      <c r="C67" s="2" t="s">
        <v>465</v>
      </c>
      <c r="D67" s="2" t="s">
        <v>395</v>
      </c>
      <c r="E67" s="2" t="n">
        <f aca="false">VLOOKUP($B67,[1]Day1!$A$1:$H$394,4,FALSE())</f>
        <v>0</v>
      </c>
      <c r="F67" s="2" t="n">
        <f aca="false">VLOOKUP($B67,[1]Day1!$A$1:$H$394,5,FALSE())</f>
        <v>0</v>
      </c>
      <c r="G67" s="2" t="n">
        <f aca="false">VLOOKUP($B67,[1]Day1!$A$1:$H$394,6,FALSE())</f>
        <v>0</v>
      </c>
      <c r="H67" s="2"/>
      <c r="I67" s="2"/>
      <c r="J67" s="2"/>
      <c r="K67" s="2" t="n">
        <f aca="false">SUM(E67:J67)</f>
        <v>0</v>
      </c>
      <c r="L67" s="0"/>
      <c r="M67" s="0"/>
      <c r="N67" s="0"/>
      <c r="O67" s="0"/>
    </row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H58" activeCellId="0" sqref="H58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5.57"/>
    <col collapsed="false" customWidth="false" hidden="false" outlineLevel="0" max="2" min="2" style="1" width="11.57"/>
    <col collapsed="false" customWidth="true" hidden="false" outlineLevel="0" max="3" min="3" style="1" width="19"/>
    <col collapsed="false" customWidth="true" hidden="false" outlineLevel="0" max="4" min="4" style="1" width="17.57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385</v>
      </c>
      <c r="J1" s="1" t="s">
        <v>386</v>
      </c>
      <c r="K1" s="1" t="s">
        <v>8</v>
      </c>
    </row>
    <row r="2" customFormat="false" ht="12.75" hidden="false" customHeight="true" outlineLevel="0" collapsed="false">
      <c r="A2" s="1" t="n">
        <v>1</v>
      </c>
      <c r="B2" s="2" t="n">
        <v>7896</v>
      </c>
      <c r="C2" s="2" t="s">
        <v>466</v>
      </c>
      <c r="D2" s="2" t="s">
        <v>467</v>
      </c>
      <c r="E2" s="2" t="n">
        <f aca="false">VLOOKUP($B2,[1]Day1!$A$1:$H$394,4,FALSE())</f>
        <v>7</v>
      </c>
      <c r="F2" s="2" t="n">
        <f aca="false">VLOOKUP($B2,[1]Day1!$A$1:$H$394,5,FALSE())</f>
        <v>2</v>
      </c>
      <c r="G2" s="2" t="n">
        <f aca="false">VLOOKUP($B2,[1]Day1!$A$1:$H$394,6,FALSE())</f>
        <v>2</v>
      </c>
      <c r="H2" s="2" t="n">
        <f aca="false">VLOOKUP($B2,[1]Day2!$A$1:$H$400,4,FALSE())</f>
        <v>0</v>
      </c>
      <c r="I2" s="2" t="n">
        <f aca="false">VLOOKUP($B2,[1]Day2!$A$1:$H$400,5,FALSE())</f>
        <v>0</v>
      </c>
      <c r="J2" s="2" t="n">
        <f aca="false">VLOOKUP($B2,[1]Day2!$A$1:$H$400,6,FALSE())</f>
        <v>0</v>
      </c>
      <c r="K2" s="4" t="n">
        <f aca="false">SUM(E2:J2)</f>
        <v>11</v>
      </c>
      <c r="L2" s="0"/>
      <c r="M2" s="0"/>
      <c r="N2" s="0"/>
      <c r="O2" s="0"/>
    </row>
    <row r="3" customFormat="false" ht="12.75" hidden="false" customHeight="true" outlineLevel="0" collapsed="false">
      <c r="A3" s="1" t="n">
        <v>2</v>
      </c>
      <c r="B3" s="2" t="n">
        <v>56735</v>
      </c>
      <c r="C3" s="2" t="s">
        <v>468</v>
      </c>
      <c r="D3" s="2" t="s">
        <v>469</v>
      </c>
      <c r="E3" s="2" t="n">
        <f aca="false">VLOOKUP($B3,[1]Day1!$A$1:$H$394,4,FALSE())</f>
        <v>7</v>
      </c>
      <c r="F3" s="2" t="n">
        <f aca="false">VLOOKUP($B3,[1]Day1!$A$1:$H$394,5,FALSE())</f>
        <v>3</v>
      </c>
      <c r="G3" s="2" t="n">
        <f aca="false">VLOOKUP($B3,[1]Day1!$A$1:$H$394,6,FALSE())</f>
        <v>0</v>
      </c>
      <c r="H3" s="2" t="n">
        <f aca="false">VLOOKUP($B3,[1]Day2!$A$1:$H$400,4,FALSE())</f>
        <v>0</v>
      </c>
      <c r="I3" s="2" t="n">
        <f aca="false">VLOOKUP($B3,[1]Day2!$A$1:$H$400,5,FALSE())</f>
        <v>0</v>
      </c>
      <c r="J3" s="2" t="n">
        <f aca="false">VLOOKUP($B3,[1]Day2!$A$1:$H$400,6,FALSE())</f>
        <v>0</v>
      </c>
      <c r="K3" s="4" t="n">
        <f aca="false">SUM(E3:J3)</f>
        <v>10</v>
      </c>
      <c r="L3" s="0"/>
      <c r="M3" s="0"/>
      <c r="N3" s="0"/>
      <c r="O3" s="0"/>
    </row>
    <row r="4" customFormat="false" ht="12.75" hidden="false" customHeight="true" outlineLevel="0" collapsed="false">
      <c r="A4" s="1" t="n">
        <v>3</v>
      </c>
      <c r="B4" s="2" t="n">
        <v>118283</v>
      </c>
      <c r="C4" s="2" t="s">
        <v>470</v>
      </c>
      <c r="D4" s="2" t="s">
        <v>471</v>
      </c>
      <c r="E4" s="2" t="n">
        <f aca="false">VLOOKUP($B4,[1]Day1!$A$1:$H$394,4,FALSE())</f>
        <v>7</v>
      </c>
      <c r="F4" s="2" t="n">
        <f aca="false">VLOOKUP($B4,[1]Day1!$A$1:$H$394,5,FALSE())</f>
        <v>2</v>
      </c>
      <c r="G4" s="2" t="n">
        <f aca="false">VLOOKUP($B4,[1]Day1!$A$1:$H$394,6,FALSE())</f>
        <v>0</v>
      </c>
      <c r="H4" s="2" t="n">
        <f aca="false">VLOOKUP($B4,[1]Day2!$A$1:$H$400,4,FALSE())</f>
        <v>0</v>
      </c>
      <c r="I4" s="2" t="n">
        <f aca="false">VLOOKUP($B4,[1]Day2!$A$1:$H$400,5,FALSE())</f>
        <v>0</v>
      </c>
      <c r="J4" s="2" t="n">
        <f aca="false">VLOOKUP($B4,[1]Day2!$A$1:$H$400,6,FALSE())</f>
        <v>0.5</v>
      </c>
      <c r="K4" s="4" t="n">
        <f aca="false">SUM(E4:J4)</f>
        <v>9.5</v>
      </c>
      <c r="L4" s="0"/>
      <c r="M4" s="0"/>
      <c r="N4" s="0"/>
      <c r="O4" s="0"/>
    </row>
    <row r="5" customFormat="false" ht="12.75" hidden="false" customHeight="true" outlineLevel="0" collapsed="false">
      <c r="A5" s="1" t="n">
        <v>4</v>
      </c>
      <c r="B5" s="2" t="n">
        <v>115856</v>
      </c>
      <c r="C5" s="2" t="s">
        <v>248</v>
      </c>
      <c r="D5" s="2" t="s">
        <v>472</v>
      </c>
      <c r="E5" s="2" t="n">
        <f aca="false">VLOOKUP($B5,[1]Day1!$A$1:$H$394,4,FALSE())</f>
        <v>7</v>
      </c>
      <c r="F5" s="2" t="n">
        <f aca="false">VLOOKUP($B5,[1]Day1!$A$1:$H$394,5,FALSE())</f>
        <v>2</v>
      </c>
      <c r="G5" s="2" t="n">
        <f aca="false">VLOOKUP($B5,[1]Day1!$A$1:$H$394,6,FALSE())</f>
        <v>0</v>
      </c>
      <c r="H5" s="2" t="n">
        <f aca="false">VLOOKUP($B5,[1]Day2!$A$1:$H$400,4,FALSE())</f>
        <v>0</v>
      </c>
      <c r="I5" s="2" t="n">
        <f aca="false">VLOOKUP($B5,[1]Day2!$A$1:$H$400,5,FALSE())</f>
        <v>0</v>
      </c>
      <c r="J5" s="2" t="n">
        <f aca="false">VLOOKUP($B5,[1]Day2!$A$1:$H$400,6,FALSE())</f>
        <v>0</v>
      </c>
      <c r="K5" s="4" t="n">
        <f aca="false">SUM(E5:J5)</f>
        <v>9</v>
      </c>
      <c r="L5" s="0"/>
      <c r="M5" s="0"/>
      <c r="N5" s="0"/>
      <c r="O5" s="0"/>
    </row>
    <row r="6" customFormat="false" ht="12.75" hidden="false" customHeight="true" outlineLevel="0" collapsed="false">
      <c r="A6" s="1" t="n">
        <v>5</v>
      </c>
      <c r="B6" s="2" t="n">
        <v>124032</v>
      </c>
      <c r="C6" s="2" t="s">
        <v>20</v>
      </c>
      <c r="D6" s="2" t="s">
        <v>473</v>
      </c>
      <c r="E6" s="2" t="n">
        <f aca="false">VLOOKUP($B6,[1]Day1!$A$1:$H$394,4,FALSE())</f>
        <v>7</v>
      </c>
      <c r="F6" s="2" t="n">
        <f aca="false">VLOOKUP($B6,[1]Day1!$A$1:$H$394,5,FALSE())</f>
        <v>2</v>
      </c>
      <c r="G6" s="2" t="n">
        <f aca="false">VLOOKUP($B6,[1]Day1!$A$1:$H$394,6,FALSE())</f>
        <v>0</v>
      </c>
      <c r="H6" s="2" t="n">
        <f aca="false">VLOOKUP($B6,[1]Day2!$A$1:$H$400,4,FALSE())</f>
        <v>0</v>
      </c>
      <c r="I6" s="2" t="n">
        <f aca="false">VLOOKUP($B6,[1]Day2!$A$1:$H$400,5,FALSE())</f>
        <v>0</v>
      </c>
      <c r="J6" s="2" t="n">
        <f aca="false">VLOOKUP($B6,[1]Day2!$A$1:$H$400,6,FALSE())</f>
        <v>0</v>
      </c>
      <c r="K6" s="4" t="n">
        <f aca="false">SUM(E6:J6)</f>
        <v>9</v>
      </c>
      <c r="L6" s="0"/>
      <c r="M6" s="0"/>
      <c r="N6" s="0"/>
      <c r="O6" s="0"/>
    </row>
    <row r="7" customFormat="false" ht="12.75" hidden="false" customHeight="true" outlineLevel="0" collapsed="false">
      <c r="A7" s="1" t="n">
        <v>6</v>
      </c>
      <c r="B7" s="2" t="n">
        <v>99196</v>
      </c>
      <c r="C7" s="2" t="s">
        <v>236</v>
      </c>
      <c r="D7" s="2" t="s">
        <v>474</v>
      </c>
      <c r="E7" s="2" t="n">
        <f aca="false">VLOOKUP($B7,[1]Day1!$A$1:$H$394,4,FALSE())</f>
        <v>7</v>
      </c>
      <c r="F7" s="2" t="n">
        <f aca="false">VLOOKUP($B7,[1]Day1!$A$1:$H$394,5,FALSE())</f>
        <v>2</v>
      </c>
      <c r="G7" s="2" t="n">
        <f aca="false">VLOOKUP($B7,[1]Day1!$A$1:$H$394,6,FALSE())</f>
        <v>0</v>
      </c>
      <c r="H7" s="2" t="n">
        <f aca="false">VLOOKUP($B7,[1]Day2!$A$1:$H$400,4,FALSE())</f>
        <v>0</v>
      </c>
      <c r="I7" s="2" t="n">
        <f aca="false">VLOOKUP($B7,[1]Day2!$A$1:$H$400,5,FALSE())</f>
        <v>0</v>
      </c>
      <c r="J7" s="2" t="n">
        <f aca="false">VLOOKUP($B7,[1]Day2!$A$1:$H$400,6,FALSE())</f>
        <v>0</v>
      </c>
      <c r="K7" s="4" t="n">
        <f aca="false">SUM(E7:J7)</f>
        <v>9</v>
      </c>
      <c r="L7" s="0"/>
      <c r="M7" s="0"/>
      <c r="N7" s="0"/>
      <c r="O7" s="0"/>
    </row>
    <row r="8" customFormat="false" ht="12.75" hidden="false" customHeight="true" outlineLevel="0" collapsed="false">
      <c r="A8" s="1" t="n">
        <v>7</v>
      </c>
      <c r="B8" s="2" t="n">
        <v>109151</v>
      </c>
      <c r="C8" s="2" t="s">
        <v>475</v>
      </c>
      <c r="D8" s="2" t="s">
        <v>260</v>
      </c>
      <c r="E8" s="2" t="n">
        <f aca="false">VLOOKUP($B8,[1]Day1!$A$1:$H$394,4,FALSE())</f>
        <v>7</v>
      </c>
      <c r="F8" s="2" t="n">
        <f aca="false">VLOOKUP($B8,[1]Day1!$A$1:$H$394,5,FALSE())</f>
        <v>0</v>
      </c>
      <c r="G8" s="2" t="n">
        <f aca="false">VLOOKUP($B8,[1]Day1!$A$1:$H$394,6,FALSE())</f>
        <v>0</v>
      </c>
      <c r="H8" s="2" t="n">
        <f aca="false">VLOOKUP($B8,[1]Day2!$A$1:$H$400,4,FALSE())</f>
        <v>2</v>
      </c>
      <c r="I8" s="2" t="n">
        <f aca="false">VLOOKUP($B8,[1]Day2!$A$1:$H$400,5,FALSE())</f>
        <v>0</v>
      </c>
      <c r="J8" s="2" t="n">
        <f aca="false">VLOOKUP($B8,[1]Day2!$A$1:$H$400,6,FALSE())</f>
        <v>0</v>
      </c>
      <c r="K8" s="4" t="n">
        <f aca="false">SUM(E8:J8)</f>
        <v>9</v>
      </c>
      <c r="L8" s="0"/>
      <c r="M8" s="0"/>
      <c r="N8" s="0"/>
      <c r="O8" s="0"/>
    </row>
    <row r="9" customFormat="false" ht="12.75" hidden="false" customHeight="true" outlineLevel="0" collapsed="false">
      <c r="A9" s="1" t="n">
        <v>8</v>
      </c>
      <c r="B9" s="2" t="n">
        <v>18550</v>
      </c>
      <c r="C9" s="2" t="s">
        <v>476</v>
      </c>
      <c r="D9" s="2" t="s">
        <v>477</v>
      </c>
      <c r="E9" s="2" t="n">
        <f aca="false">VLOOKUP($B9,[1]Day1!$A$1:$H$394,4,FALSE())</f>
        <v>7</v>
      </c>
      <c r="F9" s="2" t="n">
        <f aca="false">VLOOKUP($B9,[1]Day1!$A$1:$H$394,5,FALSE())</f>
        <v>2</v>
      </c>
      <c r="G9" s="2" t="n">
        <f aca="false">VLOOKUP($B9,[1]Day1!$A$1:$H$394,6,FALSE())</f>
        <v>0</v>
      </c>
      <c r="H9" s="2" t="n">
        <f aca="false">VLOOKUP($B9,[1]Day2!$A$1:$H$400,4,FALSE())</f>
        <v>0</v>
      </c>
      <c r="I9" s="2" t="n">
        <f aca="false">VLOOKUP($B9,[1]Day2!$A$1:$H$400,5,FALSE())</f>
        <v>0</v>
      </c>
      <c r="J9" s="2" t="n">
        <f aca="false">VLOOKUP($B9,[1]Day2!$A$1:$H$400,6,FALSE())</f>
        <v>0</v>
      </c>
      <c r="K9" s="4" t="n">
        <f aca="false">SUM(E9:J9)</f>
        <v>9</v>
      </c>
      <c r="L9" s="0"/>
      <c r="M9" s="0"/>
      <c r="N9" s="0"/>
      <c r="O9" s="0"/>
    </row>
    <row r="10" customFormat="false" ht="12.75" hidden="false" customHeight="true" outlineLevel="0" collapsed="false">
      <c r="A10" s="1" t="n">
        <v>9</v>
      </c>
      <c r="B10" s="2" t="n">
        <v>110930</v>
      </c>
      <c r="C10" s="2" t="s">
        <v>478</v>
      </c>
      <c r="D10" s="2" t="s">
        <v>34</v>
      </c>
      <c r="E10" s="2" t="n">
        <f aca="false">VLOOKUP($B10,[1]Day1!$A$1:$H$394,4,FALSE())</f>
        <v>7</v>
      </c>
      <c r="F10" s="2" t="n">
        <f aca="false">VLOOKUP($B10,[1]Day1!$A$1:$H$394,5,FALSE())</f>
        <v>2</v>
      </c>
      <c r="G10" s="2" t="n">
        <f aca="false">VLOOKUP($B10,[1]Day1!$A$1:$H$394,6,FALSE())</f>
        <v>0</v>
      </c>
      <c r="H10" s="2" t="n">
        <f aca="false">VLOOKUP($B10,[1]Day2!$A$1:$H$400,4,FALSE())</f>
        <v>0</v>
      </c>
      <c r="I10" s="2" t="n">
        <f aca="false">VLOOKUP($B10,[1]Day2!$A$1:$H$400,5,FALSE())</f>
        <v>0</v>
      </c>
      <c r="J10" s="2" t="n">
        <f aca="false">VLOOKUP($B10,[1]Day2!$A$1:$H$400,6,FALSE())</f>
        <v>0</v>
      </c>
      <c r="K10" s="4" t="n">
        <f aca="false">SUM(E10:J10)</f>
        <v>9</v>
      </c>
      <c r="L10" s="0"/>
      <c r="M10" s="0"/>
      <c r="N10" s="0"/>
      <c r="O10" s="0"/>
    </row>
    <row r="11" customFormat="false" ht="12.75" hidden="false" customHeight="true" outlineLevel="0" collapsed="false">
      <c r="A11" s="1" t="n">
        <v>10</v>
      </c>
      <c r="B11" s="2" t="n">
        <v>117431</v>
      </c>
      <c r="C11" s="2" t="s">
        <v>479</v>
      </c>
      <c r="D11" s="2" t="s">
        <v>70</v>
      </c>
      <c r="E11" s="2" t="n">
        <f aca="false">VLOOKUP($B11,[1]Day1!$A$1:$H$394,4,FALSE())</f>
        <v>0</v>
      </c>
      <c r="F11" s="2" t="n">
        <f aca="false">VLOOKUP($B11,[1]Day1!$A$1:$H$394,5,FALSE())</f>
        <v>2</v>
      </c>
      <c r="G11" s="2" t="n">
        <f aca="false">VLOOKUP($B11,[1]Day1!$A$1:$H$394,6,FALSE())</f>
        <v>0</v>
      </c>
      <c r="H11" s="2" t="n">
        <f aca="false">VLOOKUP($B11,[1]Day2!$A$1:$H$400,4,FALSE())</f>
        <v>2</v>
      </c>
      <c r="I11" s="2" t="n">
        <f aca="false">VLOOKUP($B11,[1]Day2!$A$1:$H$400,5,FALSE())</f>
        <v>0</v>
      </c>
      <c r="J11" s="2" t="n">
        <f aca="false">VLOOKUP($B11,[1]Day2!$A$1:$H$400,6,FALSE())</f>
        <v>0</v>
      </c>
      <c r="K11" s="4" t="n">
        <f aca="false">SUM(E11:J11)</f>
        <v>4</v>
      </c>
      <c r="L11" s="0"/>
      <c r="M11" s="0"/>
      <c r="N11" s="0"/>
      <c r="O11" s="0"/>
    </row>
    <row r="12" customFormat="false" ht="12.75" hidden="false" customHeight="true" outlineLevel="0" collapsed="false">
      <c r="A12" s="1" t="n">
        <v>11</v>
      </c>
      <c r="B12" s="2" t="n">
        <v>117902</v>
      </c>
      <c r="C12" s="2" t="s">
        <v>480</v>
      </c>
      <c r="D12" s="2" t="s">
        <v>481</v>
      </c>
      <c r="E12" s="2" t="n">
        <f aca="false">VLOOKUP($B12,[1]Day1!$A$1:$H$394,4,FALSE())</f>
        <v>3</v>
      </c>
      <c r="F12" s="2" t="n">
        <f aca="false">VLOOKUP($B12,[1]Day1!$A$1:$H$394,5,FALSE())</f>
        <v>0</v>
      </c>
      <c r="G12" s="2" t="n">
        <f aca="false">VLOOKUP($B12,[1]Day1!$A$1:$H$394,6,FALSE())</f>
        <v>0</v>
      </c>
      <c r="H12" s="2" t="n">
        <f aca="false">VLOOKUP($B12,[1]Day2!$A$1:$H$400,4,FALSE())</f>
        <v>0</v>
      </c>
      <c r="I12" s="2" t="n">
        <f aca="false">VLOOKUP($B12,[1]Day2!$A$1:$H$400,5,FALSE())</f>
        <v>0</v>
      </c>
      <c r="J12" s="2" t="n">
        <f aca="false">VLOOKUP($B12,[1]Day2!$A$1:$H$400,6,FALSE())</f>
        <v>0</v>
      </c>
      <c r="K12" s="4" t="n">
        <f aca="false">SUM(E12:J12)</f>
        <v>3</v>
      </c>
      <c r="L12" s="0"/>
      <c r="M12" s="0"/>
      <c r="N12" s="0"/>
      <c r="O12" s="0"/>
    </row>
    <row r="13" customFormat="false" ht="12.75" hidden="false" customHeight="true" outlineLevel="0" collapsed="false">
      <c r="A13" s="1" t="n">
        <v>12</v>
      </c>
      <c r="B13" s="2" t="n">
        <v>133671</v>
      </c>
      <c r="C13" s="2" t="s">
        <v>111</v>
      </c>
      <c r="D13" s="2" t="s">
        <v>482</v>
      </c>
      <c r="E13" s="2" t="n">
        <f aca="false">VLOOKUP($B13,[1]Day1!$A$1:$H$394,4,FALSE())</f>
        <v>0</v>
      </c>
      <c r="F13" s="2" t="n">
        <f aca="false">VLOOKUP($B13,[1]Day1!$A$1:$H$394,5,FALSE())</f>
        <v>2</v>
      </c>
      <c r="G13" s="2" t="n">
        <f aca="false">VLOOKUP($B13,[1]Day1!$A$1:$H$394,6,FALSE())</f>
        <v>0</v>
      </c>
      <c r="H13" s="2" t="n">
        <f aca="false">VLOOKUP($B13,[1]Day2!$A$1:$H$400,4,FALSE())</f>
        <v>0</v>
      </c>
      <c r="I13" s="2" t="n">
        <f aca="false">VLOOKUP($B13,[1]Day2!$A$1:$H$400,5,FALSE())</f>
        <v>0</v>
      </c>
      <c r="J13" s="2" t="n">
        <f aca="false">VLOOKUP($B13,[1]Day2!$A$1:$H$400,6,FALSE())</f>
        <v>0</v>
      </c>
      <c r="K13" s="4" t="n">
        <f aca="false">SUM(E13:J13)</f>
        <v>2</v>
      </c>
      <c r="L13" s="0"/>
      <c r="M13" s="0"/>
      <c r="N13" s="0"/>
      <c r="O13" s="0"/>
    </row>
    <row r="14" customFormat="false" ht="12.75" hidden="false" customHeight="true" outlineLevel="0" collapsed="false">
      <c r="A14" s="1" t="n">
        <v>13</v>
      </c>
      <c r="B14" s="2" t="n">
        <v>186195</v>
      </c>
      <c r="C14" s="2" t="s">
        <v>483</v>
      </c>
      <c r="D14" s="2" t="s">
        <v>484</v>
      </c>
      <c r="E14" s="2" t="n">
        <f aca="false">VLOOKUP($B14,[1]Day1!$A$1:$H$394,4,FALSE())</f>
        <v>0</v>
      </c>
      <c r="F14" s="2" t="n">
        <f aca="false">VLOOKUP($B14,[1]Day1!$A$1:$H$394,5,FALSE())</f>
        <v>0</v>
      </c>
      <c r="G14" s="2" t="n">
        <f aca="false">VLOOKUP($B14,[1]Day1!$A$1:$H$394,6,FALSE())</f>
        <v>0</v>
      </c>
      <c r="H14" s="2" t="n">
        <f aca="false">VLOOKUP($B14,[1]Day2!$A$1:$H$400,4,FALSE())</f>
        <v>2</v>
      </c>
      <c r="I14" s="2" t="n">
        <f aca="false">VLOOKUP($B14,[1]Day2!$A$1:$H$400,5,FALSE())</f>
        <v>0</v>
      </c>
      <c r="J14" s="2" t="n">
        <f aca="false">VLOOKUP($B14,[1]Day2!$A$1:$H$400,6,FALSE())</f>
        <v>0</v>
      </c>
      <c r="K14" s="4" t="n">
        <f aca="false">SUM(E14:J14)</f>
        <v>2</v>
      </c>
      <c r="L14" s="0"/>
      <c r="M14" s="0"/>
      <c r="N14" s="0"/>
      <c r="O14" s="0"/>
    </row>
    <row r="15" customFormat="false" ht="12.75" hidden="false" customHeight="true" outlineLevel="0" collapsed="false">
      <c r="A15" s="1" t="n">
        <v>14</v>
      </c>
      <c r="B15" s="2" t="n">
        <v>110020</v>
      </c>
      <c r="C15" s="2" t="s">
        <v>485</v>
      </c>
      <c r="D15" s="2" t="s">
        <v>486</v>
      </c>
      <c r="E15" s="2" t="n">
        <f aca="false">VLOOKUP($B15,[1]Day1!$A$1:$H$394,4,FALSE())</f>
        <v>0</v>
      </c>
      <c r="F15" s="2" t="n">
        <f aca="false">VLOOKUP($B15,[1]Day1!$A$1:$H$394,5,FALSE())</f>
        <v>2</v>
      </c>
      <c r="G15" s="2" t="n">
        <f aca="false">VLOOKUP($B15,[1]Day1!$A$1:$H$394,6,FALSE())</f>
        <v>0</v>
      </c>
      <c r="H15" s="2" t="n">
        <f aca="false">VLOOKUP($B15,[1]Day2!$A$1:$H$400,4,FALSE())</f>
        <v>0</v>
      </c>
      <c r="I15" s="2" t="n">
        <f aca="false">VLOOKUP($B15,[1]Day2!$A$1:$H$400,5,FALSE())</f>
        <v>0</v>
      </c>
      <c r="J15" s="2" t="n">
        <f aca="false">VLOOKUP($B15,[1]Day2!$A$1:$H$400,6,FALSE())</f>
        <v>0</v>
      </c>
      <c r="K15" s="4" t="n">
        <f aca="false">SUM(E15:J15)</f>
        <v>2</v>
      </c>
      <c r="L15" s="0"/>
      <c r="M15" s="0"/>
      <c r="N15" s="0"/>
      <c r="O15" s="0"/>
    </row>
    <row r="16" customFormat="false" ht="12.75" hidden="false" customHeight="true" outlineLevel="0" collapsed="false">
      <c r="A16" s="1" t="n">
        <v>15</v>
      </c>
      <c r="B16" s="2" t="n">
        <v>119763</v>
      </c>
      <c r="C16" s="2" t="s">
        <v>487</v>
      </c>
      <c r="D16" s="2" t="s">
        <v>58</v>
      </c>
      <c r="E16" s="2" t="n">
        <f aca="false">VLOOKUP($B16,[1]Day1!$A$1:$H$394,4,FALSE())</f>
        <v>0</v>
      </c>
      <c r="F16" s="2" t="n">
        <f aca="false">VLOOKUP($B16,[1]Day1!$A$1:$H$394,5,FALSE())</f>
        <v>2</v>
      </c>
      <c r="G16" s="2" t="n">
        <f aca="false">VLOOKUP($B16,[1]Day1!$A$1:$H$394,6,FALSE())</f>
        <v>0</v>
      </c>
      <c r="H16" s="2" t="n">
        <f aca="false">VLOOKUP($B16,[1]Day2!$A$1:$H$400,4,FALSE())</f>
        <v>0</v>
      </c>
      <c r="I16" s="2" t="n">
        <f aca="false">VLOOKUP($B16,[1]Day2!$A$1:$H$400,5,FALSE())</f>
        <v>0</v>
      </c>
      <c r="J16" s="2" t="n">
        <f aca="false">VLOOKUP($B16,[1]Day2!$A$1:$H$400,6,FALSE())</f>
        <v>0</v>
      </c>
      <c r="K16" s="4" t="n">
        <f aca="false">SUM(E16:J16)</f>
        <v>2</v>
      </c>
      <c r="L16" s="0"/>
      <c r="M16" s="0"/>
      <c r="N16" s="0"/>
      <c r="O16" s="0"/>
    </row>
    <row r="17" customFormat="false" ht="12.75" hidden="false" customHeight="true" outlineLevel="0" collapsed="false">
      <c r="A17" s="1" t="n">
        <v>16</v>
      </c>
      <c r="B17" s="2" t="n">
        <v>3885</v>
      </c>
      <c r="C17" s="2" t="s">
        <v>488</v>
      </c>
      <c r="D17" s="2" t="s">
        <v>489</v>
      </c>
      <c r="E17" s="2" t="n">
        <f aca="false">VLOOKUP($B17,[1]Day1!$A$1:$H$394,4,FALSE())</f>
        <v>0</v>
      </c>
      <c r="F17" s="2" t="n">
        <f aca="false">VLOOKUP($B17,[1]Day1!$A$1:$H$394,5,FALSE())</f>
        <v>0</v>
      </c>
      <c r="G17" s="2" t="n">
        <f aca="false">VLOOKUP($B17,[1]Day1!$A$1:$H$394,6,FALSE())</f>
        <v>0</v>
      </c>
      <c r="H17" s="2" t="n">
        <f aca="false">VLOOKUP($B17,[1]Day2!$A$1:$H$400,4,FALSE())</f>
        <v>2</v>
      </c>
      <c r="I17" s="2" t="n">
        <f aca="false">VLOOKUP($B17,[1]Day2!$A$1:$H$400,5,FALSE())</f>
        <v>0</v>
      </c>
      <c r="J17" s="2" t="n">
        <f aca="false">VLOOKUP($B17,[1]Day2!$A$1:$H$400,6,FALSE())</f>
        <v>0</v>
      </c>
      <c r="K17" s="4" t="n">
        <f aca="false">SUM(E17:J17)</f>
        <v>2</v>
      </c>
      <c r="L17" s="0"/>
      <c r="M17" s="0"/>
      <c r="N17" s="0"/>
      <c r="O17" s="0"/>
    </row>
    <row r="18" customFormat="false" ht="12.75" hidden="false" customHeight="true" outlineLevel="0" collapsed="false">
      <c r="A18" s="1" t="n">
        <v>17</v>
      </c>
      <c r="B18" s="2" t="n">
        <v>185275</v>
      </c>
      <c r="C18" s="2" t="s">
        <v>101</v>
      </c>
      <c r="D18" s="2" t="s">
        <v>347</v>
      </c>
      <c r="E18" s="2" t="n">
        <f aca="false">VLOOKUP($B18,[1]Day1!$A$1:$H$394,4,FALSE())</f>
        <v>0</v>
      </c>
      <c r="F18" s="2" t="n">
        <f aca="false">VLOOKUP($B18,[1]Day1!$A$1:$H$394,5,FALSE())</f>
        <v>2</v>
      </c>
      <c r="G18" s="2" t="n">
        <f aca="false">VLOOKUP($B18,[1]Day1!$A$1:$H$394,6,FALSE())</f>
        <v>0</v>
      </c>
      <c r="H18" s="2" t="n">
        <f aca="false">VLOOKUP($B18,[1]Day2!$A$1:$H$400,4,FALSE())</f>
        <v>0</v>
      </c>
      <c r="I18" s="2" t="n">
        <f aca="false">VLOOKUP($B18,[1]Day2!$A$1:$H$400,5,FALSE())</f>
        <v>0</v>
      </c>
      <c r="J18" s="2" t="n">
        <f aca="false">VLOOKUP($B18,[1]Day2!$A$1:$H$400,6,FALSE())</f>
        <v>0</v>
      </c>
      <c r="K18" s="4" t="n">
        <f aca="false">SUM(E18:J18)</f>
        <v>2</v>
      </c>
      <c r="L18" s="0"/>
      <c r="M18" s="0"/>
      <c r="N18" s="0"/>
      <c r="O18" s="0"/>
    </row>
    <row r="19" customFormat="false" ht="12.75" hidden="false" customHeight="true" outlineLevel="0" collapsed="false">
      <c r="A19" s="1" t="n">
        <v>18</v>
      </c>
      <c r="B19" s="2" t="n">
        <v>139314</v>
      </c>
      <c r="C19" s="2" t="s">
        <v>49</v>
      </c>
      <c r="D19" s="2" t="s">
        <v>490</v>
      </c>
      <c r="E19" s="2" t="n">
        <f aca="false">VLOOKUP($B19,[1]Day1!$A$1:$H$394,4,FALSE())</f>
        <v>0</v>
      </c>
      <c r="F19" s="2" t="n">
        <f aca="false">VLOOKUP($B19,[1]Day1!$A$1:$H$394,5,FALSE())</f>
        <v>0</v>
      </c>
      <c r="G19" s="2" t="n">
        <f aca="false">VLOOKUP($B19,[1]Day1!$A$1:$H$394,6,FALSE())</f>
        <v>0</v>
      </c>
      <c r="H19" s="2" t="n">
        <f aca="false">VLOOKUP($B19,[1]Day2!$A$1:$H$400,4,FALSE())</f>
        <v>0</v>
      </c>
      <c r="I19" s="2" t="n">
        <f aca="false">VLOOKUP($B19,[1]Day2!$A$1:$H$400,5,FALSE())</f>
        <v>0</v>
      </c>
      <c r="J19" s="2" t="n">
        <f aca="false">VLOOKUP($B19,[1]Day2!$A$1:$H$400,6,FALSE())</f>
        <v>0</v>
      </c>
      <c r="K19" s="4" t="n">
        <f aca="false">SUM(E19:J19)</f>
        <v>0</v>
      </c>
      <c r="L19" s="0"/>
      <c r="M19" s="0"/>
      <c r="N19" s="0"/>
      <c r="O19" s="0"/>
    </row>
    <row r="20" customFormat="false" ht="12.75" hidden="false" customHeight="true" outlineLevel="0" collapsed="false">
      <c r="A20" s="1" t="n">
        <v>19</v>
      </c>
      <c r="B20" s="2" t="n">
        <v>74613</v>
      </c>
      <c r="C20" s="2" t="s">
        <v>491</v>
      </c>
      <c r="D20" s="2" t="s">
        <v>403</v>
      </c>
      <c r="E20" s="2" t="n">
        <f aca="false">VLOOKUP($B20,[1]Day1!$A$1:$H$394,4,FALSE())</f>
        <v>0</v>
      </c>
      <c r="F20" s="2" t="n">
        <f aca="false">VLOOKUP($B20,[1]Day1!$A$1:$H$394,5,FALSE())</f>
        <v>0</v>
      </c>
      <c r="G20" s="2" t="n">
        <f aca="false">VLOOKUP($B20,[1]Day1!$A$1:$H$394,6,FALSE())</f>
        <v>0</v>
      </c>
      <c r="H20" s="2" t="n">
        <f aca="false">VLOOKUP($B20,[1]Day2!$A$1:$H$400,4,FALSE())</f>
        <v>0</v>
      </c>
      <c r="I20" s="2" t="n">
        <f aca="false">VLOOKUP($B20,[1]Day2!$A$1:$H$400,5,FALSE())</f>
        <v>0</v>
      </c>
      <c r="J20" s="2" t="n">
        <f aca="false">VLOOKUP($B20,[1]Day2!$A$1:$H$400,6,FALSE())</f>
        <v>0</v>
      </c>
      <c r="K20" s="4" t="n">
        <f aca="false">SUM(E20:J20)</f>
        <v>0</v>
      </c>
      <c r="L20" s="0"/>
      <c r="M20" s="0"/>
      <c r="N20" s="0"/>
      <c r="O20" s="0"/>
    </row>
    <row r="21" customFormat="false" ht="12.75" hidden="false" customHeight="true" outlineLevel="0" collapsed="false">
      <c r="A21" s="1" t="n">
        <v>20</v>
      </c>
      <c r="B21" s="2" t="n">
        <v>118012</v>
      </c>
      <c r="C21" s="2" t="s">
        <v>492</v>
      </c>
      <c r="D21" s="2" t="s">
        <v>493</v>
      </c>
      <c r="E21" s="2" t="n">
        <f aca="false">VLOOKUP($B21,[1]Day1!$A$1:$H$394,4,FALSE())</f>
        <v>0</v>
      </c>
      <c r="F21" s="2" t="n">
        <f aca="false">VLOOKUP($B21,[1]Day1!$A$1:$H$394,5,FALSE())</f>
        <v>0</v>
      </c>
      <c r="G21" s="2" t="n">
        <f aca="false">VLOOKUP($B21,[1]Day1!$A$1:$H$394,6,FALSE())</f>
        <v>0</v>
      </c>
      <c r="H21" s="2" t="n">
        <f aca="false">VLOOKUP($B21,[1]Day2!$A$1:$H$400,4,FALSE())</f>
        <v>0</v>
      </c>
      <c r="I21" s="2" t="n">
        <f aca="false">VLOOKUP($B21,[1]Day2!$A$1:$H$400,5,FALSE())</f>
        <v>0</v>
      </c>
      <c r="J21" s="2" t="n">
        <f aca="false">VLOOKUP($B21,[1]Day2!$A$1:$H$400,6,FALSE())</f>
        <v>0</v>
      </c>
      <c r="K21" s="4" t="n">
        <f aca="false">SUM(E21:J21)</f>
        <v>0</v>
      </c>
      <c r="L21" s="0"/>
      <c r="M21" s="0"/>
      <c r="N21" s="0"/>
      <c r="O21" s="0"/>
    </row>
    <row r="22" customFormat="false" ht="12.75" hidden="false" customHeight="true" outlineLevel="0" collapsed="false">
      <c r="A22" s="1" t="n">
        <v>21</v>
      </c>
      <c r="B22" s="2" t="n">
        <v>196087</v>
      </c>
      <c r="C22" s="2" t="s">
        <v>494</v>
      </c>
      <c r="D22" s="2" t="s">
        <v>316</v>
      </c>
      <c r="E22" s="2" t="n">
        <f aca="false">VLOOKUP($B22,[1]Day1!$A$1:$H$394,4,FALSE())</f>
        <v>0</v>
      </c>
      <c r="F22" s="2" t="n">
        <f aca="false">VLOOKUP($B22,[1]Day1!$A$1:$H$394,5,FALSE())</f>
        <v>0</v>
      </c>
      <c r="G22" s="2" t="n">
        <f aca="false">VLOOKUP($B22,[1]Day1!$A$1:$H$394,6,FALSE())</f>
        <v>0</v>
      </c>
      <c r="H22" s="2" t="n">
        <f aca="false">VLOOKUP($B22,[1]Day2!$A$1:$H$400,4,FALSE())</f>
        <v>0</v>
      </c>
      <c r="I22" s="2" t="n">
        <f aca="false">VLOOKUP($B22,[1]Day2!$A$1:$H$400,5,FALSE())</f>
        <v>0</v>
      </c>
      <c r="J22" s="2" t="n">
        <f aca="false">VLOOKUP($B22,[1]Day2!$A$1:$H$400,6,FALSE())</f>
        <v>0</v>
      </c>
      <c r="K22" s="4" t="n">
        <f aca="false">SUM(E22:J22)</f>
        <v>0</v>
      </c>
      <c r="L22" s="0"/>
      <c r="M22" s="0"/>
      <c r="N22" s="0"/>
      <c r="O22" s="0"/>
    </row>
    <row r="23" customFormat="false" ht="12.75" hidden="false" customHeight="true" outlineLevel="0" collapsed="false">
      <c r="A23" s="1" t="n">
        <v>22</v>
      </c>
      <c r="B23" s="2" t="n">
        <v>3881</v>
      </c>
      <c r="C23" s="2" t="s">
        <v>495</v>
      </c>
      <c r="D23" s="2" t="s">
        <v>294</v>
      </c>
      <c r="E23" s="2" t="n">
        <f aca="false">VLOOKUP($B23,[1]Day1!$A$1:$H$394,4,FALSE())</f>
        <v>0</v>
      </c>
      <c r="F23" s="2" t="n">
        <f aca="false">VLOOKUP($B23,[1]Day1!$A$1:$H$394,5,FALSE())</f>
        <v>0</v>
      </c>
      <c r="G23" s="2" t="n">
        <f aca="false">VLOOKUP($B23,[1]Day1!$A$1:$H$394,6,FALSE())</f>
        <v>0</v>
      </c>
      <c r="H23" s="2" t="n">
        <f aca="false">VLOOKUP($B23,[1]Day2!$A$1:$H$400,4,FALSE())</f>
        <v>0</v>
      </c>
      <c r="I23" s="2" t="n">
        <f aca="false">VLOOKUP($B23,[1]Day2!$A$1:$H$400,5,FALSE())</f>
        <v>0</v>
      </c>
      <c r="J23" s="2" t="n">
        <f aca="false">VLOOKUP($B23,[1]Day2!$A$1:$H$400,6,FALSE())</f>
        <v>0</v>
      </c>
      <c r="K23" s="4" t="n">
        <f aca="false">SUM(E23:J23)</f>
        <v>0</v>
      </c>
      <c r="L23" s="0"/>
      <c r="M23" s="0"/>
      <c r="N23" s="0"/>
      <c r="O23" s="0"/>
    </row>
    <row r="24" customFormat="false" ht="12.75" hidden="false" customHeight="true" outlineLevel="0" collapsed="false">
      <c r="A24" s="1" t="n">
        <v>23</v>
      </c>
      <c r="B24" s="2" t="n">
        <v>110841</v>
      </c>
      <c r="C24" s="2" t="s">
        <v>496</v>
      </c>
      <c r="D24" s="2" t="s">
        <v>497</v>
      </c>
      <c r="E24" s="2" t="n">
        <f aca="false">VLOOKUP($B24,[1]Day1!$A$1:$H$394,4,FALSE())</f>
        <v>0</v>
      </c>
      <c r="F24" s="2" t="n">
        <f aca="false">VLOOKUP($B24,[1]Day1!$A$1:$H$394,5,FALSE())</f>
        <v>0</v>
      </c>
      <c r="G24" s="2" t="n">
        <f aca="false">VLOOKUP($B24,[1]Day1!$A$1:$H$394,6,FALSE())</f>
        <v>0</v>
      </c>
      <c r="H24" s="2" t="n">
        <f aca="false">VLOOKUP($B24,[1]Day2!$A$1:$H$400,4,FALSE())</f>
        <v>0</v>
      </c>
      <c r="I24" s="2" t="n">
        <f aca="false">VLOOKUP($B24,[1]Day2!$A$1:$H$400,5,FALSE())</f>
        <v>0</v>
      </c>
      <c r="J24" s="2" t="n">
        <f aca="false">VLOOKUP($B24,[1]Day2!$A$1:$H$400,6,FALSE())</f>
        <v>0</v>
      </c>
      <c r="K24" s="4" t="n">
        <f aca="false">SUM(E24:J24)</f>
        <v>0</v>
      </c>
      <c r="L24" s="0"/>
      <c r="M24" s="0"/>
      <c r="N24" s="0"/>
      <c r="O24" s="0"/>
    </row>
    <row r="25" customFormat="false" ht="12.75" hidden="false" customHeight="true" outlineLevel="0" collapsed="false">
      <c r="A25" s="1" t="n">
        <v>24</v>
      </c>
      <c r="B25" s="2" t="n">
        <v>185795</v>
      </c>
      <c r="C25" s="2" t="s">
        <v>220</v>
      </c>
      <c r="D25" s="2" t="s">
        <v>498</v>
      </c>
      <c r="E25" s="2" t="n">
        <f aca="false">VLOOKUP($B25,[1]Day1!$A$1:$H$394,4,FALSE())</f>
        <v>0</v>
      </c>
      <c r="F25" s="2" t="n">
        <f aca="false">VLOOKUP($B25,[1]Day1!$A$1:$H$394,5,FALSE())</f>
        <v>0</v>
      </c>
      <c r="G25" s="2" t="n">
        <f aca="false">VLOOKUP($B25,[1]Day1!$A$1:$H$394,6,FALSE())</f>
        <v>0</v>
      </c>
      <c r="H25" s="2" t="n">
        <f aca="false">VLOOKUP($B25,[1]Day2!$A$1:$H$400,4,FALSE())</f>
        <v>0</v>
      </c>
      <c r="I25" s="2" t="n">
        <f aca="false">VLOOKUP($B25,[1]Day2!$A$1:$H$400,5,FALSE())</f>
        <v>0</v>
      </c>
      <c r="J25" s="2" t="n">
        <f aca="false">VLOOKUP($B25,[1]Day2!$A$1:$H$400,6,FALSE())</f>
        <v>0</v>
      </c>
      <c r="K25" s="4" t="n">
        <f aca="false">SUM(E25:J25)</f>
        <v>0</v>
      </c>
      <c r="L25" s="0"/>
      <c r="M25" s="0"/>
      <c r="N25" s="0"/>
      <c r="O25" s="0"/>
    </row>
    <row r="26" customFormat="false" ht="12.75" hidden="false" customHeight="true" outlineLevel="0" collapsed="false">
      <c r="A26" s="1" t="n">
        <v>25</v>
      </c>
      <c r="B26" s="2" t="n">
        <v>185512</v>
      </c>
      <c r="C26" s="2" t="s">
        <v>499</v>
      </c>
      <c r="D26" s="2" t="s">
        <v>500</v>
      </c>
      <c r="E26" s="2" t="n">
        <f aca="false">VLOOKUP($B26,[1]Day1!$A$1:$H$394,4,FALSE())</f>
        <v>0</v>
      </c>
      <c r="F26" s="2" t="n">
        <f aca="false">VLOOKUP($B26,[1]Day1!$A$1:$H$394,5,FALSE())</f>
        <v>0</v>
      </c>
      <c r="G26" s="2" t="n">
        <f aca="false">VLOOKUP($B26,[1]Day1!$A$1:$H$394,6,FALSE())</f>
        <v>0</v>
      </c>
      <c r="H26" s="2"/>
      <c r="I26" s="2"/>
      <c r="J26" s="2"/>
      <c r="K26" s="4" t="n">
        <f aca="false">SUM(E26:J26)</f>
        <v>0</v>
      </c>
      <c r="L26" s="0"/>
      <c r="M26" s="0"/>
      <c r="N26" s="0"/>
      <c r="O26" s="0"/>
    </row>
    <row r="27" customFormat="false" ht="12.75" hidden="false" customHeight="true" outlineLevel="0" collapsed="false">
      <c r="A27" s="1" t="n">
        <v>26</v>
      </c>
      <c r="B27" s="2" t="n">
        <v>83273</v>
      </c>
      <c r="C27" s="2" t="s">
        <v>501</v>
      </c>
      <c r="D27" s="2" t="s">
        <v>502</v>
      </c>
      <c r="E27" s="2" t="n">
        <f aca="false">VLOOKUP($B27,[1]Day1!$A$1:$H$394,4,FALSE())</f>
        <v>0</v>
      </c>
      <c r="F27" s="2" t="n">
        <f aca="false">VLOOKUP($B27,[1]Day1!$A$1:$H$394,5,FALSE())</f>
        <v>0</v>
      </c>
      <c r="G27" s="2" t="n">
        <f aca="false">VLOOKUP($B27,[1]Day1!$A$1:$H$394,6,FALSE())</f>
        <v>0</v>
      </c>
      <c r="H27" s="2"/>
      <c r="I27" s="2"/>
      <c r="J27" s="2"/>
      <c r="K27" s="4" t="n">
        <f aca="false">SUM(E27:J27)</f>
        <v>0</v>
      </c>
      <c r="L27" s="0"/>
      <c r="M27" s="0"/>
      <c r="N27" s="0"/>
      <c r="O27" s="0"/>
    </row>
    <row r="28" customFormat="false" ht="12.75" hidden="false" customHeight="true" outlineLevel="0" collapsed="false">
      <c r="A28" s="1" t="n">
        <v>27</v>
      </c>
      <c r="B28" s="2" t="n">
        <v>82456</v>
      </c>
      <c r="C28" s="2" t="s">
        <v>503</v>
      </c>
      <c r="D28" s="2" t="s">
        <v>422</v>
      </c>
      <c r="E28" s="2" t="n">
        <f aca="false">VLOOKUP($B28,[1]Day1!$A$1:$H$394,4,FALSE())</f>
        <v>7</v>
      </c>
      <c r="F28" s="2" t="n">
        <f aca="false">VLOOKUP($B28,[1]Day1!$A$1:$H$394,5,FALSE())</f>
        <v>2</v>
      </c>
      <c r="G28" s="2" t="n">
        <f aca="false">VLOOKUP($B28,[1]Day1!$A$1:$H$394,6,FALSE())</f>
        <v>0</v>
      </c>
      <c r="H28" s="2" t="n">
        <f aca="false">VLOOKUP($B28,'[1]12-р анги өдөр-2'!$F$3:$L$30,4,FALSE())</f>
        <v>2</v>
      </c>
      <c r="I28" s="2" t="n">
        <f aca="false">VLOOKUP($B28,'[1]12-р анги өдөр-2'!$F$3:$L$30,5,FALSE())</f>
        <v>0</v>
      </c>
      <c r="J28" s="2" t="n">
        <f aca="false">VLOOKUP($B28,'[1]12-р анги өдөр-2'!$F$3:$L$30,6,FALSE())</f>
        <v>0</v>
      </c>
      <c r="K28" s="2" t="n">
        <f aca="false">SUM(E28:J28)</f>
        <v>11</v>
      </c>
      <c r="L28" s="0"/>
      <c r="M28" s="0"/>
      <c r="N28" s="0"/>
      <c r="O28" s="0"/>
    </row>
    <row r="29" customFormat="false" ht="12.75" hidden="false" customHeight="true" outlineLevel="0" collapsed="false">
      <c r="A29" s="1" t="n">
        <v>28</v>
      </c>
      <c r="B29" s="2" t="n">
        <v>82535</v>
      </c>
      <c r="C29" s="2" t="s">
        <v>504</v>
      </c>
      <c r="D29" s="2" t="s">
        <v>170</v>
      </c>
      <c r="E29" s="2" t="n">
        <f aca="false">VLOOKUP($B29,[1]Day1!$A$1:$H$394,4,FALSE())</f>
        <v>7</v>
      </c>
      <c r="F29" s="2" t="n">
        <f aca="false">VLOOKUP($B29,[1]Day1!$A$1:$H$394,5,FALSE())</f>
        <v>3</v>
      </c>
      <c r="G29" s="2" t="n">
        <f aca="false">VLOOKUP($B29,[1]Day1!$A$1:$H$394,6,FALSE())</f>
        <v>0</v>
      </c>
      <c r="H29" s="2" t="n">
        <f aca="false">VLOOKUP($B29,'[1]12-р анги өдөр-2'!$F$3:$L$30,4,FALSE())</f>
        <v>0</v>
      </c>
      <c r="I29" s="2" t="n">
        <f aca="false">VLOOKUP($B29,'[1]12-р анги өдөр-2'!$F$3:$L$30,5,FALSE())</f>
        <v>0</v>
      </c>
      <c r="J29" s="2" t="n">
        <f aca="false">VLOOKUP($B29,'[1]12-р анги өдөр-2'!$F$3:$L$30,6,FALSE())</f>
        <v>0</v>
      </c>
      <c r="K29" s="2" t="n">
        <f aca="false">SUM(E29:J29)</f>
        <v>10</v>
      </c>
      <c r="L29" s="0"/>
      <c r="M29" s="0"/>
      <c r="N29" s="0"/>
      <c r="O29" s="0"/>
    </row>
    <row r="30" customFormat="false" ht="12.75" hidden="false" customHeight="true" outlineLevel="0" collapsed="false">
      <c r="A30" s="1" t="n">
        <v>29</v>
      </c>
      <c r="B30" s="2" t="n">
        <v>142740</v>
      </c>
      <c r="C30" s="2" t="s">
        <v>505</v>
      </c>
      <c r="D30" s="2" t="s">
        <v>506</v>
      </c>
      <c r="E30" s="2" t="n">
        <f aca="false">VLOOKUP($B30,[1]Day1!$A$1:$H$394,4,FALSE())</f>
        <v>7</v>
      </c>
      <c r="F30" s="2" t="n">
        <f aca="false">VLOOKUP($B30,[1]Day1!$A$1:$H$394,5,FALSE())</f>
        <v>2.5</v>
      </c>
      <c r="G30" s="2" t="n">
        <f aca="false">VLOOKUP($B30,[1]Day1!$A$1:$H$394,6,FALSE())</f>
        <v>0</v>
      </c>
      <c r="H30" s="2" t="n">
        <f aca="false">VLOOKUP($B30,'[1]12-р анги өдөр-2'!$F$3:$L$30,4,FALSE())</f>
        <v>0</v>
      </c>
      <c r="I30" s="2" t="n">
        <f aca="false">VLOOKUP($B30,'[1]12-р анги өдөр-2'!$F$3:$L$30,5,FALSE())</f>
        <v>0</v>
      </c>
      <c r="J30" s="2" t="n">
        <f aca="false">VLOOKUP($B30,'[1]12-р анги өдөр-2'!$F$3:$L$30,6,FALSE())</f>
        <v>0</v>
      </c>
      <c r="K30" s="2" t="n">
        <f aca="false">SUM(E30:J30)</f>
        <v>9.5</v>
      </c>
      <c r="L30" s="0"/>
      <c r="M30" s="0"/>
      <c r="N30" s="0"/>
      <c r="O30" s="0"/>
    </row>
    <row r="31" customFormat="false" ht="12.75" hidden="false" customHeight="true" outlineLevel="0" collapsed="false">
      <c r="A31" s="1" t="n">
        <v>30</v>
      </c>
      <c r="B31" s="2" t="n">
        <v>59433</v>
      </c>
      <c r="C31" s="2" t="s">
        <v>507</v>
      </c>
      <c r="D31" s="2" t="s">
        <v>39</v>
      </c>
      <c r="E31" s="2" t="n">
        <f aca="false">VLOOKUP($B31,[1]Day1!$A$1:$H$394,4,FALSE())</f>
        <v>7</v>
      </c>
      <c r="F31" s="2" t="n">
        <f aca="false">VLOOKUP($B31,[1]Day1!$A$1:$H$394,5,FALSE())</f>
        <v>2</v>
      </c>
      <c r="G31" s="2" t="n">
        <f aca="false">VLOOKUP($B31,[1]Day1!$A$1:$H$394,6,FALSE())</f>
        <v>0</v>
      </c>
      <c r="H31" s="2" t="n">
        <f aca="false">VLOOKUP($B31,'[1]12-р анги өдөр-2'!$F$3:$L$30,4,FALSE())</f>
        <v>0</v>
      </c>
      <c r="I31" s="2" t="n">
        <f aca="false">VLOOKUP($B31,'[1]12-р анги өдөр-2'!$F$3:$L$30,5,FALSE())</f>
        <v>0</v>
      </c>
      <c r="J31" s="2" t="n">
        <f aca="false">VLOOKUP($B31,'[1]12-р анги өдөр-2'!$F$3:$L$30,6,FALSE())</f>
        <v>0</v>
      </c>
      <c r="K31" s="2" t="n">
        <f aca="false">SUM(E31:J31)</f>
        <v>9</v>
      </c>
      <c r="L31" s="0"/>
      <c r="M31" s="0"/>
      <c r="N31" s="0"/>
      <c r="O31" s="0"/>
    </row>
    <row r="32" customFormat="false" ht="12.75" hidden="false" customHeight="true" outlineLevel="0" collapsed="false">
      <c r="A32" s="1" t="n">
        <v>31</v>
      </c>
      <c r="B32" s="2" t="n">
        <v>82453</v>
      </c>
      <c r="C32" s="2" t="s">
        <v>508</v>
      </c>
      <c r="D32" s="2" t="s">
        <v>509</v>
      </c>
      <c r="E32" s="2" t="n">
        <f aca="false">VLOOKUP($B32,[1]Day1!$A$1:$H$394,4,FALSE())</f>
        <v>7</v>
      </c>
      <c r="F32" s="2" t="n">
        <f aca="false">VLOOKUP($B32,[1]Day1!$A$1:$H$394,5,FALSE())</f>
        <v>2</v>
      </c>
      <c r="G32" s="2" t="n">
        <f aca="false">VLOOKUP($B32,[1]Day1!$A$1:$H$394,6,FALSE())</f>
        <v>0</v>
      </c>
      <c r="H32" s="2" t="n">
        <f aca="false">VLOOKUP($B32,'[1]12-р анги өдөр-2'!$F$3:$L$30,4,FALSE())</f>
        <v>0</v>
      </c>
      <c r="I32" s="2" t="n">
        <f aca="false">VLOOKUP($B32,'[1]12-р анги өдөр-2'!$F$3:$L$30,5,FALSE())</f>
        <v>0</v>
      </c>
      <c r="J32" s="2" t="n">
        <f aca="false">VLOOKUP($B32,'[1]12-р анги өдөр-2'!$F$3:$L$30,6,FALSE())</f>
        <v>0</v>
      </c>
      <c r="K32" s="2" t="n">
        <f aca="false">SUM(E32:J32)</f>
        <v>9</v>
      </c>
      <c r="L32" s="0"/>
      <c r="M32" s="0"/>
      <c r="N32" s="0"/>
      <c r="O32" s="0"/>
    </row>
    <row r="33" customFormat="false" ht="12.75" hidden="false" customHeight="true" outlineLevel="0" collapsed="false">
      <c r="A33" s="1" t="n">
        <v>32</v>
      </c>
      <c r="B33" s="2" t="n">
        <v>110661</v>
      </c>
      <c r="C33" s="2" t="s">
        <v>510</v>
      </c>
      <c r="D33" s="2" t="s">
        <v>288</v>
      </c>
      <c r="E33" s="2" t="n">
        <f aca="false">VLOOKUP($B33,[1]Day1!$A$1:$H$394,4,FALSE())</f>
        <v>7</v>
      </c>
      <c r="F33" s="2" t="n">
        <f aca="false">VLOOKUP($B33,[1]Day1!$A$1:$H$394,5,FALSE())</f>
        <v>2</v>
      </c>
      <c r="G33" s="2" t="n">
        <f aca="false">VLOOKUP($B33,[1]Day1!$A$1:$H$394,6,FALSE())</f>
        <v>0</v>
      </c>
      <c r="H33" s="2" t="n">
        <f aca="false">VLOOKUP($B33,'[1]12-р анги өдөр-2'!$F$3:$L$30,4,FALSE())</f>
        <v>0</v>
      </c>
      <c r="I33" s="2" t="n">
        <f aca="false">VLOOKUP($B33,'[1]12-р анги өдөр-2'!$F$3:$L$30,5,FALSE())</f>
        <v>0</v>
      </c>
      <c r="J33" s="2" t="n">
        <f aca="false">VLOOKUP($B33,'[1]12-р анги өдөр-2'!$F$3:$L$30,6,FALSE())</f>
        <v>0</v>
      </c>
      <c r="K33" s="2" t="n">
        <f aca="false">SUM(E33:J33)</f>
        <v>9</v>
      </c>
      <c r="L33" s="0"/>
      <c r="M33" s="0"/>
      <c r="N33" s="0"/>
      <c r="O33" s="0"/>
    </row>
    <row r="34" customFormat="false" ht="12.75" hidden="false" customHeight="true" outlineLevel="0" collapsed="false">
      <c r="A34" s="1" t="n">
        <v>33</v>
      </c>
      <c r="B34" s="2" t="n">
        <v>122031</v>
      </c>
      <c r="C34" s="2" t="s">
        <v>511</v>
      </c>
      <c r="D34" s="2" t="s">
        <v>512</v>
      </c>
      <c r="E34" s="2" t="n">
        <f aca="false">VLOOKUP($B34,[1]Day1!$A$1:$H$394,4,FALSE())</f>
        <v>7</v>
      </c>
      <c r="F34" s="2" t="n">
        <f aca="false">VLOOKUP($B34,[1]Day1!$A$1:$H$394,5,FALSE())</f>
        <v>2</v>
      </c>
      <c r="G34" s="2" t="n">
        <f aca="false">VLOOKUP($B34,[1]Day1!$A$1:$H$394,6,FALSE())</f>
        <v>0</v>
      </c>
      <c r="H34" s="2" t="n">
        <f aca="false">VLOOKUP($B34,'[1]12-р анги өдөр-2'!$F$3:$L$30,4,FALSE())</f>
        <v>0</v>
      </c>
      <c r="I34" s="2" t="n">
        <f aca="false">VLOOKUP($B34,'[1]12-р анги өдөр-2'!$F$3:$L$30,5,FALSE())</f>
        <v>0</v>
      </c>
      <c r="J34" s="2" t="n">
        <f aca="false">VLOOKUP($B34,'[1]12-р анги өдөр-2'!$F$3:$L$30,6,FALSE())</f>
        <v>0</v>
      </c>
      <c r="K34" s="2" t="n">
        <f aca="false">SUM(E34:J34)</f>
        <v>9</v>
      </c>
      <c r="L34" s="0"/>
      <c r="M34" s="0"/>
      <c r="N34" s="0"/>
      <c r="O34" s="0"/>
    </row>
    <row r="35" customFormat="false" ht="12.75" hidden="false" customHeight="true" outlineLevel="0" collapsed="false">
      <c r="A35" s="1" t="n">
        <v>34</v>
      </c>
      <c r="B35" s="2" t="n">
        <v>129372</v>
      </c>
      <c r="C35" s="2" t="s">
        <v>513</v>
      </c>
      <c r="D35" s="2" t="s">
        <v>514</v>
      </c>
      <c r="E35" s="2" t="n">
        <f aca="false">VLOOKUP($B35,[1]Day1!$A$1:$H$394,4,FALSE())</f>
        <v>6</v>
      </c>
      <c r="F35" s="2" t="n">
        <f aca="false">VLOOKUP($B35,[1]Day1!$A$1:$H$394,5,FALSE())</f>
        <v>0</v>
      </c>
      <c r="G35" s="2" t="n">
        <f aca="false">VLOOKUP($B35,[1]Day1!$A$1:$H$394,6,FALSE())</f>
        <v>0</v>
      </c>
      <c r="H35" s="2" t="n">
        <f aca="false">VLOOKUP($B35,'[1]12-р анги өдөр-2'!$F$3:$L$30,4,FALSE())</f>
        <v>3</v>
      </c>
      <c r="I35" s="2" t="n">
        <f aca="false">VLOOKUP($B35,'[1]12-р анги өдөр-2'!$F$3:$L$30,5,FALSE())</f>
        <v>0</v>
      </c>
      <c r="J35" s="2" t="n">
        <f aca="false">VLOOKUP($B35,'[1]12-р анги өдөр-2'!$F$3:$L$30,6,FALSE())</f>
        <v>0</v>
      </c>
      <c r="K35" s="2" t="n">
        <f aca="false">SUM(E35:J35)</f>
        <v>9</v>
      </c>
      <c r="L35" s="0"/>
      <c r="M35" s="0"/>
      <c r="N35" s="0"/>
      <c r="O35" s="0"/>
    </row>
    <row r="36" customFormat="false" ht="12.75" hidden="false" customHeight="true" outlineLevel="0" collapsed="false">
      <c r="A36" s="1" t="n">
        <v>35</v>
      </c>
      <c r="B36" s="2" t="n">
        <v>109503</v>
      </c>
      <c r="C36" s="2" t="s">
        <v>515</v>
      </c>
      <c r="D36" s="2" t="s">
        <v>273</v>
      </c>
      <c r="E36" s="2" t="n">
        <f aca="false">VLOOKUP($B36,[1]Day1!$A$1:$H$394,4,FALSE())</f>
        <v>3</v>
      </c>
      <c r="F36" s="2" t="n">
        <f aca="false">VLOOKUP($B36,[1]Day1!$A$1:$H$394,5,FALSE())</f>
        <v>2</v>
      </c>
      <c r="G36" s="2" t="n">
        <f aca="false">VLOOKUP($B36,[1]Day1!$A$1:$H$394,6,FALSE())</f>
        <v>0</v>
      </c>
      <c r="H36" s="2" t="n">
        <f aca="false">VLOOKUP($B36,'[1]12-р анги өдөр-2'!$F$3:$L$30,4,FALSE())</f>
        <v>2</v>
      </c>
      <c r="I36" s="2" t="n">
        <f aca="false">VLOOKUP($B36,'[1]12-р анги өдөр-2'!$F$3:$L$30,5,FALSE())</f>
        <v>0</v>
      </c>
      <c r="J36" s="2" t="n">
        <f aca="false">VLOOKUP($B36,'[1]12-р анги өдөр-2'!$F$3:$L$30,6,FALSE())</f>
        <v>0</v>
      </c>
      <c r="K36" s="2" t="n">
        <f aca="false">SUM(E36:J36)</f>
        <v>7</v>
      </c>
      <c r="L36" s="0"/>
      <c r="M36" s="0"/>
      <c r="N36" s="0"/>
      <c r="O36" s="0"/>
    </row>
    <row r="37" customFormat="false" ht="12.75" hidden="false" customHeight="true" outlineLevel="0" collapsed="false">
      <c r="A37" s="1" t="n">
        <v>36</v>
      </c>
      <c r="B37" s="2" t="n">
        <v>87436</v>
      </c>
      <c r="C37" s="2" t="s">
        <v>516</v>
      </c>
      <c r="D37" s="2" t="s">
        <v>517</v>
      </c>
      <c r="E37" s="2" t="n">
        <f aca="false">VLOOKUP($B37,[1]Day1!$A$1:$H$394,4,FALSE())</f>
        <v>7</v>
      </c>
      <c r="F37" s="2" t="n">
        <f aca="false">VLOOKUP($B37,[1]Day1!$A$1:$H$394,5,FALSE())</f>
        <v>0</v>
      </c>
      <c r="G37" s="2" t="n">
        <f aca="false">VLOOKUP($B37,[1]Day1!$A$1:$H$394,6,FALSE())</f>
        <v>0</v>
      </c>
      <c r="H37" s="2" t="n">
        <f aca="false">VLOOKUP($B37,'[1]12-р анги өдөр-2'!$F$3:$L$30,4,FALSE())</f>
        <v>0</v>
      </c>
      <c r="I37" s="2" t="n">
        <f aca="false">VLOOKUP($B37,'[1]12-р анги өдөр-2'!$F$3:$L$30,5,FALSE())</f>
        <v>0</v>
      </c>
      <c r="J37" s="2" t="n">
        <f aca="false">VLOOKUP($B37,'[1]12-р анги өдөр-2'!$F$3:$L$30,6,FALSE())</f>
        <v>0</v>
      </c>
      <c r="K37" s="2" t="n">
        <f aca="false">SUM(E37:J37)</f>
        <v>7</v>
      </c>
      <c r="L37" s="0"/>
      <c r="M37" s="0"/>
      <c r="N37" s="0"/>
      <c r="O37" s="0"/>
    </row>
    <row r="38" customFormat="false" ht="12.75" hidden="false" customHeight="true" outlineLevel="0" collapsed="false">
      <c r="A38" s="1" t="n">
        <v>37</v>
      </c>
      <c r="B38" s="2" t="n">
        <v>178304</v>
      </c>
      <c r="C38" s="2" t="s">
        <v>373</v>
      </c>
      <c r="D38" s="2" t="s">
        <v>128</v>
      </c>
      <c r="E38" s="2" t="n">
        <f aca="false">VLOOKUP($B38,[1]Day1!$A$1:$H$394,4,FALSE())</f>
        <v>3</v>
      </c>
      <c r="F38" s="2" t="n">
        <f aca="false">VLOOKUP($B38,[1]Day1!$A$1:$H$394,5,FALSE())</f>
        <v>2</v>
      </c>
      <c r="G38" s="2" t="n">
        <f aca="false">VLOOKUP($B38,[1]Day1!$A$1:$H$394,6,FALSE())</f>
        <v>0</v>
      </c>
      <c r="H38" s="2" t="n">
        <f aca="false">VLOOKUP($B38,'[1]12-р анги өдөр-2'!$F$3:$L$30,4,FALSE())</f>
        <v>0</v>
      </c>
      <c r="I38" s="2" t="n">
        <f aca="false">VLOOKUP($B38,'[1]12-р анги өдөр-2'!$F$3:$L$30,5,FALSE())</f>
        <v>0</v>
      </c>
      <c r="J38" s="2" t="n">
        <f aca="false">VLOOKUP($B38,'[1]12-р анги өдөр-2'!$F$3:$L$30,6,FALSE())</f>
        <v>0</v>
      </c>
      <c r="K38" s="2" t="n">
        <f aca="false">SUM(E38:J38)</f>
        <v>5</v>
      </c>
      <c r="L38" s="0"/>
      <c r="M38" s="0"/>
      <c r="N38" s="0"/>
      <c r="O38" s="0"/>
    </row>
    <row r="39" customFormat="false" ht="12.75" hidden="false" customHeight="true" outlineLevel="0" collapsed="false">
      <c r="A39" s="1" t="n">
        <v>38</v>
      </c>
      <c r="B39" s="2" t="n">
        <v>59211</v>
      </c>
      <c r="C39" s="2" t="s">
        <v>39</v>
      </c>
      <c r="D39" s="2" t="s">
        <v>518</v>
      </c>
      <c r="E39" s="2" t="n">
        <f aca="false">VLOOKUP($B39,[1]Day1!$A$1:$H$394,4,FALSE())</f>
        <v>0</v>
      </c>
      <c r="F39" s="2" t="n">
        <f aca="false">VLOOKUP($B39,[1]Day1!$A$1:$H$394,5,FALSE())</f>
        <v>2</v>
      </c>
      <c r="G39" s="2" t="n">
        <f aca="false">VLOOKUP($B39,[1]Day1!$A$1:$H$394,6,FALSE())</f>
        <v>0</v>
      </c>
      <c r="H39" s="2" t="n">
        <f aca="false">VLOOKUP($B39,'[1]12-р анги өдөр-2'!$F$3:$L$30,4,FALSE())</f>
        <v>3</v>
      </c>
      <c r="I39" s="2" t="n">
        <f aca="false">VLOOKUP($B39,'[1]12-р анги өдөр-2'!$F$3:$L$30,5,FALSE())</f>
        <v>0</v>
      </c>
      <c r="J39" s="2" t="n">
        <f aca="false">VLOOKUP($B39,'[1]12-р анги өдөр-2'!$F$3:$L$30,6,FALSE())</f>
        <v>0</v>
      </c>
      <c r="K39" s="2" t="n">
        <f aca="false">SUM(E39:J39)</f>
        <v>5</v>
      </c>
      <c r="L39" s="0"/>
      <c r="M39" s="0"/>
      <c r="N39" s="0"/>
      <c r="O39" s="0"/>
    </row>
    <row r="40" customFormat="false" ht="12.75" hidden="false" customHeight="true" outlineLevel="0" collapsed="false">
      <c r="A40" s="1" t="n">
        <v>39</v>
      </c>
      <c r="B40" s="2" t="n">
        <v>16020</v>
      </c>
      <c r="C40" s="2" t="s">
        <v>519</v>
      </c>
      <c r="D40" s="2" t="s">
        <v>260</v>
      </c>
      <c r="E40" s="2" t="n">
        <f aca="false">VLOOKUP($B40,[1]Day1!$A$1:$H$394,4,FALSE())</f>
        <v>0</v>
      </c>
      <c r="F40" s="2" t="n">
        <f aca="false">VLOOKUP($B40,[1]Day1!$A$1:$H$394,5,FALSE())</f>
        <v>2</v>
      </c>
      <c r="G40" s="2" t="n">
        <f aca="false">VLOOKUP($B40,[1]Day1!$A$1:$H$394,6,FALSE())</f>
        <v>0</v>
      </c>
      <c r="H40" s="2" t="n">
        <f aca="false">VLOOKUP($B40,'[1]12-р анги өдөр-2'!$F$3:$L$30,4,FALSE())</f>
        <v>2</v>
      </c>
      <c r="I40" s="2" t="n">
        <f aca="false">VLOOKUP($B40,'[1]12-р анги өдөр-2'!$F$3:$L$30,5,FALSE())</f>
        <v>0</v>
      </c>
      <c r="J40" s="2" t="n">
        <f aca="false">VLOOKUP($B40,'[1]12-р анги өдөр-2'!$F$3:$L$30,6,FALSE())</f>
        <v>0</v>
      </c>
      <c r="K40" s="2" t="n">
        <f aca="false">SUM(E40:J40)</f>
        <v>4</v>
      </c>
      <c r="L40" s="0"/>
      <c r="M40" s="0"/>
      <c r="N40" s="0"/>
      <c r="O40" s="0"/>
    </row>
    <row r="41" customFormat="false" ht="12.75" hidden="false" customHeight="true" outlineLevel="0" collapsed="false">
      <c r="A41" s="1" t="n">
        <v>40</v>
      </c>
      <c r="B41" s="2" t="n">
        <v>203256</v>
      </c>
      <c r="C41" s="2" t="s">
        <v>520</v>
      </c>
      <c r="D41" s="2" t="s">
        <v>101</v>
      </c>
      <c r="E41" s="2" t="n">
        <f aca="false">VLOOKUP($B41,[1]Day1!$A$1:$H$394,4,FALSE())</f>
        <v>0</v>
      </c>
      <c r="F41" s="2" t="n">
        <f aca="false">VLOOKUP($B41,[1]Day1!$A$1:$H$394,5,FALSE())</f>
        <v>2</v>
      </c>
      <c r="G41" s="2" t="n">
        <f aca="false">VLOOKUP($B41,[1]Day1!$A$1:$H$394,6,FALSE())</f>
        <v>0</v>
      </c>
      <c r="H41" s="2" t="n">
        <f aca="false">VLOOKUP($B41,'[1]12-р анги өдөр-2'!$F$3:$L$30,4,FALSE())</f>
        <v>0</v>
      </c>
      <c r="I41" s="2" t="n">
        <f aca="false">VLOOKUP($B41,'[1]12-р анги өдөр-2'!$F$3:$L$30,5,FALSE())</f>
        <v>0</v>
      </c>
      <c r="J41" s="2" t="n">
        <f aca="false">VLOOKUP($B41,'[1]12-р анги өдөр-2'!$F$3:$L$30,6,FALSE())</f>
        <v>0</v>
      </c>
      <c r="K41" s="2" t="n">
        <f aca="false">SUM(E41:J41)</f>
        <v>2</v>
      </c>
      <c r="L41" s="0"/>
      <c r="M41" s="0"/>
      <c r="N41" s="0"/>
      <c r="O41" s="0"/>
    </row>
    <row r="42" customFormat="false" ht="12.75" hidden="false" customHeight="true" outlineLevel="0" collapsed="false">
      <c r="A42" s="1" t="n">
        <v>41</v>
      </c>
      <c r="B42" s="2" t="n">
        <v>118442</v>
      </c>
      <c r="C42" s="2" t="s">
        <v>521</v>
      </c>
      <c r="D42" s="2" t="s">
        <v>437</v>
      </c>
      <c r="E42" s="2" t="n">
        <f aca="false">VLOOKUP($B42,[1]Day1!$A$1:$H$394,4,FALSE())</f>
        <v>0</v>
      </c>
      <c r="F42" s="2" t="n">
        <f aca="false">VLOOKUP($B42,[1]Day1!$A$1:$H$394,5,FALSE())</f>
        <v>2</v>
      </c>
      <c r="G42" s="2" t="n">
        <f aca="false">VLOOKUP($B42,[1]Day1!$A$1:$H$394,6,FALSE())</f>
        <v>0</v>
      </c>
      <c r="H42" s="2" t="n">
        <f aca="false">VLOOKUP($B42,'[1]12-р анги өдөр-2'!$F$3:$L$30,4,FALSE())</f>
        <v>0</v>
      </c>
      <c r="I42" s="2" t="n">
        <f aca="false">VLOOKUP($B42,'[1]12-р анги өдөр-2'!$F$3:$L$30,5,FALSE())</f>
        <v>0</v>
      </c>
      <c r="J42" s="2" t="n">
        <f aca="false">VLOOKUP($B42,'[1]12-р анги өдөр-2'!$F$3:$L$30,6,FALSE())</f>
        <v>0</v>
      </c>
      <c r="K42" s="2" t="n">
        <f aca="false">SUM(E42:J42)</f>
        <v>2</v>
      </c>
      <c r="L42" s="0"/>
      <c r="M42" s="0"/>
      <c r="N42" s="0"/>
      <c r="O42" s="0"/>
    </row>
    <row r="43" customFormat="false" ht="12.75" hidden="false" customHeight="true" outlineLevel="0" collapsed="false">
      <c r="A43" s="1" t="n">
        <v>42</v>
      </c>
      <c r="B43" s="2" t="n">
        <v>194729</v>
      </c>
      <c r="C43" s="2" t="s">
        <v>522</v>
      </c>
      <c r="D43" s="2" t="s">
        <v>168</v>
      </c>
      <c r="E43" s="2" t="n">
        <f aca="false">VLOOKUP($B43,[1]Day1!$A$1:$H$394,4,FALSE())</f>
        <v>0</v>
      </c>
      <c r="F43" s="2" t="n">
        <f aca="false">VLOOKUP($B43,[1]Day1!$A$1:$H$394,5,FALSE())</f>
        <v>2</v>
      </c>
      <c r="G43" s="2" t="n">
        <f aca="false">VLOOKUP($B43,[1]Day1!$A$1:$H$394,6,FALSE())</f>
        <v>0</v>
      </c>
      <c r="H43" s="2" t="n">
        <f aca="false">VLOOKUP($B43,'[1]12-р анги өдөр-2'!$F$3:$L$30,4,FALSE())</f>
        <v>0</v>
      </c>
      <c r="I43" s="2" t="n">
        <f aca="false">VLOOKUP($B43,'[1]12-р анги өдөр-2'!$F$3:$L$30,5,FALSE())</f>
        <v>0</v>
      </c>
      <c r="J43" s="2" t="n">
        <f aca="false">VLOOKUP($B43,'[1]12-р анги өдөр-2'!$F$3:$L$30,6,FALSE())</f>
        <v>0</v>
      </c>
      <c r="K43" s="2" t="n">
        <f aca="false">SUM(E43:J43)</f>
        <v>2</v>
      </c>
      <c r="L43" s="0"/>
      <c r="M43" s="0"/>
      <c r="N43" s="0"/>
      <c r="O43" s="0"/>
    </row>
    <row r="44" customFormat="false" ht="12.75" hidden="false" customHeight="true" outlineLevel="0" collapsed="false">
      <c r="A44" s="1" t="n">
        <v>43</v>
      </c>
      <c r="B44" s="2" t="n">
        <v>139239</v>
      </c>
      <c r="C44" s="2" t="s">
        <v>523</v>
      </c>
      <c r="D44" s="2" t="s">
        <v>273</v>
      </c>
      <c r="E44" s="2" t="n">
        <f aca="false">VLOOKUP($B44,[1]Day1!$A$1:$H$394,4,FALSE())</f>
        <v>0</v>
      </c>
      <c r="F44" s="2" t="n">
        <f aca="false">VLOOKUP($B44,[1]Day1!$A$1:$H$394,5,FALSE())</f>
        <v>2</v>
      </c>
      <c r="G44" s="2" t="n">
        <f aca="false">VLOOKUP($B44,[1]Day1!$A$1:$H$394,6,FALSE())</f>
        <v>0</v>
      </c>
      <c r="H44" s="2" t="n">
        <f aca="false">VLOOKUP($B44,'[1]12-р анги өдөр-2'!$F$3:$L$30,4,FALSE())</f>
        <v>0</v>
      </c>
      <c r="I44" s="2" t="n">
        <f aca="false">VLOOKUP($B44,'[1]12-р анги өдөр-2'!$F$3:$L$30,5,FALSE())</f>
        <v>0</v>
      </c>
      <c r="J44" s="2" t="n">
        <f aca="false">VLOOKUP($B44,'[1]12-р анги өдөр-2'!$F$3:$L$30,6,FALSE())</f>
        <v>0</v>
      </c>
      <c r="K44" s="2" t="n">
        <f aca="false">SUM(E44:J44)</f>
        <v>2</v>
      </c>
      <c r="L44" s="0"/>
      <c r="M44" s="0"/>
      <c r="N44" s="0"/>
      <c r="O44" s="0"/>
    </row>
    <row r="45" customFormat="false" ht="12.75" hidden="false" customHeight="true" outlineLevel="0" collapsed="false">
      <c r="A45" s="1" t="n">
        <v>44</v>
      </c>
      <c r="B45" s="2" t="n">
        <v>53495</v>
      </c>
      <c r="C45" s="2" t="s">
        <v>524</v>
      </c>
      <c r="D45" s="2" t="s">
        <v>372</v>
      </c>
      <c r="E45" s="2" t="n">
        <f aca="false">VLOOKUP($B45,[1]Day1!$A$1:$H$394,4,FALSE())</f>
        <v>0</v>
      </c>
      <c r="F45" s="2" t="n">
        <f aca="false">VLOOKUP($B45,[1]Day1!$A$1:$H$394,5,FALSE())</f>
        <v>2</v>
      </c>
      <c r="G45" s="2" t="n">
        <f aca="false">VLOOKUP($B45,[1]Day1!$A$1:$H$394,6,FALSE())</f>
        <v>0</v>
      </c>
      <c r="H45" s="2" t="n">
        <f aca="false">VLOOKUP($B45,'[1]12-р анги өдөр-2'!$F$3:$L$30,4,FALSE())</f>
        <v>0</v>
      </c>
      <c r="I45" s="2" t="n">
        <f aca="false">VLOOKUP($B45,'[1]12-р анги өдөр-2'!$F$3:$L$30,5,FALSE())</f>
        <v>0</v>
      </c>
      <c r="J45" s="2" t="n">
        <f aca="false">VLOOKUP($B45,'[1]12-р анги өдөр-2'!$F$3:$L$30,6,FALSE())</f>
        <v>0</v>
      </c>
      <c r="K45" s="2" t="n">
        <f aca="false">SUM(E45:J45)</f>
        <v>2</v>
      </c>
      <c r="L45" s="0"/>
      <c r="M45" s="0"/>
      <c r="N45" s="0"/>
      <c r="O45" s="0"/>
    </row>
    <row r="46" customFormat="false" ht="12.75" hidden="false" customHeight="true" outlineLevel="0" collapsed="false">
      <c r="A46" s="1" t="n">
        <v>45</v>
      </c>
      <c r="B46" s="2" t="n">
        <v>117778</v>
      </c>
      <c r="C46" s="2" t="s">
        <v>525</v>
      </c>
      <c r="D46" s="2" t="s">
        <v>526</v>
      </c>
      <c r="E46" s="2" t="n">
        <f aca="false">VLOOKUP($B46,[1]Day1!$A$1:$H$394,4,FALSE())</f>
        <v>0</v>
      </c>
      <c r="F46" s="2" t="n">
        <f aca="false">VLOOKUP($B46,[1]Day1!$A$1:$H$394,5,FALSE())</f>
        <v>2</v>
      </c>
      <c r="G46" s="2" t="n">
        <f aca="false">VLOOKUP($B46,[1]Day1!$A$1:$H$394,6,FALSE())</f>
        <v>0</v>
      </c>
      <c r="H46" s="2" t="n">
        <f aca="false">VLOOKUP($B46,'[1]12-р анги өдөр-2'!$F$3:$L$30,4,FALSE())</f>
        <v>0</v>
      </c>
      <c r="I46" s="2" t="n">
        <f aca="false">VLOOKUP($B46,'[1]12-р анги өдөр-2'!$F$3:$L$30,5,FALSE())</f>
        <v>0</v>
      </c>
      <c r="J46" s="2" t="n">
        <f aca="false">VLOOKUP($B46,'[1]12-р анги өдөр-2'!$F$3:$L$30,6,FALSE())</f>
        <v>0</v>
      </c>
      <c r="K46" s="2" t="n">
        <f aca="false">SUM(E46:J46)</f>
        <v>2</v>
      </c>
      <c r="L46" s="0"/>
      <c r="M46" s="0"/>
      <c r="N46" s="0"/>
      <c r="O46" s="0"/>
    </row>
    <row r="47" customFormat="false" ht="12.75" hidden="false" customHeight="true" outlineLevel="0" collapsed="false">
      <c r="A47" s="1" t="n">
        <v>46</v>
      </c>
      <c r="B47" s="2" t="n">
        <v>109392</v>
      </c>
      <c r="C47" s="2" t="s">
        <v>527</v>
      </c>
      <c r="D47" s="2" t="s">
        <v>528</v>
      </c>
      <c r="E47" s="2" t="n">
        <f aca="false">VLOOKUP($B47,[1]Day1!$A$1:$H$394,4,FALSE())</f>
        <v>0</v>
      </c>
      <c r="F47" s="2" t="n">
        <f aca="false">VLOOKUP($B47,[1]Day1!$A$1:$H$394,5,FALSE())</f>
        <v>2</v>
      </c>
      <c r="G47" s="2" t="n">
        <f aca="false">VLOOKUP($B47,[1]Day1!$A$1:$H$394,6,FALSE())</f>
        <v>0</v>
      </c>
      <c r="H47" s="2" t="n">
        <f aca="false">VLOOKUP($B47,'[1]12-р анги өдөр-2'!$F$3:$L$30,4,FALSE())</f>
        <v>0</v>
      </c>
      <c r="I47" s="2" t="n">
        <f aca="false">VLOOKUP($B47,'[1]12-р анги өдөр-2'!$F$3:$L$30,5,FALSE())</f>
        <v>0</v>
      </c>
      <c r="J47" s="2" t="n">
        <f aca="false">VLOOKUP($B47,'[1]12-р анги өдөр-2'!$F$3:$L$30,6,FALSE())</f>
        <v>0</v>
      </c>
      <c r="K47" s="2" t="n">
        <f aca="false">SUM(E47:J47)</f>
        <v>2</v>
      </c>
      <c r="L47" s="0"/>
      <c r="M47" s="0"/>
      <c r="N47" s="0"/>
      <c r="O47" s="0"/>
    </row>
    <row r="48" customFormat="false" ht="12.75" hidden="false" customHeight="true" outlineLevel="0" collapsed="false">
      <c r="A48" s="1" t="n">
        <v>47</v>
      </c>
      <c r="B48" s="2" t="n">
        <v>139279</v>
      </c>
      <c r="C48" s="2" t="s">
        <v>529</v>
      </c>
      <c r="D48" s="2" t="s">
        <v>93</v>
      </c>
      <c r="E48" s="2" t="n">
        <f aca="false">VLOOKUP($B48,[1]Day1!$A$1:$H$394,4,FALSE())</f>
        <v>0</v>
      </c>
      <c r="F48" s="2" t="n">
        <f aca="false">VLOOKUP($B48,[1]Day1!$A$1:$H$394,5,FALSE())</f>
        <v>0</v>
      </c>
      <c r="G48" s="2" t="n">
        <f aca="false">VLOOKUP($B48,[1]Day1!$A$1:$H$394,6,FALSE())</f>
        <v>0</v>
      </c>
      <c r="H48" s="2" t="n">
        <f aca="false">VLOOKUP($B48,'[1]12-р анги өдөр-2'!$F$3:$L$30,4,FALSE())</f>
        <v>0</v>
      </c>
      <c r="I48" s="2" t="n">
        <f aca="false">VLOOKUP($B48,'[1]12-р анги өдөр-2'!$F$3:$L$30,5,FALSE())</f>
        <v>0</v>
      </c>
      <c r="J48" s="2" t="n">
        <f aca="false">VLOOKUP($B48,'[1]12-р анги өдөр-2'!$F$3:$L$30,6,FALSE())</f>
        <v>0</v>
      </c>
      <c r="K48" s="2" t="n">
        <f aca="false">SUM(E48:J48)</f>
        <v>0</v>
      </c>
      <c r="L48" s="0"/>
      <c r="M48" s="0"/>
      <c r="N48" s="0"/>
      <c r="O48" s="0"/>
    </row>
    <row r="49" customFormat="false" ht="12.75" hidden="false" customHeight="true" outlineLevel="0" collapsed="false">
      <c r="A49" s="1" t="n">
        <v>48</v>
      </c>
      <c r="B49" s="2" t="n">
        <v>110088</v>
      </c>
      <c r="C49" s="2" t="s">
        <v>530</v>
      </c>
      <c r="D49" s="2" t="s">
        <v>219</v>
      </c>
      <c r="E49" s="2" t="n">
        <f aca="false">VLOOKUP($B49,[1]Day1!$A$1:$H$394,4,FALSE())</f>
        <v>0</v>
      </c>
      <c r="F49" s="2" t="n">
        <f aca="false">VLOOKUP($B49,[1]Day1!$A$1:$H$394,5,FALSE())</f>
        <v>0</v>
      </c>
      <c r="G49" s="2" t="n">
        <f aca="false">VLOOKUP($B49,[1]Day1!$A$1:$H$394,6,FALSE())</f>
        <v>0</v>
      </c>
      <c r="H49" s="2" t="n">
        <f aca="false">VLOOKUP($B49,'[1]12-р анги өдөр-2'!$F$3:$L$30,4,FALSE())</f>
        <v>0</v>
      </c>
      <c r="I49" s="2" t="n">
        <f aca="false">VLOOKUP($B49,'[1]12-р анги өдөр-2'!$F$3:$L$30,5,FALSE())</f>
        <v>0</v>
      </c>
      <c r="J49" s="2" t="n">
        <f aca="false">VLOOKUP($B49,'[1]12-р анги өдөр-2'!$F$3:$L$30,6,FALSE())</f>
        <v>0</v>
      </c>
      <c r="K49" s="2" t="n">
        <f aca="false">SUM(E49:J49)</f>
        <v>0</v>
      </c>
      <c r="L49" s="0"/>
      <c r="M49" s="0"/>
      <c r="N49" s="0"/>
      <c r="O49" s="0"/>
    </row>
    <row r="50" customFormat="false" ht="12.75" hidden="false" customHeight="true" outlineLevel="0" collapsed="false">
      <c r="A50" s="1" t="n">
        <v>49</v>
      </c>
      <c r="B50" s="2" t="n">
        <v>212553</v>
      </c>
      <c r="C50" s="2" t="s">
        <v>531</v>
      </c>
      <c r="D50" s="2" t="s">
        <v>76</v>
      </c>
      <c r="E50" s="2" t="n">
        <f aca="false">VLOOKUP($B50,[1]Day1!$A$1:$H$394,4,FALSE())</f>
        <v>0</v>
      </c>
      <c r="F50" s="2" t="n">
        <f aca="false">VLOOKUP($B50,[1]Day1!$A$1:$H$394,5,FALSE())</f>
        <v>0</v>
      </c>
      <c r="G50" s="2" t="n">
        <f aca="false">VLOOKUP($B50,[1]Day1!$A$1:$H$394,6,FALSE())</f>
        <v>0</v>
      </c>
      <c r="H50" s="2" t="n">
        <f aca="false">VLOOKUP($B50,'[1]12-р анги өдөр-2'!$F$3:$L$30,4,FALSE())</f>
        <v>0</v>
      </c>
      <c r="I50" s="2" t="n">
        <f aca="false">VLOOKUP($B50,'[1]12-р анги өдөр-2'!$F$3:$L$30,5,FALSE())</f>
        <v>0</v>
      </c>
      <c r="J50" s="2" t="n">
        <f aca="false">VLOOKUP($B50,'[1]12-р анги өдөр-2'!$F$3:$L$30,6,FALSE())</f>
        <v>0</v>
      </c>
      <c r="K50" s="2" t="n">
        <f aca="false">SUM(E50:J50)</f>
        <v>0</v>
      </c>
      <c r="L50" s="0"/>
      <c r="M50" s="0"/>
      <c r="N50" s="0"/>
      <c r="O50" s="0"/>
    </row>
    <row r="51" customFormat="false" ht="12.75" hidden="false" customHeight="true" outlineLevel="0" collapsed="false">
      <c r="A51" s="1" t="n">
        <v>50</v>
      </c>
      <c r="B51" s="2" t="n">
        <v>118418</v>
      </c>
      <c r="C51" s="2" t="s">
        <v>532</v>
      </c>
      <c r="D51" s="2" t="s">
        <v>312</v>
      </c>
      <c r="E51" s="2" t="n">
        <f aca="false">VLOOKUP($B51,[1]Day1!$A$1:$H$394,4,FALSE())</f>
        <v>0</v>
      </c>
      <c r="F51" s="2" t="n">
        <f aca="false">VLOOKUP($B51,[1]Day1!$A$1:$H$394,5,FALSE())</f>
        <v>0</v>
      </c>
      <c r="G51" s="2" t="n">
        <f aca="false">VLOOKUP($B51,[1]Day1!$A$1:$H$394,6,FALSE())</f>
        <v>0</v>
      </c>
      <c r="H51" s="2" t="n">
        <f aca="false">VLOOKUP($B51,'[1]12-р анги өдөр-2'!$F$3:$L$30,4,FALSE())</f>
        <v>0</v>
      </c>
      <c r="I51" s="2" t="n">
        <f aca="false">VLOOKUP($B51,'[1]12-р анги өдөр-2'!$F$3:$L$30,5,FALSE())</f>
        <v>0</v>
      </c>
      <c r="J51" s="2" t="n">
        <f aca="false">VLOOKUP($B51,'[1]12-р анги өдөр-2'!$F$3:$L$30,6,FALSE())</f>
        <v>0</v>
      </c>
      <c r="K51" s="2" t="n">
        <f aca="false">SUM(E51:J51)</f>
        <v>0</v>
      </c>
      <c r="L51" s="0"/>
      <c r="M51" s="0"/>
      <c r="N51" s="0"/>
      <c r="O51" s="0"/>
    </row>
    <row r="52" customFormat="false" ht="12.75" hidden="false" customHeight="true" outlineLevel="0" collapsed="false">
      <c r="A52" s="1" t="n">
        <v>51</v>
      </c>
      <c r="B52" s="2" t="n">
        <v>122405</v>
      </c>
      <c r="C52" s="2" t="s">
        <v>533</v>
      </c>
      <c r="D52" s="2" t="s">
        <v>534</v>
      </c>
      <c r="E52" s="2" t="n">
        <f aca="false">VLOOKUP($B52,[1]Day1!$A$1:$H$394,4,FALSE())</f>
        <v>0</v>
      </c>
      <c r="F52" s="2" t="n">
        <f aca="false">VLOOKUP($B52,[1]Day1!$A$1:$H$394,5,FALSE())</f>
        <v>0</v>
      </c>
      <c r="G52" s="2" t="n">
        <f aca="false">VLOOKUP($B52,[1]Day1!$A$1:$H$394,6,FALSE())</f>
        <v>0</v>
      </c>
      <c r="H52" s="2" t="n">
        <f aca="false">VLOOKUP($B52,'[1]12-р анги өдөр-2'!$F$3:$L$30,4,FALSE())</f>
        <v>0</v>
      </c>
      <c r="I52" s="2" t="n">
        <f aca="false">VLOOKUP($B52,'[1]12-р анги өдөр-2'!$F$3:$L$30,5,FALSE())</f>
        <v>0</v>
      </c>
      <c r="J52" s="2" t="n">
        <f aca="false">VLOOKUP($B52,'[1]12-р анги өдөр-2'!$F$3:$L$30,6,FALSE())</f>
        <v>0</v>
      </c>
      <c r="K52" s="2" t="n">
        <f aca="false">SUM(E52:J52)</f>
        <v>0</v>
      </c>
      <c r="L52" s="0"/>
      <c r="M52" s="0"/>
      <c r="N52" s="0"/>
      <c r="O52" s="0"/>
    </row>
    <row r="53" customFormat="false" ht="12.75" hidden="false" customHeight="true" outlineLevel="0" collapsed="false">
      <c r="A53" s="1" t="n">
        <v>52</v>
      </c>
      <c r="B53" s="2" t="n">
        <v>111890</v>
      </c>
      <c r="C53" s="2" t="s">
        <v>535</v>
      </c>
      <c r="D53" s="2" t="s">
        <v>39</v>
      </c>
      <c r="E53" s="2" t="n">
        <f aca="false">VLOOKUP($B53,[1]Day1!$A$1:$H$394,4,FALSE())</f>
        <v>0</v>
      </c>
      <c r="F53" s="2" t="n">
        <f aca="false">VLOOKUP($B53,[1]Day1!$A$1:$H$394,5,FALSE())</f>
        <v>0</v>
      </c>
      <c r="G53" s="2" t="n">
        <f aca="false">VLOOKUP($B53,[1]Day1!$A$1:$H$394,6,FALSE())</f>
        <v>0</v>
      </c>
      <c r="H53" s="2" t="n">
        <f aca="false">VLOOKUP($B53,'[1]12-р анги өдөр-2'!$F$3:$L$30,4,FALSE())</f>
        <v>0</v>
      </c>
      <c r="I53" s="2" t="n">
        <f aca="false">VLOOKUP($B53,'[1]12-р анги өдөр-2'!$F$3:$L$30,5,FALSE())</f>
        <v>0</v>
      </c>
      <c r="J53" s="2" t="n">
        <f aca="false">VLOOKUP($B53,'[1]12-р анги өдөр-2'!$F$3:$L$30,6,FALSE())</f>
        <v>0</v>
      </c>
      <c r="K53" s="2" t="n">
        <f aca="false">SUM(E53:J53)</f>
        <v>0</v>
      </c>
      <c r="L53" s="0"/>
      <c r="M53" s="0"/>
      <c r="N53" s="0"/>
      <c r="O53" s="0"/>
    </row>
    <row r="54" customFormat="false" ht="12.75" hidden="false" customHeight="true" outlineLevel="0" collapsed="false">
      <c r="A54" s="1" t="n">
        <v>53</v>
      </c>
      <c r="B54" s="2" t="n">
        <v>182905</v>
      </c>
      <c r="C54" s="2" t="s">
        <v>32</v>
      </c>
      <c r="D54" s="2" t="s">
        <v>536</v>
      </c>
      <c r="E54" s="2" t="n">
        <f aca="false">VLOOKUP($B54,[1]Day1!$A$1:$H$394,4,FALSE())</f>
        <v>0</v>
      </c>
      <c r="F54" s="2" t="n">
        <f aca="false">VLOOKUP($B54,[1]Day1!$A$1:$H$394,5,FALSE())</f>
        <v>0</v>
      </c>
      <c r="G54" s="2" t="n">
        <f aca="false">VLOOKUP($B54,[1]Day1!$A$1:$H$394,6,FALSE())</f>
        <v>0</v>
      </c>
      <c r="H54" s="2" t="n">
        <f aca="false">VLOOKUP($B54,'[1]12-р анги өдөр-2'!$F$3:$L$30,4,FALSE())</f>
        <v>0</v>
      </c>
      <c r="I54" s="2" t="n">
        <f aca="false">VLOOKUP($B54,'[1]12-р анги өдөр-2'!$F$3:$L$30,5,FALSE())</f>
        <v>0</v>
      </c>
      <c r="J54" s="2" t="n">
        <f aca="false">VLOOKUP($B54,'[1]12-р анги өдөр-2'!$F$3:$L$30,6,FALSE())</f>
        <v>0</v>
      </c>
      <c r="K54" s="2" t="n">
        <f aca="false">SUM(E54:J54)</f>
        <v>0</v>
      </c>
      <c r="L54" s="0"/>
      <c r="M54" s="0"/>
      <c r="N54" s="0"/>
      <c r="O54" s="0"/>
    </row>
    <row r="55" customFormat="false" ht="12.75" hidden="false" customHeight="true" outlineLevel="0" collapsed="false">
      <c r="A55" s="1" t="n">
        <v>54</v>
      </c>
      <c r="B55" s="2" t="n">
        <v>115785</v>
      </c>
      <c r="C55" s="2" t="s">
        <v>537</v>
      </c>
      <c r="D55" s="2" t="s">
        <v>484</v>
      </c>
      <c r="E55" s="2" t="n">
        <f aca="false">VLOOKUP($B55,[1]Day1!$A$1:$H$394,4,FALSE())</f>
        <v>0</v>
      </c>
      <c r="F55" s="2" t="n">
        <f aca="false">VLOOKUP($B55,[1]Day1!$A$1:$H$394,5,FALSE())</f>
        <v>0</v>
      </c>
      <c r="G55" s="2" t="n">
        <f aca="false">VLOOKUP($B55,[1]Day1!$A$1:$H$394,6,FALSE())</f>
        <v>0</v>
      </c>
      <c r="H55" s="2" t="n">
        <f aca="false">VLOOKUP($B55,'[1]12-р анги өдөр-2'!$F$3:$L$30,4,FALSE())</f>
        <v>0</v>
      </c>
      <c r="I55" s="2" t="n">
        <f aca="false">VLOOKUP($B55,'[1]12-р анги өдөр-2'!$F$3:$L$30,5,FALSE())</f>
        <v>0</v>
      </c>
      <c r="J55" s="2" t="n">
        <f aca="false">VLOOKUP($B55,'[1]12-р анги өдөр-2'!$F$3:$L$30,6,FALSE())</f>
        <v>0</v>
      </c>
      <c r="K55" s="2" t="n">
        <f aca="false">SUM(E55:J55)</f>
        <v>0</v>
      </c>
      <c r="L55" s="0"/>
      <c r="M55" s="0"/>
      <c r="N55" s="0"/>
      <c r="O55" s="0"/>
    </row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703125" defaultRowHeight="12.75" customHeight="true" zeroHeight="false" outlineLevelRow="0" outlineLevelCol="0"/>
  <cols>
    <col collapsed="false" customWidth="false" hidden="false" outlineLevel="0" max="2" min="1" style="1" width="11.57"/>
    <col collapsed="false" customWidth="true" hidden="false" outlineLevel="0" max="3" min="3" style="1" width="16.43"/>
    <col collapsed="false" customWidth="true" hidden="false" outlineLevel="0" max="4" min="4" style="1" width="20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true" outlineLevel="0" collapsed="false">
      <c r="A2" s="0" t="n">
        <v>1</v>
      </c>
      <c r="B2" s="5" t="n">
        <v>177663</v>
      </c>
      <c r="C2" s="5" t="s">
        <v>538</v>
      </c>
      <c r="D2" s="5" t="s">
        <v>539</v>
      </c>
      <c r="E2" s="5" t="n">
        <f aca="false">VLOOKUP($B2,[1]Day2!$A$1:$H$400,4,FALSE())</f>
        <v>7</v>
      </c>
      <c r="F2" s="5" t="n">
        <f aca="false">VLOOKUP($B2,[1]Day2!$A$1:$H$400,5,FALSE())</f>
        <v>0</v>
      </c>
      <c r="G2" s="5" t="n">
        <f aca="false">VLOOKUP($B2,[1]Day2!$A$1:$H$400,6,FALSE())</f>
        <v>1</v>
      </c>
      <c r="H2" s="5" t="n">
        <f aca="false">VLOOKUP($B2,[1]Day2!$A$1:$H$400,7,FALSE())</f>
        <v>7</v>
      </c>
      <c r="I2" s="5" t="n">
        <f aca="false">SUM(E2:H2)</f>
        <v>15</v>
      </c>
      <c r="J2" s="0"/>
    </row>
    <row r="3" customFormat="false" ht="12.75" hidden="false" customHeight="true" outlineLevel="0" collapsed="false">
      <c r="A3" s="0" t="n">
        <v>2</v>
      </c>
      <c r="B3" s="5" t="n">
        <v>177676</v>
      </c>
      <c r="C3" s="5" t="s">
        <v>540</v>
      </c>
      <c r="D3" s="5" t="s">
        <v>541</v>
      </c>
      <c r="E3" s="5" t="n">
        <f aca="false">VLOOKUP($B3,[1]Day2!$A$1:$H$400,4,FALSE())</f>
        <v>7</v>
      </c>
      <c r="F3" s="5" t="n">
        <f aca="false">VLOOKUP($B3,[1]Day2!$A$1:$H$400,5,FALSE())</f>
        <v>0</v>
      </c>
      <c r="G3" s="5" t="n">
        <f aca="false">VLOOKUP($B3,[1]Day2!$A$1:$H$400,6,FALSE())</f>
        <v>0</v>
      </c>
      <c r="H3" s="5" t="n">
        <f aca="false">VLOOKUP($B3,[1]Day2!$A$1:$H$400,7,FALSE())</f>
        <v>7</v>
      </c>
      <c r="I3" s="5" t="n">
        <f aca="false">SUM(E3:H3)</f>
        <v>14</v>
      </c>
      <c r="J3" s="0"/>
    </row>
    <row r="4" customFormat="false" ht="12.75" hidden="false" customHeight="true" outlineLevel="0" collapsed="false">
      <c r="A4" s="0" t="n">
        <v>3</v>
      </c>
      <c r="B4" s="5" t="n">
        <v>177707</v>
      </c>
      <c r="C4" s="5" t="s">
        <v>542</v>
      </c>
      <c r="D4" s="5" t="s">
        <v>543</v>
      </c>
      <c r="E4" s="5" t="n">
        <f aca="false">VLOOKUP($B4,[1]Day2!$A$1:$H$400,4,FALSE())</f>
        <v>7</v>
      </c>
      <c r="F4" s="5" t="n">
        <f aca="false">VLOOKUP($B4,[1]Day2!$A$1:$H$400,5,FALSE())</f>
        <v>0</v>
      </c>
      <c r="G4" s="5" t="n">
        <f aca="false">VLOOKUP($B4,[1]Day2!$A$1:$H$400,6,FALSE())</f>
        <v>1</v>
      </c>
      <c r="H4" s="5" t="n">
        <f aca="false">VLOOKUP($B4,[1]Day2!$A$1:$H$400,7,FALSE())</f>
        <v>5</v>
      </c>
      <c r="I4" s="5" t="n">
        <f aca="false">SUM(E4:H4)</f>
        <v>13</v>
      </c>
      <c r="J4" s="0"/>
    </row>
    <row r="5" customFormat="false" ht="12.75" hidden="false" customHeight="true" outlineLevel="0" collapsed="false">
      <c r="A5" s="0" t="n">
        <v>4</v>
      </c>
      <c r="B5" s="5" t="n">
        <v>177668</v>
      </c>
      <c r="C5" s="5" t="s">
        <v>101</v>
      </c>
      <c r="D5" s="5" t="s">
        <v>544</v>
      </c>
      <c r="E5" s="5" t="n">
        <f aca="false">VLOOKUP($B5,[1]Day2!$A$1:$H$400,4,FALSE())</f>
        <v>7</v>
      </c>
      <c r="F5" s="5" t="n">
        <f aca="false">VLOOKUP($B5,[1]Day2!$A$1:$H$400,5,FALSE())</f>
        <v>0</v>
      </c>
      <c r="G5" s="5" t="n">
        <f aca="false">VLOOKUP($B5,[1]Day2!$A$1:$H$400,6,FALSE())</f>
        <v>1</v>
      </c>
      <c r="H5" s="5" t="n">
        <f aca="false">VLOOKUP($B5,[1]Day2!$A$1:$H$400,7,FALSE())</f>
        <v>5</v>
      </c>
      <c r="I5" s="5" t="n">
        <f aca="false">SUM(E5:H5)</f>
        <v>13</v>
      </c>
      <c r="J5" s="0"/>
    </row>
    <row r="6" customFormat="false" ht="12.75" hidden="false" customHeight="true" outlineLevel="0" collapsed="false">
      <c r="A6" s="0" t="n">
        <v>5</v>
      </c>
      <c r="B6" s="5" t="n">
        <v>231981</v>
      </c>
      <c r="C6" s="5" t="s">
        <v>326</v>
      </c>
      <c r="D6" s="5" t="s">
        <v>545</v>
      </c>
      <c r="E6" s="5" t="n">
        <f aca="false">VLOOKUP($B6,[1]Day2!$A$1:$H$400,4,FALSE())</f>
        <v>7</v>
      </c>
      <c r="F6" s="5" t="n">
        <f aca="false">VLOOKUP($B6,[1]Day2!$A$1:$H$400,5,FALSE())</f>
        <v>0</v>
      </c>
      <c r="G6" s="5" t="n">
        <f aca="false">VLOOKUP($B6,[1]Day2!$A$1:$H$400,6,FALSE())</f>
        <v>1</v>
      </c>
      <c r="H6" s="5" t="n">
        <f aca="false">VLOOKUP($B6,[1]Day2!$A$1:$H$400,7,FALSE())</f>
        <v>4</v>
      </c>
      <c r="I6" s="5" t="n">
        <f aca="false">SUM(E6:H6)</f>
        <v>12</v>
      </c>
      <c r="J6" s="0"/>
    </row>
    <row r="7" customFormat="false" ht="12.75" hidden="false" customHeight="true" outlineLevel="0" collapsed="false">
      <c r="A7" s="0" t="n">
        <v>6</v>
      </c>
      <c r="B7" s="5" t="n">
        <v>232137</v>
      </c>
      <c r="C7" s="5" t="s">
        <v>211</v>
      </c>
      <c r="D7" s="5" t="s">
        <v>546</v>
      </c>
      <c r="E7" s="5" t="n">
        <f aca="false">VLOOKUP($B7,[1]Day2!$A$1:$H$400,4,FALSE())</f>
        <v>7</v>
      </c>
      <c r="F7" s="5" t="n">
        <f aca="false">VLOOKUP($B7,[1]Day2!$A$1:$H$400,5,FALSE())</f>
        <v>0</v>
      </c>
      <c r="G7" s="5" t="n">
        <f aca="false">VLOOKUP($B7,[1]Day2!$A$1:$H$400,6,FALSE())</f>
        <v>0</v>
      </c>
      <c r="H7" s="5" t="n">
        <f aca="false">VLOOKUP($B7,[1]Day2!$A$1:$H$400,7,FALSE())</f>
        <v>4</v>
      </c>
      <c r="I7" s="5" t="n">
        <f aca="false">SUM(E7:H7)</f>
        <v>11</v>
      </c>
      <c r="J7" s="0"/>
    </row>
    <row r="8" customFormat="false" ht="12.75" hidden="false" customHeight="true" outlineLevel="0" collapsed="false">
      <c r="A8" s="0" t="n">
        <v>7</v>
      </c>
      <c r="B8" s="5" t="n">
        <v>232149</v>
      </c>
      <c r="C8" s="5" t="s">
        <v>547</v>
      </c>
      <c r="D8" s="5" t="s">
        <v>548</v>
      </c>
      <c r="E8" s="5" t="n">
        <f aca="false">VLOOKUP($B8,[1]Day2!$A$1:$H$400,4,FALSE())</f>
        <v>7</v>
      </c>
      <c r="F8" s="5" t="n">
        <f aca="false">VLOOKUP($B8,[1]Day2!$A$1:$H$400,5,FALSE())</f>
        <v>0</v>
      </c>
      <c r="G8" s="5" t="n">
        <f aca="false">VLOOKUP($B8,[1]Day2!$A$1:$H$400,6,FALSE())</f>
        <v>0</v>
      </c>
      <c r="H8" s="5" t="n">
        <f aca="false">VLOOKUP($B8,[1]Day2!$A$1:$H$400,7,FALSE())</f>
        <v>4</v>
      </c>
      <c r="I8" s="5" t="n">
        <f aca="false">SUM(E8:H8)</f>
        <v>11</v>
      </c>
      <c r="J8" s="0"/>
    </row>
    <row r="9" customFormat="false" ht="12.75" hidden="false" customHeight="true" outlineLevel="0" collapsed="false">
      <c r="A9" s="0" t="n">
        <v>8</v>
      </c>
      <c r="B9" s="5" t="n">
        <v>232058</v>
      </c>
      <c r="C9" s="5" t="s">
        <v>549</v>
      </c>
      <c r="D9" s="5" t="s">
        <v>550</v>
      </c>
      <c r="E9" s="5" t="n">
        <f aca="false">VLOOKUP($B9,[1]Day2!$A$1:$H$400,4,FALSE())</f>
        <v>7</v>
      </c>
      <c r="F9" s="5" t="n">
        <f aca="false">VLOOKUP($B9,[1]Day2!$A$1:$H$400,5,FALSE())</f>
        <v>0</v>
      </c>
      <c r="G9" s="5" t="n">
        <f aca="false">VLOOKUP($B9,[1]Day2!$A$1:$H$400,6,FALSE())</f>
        <v>0</v>
      </c>
      <c r="H9" s="5" t="n">
        <f aca="false">VLOOKUP($B9,[1]Day2!$A$1:$H$400,7,FALSE())</f>
        <v>3</v>
      </c>
      <c r="I9" s="5" t="n">
        <f aca="false">SUM(E9:H9)</f>
        <v>10</v>
      </c>
      <c r="J9" s="0"/>
    </row>
    <row r="10" customFormat="false" ht="12.75" hidden="false" customHeight="true" outlineLevel="0" collapsed="false">
      <c r="A10" s="0" t="n">
        <v>9</v>
      </c>
      <c r="B10" s="5" t="n">
        <v>101655</v>
      </c>
      <c r="C10" s="5" t="s">
        <v>551</v>
      </c>
      <c r="D10" s="5" t="s">
        <v>552</v>
      </c>
      <c r="E10" s="5" t="n">
        <f aca="false">VLOOKUP($B10,[1]Day2!$A$1:$H$400,4,FALSE())</f>
        <v>7</v>
      </c>
      <c r="F10" s="5" t="n">
        <f aca="false">VLOOKUP($B10,[1]Day2!$A$1:$H$400,5,FALSE())</f>
        <v>0</v>
      </c>
      <c r="G10" s="5" t="n">
        <f aca="false">VLOOKUP($B10,[1]Day2!$A$1:$H$400,6,FALSE())</f>
        <v>0</v>
      </c>
      <c r="H10" s="5" t="n">
        <f aca="false">VLOOKUP($B10,[1]Day2!$A$1:$H$400,7,FALSE())</f>
        <v>3</v>
      </c>
      <c r="I10" s="5" t="n">
        <f aca="false">SUM(E10:H10)</f>
        <v>10</v>
      </c>
      <c r="J10" s="0"/>
    </row>
    <row r="11" customFormat="false" ht="12.75" hidden="false" customHeight="true" outlineLevel="0" collapsed="false">
      <c r="A11" s="0" t="n">
        <v>10</v>
      </c>
      <c r="B11" s="5" t="n">
        <v>9944</v>
      </c>
      <c r="C11" s="5" t="s">
        <v>251</v>
      </c>
      <c r="D11" s="5" t="s">
        <v>553</v>
      </c>
      <c r="E11" s="5" t="n">
        <f aca="false">VLOOKUP($B11,[1]Day2!$A$1:$H$400,4,FALSE())</f>
        <v>7</v>
      </c>
      <c r="F11" s="5" t="n">
        <f aca="false">VLOOKUP($B11,[1]Day2!$A$1:$H$400,5,FALSE())</f>
        <v>0</v>
      </c>
      <c r="G11" s="5" t="n">
        <f aca="false">VLOOKUP($B11,[1]Day2!$A$1:$H$400,6,FALSE())</f>
        <v>0</v>
      </c>
      <c r="H11" s="5" t="n">
        <f aca="false">VLOOKUP($B11,[1]Day2!$A$1:$H$400,7,FALSE())</f>
        <v>3</v>
      </c>
      <c r="I11" s="5" t="n">
        <f aca="false">SUM(E11:H11)</f>
        <v>10</v>
      </c>
      <c r="J11" s="0"/>
    </row>
    <row r="12" customFormat="false" ht="12.75" hidden="false" customHeight="true" outlineLevel="0" collapsed="false">
      <c r="A12" s="0" t="n">
        <v>11</v>
      </c>
      <c r="B12" s="5" t="n">
        <v>231999</v>
      </c>
      <c r="C12" s="5" t="s">
        <v>554</v>
      </c>
      <c r="D12" s="5" t="s">
        <v>71</v>
      </c>
      <c r="E12" s="5" t="n">
        <f aca="false">VLOOKUP($B12,[1]Day2!$A$1:$H$400,4,FALSE())</f>
        <v>7</v>
      </c>
      <c r="F12" s="5" t="n">
        <f aca="false">VLOOKUP($B12,[1]Day2!$A$1:$H$400,5,FALSE())</f>
        <v>0</v>
      </c>
      <c r="G12" s="5" t="n">
        <f aca="false">VLOOKUP($B12,[1]Day2!$A$1:$H$400,6,FALSE())</f>
        <v>0</v>
      </c>
      <c r="H12" s="5" t="n">
        <f aca="false">VLOOKUP($B12,[1]Day2!$A$1:$H$400,7,FALSE())</f>
        <v>3</v>
      </c>
      <c r="I12" s="5" t="n">
        <f aca="false">SUM(E12:H12)</f>
        <v>10</v>
      </c>
      <c r="J12" s="0"/>
    </row>
    <row r="13" customFormat="false" ht="12.75" hidden="false" customHeight="true" outlineLevel="0" collapsed="false">
      <c r="A13" s="0" t="n">
        <v>12</v>
      </c>
      <c r="B13" s="5" t="n">
        <v>232005</v>
      </c>
      <c r="C13" s="5" t="s">
        <v>309</v>
      </c>
      <c r="D13" s="5" t="s">
        <v>555</v>
      </c>
      <c r="E13" s="5" t="n">
        <f aca="false">VLOOKUP($B13,[1]Day2!$A$1:$H$400,4,FALSE())</f>
        <v>7</v>
      </c>
      <c r="F13" s="5" t="n">
        <f aca="false">VLOOKUP($B13,[1]Day2!$A$1:$H$400,5,FALSE())</f>
        <v>0</v>
      </c>
      <c r="G13" s="5" t="n">
        <f aca="false">VLOOKUP($B13,[1]Day2!$A$1:$H$400,6,FALSE())</f>
        <v>0</v>
      </c>
      <c r="H13" s="5" t="n">
        <f aca="false">VLOOKUP($B13,[1]Day2!$A$1:$H$400,7,FALSE())</f>
        <v>3</v>
      </c>
      <c r="I13" s="5" t="n">
        <f aca="false">SUM(E13:H13)</f>
        <v>10</v>
      </c>
      <c r="J13" s="0"/>
    </row>
    <row r="14" customFormat="false" ht="12.75" hidden="false" customHeight="true" outlineLevel="0" collapsed="false">
      <c r="A14" s="0" t="n">
        <v>13</v>
      </c>
      <c r="B14" s="5" t="n">
        <v>231966</v>
      </c>
      <c r="C14" s="5" t="s">
        <v>556</v>
      </c>
      <c r="D14" s="5" t="s">
        <v>340</v>
      </c>
      <c r="E14" s="5" t="n">
        <f aca="false">VLOOKUP($B14,[1]Day2!$A$1:$H$400,4,FALSE())</f>
        <v>7</v>
      </c>
      <c r="F14" s="5" t="n">
        <f aca="false">VLOOKUP($B14,[1]Day2!$A$1:$H$400,5,FALSE())</f>
        <v>0</v>
      </c>
      <c r="G14" s="5" t="n">
        <f aca="false">VLOOKUP($B14,[1]Day2!$A$1:$H$400,6,FALSE())</f>
        <v>0</v>
      </c>
      <c r="H14" s="5" t="n">
        <f aca="false">VLOOKUP($B14,[1]Day2!$A$1:$H$400,7,FALSE())</f>
        <v>3</v>
      </c>
      <c r="I14" s="5" t="n">
        <f aca="false">SUM(E14:H14)</f>
        <v>10</v>
      </c>
      <c r="J14" s="0"/>
    </row>
    <row r="15" customFormat="false" ht="12.75" hidden="false" customHeight="true" outlineLevel="0" collapsed="false">
      <c r="A15" s="0" t="n">
        <v>14</v>
      </c>
      <c r="B15" s="5" t="n">
        <v>232142</v>
      </c>
      <c r="C15" s="5" t="s">
        <v>557</v>
      </c>
      <c r="D15" s="5" t="s">
        <v>175</v>
      </c>
      <c r="E15" s="5" t="n">
        <f aca="false">VLOOKUP($B15,[1]Day2!$A$1:$H$400,4,FALSE())</f>
        <v>7</v>
      </c>
      <c r="F15" s="5" t="n">
        <f aca="false">VLOOKUP($B15,[1]Day2!$A$1:$H$400,5,FALSE())</f>
        <v>0</v>
      </c>
      <c r="G15" s="5" t="n">
        <f aca="false">VLOOKUP($B15,[1]Day2!$A$1:$H$400,6,FALSE())</f>
        <v>1</v>
      </c>
      <c r="H15" s="5" t="n">
        <f aca="false">VLOOKUP($B15,[1]Day2!$A$1:$H$400,7,FALSE())</f>
        <v>1</v>
      </c>
      <c r="I15" s="5" t="n">
        <f aca="false">SUM(E15:H15)</f>
        <v>9</v>
      </c>
      <c r="J15" s="0"/>
    </row>
    <row r="16" customFormat="false" ht="12.75" hidden="false" customHeight="true" outlineLevel="0" collapsed="false">
      <c r="A16" s="0" t="n">
        <v>15</v>
      </c>
      <c r="B16" s="5" t="n">
        <v>182640</v>
      </c>
      <c r="C16" s="5" t="s">
        <v>558</v>
      </c>
      <c r="D16" s="5" t="s">
        <v>231</v>
      </c>
      <c r="E16" s="5" t="n">
        <f aca="false">VLOOKUP($B16,[1]Day2!$A$1:$H$400,4,FALSE())</f>
        <v>1</v>
      </c>
      <c r="F16" s="5" t="n">
        <f aca="false">VLOOKUP($B16,[1]Day2!$A$1:$H$400,5,FALSE())</f>
        <v>0</v>
      </c>
      <c r="G16" s="5" t="n">
        <f aca="false">VLOOKUP($B16,[1]Day2!$A$1:$H$400,6,FALSE())</f>
        <v>0</v>
      </c>
      <c r="H16" s="5" t="n">
        <f aca="false">VLOOKUP($B16,[1]Day2!$A$1:$H$400,7,FALSE())</f>
        <v>7</v>
      </c>
      <c r="I16" s="5" t="n">
        <f aca="false">SUM(E16:H16)</f>
        <v>8</v>
      </c>
      <c r="J16" s="0"/>
    </row>
    <row r="17" customFormat="false" ht="12.75" hidden="false" customHeight="true" outlineLevel="0" collapsed="false">
      <c r="A17" s="0" t="n">
        <v>16</v>
      </c>
      <c r="B17" s="5" t="n">
        <v>101634</v>
      </c>
      <c r="C17" s="5" t="s">
        <v>559</v>
      </c>
      <c r="D17" s="5" t="s">
        <v>560</v>
      </c>
      <c r="E17" s="5" t="n">
        <f aca="false">VLOOKUP($B17,[1]Day2!$A$1:$H$400,4,FALSE())</f>
        <v>0</v>
      </c>
      <c r="F17" s="5" t="n">
        <f aca="false">VLOOKUP($B17,[1]Day2!$A$1:$H$400,5,FALSE())</f>
        <v>0</v>
      </c>
      <c r="G17" s="5" t="n">
        <f aca="false">VLOOKUP($B17,[1]Day2!$A$1:$H$400,6,FALSE())</f>
        <v>1</v>
      </c>
      <c r="H17" s="5" t="n">
        <f aca="false">VLOOKUP($B17,[1]Day2!$A$1:$H$400,7,FALSE())</f>
        <v>7</v>
      </c>
      <c r="I17" s="5" t="n">
        <f aca="false">SUM(E17:H17)</f>
        <v>8</v>
      </c>
      <c r="J17" s="0"/>
    </row>
    <row r="18" customFormat="false" ht="12.75" hidden="false" customHeight="true" outlineLevel="0" collapsed="false">
      <c r="A18" s="0" t="n">
        <v>17</v>
      </c>
      <c r="B18" s="5" t="n">
        <v>231982</v>
      </c>
      <c r="C18" s="5" t="s">
        <v>62</v>
      </c>
      <c r="D18" s="5" t="s">
        <v>561</v>
      </c>
      <c r="E18" s="5" t="n">
        <f aca="false">VLOOKUP($B18,[1]Day2!$A$1:$H$400,4,FALSE())</f>
        <v>2</v>
      </c>
      <c r="F18" s="5" t="n">
        <f aca="false">VLOOKUP($B18,[1]Day2!$A$1:$H$400,5,FALSE())</f>
        <v>0</v>
      </c>
      <c r="G18" s="5" t="n">
        <f aca="false">VLOOKUP($B18,[1]Day2!$A$1:$H$400,6,FALSE())</f>
        <v>1</v>
      </c>
      <c r="H18" s="5" t="n">
        <f aca="false">VLOOKUP($B18,[1]Day2!$A$1:$H$400,7,FALSE())</f>
        <v>3</v>
      </c>
      <c r="I18" s="5" t="n">
        <f aca="false">SUM(E18:H18)</f>
        <v>6</v>
      </c>
      <c r="J18" s="0"/>
    </row>
    <row r="19" customFormat="false" ht="12.75" hidden="false" customHeight="true" outlineLevel="0" collapsed="false">
      <c r="A19" s="0" t="n">
        <v>18</v>
      </c>
      <c r="B19" s="5" t="n">
        <v>231977</v>
      </c>
      <c r="C19" s="5" t="s">
        <v>562</v>
      </c>
      <c r="D19" s="5" t="s">
        <v>563</v>
      </c>
      <c r="E19" s="5" t="n">
        <f aca="false">VLOOKUP($B19,[1]Day2!$A$1:$H$400,4,FALSE())</f>
        <v>2</v>
      </c>
      <c r="F19" s="5" t="n">
        <f aca="false">VLOOKUP($B19,[1]Day2!$A$1:$H$400,5,FALSE())</f>
        <v>0</v>
      </c>
      <c r="G19" s="5" t="n">
        <f aca="false">VLOOKUP($B19,[1]Day2!$A$1:$H$400,6,FALSE())</f>
        <v>0</v>
      </c>
      <c r="H19" s="5" t="n">
        <f aca="false">VLOOKUP($B19,[1]Day2!$A$1:$H$400,7,FALSE())</f>
        <v>4</v>
      </c>
      <c r="I19" s="5" t="n">
        <f aca="false">SUM(E19:H19)</f>
        <v>6</v>
      </c>
      <c r="J19" s="0"/>
    </row>
    <row r="20" customFormat="false" ht="12.75" hidden="false" customHeight="true" outlineLevel="0" collapsed="false">
      <c r="A20" s="0" t="n">
        <v>19</v>
      </c>
      <c r="B20" s="5" t="n">
        <v>231961</v>
      </c>
      <c r="C20" s="5" t="s">
        <v>527</v>
      </c>
      <c r="D20" s="5" t="s">
        <v>221</v>
      </c>
      <c r="E20" s="5" t="n">
        <f aca="false">VLOOKUP($B20,[1]Day2!$A$1:$H$400,4,FALSE())</f>
        <v>2</v>
      </c>
      <c r="F20" s="5" t="n">
        <f aca="false">VLOOKUP($B20,[1]Day2!$A$1:$H$400,5,FALSE())</f>
        <v>0</v>
      </c>
      <c r="G20" s="5" t="n">
        <f aca="false">VLOOKUP($B20,[1]Day2!$A$1:$H$400,6,FALSE())</f>
        <v>0</v>
      </c>
      <c r="H20" s="5" t="n">
        <f aca="false">VLOOKUP($B20,[1]Day2!$A$1:$H$400,7,FALSE())</f>
        <v>3</v>
      </c>
      <c r="I20" s="5" t="n">
        <f aca="false">SUM(E20:H20)</f>
        <v>5</v>
      </c>
      <c r="J20" s="0"/>
    </row>
    <row r="21" customFormat="false" ht="12.75" hidden="false" customHeight="true" outlineLevel="0" collapsed="false">
      <c r="A21" s="0" t="n">
        <v>20</v>
      </c>
      <c r="B21" s="5" t="n">
        <v>232102</v>
      </c>
      <c r="C21" s="5" t="s">
        <v>564</v>
      </c>
      <c r="D21" s="5" t="s">
        <v>565</v>
      </c>
      <c r="E21" s="5" t="n">
        <f aca="false">VLOOKUP($B21,[1]Day2!$A$1:$H$400,4,FALSE())</f>
        <v>1</v>
      </c>
      <c r="F21" s="5" t="n">
        <f aca="false">VLOOKUP($B21,[1]Day2!$A$1:$H$400,5,FALSE())</f>
        <v>0</v>
      </c>
      <c r="G21" s="5" t="n">
        <f aca="false">VLOOKUP($B21,[1]Day2!$A$1:$H$400,6,FALSE())</f>
        <v>0</v>
      </c>
      <c r="H21" s="5" t="n">
        <f aca="false">VLOOKUP($B21,[1]Day2!$A$1:$H$400,7,FALSE())</f>
        <v>4</v>
      </c>
      <c r="I21" s="5" t="n">
        <f aca="false">SUM(E21:H21)</f>
        <v>5</v>
      </c>
      <c r="J21" s="0"/>
    </row>
    <row r="22" customFormat="false" ht="12.75" hidden="false" customHeight="true" outlineLevel="0" collapsed="false">
      <c r="A22" s="0" t="n">
        <v>21</v>
      </c>
      <c r="B22" s="5" t="n">
        <v>181868</v>
      </c>
      <c r="C22" s="5" t="s">
        <v>43</v>
      </c>
      <c r="D22" s="5" t="s">
        <v>489</v>
      </c>
      <c r="E22" s="5" t="n">
        <f aca="false">VLOOKUP($B22,[1]Day2!$A$1:$H$400,4,FALSE())</f>
        <v>1</v>
      </c>
      <c r="F22" s="5" t="n">
        <f aca="false">VLOOKUP($B22,[1]Day2!$A$1:$H$400,5,FALSE())</f>
        <v>0</v>
      </c>
      <c r="G22" s="5" t="n">
        <f aca="false">VLOOKUP($B22,[1]Day2!$A$1:$H$400,6,FALSE())</f>
        <v>0</v>
      </c>
      <c r="H22" s="5" t="n">
        <f aca="false">VLOOKUP($B22,[1]Day2!$A$1:$H$400,7,FALSE())</f>
        <v>3</v>
      </c>
      <c r="I22" s="5" t="n">
        <f aca="false">SUM(E22:H22)</f>
        <v>4</v>
      </c>
      <c r="J22" s="0"/>
    </row>
    <row r="23" customFormat="false" ht="12.75" hidden="false" customHeight="true" outlineLevel="0" collapsed="false">
      <c r="A23" s="0" t="n">
        <v>22</v>
      </c>
      <c r="B23" s="5" t="n">
        <v>232000</v>
      </c>
      <c r="C23" s="5" t="s">
        <v>566</v>
      </c>
      <c r="D23" s="5" t="s">
        <v>567</v>
      </c>
      <c r="E23" s="5" t="n">
        <f aca="false">VLOOKUP($B23,[1]Day2!$A$1:$H$400,4,FALSE())</f>
        <v>1</v>
      </c>
      <c r="F23" s="5" t="n">
        <f aca="false">VLOOKUP($B23,[1]Day2!$A$1:$H$400,5,FALSE())</f>
        <v>0</v>
      </c>
      <c r="G23" s="5" t="n">
        <f aca="false">VLOOKUP($B23,[1]Day2!$A$1:$H$400,6,FALSE())</f>
        <v>0</v>
      </c>
      <c r="H23" s="5" t="n">
        <f aca="false">VLOOKUP($B23,[1]Day2!$A$1:$H$400,7,FALSE())</f>
        <v>3</v>
      </c>
      <c r="I23" s="5" t="n">
        <f aca="false">SUM(E23:H23)</f>
        <v>4</v>
      </c>
      <c r="J23" s="0"/>
    </row>
    <row r="24" customFormat="false" ht="12.75" hidden="false" customHeight="true" outlineLevel="0" collapsed="false">
      <c r="A24" s="0" t="n">
        <v>23</v>
      </c>
      <c r="B24" s="5" t="n">
        <v>232023</v>
      </c>
      <c r="C24" s="5" t="s">
        <v>70</v>
      </c>
      <c r="D24" s="5" t="s">
        <v>568</v>
      </c>
      <c r="E24" s="5" t="n">
        <f aca="false">VLOOKUP($B24,[1]Day2!$A$1:$H$400,4,FALSE())</f>
        <v>1</v>
      </c>
      <c r="F24" s="5" t="n">
        <f aca="false">VLOOKUP($B24,[1]Day2!$A$1:$H$400,5,FALSE())</f>
        <v>0</v>
      </c>
      <c r="G24" s="5" t="n">
        <f aca="false">VLOOKUP($B24,[1]Day2!$A$1:$H$400,6,FALSE())</f>
        <v>0</v>
      </c>
      <c r="H24" s="5" t="n">
        <f aca="false">VLOOKUP($B24,[1]Day2!$A$1:$H$400,7,FALSE())</f>
        <v>3</v>
      </c>
      <c r="I24" s="5" t="n">
        <f aca="false">SUM(E24:H24)</f>
        <v>4</v>
      </c>
      <c r="J24" s="0"/>
    </row>
    <row r="25" customFormat="false" ht="12.75" hidden="false" customHeight="true" outlineLevel="0" collapsed="false">
      <c r="A25" s="0" t="n">
        <v>24</v>
      </c>
      <c r="B25" s="5" t="n">
        <v>232145</v>
      </c>
      <c r="C25" s="5" t="s">
        <v>495</v>
      </c>
      <c r="D25" s="5" t="s">
        <v>569</v>
      </c>
      <c r="E25" s="5" t="n">
        <f aca="false">VLOOKUP($B25,[1]Day2!$A$1:$H$400,4,FALSE())</f>
        <v>1</v>
      </c>
      <c r="F25" s="5" t="n">
        <f aca="false">VLOOKUP($B25,[1]Day2!$A$1:$H$400,5,FALSE())</f>
        <v>0</v>
      </c>
      <c r="G25" s="5" t="n">
        <f aca="false">VLOOKUP($B25,[1]Day2!$A$1:$H$400,6,FALSE())</f>
        <v>0</v>
      </c>
      <c r="H25" s="5" t="n">
        <f aca="false">VLOOKUP($B25,[1]Day2!$A$1:$H$400,7,FALSE())</f>
        <v>3</v>
      </c>
      <c r="I25" s="5" t="n">
        <f aca="false">SUM(E25:H25)</f>
        <v>4</v>
      </c>
      <c r="J25" s="0"/>
    </row>
    <row r="26" customFormat="false" ht="12.75" hidden="false" customHeight="true" outlineLevel="0" collapsed="false">
      <c r="A26" s="0" t="n">
        <v>25</v>
      </c>
      <c r="B26" s="5" t="n">
        <v>852629</v>
      </c>
      <c r="C26" s="5" t="s">
        <v>132</v>
      </c>
      <c r="D26" s="5" t="s">
        <v>333</v>
      </c>
      <c r="E26" s="5" t="n">
        <f aca="false">VLOOKUP($B26,[1]Day2!$A$1:$H$400,4,FALSE())</f>
        <v>1</v>
      </c>
      <c r="F26" s="5" t="n">
        <f aca="false">VLOOKUP($B26,[1]Day2!$A$1:$H$400,5,FALSE())</f>
        <v>0</v>
      </c>
      <c r="G26" s="5" t="n">
        <f aca="false">VLOOKUP($B26,[1]Day2!$A$1:$H$400,6,FALSE())</f>
        <v>0</v>
      </c>
      <c r="H26" s="5" t="n">
        <f aca="false">VLOOKUP($B26,[1]Day2!$A$1:$H$400,7,FALSE())</f>
        <v>3</v>
      </c>
      <c r="I26" s="5" t="n">
        <f aca="false">SUM(E26:H26)</f>
        <v>4</v>
      </c>
      <c r="J26" s="0"/>
    </row>
    <row r="27" customFormat="false" ht="12.75" hidden="false" customHeight="true" outlineLevel="0" collapsed="false">
      <c r="A27" s="0" t="n">
        <v>26</v>
      </c>
      <c r="B27" s="5" t="n">
        <v>231971</v>
      </c>
      <c r="C27" s="5" t="s">
        <v>235</v>
      </c>
      <c r="D27" s="5" t="s">
        <v>221</v>
      </c>
      <c r="E27" s="5" t="n">
        <f aca="false">VLOOKUP($B27,[1]Day2!$A$1:$H$400,4,FALSE())</f>
        <v>0</v>
      </c>
      <c r="F27" s="5" t="n">
        <f aca="false">VLOOKUP($B27,[1]Day2!$A$1:$H$400,5,FALSE())</f>
        <v>0</v>
      </c>
      <c r="G27" s="5" t="n">
        <f aca="false">VLOOKUP($B27,[1]Day2!$A$1:$H$400,6,FALSE())</f>
        <v>0</v>
      </c>
      <c r="H27" s="5" t="n">
        <f aca="false">VLOOKUP($B27,[1]Day2!$A$1:$H$400,7,FALSE())</f>
        <v>3</v>
      </c>
      <c r="I27" s="5" t="n">
        <f aca="false">SUM(E27:H27)</f>
        <v>3</v>
      </c>
      <c r="J27" s="0"/>
    </row>
    <row r="28" customFormat="false" ht="12.75" hidden="false" customHeight="true" outlineLevel="0" collapsed="false">
      <c r="A28" s="0" t="n">
        <v>27</v>
      </c>
      <c r="B28" s="5" t="n">
        <v>232146</v>
      </c>
      <c r="C28" s="5" t="s">
        <v>219</v>
      </c>
      <c r="D28" s="5" t="s">
        <v>570</v>
      </c>
      <c r="E28" s="5" t="n">
        <f aca="false">VLOOKUP($B28,[1]Day2!$A$1:$H$400,4,FALSE())</f>
        <v>0</v>
      </c>
      <c r="F28" s="5" t="n">
        <f aca="false">VLOOKUP($B28,[1]Day2!$A$1:$H$400,5,FALSE())</f>
        <v>0</v>
      </c>
      <c r="G28" s="5" t="n">
        <f aca="false">VLOOKUP($B28,[1]Day2!$A$1:$H$400,6,FALSE())</f>
        <v>0</v>
      </c>
      <c r="H28" s="5" t="n">
        <f aca="false">VLOOKUP($B28,[1]Day2!$A$1:$H$400,7,FALSE())</f>
        <v>3</v>
      </c>
      <c r="I28" s="5" t="n">
        <f aca="false">SUM(E28:H28)</f>
        <v>3</v>
      </c>
      <c r="J28" s="0"/>
    </row>
    <row r="29" customFormat="false" ht="12.75" hidden="false" customHeight="true" outlineLevel="0" collapsed="false">
      <c r="A29" s="0" t="n">
        <v>28</v>
      </c>
      <c r="B29" s="5" t="n">
        <v>231998</v>
      </c>
      <c r="C29" s="5" t="s">
        <v>484</v>
      </c>
      <c r="D29" s="5" t="s">
        <v>571</v>
      </c>
      <c r="E29" s="5" t="n">
        <f aca="false">VLOOKUP($B29,[1]Day2!$A$1:$H$400,4,FALSE())</f>
        <v>0</v>
      </c>
      <c r="F29" s="5" t="n">
        <f aca="false">VLOOKUP($B29,[1]Day2!$A$1:$H$400,5,FALSE())</f>
        <v>0</v>
      </c>
      <c r="G29" s="5" t="n">
        <f aca="false">VLOOKUP($B29,[1]Day2!$A$1:$H$400,6,FALSE())</f>
        <v>0</v>
      </c>
      <c r="H29" s="5" t="n">
        <f aca="false">VLOOKUP($B29,[1]Day2!$A$1:$H$400,7,FALSE())</f>
        <v>3</v>
      </c>
      <c r="I29" s="5" t="n">
        <f aca="false">SUM(E29:H29)</f>
        <v>3</v>
      </c>
      <c r="J29" s="0"/>
    </row>
    <row r="30" customFormat="false" ht="12.75" hidden="false" customHeight="true" outlineLevel="0" collapsed="false">
      <c r="A30" s="0" t="n">
        <v>29</v>
      </c>
      <c r="B30" s="5" t="n">
        <v>232103</v>
      </c>
      <c r="C30" s="5" t="s">
        <v>101</v>
      </c>
      <c r="D30" s="5" t="s">
        <v>572</v>
      </c>
      <c r="E30" s="5" t="n">
        <f aca="false">VLOOKUP($B30,[1]Day2!$A$1:$H$400,4,FALSE())</f>
        <v>0</v>
      </c>
      <c r="F30" s="5" t="n">
        <f aca="false">VLOOKUP($B30,[1]Day2!$A$1:$H$400,5,FALSE())</f>
        <v>0</v>
      </c>
      <c r="G30" s="5" t="n">
        <f aca="false">VLOOKUP($B30,[1]Day2!$A$1:$H$400,6,FALSE())</f>
        <v>0</v>
      </c>
      <c r="H30" s="5" t="n">
        <f aca="false">VLOOKUP($B30,[1]Day2!$A$1:$H$400,7,FALSE())</f>
        <v>3</v>
      </c>
      <c r="I30" s="5" t="n">
        <f aca="false">SUM(E30:H30)</f>
        <v>3</v>
      </c>
      <c r="J30" s="0"/>
    </row>
    <row r="31" customFormat="false" ht="12.75" hidden="false" customHeight="true" outlineLevel="0" collapsed="false">
      <c r="A31" s="0" t="n">
        <v>30</v>
      </c>
      <c r="B31" s="5" t="n">
        <v>177698</v>
      </c>
      <c r="C31" s="5" t="s">
        <v>573</v>
      </c>
      <c r="D31" s="5" t="s">
        <v>574</v>
      </c>
      <c r="E31" s="5" t="n">
        <f aca="false">VLOOKUP($B31,[1]Day2!$A$1:$H$400,4,FALSE())</f>
        <v>0</v>
      </c>
      <c r="F31" s="5" t="n">
        <f aca="false">VLOOKUP($B31,[1]Day2!$A$1:$H$400,5,FALSE())</f>
        <v>0</v>
      </c>
      <c r="G31" s="5" t="n">
        <f aca="false">VLOOKUP($B31,[1]Day2!$A$1:$H$400,6,FALSE())</f>
        <v>0</v>
      </c>
      <c r="H31" s="5" t="n">
        <f aca="false">VLOOKUP($B31,[1]Day2!$A$1:$H$400,7,FALSE())</f>
        <v>3</v>
      </c>
      <c r="I31" s="5" t="n">
        <f aca="false">SUM(E31:H31)</f>
        <v>3</v>
      </c>
      <c r="J31" s="0"/>
    </row>
    <row r="32" customFormat="false" ht="12.75" hidden="false" customHeight="true" outlineLevel="0" collapsed="false">
      <c r="A32" s="0" t="n">
        <v>31</v>
      </c>
      <c r="B32" s="5" t="n">
        <v>230427</v>
      </c>
      <c r="C32" s="5" t="s">
        <v>575</v>
      </c>
      <c r="D32" s="5" t="s">
        <v>576</v>
      </c>
      <c r="E32" s="5" t="n">
        <f aca="false">VLOOKUP($B32,[1]Day2!$A$1:$H$400,4,FALSE())</f>
        <v>0</v>
      </c>
      <c r="F32" s="5" t="n">
        <f aca="false">VLOOKUP($B32,[1]Day2!$A$1:$H$400,5,FALSE())</f>
        <v>0</v>
      </c>
      <c r="G32" s="5" t="n">
        <f aca="false">VLOOKUP($B32,[1]Day2!$A$1:$H$400,6,FALSE())</f>
        <v>0</v>
      </c>
      <c r="H32" s="5" t="n">
        <f aca="false">VLOOKUP($B32,[1]Day2!$A$1:$H$400,7,FALSE())</f>
        <v>3</v>
      </c>
      <c r="I32" s="5" t="n">
        <f aca="false">SUM(E32:H32)</f>
        <v>3</v>
      </c>
      <c r="J32" s="0"/>
    </row>
    <row r="33" customFormat="false" ht="12.75" hidden="false" customHeight="true" outlineLevel="0" collapsed="false">
      <c r="A33" s="0" t="n">
        <v>32</v>
      </c>
      <c r="B33" s="5" t="n">
        <v>232043</v>
      </c>
      <c r="C33" s="5" t="s">
        <v>577</v>
      </c>
      <c r="D33" s="5" t="s">
        <v>578</v>
      </c>
      <c r="E33" s="5" t="n">
        <f aca="false">VLOOKUP($B33,[1]Day2!$A$1:$H$400,4,FALSE())</f>
        <v>0</v>
      </c>
      <c r="F33" s="5" t="n">
        <f aca="false">VLOOKUP($B33,[1]Day2!$A$1:$H$400,5,FALSE())</f>
        <v>0</v>
      </c>
      <c r="G33" s="5" t="n">
        <f aca="false">VLOOKUP($B33,[1]Day2!$A$1:$H$400,6,FALSE())</f>
        <v>0</v>
      </c>
      <c r="H33" s="5" t="n">
        <f aca="false">VLOOKUP($B33,[1]Day2!$A$1:$H$400,7,FALSE())</f>
        <v>3</v>
      </c>
      <c r="I33" s="5" t="n">
        <f aca="false">SUM(E33:H33)</f>
        <v>3</v>
      </c>
      <c r="J33" s="0"/>
    </row>
    <row r="34" customFormat="false" ht="12.75" hidden="false" customHeight="true" outlineLevel="0" collapsed="false">
      <c r="A34" s="0" t="n">
        <v>33</v>
      </c>
      <c r="B34" s="5" t="n">
        <v>232046</v>
      </c>
      <c r="C34" s="5" t="s">
        <v>579</v>
      </c>
      <c r="D34" s="5" t="s">
        <v>580</v>
      </c>
      <c r="E34" s="5" t="n">
        <f aca="false">VLOOKUP($B34,[1]Day2!$A$1:$H$400,4,FALSE())</f>
        <v>0</v>
      </c>
      <c r="F34" s="5" t="n">
        <f aca="false">VLOOKUP($B34,[1]Day2!$A$1:$H$400,5,FALSE())</f>
        <v>0</v>
      </c>
      <c r="G34" s="5" t="n">
        <f aca="false">VLOOKUP($B34,[1]Day2!$A$1:$H$400,6,FALSE())</f>
        <v>0</v>
      </c>
      <c r="H34" s="5" t="n">
        <f aca="false">VLOOKUP($B34,[1]Day2!$A$1:$H$400,7,FALSE())</f>
        <v>3</v>
      </c>
      <c r="I34" s="5" t="n">
        <f aca="false">SUM(E34:H34)</f>
        <v>3</v>
      </c>
      <c r="J34" s="0"/>
    </row>
    <row r="35" customFormat="false" ht="12.75" hidden="false" customHeight="true" outlineLevel="0" collapsed="false">
      <c r="A35" s="0" t="n">
        <v>34</v>
      </c>
      <c r="B35" s="5" t="n">
        <v>197798</v>
      </c>
      <c r="C35" s="5" t="s">
        <v>581</v>
      </c>
      <c r="D35" s="5" t="s">
        <v>219</v>
      </c>
      <c r="E35" s="5" t="n">
        <f aca="false">VLOOKUP($B35,[1]Day2!$A$1:$H$400,4,FALSE())</f>
        <v>0</v>
      </c>
      <c r="F35" s="5" t="n">
        <f aca="false">VLOOKUP($B35,[1]Day2!$A$1:$H$400,5,FALSE())</f>
        <v>0</v>
      </c>
      <c r="G35" s="5" t="n">
        <f aca="false">VLOOKUP($B35,[1]Day2!$A$1:$H$400,6,FALSE())</f>
        <v>0</v>
      </c>
      <c r="H35" s="5" t="n">
        <f aca="false">VLOOKUP($B35,[1]Day2!$A$1:$H$400,7,FALSE())</f>
        <v>3</v>
      </c>
      <c r="I35" s="5" t="n">
        <f aca="false">SUM(E35:H35)</f>
        <v>3</v>
      </c>
      <c r="J35" s="0"/>
    </row>
    <row r="36" customFormat="false" ht="12.75" hidden="false" customHeight="true" outlineLevel="0" collapsed="false">
      <c r="A36" s="0" t="n">
        <v>35</v>
      </c>
      <c r="B36" s="5" t="n">
        <v>113007</v>
      </c>
      <c r="C36" s="5" t="s">
        <v>582</v>
      </c>
      <c r="D36" s="5" t="s">
        <v>583</v>
      </c>
      <c r="E36" s="5" t="n">
        <f aca="false">VLOOKUP($B36,[1]Day2!$A$1:$H$400,4,FALSE())</f>
        <v>2</v>
      </c>
      <c r="F36" s="5" t="n">
        <f aca="false">VLOOKUP($B36,[1]Day2!$A$1:$H$400,5,FALSE())</f>
        <v>0</v>
      </c>
      <c r="G36" s="5" t="n">
        <f aca="false">VLOOKUP($B36,[1]Day2!$A$1:$H$400,6,FALSE())</f>
        <v>0</v>
      </c>
      <c r="H36" s="5" t="n">
        <f aca="false">VLOOKUP($B36,[1]Day2!$A$1:$H$400,7,FALSE())</f>
        <v>0</v>
      </c>
      <c r="I36" s="5" t="n">
        <f aca="false">SUM(E36:H36)</f>
        <v>2</v>
      </c>
      <c r="J36" s="0"/>
    </row>
    <row r="37" customFormat="false" ht="12.75" hidden="false" customHeight="true" outlineLevel="0" collapsed="false">
      <c r="A37" s="0" t="n">
        <v>36</v>
      </c>
      <c r="B37" s="5" t="n">
        <v>99971</v>
      </c>
      <c r="C37" s="5" t="s">
        <v>83</v>
      </c>
      <c r="D37" s="5" t="s">
        <v>531</v>
      </c>
      <c r="E37" s="5" t="n">
        <f aca="false">VLOOKUP($B37,[1]Day2!$A$1:$H$400,4,FALSE())</f>
        <v>2</v>
      </c>
      <c r="F37" s="5" t="n">
        <f aca="false">VLOOKUP($B37,[1]Day2!$A$1:$H$400,5,FALSE())</f>
        <v>0</v>
      </c>
      <c r="G37" s="5" t="n">
        <f aca="false">VLOOKUP($B37,[1]Day2!$A$1:$H$400,6,FALSE())</f>
        <v>0</v>
      </c>
      <c r="H37" s="5" t="n">
        <f aca="false">VLOOKUP($B37,[1]Day2!$A$1:$H$400,7,FALSE())</f>
        <v>0</v>
      </c>
      <c r="I37" s="5" t="n">
        <f aca="false">SUM(E37:H37)</f>
        <v>2</v>
      </c>
      <c r="J37" s="0"/>
    </row>
    <row r="38" customFormat="false" ht="12.75" hidden="false" customHeight="true" outlineLevel="0" collapsed="false">
      <c r="A38" s="0" t="n">
        <v>37</v>
      </c>
      <c r="B38" s="5" t="n">
        <v>177667</v>
      </c>
      <c r="C38" s="5" t="s">
        <v>584</v>
      </c>
      <c r="D38" s="5" t="s">
        <v>585</v>
      </c>
      <c r="E38" s="5" t="n">
        <f aca="false">VLOOKUP($B38,[1]Day2!$A$1:$H$400,4,FALSE())</f>
        <v>2</v>
      </c>
      <c r="F38" s="5" t="n">
        <f aca="false">VLOOKUP($B38,[1]Day2!$A$1:$H$400,5,FALSE())</f>
        <v>0</v>
      </c>
      <c r="G38" s="5" t="n">
        <f aca="false">VLOOKUP($B38,[1]Day2!$A$1:$H$400,6,FALSE())</f>
        <v>0</v>
      </c>
      <c r="H38" s="5" t="n">
        <f aca="false">VLOOKUP($B38,[1]Day2!$A$1:$H$400,7,FALSE())</f>
        <v>0</v>
      </c>
      <c r="I38" s="5" t="n">
        <f aca="false">SUM(E38:H38)</f>
        <v>2</v>
      </c>
      <c r="J38" s="0"/>
    </row>
    <row r="39" customFormat="false" ht="12.75" hidden="false" customHeight="true" outlineLevel="0" collapsed="false">
      <c r="A39" s="0" t="n">
        <v>38</v>
      </c>
      <c r="B39" s="5" t="n">
        <v>232013</v>
      </c>
      <c r="C39" s="5" t="s">
        <v>586</v>
      </c>
      <c r="D39" s="5" t="s">
        <v>587</v>
      </c>
      <c r="E39" s="5" t="n">
        <f aca="false">VLOOKUP($B39,[1]Day2!$A$1:$H$400,4,FALSE())</f>
        <v>1</v>
      </c>
      <c r="F39" s="5" t="n">
        <f aca="false">VLOOKUP($B39,[1]Day2!$A$1:$H$400,5,FALSE())</f>
        <v>0</v>
      </c>
      <c r="G39" s="5" t="n">
        <f aca="false">VLOOKUP($B39,[1]Day2!$A$1:$H$400,6,FALSE())</f>
        <v>0</v>
      </c>
      <c r="H39" s="5" t="n">
        <f aca="false">VLOOKUP($B39,[1]Day2!$A$1:$H$400,7,FALSE())</f>
        <v>0</v>
      </c>
      <c r="I39" s="5" t="n">
        <f aca="false">SUM(E39:H39)</f>
        <v>1</v>
      </c>
      <c r="J39" s="0"/>
    </row>
    <row r="40" customFormat="false" ht="12.75" hidden="false" customHeight="true" outlineLevel="0" collapsed="false">
      <c r="A40" s="0" t="n">
        <v>39</v>
      </c>
      <c r="B40" s="5" t="n">
        <v>231604</v>
      </c>
      <c r="C40" s="5" t="s">
        <v>75</v>
      </c>
      <c r="D40" s="5" t="s">
        <v>588</v>
      </c>
      <c r="E40" s="5" t="n">
        <f aca="false">VLOOKUP($B40,[1]Day2!$A$1:$H$400,4,FALSE())</f>
        <v>1</v>
      </c>
      <c r="F40" s="5" t="n">
        <f aca="false">VLOOKUP($B40,[1]Day2!$A$1:$H$400,5,FALSE())</f>
        <v>0</v>
      </c>
      <c r="G40" s="5" t="n">
        <f aca="false">VLOOKUP($B40,[1]Day2!$A$1:$H$400,6,FALSE())</f>
        <v>0</v>
      </c>
      <c r="H40" s="5" t="n">
        <f aca="false">VLOOKUP($B40,[1]Day2!$A$1:$H$400,7,FALSE())</f>
        <v>0</v>
      </c>
      <c r="I40" s="5" t="n">
        <f aca="false">SUM(E40:H40)</f>
        <v>1</v>
      </c>
      <c r="J40" s="0"/>
    </row>
    <row r="41" customFormat="false" ht="12.75" hidden="false" customHeight="true" outlineLevel="0" collapsed="false">
      <c r="A41" s="0" t="n">
        <v>40</v>
      </c>
      <c r="B41" s="5" t="n">
        <v>231960</v>
      </c>
      <c r="C41" s="5" t="s">
        <v>31</v>
      </c>
      <c r="D41" s="5" t="s">
        <v>589</v>
      </c>
      <c r="E41" s="5" t="n">
        <f aca="false">VLOOKUP($B41,[1]Day2!$A$1:$H$400,4,FALSE())</f>
        <v>0</v>
      </c>
      <c r="F41" s="5" t="n">
        <f aca="false">VLOOKUP($B41,[1]Day2!$A$1:$H$400,5,FALSE())</f>
        <v>0</v>
      </c>
      <c r="G41" s="5" t="n">
        <f aca="false">VLOOKUP($B41,[1]Day2!$A$1:$H$400,6,FALSE())</f>
        <v>0</v>
      </c>
      <c r="H41" s="5" t="n">
        <f aca="false">VLOOKUP($B41,[1]Day2!$A$1:$H$400,7,FALSE())</f>
        <v>0</v>
      </c>
      <c r="I41" s="5" t="n">
        <f aca="false">SUM(E41:H41)</f>
        <v>0</v>
      </c>
      <c r="J41" s="0"/>
    </row>
    <row r="42" customFormat="false" ht="12.75" hidden="false" customHeight="true" outlineLevel="0" collapsed="false">
      <c r="A42" s="0" t="n">
        <v>41</v>
      </c>
      <c r="B42" s="5" t="n">
        <v>232025</v>
      </c>
      <c r="C42" s="5" t="s">
        <v>475</v>
      </c>
      <c r="D42" s="5" t="s">
        <v>590</v>
      </c>
      <c r="E42" s="5" t="n">
        <f aca="false">VLOOKUP($B42,[1]Day2!$A$1:$H$400,4,FALSE())</f>
        <v>0</v>
      </c>
      <c r="F42" s="5" t="n">
        <f aca="false">VLOOKUP($B42,[1]Day2!$A$1:$H$400,5,FALSE())</f>
        <v>0</v>
      </c>
      <c r="G42" s="5" t="n">
        <f aca="false">VLOOKUP($B42,[1]Day2!$A$1:$H$400,6,FALSE())</f>
        <v>0</v>
      </c>
      <c r="H42" s="5" t="n">
        <f aca="false">VLOOKUP($B42,[1]Day2!$A$1:$H$400,7,FALSE())</f>
        <v>0</v>
      </c>
      <c r="I42" s="5" t="n">
        <f aca="false">SUM(E42:H42)</f>
        <v>0</v>
      </c>
      <c r="J42" s="0"/>
    </row>
    <row r="43" customFormat="false" ht="12.75" hidden="false" customHeight="true" outlineLevel="0" collapsed="false">
      <c r="A43" s="0" t="n">
        <v>42</v>
      </c>
      <c r="B43" s="5" t="n">
        <v>232101</v>
      </c>
      <c r="C43" s="5" t="s">
        <v>39</v>
      </c>
      <c r="D43" s="5" t="s">
        <v>591</v>
      </c>
      <c r="E43" s="5" t="n">
        <f aca="false">VLOOKUP($B43,[1]Day2!$A$1:$H$400,4,FALSE())</f>
        <v>0</v>
      </c>
      <c r="F43" s="5" t="n">
        <f aca="false">VLOOKUP($B43,[1]Day2!$A$1:$H$400,5,FALSE())</f>
        <v>0</v>
      </c>
      <c r="G43" s="5" t="n">
        <f aca="false">VLOOKUP($B43,[1]Day2!$A$1:$H$400,6,FALSE())</f>
        <v>0</v>
      </c>
      <c r="H43" s="5" t="n">
        <f aca="false">VLOOKUP($B43,[1]Day2!$A$1:$H$400,7,FALSE())</f>
        <v>0</v>
      </c>
      <c r="I43" s="5" t="n">
        <f aca="false">SUM(E43:H43)</f>
        <v>0</v>
      </c>
      <c r="J43" s="0"/>
    </row>
    <row r="44" customFormat="false" ht="12.75" hidden="false" customHeight="true" outlineLevel="0" collapsed="false">
      <c r="A44" s="0" t="n">
        <v>43</v>
      </c>
      <c r="B44" s="5" t="n">
        <v>231994</v>
      </c>
      <c r="C44" s="5" t="s">
        <v>581</v>
      </c>
      <c r="D44" s="5" t="s">
        <v>592</v>
      </c>
      <c r="E44" s="5" t="n">
        <f aca="false">VLOOKUP($B44,[1]Day2!$A$1:$H$400,4,FALSE())</f>
        <v>0</v>
      </c>
      <c r="F44" s="5" t="n">
        <f aca="false">VLOOKUP($B44,[1]Day2!$A$1:$H$400,5,FALSE())</f>
        <v>0</v>
      </c>
      <c r="G44" s="5" t="n">
        <f aca="false">VLOOKUP($B44,[1]Day2!$A$1:$H$400,6,FALSE())</f>
        <v>0</v>
      </c>
      <c r="H44" s="5" t="n">
        <f aca="false">VLOOKUP($B44,[1]Day2!$A$1:$H$400,7,FALSE())</f>
        <v>0</v>
      </c>
      <c r="I44" s="5" t="n">
        <f aca="false">SUM(E44:H44)</f>
        <v>0</v>
      </c>
      <c r="J44" s="0"/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6.29"/>
    <col collapsed="false" customWidth="false" hidden="false" outlineLevel="0" max="2" min="2" style="1" width="11.57"/>
    <col collapsed="false" customWidth="true" hidden="false" outlineLevel="0" max="3" min="3" style="1" width="16.14"/>
    <col collapsed="false" customWidth="true" hidden="false" outlineLevel="0" max="4" min="4" style="1" width="16.57"/>
    <col collapsed="false" customWidth="true" hidden="false" outlineLevel="0" max="5" min="5" style="1" width="8.29"/>
    <col collapsed="false" customWidth="true" hidden="false" outlineLevel="0" max="6" min="6" style="1" width="7.29"/>
    <col collapsed="false" customWidth="true" hidden="false" outlineLevel="0" max="7" min="7" style="1" width="7.71"/>
    <col collapsed="false" customWidth="true" hidden="false" outlineLevel="0" max="8" min="8" style="1" width="7.57"/>
    <col collapsed="false" customWidth="true" hidden="false" outlineLevel="0" max="9" min="9" style="1" width="10"/>
    <col collapsed="false" customWidth="false" hidden="false" outlineLevel="0" max="16384" min="10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385</v>
      </c>
      <c r="J1" s="1" t="s">
        <v>386</v>
      </c>
      <c r="K1" s="1" t="s">
        <v>8</v>
      </c>
    </row>
    <row r="2" customFormat="false" ht="12.75" hidden="false" customHeight="true" outlineLevel="0" collapsed="false">
      <c r="A2" s="1" t="n">
        <v>1</v>
      </c>
      <c r="B2" s="5" t="n">
        <v>101189</v>
      </c>
      <c r="C2" s="5" t="s">
        <v>593</v>
      </c>
      <c r="D2" s="5" t="s">
        <v>594</v>
      </c>
      <c r="E2" s="5" t="n">
        <f aca="false">VLOOKUP($B2,[1]Day1!$A$1:$H$394,4,FALSE())</f>
        <v>7</v>
      </c>
      <c r="F2" s="5" t="n">
        <f aca="false">VLOOKUP($B2,[1]Day1!$A$1:$H$394,5,FALSE())</f>
        <v>7</v>
      </c>
      <c r="G2" s="5" t="n">
        <f aca="false">VLOOKUP($B2,[1]Day1!$A$1:$H$394,6,FALSE())</f>
        <v>0</v>
      </c>
      <c r="H2" s="5" t="n">
        <f aca="false">VLOOKUP($B2,[1]Day2!$A$1:$H$400,4,FALSE())</f>
        <v>7</v>
      </c>
      <c r="I2" s="5" t="n">
        <f aca="false">VLOOKUP($B2,[1]Day2!$A$1:$H$400,5,FALSE())</f>
        <v>6</v>
      </c>
      <c r="J2" s="5" t="n">
        <f aca="false">VLOOKUP($B2,[1]Day2!$A$1:$H$400,6,FALSE())</f>
        <v>0</v>
      </c>
      <c r="K2" s="5" t="n">
        <f aca="false">SUM(E2:J2)</f>
        <v>27</v>
      </c>
      <c r="L2" s="0"/>
    </row>
    <row r="3" customFormat="false" ht="12.75" hidden="false" customHeight="true" outlineLevel="0" collapsed="false">
      <c r="A3" s="1" t="n">
        <v>2</v>
      </c>
      <c r="B3" s="5" t="n">
        <v>4060</v>
      </c>
      <c r="C3" s="5" t="s">
        <v>18</v>
      </c>
      <c r="D3" s="5" t="s">
        <v>124</v>
      </c>
      <c r="E3" s="5" t="n">
        <f aca="false">VLOOKUP($B3,[1]Day1!$A$1:$H$394,4,FALSE())</f>
        <v>7</v>
      </c>
      <c r="F3" s="5" t="n">
        <f aca="false">VLOOKUP($B3,[1]Day1!$A$1:$H$394,5,FALSE())</f>
        <v>7</v>
      </c>
      <c r="G3" s="5" t="n">
        <f aca="false">VLOOKUP($B3,[1]Day1!$A$1:$H$394,6,FALSE())</f>
        <v>0</v>
      </c>
      <c r="H3" s="5" t="n">
        <f aca="false">VLOOKUP($B3,[1]Day2!$A$1:$H$400,4,FALSE())</f>
        <v>7</v>
      </c>
      <c r="I3" s="5" t="n">
        <f aca="false">VLOOKUP($B3,[1]Day2!$A$1:$H$400,5,FALSE())</f>
        <v>2</v>
      </c>
      <c r="J3" s="5" t="n">
        <f aca="false">VLOOKUP($B3,[1]Day2!$A$1:$H$400,6,FALSE())</f>
        <v>1</v>
      </c>
      <c r="K3" s="5" t="n">
        <f aca="false">SUM(E3:J3)</f>
        <v>24</v>
      </c>
      <c r="L3" s="0"/>
    </row>
    <row r="4" customFormat="false" ht="12.75" hidden="false" customHeight="true" outlineLevel="0" collapsed="false">
      <c r="A4" s="1" t="n">
        <v>3</v>
      </c>
      <c r="B4" s="5" t="n">
        <v>273</v>
      </c>
      <c r="C4" s="5" t="s">
        <v>595</v>
      </c>
      <c r="D4" s="5" t="s">
        <v>596</v>
      </c>
      <c r="E4" s="5" t="n">
        <f aca="false">VLOOKUP($B4,[1]Day1!$A$1:$H$394,4,FALSE())</f>
        <v>7</v>
      </c>
      <c r="F4" s="5" t="n">
        <f aca="false">VLOOKUP($B4,[1]Day1!$A$1:$H$394,5,FALSE())</f>
        <v>7</v>
      </c>
      <c r="G4" s="5" t="n">
        <f aca="false">VLOOKUP($B4,[1]Day1!$A$1:$H$394,6,FALSE())</f>
        <v>0</v>
      </c>
      <c r="H4" s="5" t="n">
        <f aca="false">VLOOKUP($B4,[1]Day2!$A$1:$H$400,4,FALSE())</f>
        <v>7</v>
      </c>
      <c r="I4" s="5" t="n">
        <f aca="false">VLOOKUP($B4,[1]Day2!$A$1:$H$400,5,FALSE())</f>
        <v>2</v>
      </c>
      <c r="J4" s="5" t="n">
        <f aca="false">VLOOKUP($B4,[1]Day2!$A$1:$H$400,6,FALSE())</f>
        <v>0</v>
      </c>
      <c r="K4" s="5" t="n">
        <f aca="false">SUM(E4:J4)</f>
        <v>23</v>
      </c>
      <c r="L4" s="0"/>
    </row>
    <row r="5" customFormat="false" ht="12.75" hidden="false" customHeight="true" outlineLevel="0" collapsed="false">
      <c r="A5" s="1" t="n">
        <v>4</v>
      </c>
      <c r="B5" s="5" t="n">
        <v>99922</v>
      </c>
      <c r="C5" s="5" t="s">
        <v>597</v>
      </c>
      <c r="D5" s="5" t="s">
        <v>598</v>
      </c>
      <c r="E5" s="5" t="n">
        <f aca="false">VLOOKUP($B5,[1]Day1!$A$1:$H$394,4,FALSE())</f>
        <v>7</v>
      </c>
      <c r="F5" s="5" t="n">
        <f aca="false">VLOOKUP($B5,[1]Day1!$A$1:$H$394,5,FALSE())</f>
        <v>1</v>
      </c>
      <c r="G5" s="5" t="n">
        <f aca="false">VLOOKUP($B5,[1]Day1!$A$1:$H$394,6,FALSE())</f>
        <v>0</v>
      </c>
      <c r="H5" s="5" t="n">
        <f aca="false">VLOOKUP($B5,[1]Day2!$A$1:$H$400,4,FALSE())</f>
        <v>7</v>
      </c>
      <c r="I5" s="5" t="n">
        <f aca="false">VLOOKUP($B5,[1]Day2!$A$1:$H$400,5,FALSE())</f>
        <v>4</v>
      </c>
      <c r="J5" s="5" t="n">
        <f aca="false">VLOOKUP($B5,[1]Day2!$A$1:$H$400,6,FALSE())</f>
        <v>0</v>
      </c>
      <c r="K5" s="5" t="n">
        <f aca="false">SUM(E5:J5)</f>
        <v>19</v>
      </c>
      <c r="L5" s="0"/>
    </row>
    <row r="6" customFormat="false" ht="12.75" hidden="false" customHeight="true" outlineLevel="0" collapsed="false">
      <c r="A6" s="1" t="n">
        <v>5</v>
      </c>
      <c r="B6" s="5" t="n">
        <v>4235</v>
      </c>
      <c r="C6" s="5" t="s">
        <v>297</v>
      </c>
      <c r="D6" s="5" t="s">
        <v>128</v>
      </c>
      <c r="E6" s="5" t="n">
        <f aca="false">VLOOKUP($B6,[1]Day1!$A$1:$H$394,4,FALSE())</f>
        <v>7</v>
      </c>
      <c r="F6" s="5" t="n">
        <f aca="false">VLOOKUP($B6,[1]Day1!$A$1:$H$394,5,FALSE())</f>
        <v>1</v>
      </c>
      <c r="G6" s="5" t="n">
        <f aca="false">VLOOKUP($B6,[1]Day1!$A$1:$H$394,6,FALSE())</f>
        <v>0</v>
      </c>
      <c r="H6" s="5" t="n">
        <f aca="false">VLOOKUP($B6,[1]Day2!$A$1:$H$400,4,FALSE())</f>
        <v>7</v>
      </c>
      <c r="I6" s="5" t="n">
        <f aca="false">VLOOKUP($B6,[1]Day2!$A$1:$H$400,5,FALSE())</f>
        <v>2</v>
      </c>
      <c r="J6" s="5" t="n">
        <f aca="false">VLOOKUP($B6,[1]Day2!$A$1:$H$400,6,FALSE())</f>
        <v>0</v>
      </c>
      <c r="K6" s="5" t="n">
        <f aca="false">SUM(E6:J6)</f>
        <v>17</v>
      </c>
      <c r="L6" s="0"/>
    </row>
    <row r="7" customFormat="false" ht="12.75" hidden="false" customHeight="true" outlineLevel="0" collapsed="false">
      <c r="A7" s="1" t="n">
        <v>6</v>
      </c>
      <c r="B7" s="5" t="n">
        <v>99291</v>
      </c>
      <c r="C7" s="5" t="s">
        <v>599</v>
      </c>
      <c r="D7" s="5" t="s">
        <v>600</v>
      </c>
      <c r="E7" s="5" t="n">
        <f aca="false">VLOOKUP($B7,[1]Day1!$A$1:$H$394,4,FALSE())</f>
        <v>4</v>
      </c>
      <c r="F7" s="5" t="n">
        <f aca="false">VLOOKUP($B7,[1]Day1!$A$1:$H$394,5,FALSE())</f>
        <v>1</v>
      </c>
      <c r="G7" s="5" t="n">
        <f aca="false">VLOOKUP($B7,[1]Day1!$A$1:$H$394,6,FALSE())</f>
        <v>0</v>
      </c>
      <c r="H7" s="5" t="n">
        <f aca="false">VLOOKUP($B7,[1]Day2!$A$1:$H$400,4,FALSE())</f>
        <v>7</v>
      </c>
      <c r="I7" s="5" t="n">
        <f aca="false">VLOOKUP($B7,[1]Day2!$A$1:$H$400,5,FALSE())</f>
        <v>2</v>
      </c>
      <c r="J7" s="5" t="n">
        <f aca="false">VLOOKUP($B7,[1]Day2!$A$1:$H$400,6,FALSE())</f>
        <v>0</v>
      </c>
      <c r="K7" s="5" t="n">
        <f aca="false">SUM(E7:J7)</f>
        <v>14</v>
      </c>
      <c r="L7" s="0"/>
    </row>
    <row r="8" customFormat="false" ht="12.75" hidden="false" customHeight="true" outlineLevel="0" collapsed="false">
      <c r="A8" s="1" t="n">
        <v>7</v>
      </c>
      <c r="B8" s="5" t="n">
        <v>6001</v>
      </c>
      <c r="C8" s="5" t="s">
        <v>601</v>
      </c>
      <c r="D8" s="5" t="s">
        <v>602</v>
      </c>
      <c r="E8" s="5" t="n">
        <f aca="false">VLOOKUP($B8,[1]Day1!$A$1:$H$394,4,FALSE())</f>
        <v>4</v>
      </c>
      <c r="F8" s="5" t="n">
        <f aca="false">VLOOKUP($B8,[1]Day1!$A$1:$H$394,5,FALSE())</f>
        <v>1</v>
      </c>
      <c r="G8" s="5" t="n">
        <f aca="false">VLOOKUP($B8,[1]Day1!$A$1:$H$394,6,FALSE())</f>
        <v>0</v>
      </c>
      <c r="H8" s="5" t="n">
        <f aca="false">VLOOKUP($B8,[1]Day2!$A$1:$H$400,4,FALSE())</f>
        <v>7</v>
      </c>
      <c r="I8" s="5" t="n">
        <f aca="false">VLOOKUP($B8,[1]Day2!$A$1:$H$400,5,FALSE())</f>
        <v>0</v>
      </c>
      <c r="J8" s="5" t="n">
        <f aca="false">VLOOKUP($B8,[1]Day2!$A$1:$H$400,6,FALSE())</f>
        <v>0</v>
      </c>
      <c r="K8" s="5" t="n">
        <f aca="false">SUM(E8:J8)</f>
        <v>12</v>
      </c>
      <c r="L8" s="0"/>
    </row>
    <row r="9" customFormat="false" ht="12.75" hidden="false" customHeight="true" outlineLevel="0" collapsed="false">
      <c r="A9" s="1" t="n">
        <v>8</v>
      </c>
      <c r="B9" s="5" t="n">
        <v>232105</v>
      </c>
      <c r="C9" s="5" t="s">
        <v>603</v>
      </c>
      <c r="D9" s="5" t="s">
        <v>46</v>
      </c>
      <c r="E9" s="5" t="n">
        <f aca="false">VLOOKUP($B9,[1]Day1!$A$1:$H$394,4,FALSE())</f>
        <v>3</v>
      </c>
      <c r="F9" s="5" t="n">
        <f aca="false">VLOOKUP($B9,[1]Day1!$A$1:$H$394,5,FALSE())</f>
        <v>1</v>
      </c>
      <c r="G9" s="5" t="n">
        <f aca="false">VLOOKUP($B9,[1]Day1!$A$1:$H$394,6,FALSE())</f>
        <v>0</v>
      </c>
      <c r="H9" s="5" t="n">
        <f aca="false">VLOOKUP($B9,[1]Day2!$A$1:$H$400,4,FALSE())</f>
        <v>7</v>
      </c>
      <c r="I9" s="5" t="n">
        <f aca="false">VLOOKUP($B9,[1]Day2!$A$1:$H$400,5,FALSE())</f>
        <v>1</v>
      </c>
      <c r="J9" s="5" t="n">
        <f aca="false">VLOOKUP($B9,[1]Day2!$A$1:$H$400,6,FALSE())</f>
        <v>0</v>
      </c>
      <c r="K9" s="5" t="n">
        <f aca="false">SUM(E9:J9)</f>
        <v>12</v>
      </c>
      <c r="L9" s="0"/>
    </row>
    <row r="10" customFormat="false" ht="12.75" hidden="false" customHeight="true" outlineLevel="0" collapsed="false">
      <c r="A10" s="1" t="n">
        <v>9</v>
      </c>
      <c r="B10" s="5" t="n">
        <v>107321</v>
      </c>
      <c r="C10" s="5" t="s">
        <v>251</v>
      </c>
      <c r="D10" s="5" t="s">
        <v>220</v>
      </c>
      <c r="E10" s="5" t="n">
        <f aca="false">VLOOKUP($B10,[1]Day1!$A$1:$H$394,4,FALSE())</f>
        <v>7</v>
      </c>
      <c r="F10" s="5" t="n">
        <f aca="false">VLOOKUP($B10,[1]Day1!$A$1:$H$394,5,FALSE())</f>
        <v>1</v>
      </c>
      <c r="G10" s="5" t="n">
        <f aca="false">VLOOKUP($B10,[1]Day1!$A$1:$H$394,6,FALSE())</f>
        <v>0</v>
      </c>
      <c r="H10" s="5" t="n">
        <f aca="false">VLOOKUP($B10,[1]Day2!$A$1:$H$400,4,FALSE())</f>
        <v>1</v>
      </c>
      <c r="I10" s="5" t="n">
        <f aca="false">VLOOKUP($B10,[1]Day2!$A$1:$H$400,5,FALSE())</f>
        <v>2</v>
      </c>
      <c r="J10" s="5" t="n">
        <f aca="false">VLOOKUP($B10,[1]Day2!$A$1:$H$400,6,FALSE())</f>
        <v>0</v>
      </c>
      <c r="K10" s="5" t="n">
        <f aca="false">SUM(E10:J10)</f>
        <v>11</v>
      </c>
      <c r="L10" s="0"/>
    </row>
    <row r="11" customFormat="false" ht="12.75" hidden="false" customHeight="true" outlineLevel="0" collapsed="false">
      <c r="A11" s="1" t="n">
        <v>10</v>
      </c>
      <c r="B11" s="5" t="n">
        <v>133459</v>
      </c>
      <c r="C11" s="5" t="s">
        <v>604</v>
      </c>
      <c r="D11" s="5" t="s">
        <v>605</v>
      </c>
      <c r="E11" s="5" t="n">
        <f aca="false">VLOOKUP($B11,[1]Day1!$A$1:$H$394,4,FALSE())</f>
        <v>3</v>
      </c>
      <c r="F11" s="5" t="n">
        <f aca="false">VLOOKUP($B11,[1]Day1!$A$1:$H$394,5,FALSE())</f>
        <v>0</v>
      </c>
      <c r="G11" s="5" t="n">
        <f aca="false">VLOOKUP($B11,[1]Day1!$A$1:$H$394,6,FALSE())</f>
        <v>0</v>
      </c>
      <c r="H11" s="5" t="n">
        <f aca="false">VLOOKUP($B11,[1]Day2!$A$1:$H$400,4,FALSE())</f>
        <v>7</v>
      </c>
      <c r="I11" s="5" t="n">
        <f aca="false">VLOOKUP($B11,[1]Day2!$A$1:$H$400,5,FALSE())</f>
        <v>0</v>
      </c>
      <c r="J11" s="5" t="n">
        <f aca="false">VLOOKUP($B11,[1]Day2!$A$1:$H$400,6,FALSE())</f>
        <v>0</v>
      </c>
      <c r="K11" s="5" t="n">
        <f aca="false">SUM(E11:J11)</f>
        <v>10</v>
      </c>
      <c r="L11" s="0"/>
    </row>
    <row r="12" customFormat="false" ht="12.75" hidden="false" customHeight="true" outlineLevel="0" collapsed="false">
      <c r="A12" s="1" t="n">
        <v>11</v>
      </c>
      <c r="B12" s="5" t="n">
        <v>107329</v>
      </c>
      <c r="C12" s="5" t="s">
        <v>606</v>
      </c>
      <c r="D12" s="5" t="s">
        <v>272</v>
      </c>
      <c r="E12" s="5" t="n">
        <f aca="false">VLOOKUP($B12,[1]Day1!$A$1:$H$394,4,FALSE())</f>
        <v>2</v>
      </c>
      <c r="F12" s="5" t="n">
        <f aca="false">VLOOKUP($B12,[1]Day1!$A$1:$H$394,5,FALSE())</f>
        <v>1</v>
      </c>
      <c r="G12" s="5" t="n">
        <f aca="false">VLOOKUP($B12,[1]Day1!$A$1:$H$394,6,FALSE())</f>
        <v>0</v>
      </c>
      <c r="H12" s="5" t="n">
        <f aca="false">VLOOKUP($B12,[1]Day2!$A$1:$H$400,4,FALSE())</f>
        <v>7</v>
      </c>
      <c r="I12" s="5" t="n">
        <f aca="false">VLOOKUP($B12,[1]Day2!$A$1:$H$400,5,FALSE())</f>
        <v>0</v>
      </c>
      <c r="J12" s="5" t="n">
        <f aca="false">VLOOKUP($B12,[1]Day2!$A$1:$H$400,6,FALSE())</f>
        <v>0</v>
      </c>
      <c r="K12" s="5" t="n">
        <f aca="false">SUM(E12:J12)</f>
        <v>10</v>
      </c>
      <c r="L12" s="0"/>
    </row>
    <row r="13" customFormat="false" ht="12.75" hidden="false" customHeight="true" outlineLevel="0" collapsed="false">
      <c r="A13" s="1" t="n">
        <v>12</v>
      </c>
      <c r="B13" s="5" t="n">
        <v>113019</v>
      </c>
      <c r="C13" s="5" t="s">
        <v>607</v>
      </c>
      <c r="D13" s="5" t="s">
        <v>608</v>
      </c>
      <c r="E13" s="5" t="n">
        <f aca="false">VLOOKUP($B13,[1]Day1!$A$1:$H$394,4,FALSE())</f>
        <v>0.5</v>
      </c>
      <c r="F13" s="5" t="n">
        <f aca="false">VLOOKUP($B13,[1]Day1!$A$1:$H$394,5,FALSE())</f>
        <v>1</v>
      </c>
      <c r="G13" s="5" t="n">
        <f aca="false">VLOOKUP($B13,[1]Day1!$A$1:$H$394,6,FALSE())</f>
        <v>0</v>
      </c>
      <c r="H13" s="5" t="n">
        <f aca="false">VLOOKUP($B13,[1]Day2!$A$1:$H$400,4,FALSE())</f>
        <v>7</v>
      </c>
      <c r="I13" s="5" t="n">
        <f aca="false">VLOOKUP($B13,[1]Day2!$A$1:$H$400,5,FALSE())</f>
        <v>0</v>
      </c>
      <c r="J13" s="5" t="n">
        <f aca="false">VLOOKUP($B13,[1]Day2!$A$1:$H$400,6,FALSE())</f>
        <v>0</v>
      </c>
      <c r="K13" s="5" t="n">
        <f aca="false">SUM(E13:J13)</f>
        <v>8.5</v>
      </c>
      <c r="L13" s="0"/>
    </row>
    <row r="14" customFormat="false" ht="12.75" hidden="false" customHeight="true" outlineLevel="0" collapsed="false">
      <c r="A14" s="1" t="n">
        <v>13</v>
      </c>
      <c r="B14" s="5" t="n">
        <v>107332</v>
      </c>
      <c r="C14" s="5" t="s">
        <v>251</v>
      </c>
      <c r="D14" s="5" t="s">
        <v>609</v>
      </c>
      <c r="E14" s="5" t="n">
        <f aca="false">VLOOKUP($B14,[1]Day1!$A$1:$H$394,4,FALSE())</f>
        <v>0.5</v>
      </c>
      <c r="F14" s="5" t="n">
        <f aca="false">VLOOKUP($B14,[1]Day1!$A$1:$H$394,5,FALSE())</f>
        <v>1</v>
      </c>
      <c r="G14" s="5" t="n">
        <f aca="false">VLOOKUP($B14,[1]Day1!$A$1:$H$394,6,FALSE())</f>
        <v>0</v>
      </c>
      <c r="H14" s="5" t="n">
        <f aca="false">VLOOKUP($B14,[1]Day2!$A$1:$H$400,4,FALSE())</f>
        <v>7</v>
      </c>
      <c r="I14" s="5" t="n">
        <f aca="false">VLOOKUP($B14,[1]Day2!$A$1:$H$400,5,FALSE())</f>
        <v>0</v>
      </c>
      <c r="J14" s="5" t="n">
        <f aca="false">VLOOKUP($B14,[1]Day2!$A$1:$H$400,6,FALSE())</f>
        <v>0</v>
      </c>
      <c r="K14" s="5" t="n">
        <f aca="false">SUM(E14:J14)</f>
        <v>8.5</v>
      </c>
      <c r="L14" s="0"/>
    </row>
    <row r="15" customFormat="false" ht="12.75" hidden="false" customHeight="true" outlineLevel="0" collapsed="false">
      <c r="A15" s="1" t="n">
        <v>14</v>
      </c>
      <c r="B15" s="5" t="n">
        <v>231963</v>
      </c>
      <c r="C15" s="5" t="s">
        <v>279</v>
      </c>
      <c r="D15" s="5" t="s">
        <v>610</v>
      </c>
      <c r="E15" s="5" t="n">
        <f aca="false">VLOOKUP($B15,[1]Day1!$A$1:$H$394,4,FALSE())</f>
        <v>0</v>
      </c>
      <c r="F15" s="5" t="n">
        <f aca="false">VLOOKUP($B15,[1]Day1!$A$1:$H$394,5,FALSE())</f>
        <v>1</v>
      </c>
      <c r="G15" s="5" t="n">
        <f aca="false">VLOOKUP($B15,[1]Day1!$A$1:$H$394,6,FALSE())</f>
        <v>0</v>
      </c>
      <c r="H15" s="5" t="n">
        <f aca="false">VLOOKUP($B15,[1]Day2!$A$1:$H$400,4,FALSE())</f>
        <v>7</v>
      </c>
      <c r="I15" s="5" t="n">
        <f aca="false">VLOOKUP($B15,[1]Day2!$A$1:$H$400,5,FALSE())</f>
        <v>0</v>
      </c>
      <c r="J15" s="5" t="n">
        <f aca="false">VLOOKUP($B15,[1]Day2!$A$1:$H$400,6,FALSE())</f>
        <v>0</v>
      </c>
      <c r="K15" s="5" t="n">
        <f aca="false">SUM(E15:J15)</f>
        <v>8</v>
      </c>
      <c r="L15" s="0"/>
    </row>
    <row r="16" customFormat="false" ht="12.75" hidden="false" customHeight="true" outlineLevel="0" collapsed="false">
      <c r="A16" s="1" t="n">
        <v>15</v>
      </c>
      <c r="B16" s="5" t="n">
        <v>100814</v>
      </c>
      <c r="C16" s="5" t="s">
        <v>611</v>
      </c>
      <c r="D16" s="5" t="s">
        <v>240</v>
      </c>
      <c r="E16" s="5" t="n">
        <f aca="false">VLOOKUP($B16,[1]Day1!$A$1:$H$394,4,FALSE())</f>
        <v>0.5</v>
      </c>
      <c r="F16" s="5" t="n">
        <f aca="false">VLOOKUP($B16,[1]Day1!$A$1:$H$394,5,FALSE())</f>
        <v>0</v>
      </c>
      <c r="G16" s="5" t="n">
        <f aca="false">VLOOKUP($B16,[1]Day1!$A$1:$H$394,6,FALSE())</f>
        <v>0</v>
      </c>
      <c r="H16" s="5" t="n">
        <f aca="false">VLOOKUP($B16,[1]Day2!$A$1:$H$400,4,FALSE())</f>
        <v>7</v>
      </c>
      <c r="I16" s="5" t="n">
        <f aca="false">VLOOKUP($B16,[1]Day2!$A$1:$H$400,5,FALSE())</f>
        <v>0</v>
      </c>
      <c r="J16" s="5" t="n">
        <f aca="false">VLOOKUP($B16,[1]Day2!$A$1:$H$400,6,FALSE())</f>
        <v>0</v>
      </c>
      <c r="K16" s="5" t="n">
        <f aca="false">SUM(E16:J16)</f>
        <v>7.5</v>
      </c>
      <c r="L16" s="0"/>
    </row>
    <row r="17" customFormat="false" ht="12.75" hidden="false" customHeight="true" outlineLevel="0" collapsed="false">
      <c r="A17" s="1" t="n">
        <v>16</v>
      </c>
      <c r="B17" s="5" t="n">
        <v>107325</v>
      </c>
      <c r="C17" s="5" t="s">
        <v>612</v>
      </c>
      <c r="D17" s="5" t="s">
        <v>431</v>
      </c>
      <c r="E17" s="5" t="n">
        <f aca="false">VLOOKUP($B17,[1]Day1!$A$1:$H$394,4,FALSE())</f>
        <v>0.5</v>
      </c>
      <c r="F17" s="5" t="n">
        <f aca="false">VLOOKUP($B17,[1]Day1!$A$1:$H$394,5,FALSE())</f>
        <v>0</v>
      </c>
      <c r="G17" s="5" t="n">
        <f aca="false">VLOOKUP($B17,[1]Day1!$A$1:$H$394,6,FALSE())</f>
        <v>0</v>
      </c>
      <c r="H17" s="5" t="n">
        <f aca="false">VLOOKUP($B17,[1]Day2!$A$1:$H$400,4,FALSE())</f>
        <v>7</v>
      </c>
      <c r="I17" s="5" t="n">
        <f aca="false">VLOOKUP($B17,[1]Day2!$A$1:$H$400,5,FALSE())</f>
        <v>0</v>
      </c>
      <c r="J17" s="5" t="n">
        <f aca="false">VLOOKUP($B17,[1]Day2!$A$1:$H$400,6,FALSE())</f>
        <v>0</v>
      </c>
      <c r="K17" s="5" t="n">
        <f aca="false">SUM(E17:J17)</f>
        <v>7.5</v>
      </c>
      <c r="L17" s="0"/>
    </row>
    <row r="18" customFormat="false" ht="12.75" hidden="false" customHeight="true" outlineLevel="0" collapsed="false">
      <c r="A18" s="1" t="n">
        <v>17</v>
      </c>
      <c r="B18" s="5" t="n">
        <v>182555</v>
      </c>
      <c r="C18" s="5" t="s">
        <v>556</v>
      </c>
      <c r="D18" s="5" t="s">
        <v>613</v>
      </c>
      <c r="E18" s="5" t="n">
        <f aca="false">VLOOKUP($B18,[1]Day1!$A$1:$H$394,4,FALSE())</f>
        <v>4</v>
      </c>
      <c r="F18" s="5" t="n">
        <f aca="false">VLOOKUP($B18,[1]Day1!$A$1:$H$394,5,FALSE())</f>
        <v>0</v>
      </c>
      <c r="G18" s="5" t="n">
        <f aca="false">VLOOKUP($B18,[1]Day1!$A$1:$H$394,6,FALSE())</f>
        <v>0</v>
      </c>
      <c r="H18" s="5" t="n">
        <f aca="false">VLOOKUP($B18,[1]Day2!$A$1:$H$400,4,FALSE())</f>
        <v>0</v>
      </c>
      <c r="I18" s="5" t="n">
        <f aca="false">VLOOKUP($B18,[1]Day2!$A$1:$H$400,5,FALSE())</f>
        <v>2</v>
      </c>
      <c r="J18" s="5" t="n">
        <f aca="false">VLOOKUP($B18,[1]Day2!$A$1:$H$400,6,FALSE())</f>
        <v>0</v>
      </c>
      <c r="K18" s="5" t="n">
        <f aca="false">SUM(E18:J18)</f>
        <v>6</v>
      </c>
      <c r="L18" s="0"/>
    </row>
    <row r="19" customFormat="false" ht="12.75" hidden="false" customHeight="true" outlineLevel="0" collapsed="false">
      <c r="A19" s="1" t="n">
        <v>18</v>
      </c>
      <c r="B19" s="5" t="n">
        <v>206155</v>
      </c>
      <c r="C19" s="5" t="s">
        <v>614</v>
      </c>
      <c r="D19" s="5" t="s">
        <v>615</v>
      </c>
      <c r="E19" s="5" t="n">
        <f aca="false">VLOOKUP($B19,[1]Day1!$A$1:$H$394,4,FALSE())</f>
        <v>4</v>
      </c>
      <c r="F19" s="5" t="n">
        <f aca="false">VLOOKUP($B19,[1]Day1!$A$1:$H$394,5,FALSE())</f>
        <v>0</v>
      </c>
      <c r="G19" s="5" t="n">
        <f aca="false">VLOOKUP($B19,[1]Day1!$A$1:$H$394,6,FALSE())</f>
        <v>0</v>
      </c>
      <c r="H19" s="5" t="n">
        <f aca="false">VLOOKUP($B19,[1]Day2!$A$1:$H$400,4,FALSE())</f>
        <v>0</v>
      </c>
      <c r="I19" s="5" t="n">
        <f aca="false">VLOOKUP($B19,[1]Day2!$A$1:$H$400,5,FALSE())</f>
        <v>1</v>
      </c>
      <c r="J19" s="5" t="n">
        <f aca="false">VLOOKUP($B19,[1]Day2!$A$1:$H$400,6,FALSE())</f>
        <v>0</v>
      </c>
      <c r="K19" s="5" t="n">
        <f aca="false">SUM(E19:J19)</f>
        <v>5</v>
      </c>
      <c r="L19" s="0"/>
    </row>
    <row r="20" customFormat="false" ht="12.75" hidden="false" customHeight="true" outlineLevel="0" collapsed="false">
      <c r="A20" s="1" t="n">
        <v>19</v>
      </c>
      <c r="B20" s="5" t="n">
        <v>107331</v>
      </c>
      <c r="C20" s="5" t="s">
        <v>309</v>
      </c>
      <c r="D20" s="5" t="s">
        <v>362</v>
      </c>
      <c r="E20" s="5" t="n">
        <f aca="false">VLOOKUP($B20,[1]Day1!$A$1:$H$394,4,FALSE())</f>
        <v>2</v>
      </c>
      <c r="F20" s="5" t="n">
        <f aca="false">VLOOKUP($B20,[1]Day1!$A$1:$H$394,5,FALSE())</f>
        <v>0</v>
      </c>
      <c r="G20" s="5" t="n">
        <f aca="false">VLOOKUP($B20,[1]Day1!$A$1:$H$394,6,FALSE())</f>
        <v>0</v>
      </c>
      <c r="H20" s="5" t="n">
        <f aca="false">VLOOKUP($B20,[1]Day2!$A$1:$H$400,4,FALSE())</f>
        <v>1</v>
      </c>
      <c r="I20" s="5" t="n">
        <f aca="false">VLOOKUP($B20,[1]Day2!$A$1:$H$400,5,FALSE())</f>
        <v>1</v>
      </c>
      <c r="J20" s="5" t="n">
        <f aca="false">VLOOKUP($B20,[1]Day2!$A$1:$H$400,6,FALSE())</f>
        <v>0</v>
      </c>
      <c r="K20" s="5" t="n">
        <f aca="false">SUM(E20:J20)</f>
        <v>4</v>
      </c>
      <c r="L20" s="0"/>
    </row>
    <row r="21" customFormat="false" ht="12.75" hidden="false" customHeight="true" outlineLevel="0" collapsed="false">
      <c r="A21" s="1" t="n">
        <v>20</v>
      </c>
      <c r="B21" s="5" t="n">
        <v>223687</v>
      </c>
      <c r="C21" s="5" t="s">
        <v>616</v>
      </c>
      <c r="D21" s="5" t="s">
        <v>585</v>
      </c>
      <c r="E21" s="5" t="n">
        <f aca="false">VLOOKUP($B21,[1]Day1!$A$1:$H$394,4,FALSE())</f>
        <v>2</v>
      </c>
      <c r="F21" s="5" t="n">
        <f aca="false">VLOOKUP($B21,[1]Day1!$A$1:$H$394,5,FALSE())</f>
        <v>0</v>
      </c>
      <c r="G21" s="5" t="n">
        <f aca="false">VLOOKUP($B21,[1]Day1!$A$1:$H$394,6,FALSE())</f>
        <v>0</v>
      </c>
      <c r="H21" s="5" t="n">
        <f aca="false">VLOOKUP($B21,[1]Day2!$A$1:$H$400,4,FALSE())</f>
        <v>1</v>
      </c>
      <c r="I21" s="5" t="n">
        <f aca="false">VLOOKUP($B21,[1]Day2!$A$1:$H$400,5,FALSE())</f>
        <v>1</v>
      </c>
      <c r="J21" s="5" t="n">
        <f aca="false">VLOOKUP($B21,[1]Day2!$A$1:$H$400,6,FALSE())</f>
        <v>0</v>
      </c>
      <c r="K21" s="5" t="n">
        <f aca="false">SUM(E21:J21)</f>
        <v>4</v>
      </c>
      <c r="L21" s="0"/>
    </row>
    <row r="22" customFormat="false" ht="12.75" hidden="false" customHeight="true" outlineLevel="0" collapsed="false">
      <c r="A22" s="1" t="n">
        <v>21</v>
      </c>
      <c r="B22" s="5" t="n">
        <v>107333</v>
      </c>
      <c r="C22" s="5" t="s">
        <v>123</v>
      </c>
      <c r="D22" s="5" t="s">
        <v>387</v>
      </c>
      <c r="E22" s="5" t="n">
        <f aca="false">VLOOKUP($B22,[1]Day1!$A$1:$H$394,4,FALSE())</f>
        <v>0.5</v>
      </c>
      <c r="F22" s="5" t="n">
        <f aca="false">VLOOKUP($B22,[1]Day1!$A$1:$H$394,5,FALSE())</f>
        <v>1</v>
      </c>
      <c r="G22" s="5" t="n">
        <f aca="false">VLOOKUP($B22,[1]Day1!$A$1:$H$394,6,FALSE())</f>
        <v>0</v>
      </c>
      <c r="H22" s="5" t="n">
        <f aca="false">VLOOKUP($B22,[1]Day2!$A$1:$H$400,4,FALSE())</f>
        <v>1</v>
      </c>
      <c r="I22" s="5" t="n">
        <f aca="false">VLOOKUP($B22,[1]Day2!$A$1:$H$400,5,FALSE())</f>
        <v>1</v>
      </c>
      <c r="J22" s="5" t="n">
        <f aca="false">VLOOKUP($B22,[1]Day2!$A$1:$H$400,6,FALSE())</f>
        <v>0</v>
      </c>
      <c r="K22" s="5" t="n">
        <f aca="false">SUM(E22:J22)</f>
        <v>3.5</v>
      </c>
      <c r="L22" s="0"/>
    </row>
    <row r="23" customFormat="false" ht="12.75" hidden="false" customHeight="true" outlineLevel="0" collapsed="false">
      <c r="A23" s="1" t="n">
        <v>22</v>
      </c>
      <c r="B23" s="5" t="n">
        <v>158514</v>
      </c>
      <c r="C23" s="5" t="s">
        <v>617</v>
      </c>
      <c r="D23" s="5" t="s">
        <v>300</v>
      </c>
      <c r="E23" s="5" t="n">
        <f aca="false">VLOOKUP($B23,[1]Day1!$A$1:$H$394,4,FALSE())</f>
        <v>2</v>
      </c>
      <c r="F23" s="5" t="n">
        <f aca="false">VLOOKUP($B23,[1]Day1!$A$1:$H$394,5,FALSE())</f>
        <v>1</v>
      </c>
      <c r="G23" s="5" t="n">
        <f aca="false">VLOOKUP($B23,[1]Day1!$A$1:$H$394,6,FALSE())</f>
        <v>0</v>
      </c>
      <c r="H23" s="5" t="n">
        <f aca="false">VLOOKUP($B23,[1]Day2!$A$1:$H$400,4,FALSE())</f>
        <v>0</v>
      </c>
      <c r="I23" s="5" t="n">
        <f aca="false">VLOOKUP($B23,[1]Day2!$A$1:$H$400,5,FALSE())</f>
        <v>0</v>
      </c>
      <c r="J23" s="5" t="n">
        <f aca="false">VLOOKUP($B23,[1]Day2!$A$1:$H$400,6,FALSE())</f>
        <v>0</v>
      </c>
      <c r="K23" s="5" t="n">
        <f aca="false">SUM(E23:J23)</f>
        <v>3</v>
      </c>
      <c r="L23" s="0"/>
    </row>
    <row r="24" customFormat="false" ht="12.75" hidden="false" customHeight="true" outlineLevel="0" collapsed="false">
      <c r="A24" s="1" t="n">
        <v>23</v>
      </c>
      <c r="B24" s="5" t="n">
        <v>232007</v>
      </c>
      <c r="C24" s="5" t="s">
        <v>618</v>
      </c>
      <c r="D24" s="5" t="s">
        <v>619</v>
      </c>
      <c r="E24" s="5" t="n">
        <f aca="false">VLOOKUP($B24,[1]Day1!$A$1:$H$394,4,FALSE())</f>
        <v>0.5</v>
      </c>
      <c r="F24" s="5" t="n">
        <f aca="false">VLOOKUP($B24,[1]Day1!$A$1:$H$394,5,FALSE())</f>
        <v>1</v>
      </c>
      <c r="G24" s="5" t="n">
        <f aca="false">VLOOKUP($B24,[1]Day1!$A$1:$H$394,6,FALSE())</f>
        <v>0</v>
      </c>
      <c r="H24" s="5" t="n">
        <f aca="false">VLOOKUP($B24,[1]Day2!$A$1:$H$400,4,FALSE())</f>
        <v>0</v>
      </c>
      <c r="I24" s="5" t="n">
        <f aca="false">VLOOKUP($B24,[1]Day2!$A$1:$H$400,5,FALSE())</f>
        <v>1</v>
      </c>
      <c r="J24" s="5" t="n">
        <f aca="false">VLOOKUP($B24,[1]Day2!$A$1:$H$400,6,FALSE())</f>
        <v>0</v>
      </c>
      <c r="K24" s="5" t="n">
        <f aca="false">SUM(E24:J24)</f>
        <v>2.5</v>
      </c>
      <c r="L24" s="0"/>
    </row>
    <row r="25" customFormat="false" ht="12.75" hidden="false" customHeight="true" outlineLevel="0" collapsed="false">
      <c r="A25" s="1" t="n">
        <v>24</v>
      </c>
      <c r="B25" s="5" t="n">
        <v>107334</v>
      </c>
      <c r="C25" s="5" t="s">
        <v>620</v>
      </c>
      <c r="D25" s="5" t="s">
        <v>70</v>
      </c>
      <c r="E25" s="5" t="n">
        <f aca="false">VLOOKUP($B25,[1]Day1!$A$1:$H$394,4,FALSE())</f>
        <v>0.5</v>
      </c>
      <c r="F25" s="5" t="n">
        <f aca="false">VLOOKUP($B25,[1]Day1!$A$1:$H$394,5,FALSE())</f>
        <v>0</v>
      </c>
      <c r="G25" s="5" t="n">
        <f aca="false">VLOOKUP($B25,[1]Day1!$A$1:$H$394,6,FALSE())</f>
        <v>0</v>
      </c>
      <c r="H25" s="5" t="n">
        <f aca="false">VLOOKUP($B25,[1]Day2!$A$1:$H$400,4,FALSE())</f>
        <v>2</v>
      </c>
      <c r="I25" s="5" t="n">
        <f aca="false">VLOOKUP($B25,[1]Day2!$A$1:$H$400,5,FALSE())</f>
        <v>0</v>
      </c>
      <c r="J25" s="5" t="n">
        <f aca="false">VLOOKUP($B25,[1]Day2!$A$1:$H$400,6,FALSE())</f>
        <v>0</v>
      </c>
      <c r="K25" s="5" t="n">
        <f aca="false">SUM(E25:J25)</f>
        <v>2.5</v>
      </c>
      <c r="L25" s="0"/>
    </row>
    <row r="26" customFormat="false" ht="12.75" hidden="false" customHeight="true" outlineLevel="0" collapsed="false">
      <c r="A26" s="1" t="n">
        <v>25</v>
      </c>
      <c r="B26" s="5" t="n">
        <v>232056</v>
      </c>
      <c r="C26" s="5" t="s">
        <v>621</v>
      </c>
      <c r="D26" s="5" t="s">
        <v>622</v>
      </c>
      <c r="E26" s="5" t="n">
        <f aca="false">VLOOKUP($B26,[1]Day1!$A$1:$H$394,4,FALSE())</f>
        <v>2</v>
      </c>
      <c r="F26" s="5" t="n">
        <f aca="false">VLOOKUP($B26,[1]Day1!$A$1:$H$394,5,FALSE())</f>
        <v>0</v>
      </c>
      <c r="G26" s="5" t="n">
        <f aca="false">VLOOKUP($B26,[1]Day1!$A$1:$H$394,6,FALSE())</f>
        <v>0</v>
      </c>
      <c r="H26" s="5"/>
      <c r="I26" s="5"/>
      <c r="J26" s="5"/>
      <c r="K26" s="5" t="n">
        <f aca="false">SUM(E26:J26)</f>
        <v>2</v>
      </c>
      <c r="L26" s="0"/>
    </row>
    <row r="27" customFormat="false" ht="12.75" hidden="false" customHeight="true" outlineLevel="0" collapsed="false">
      <c r="A27" s="1" t="n">
        <v>26</v>
      </c>
      <c r="B27" s="5" t="n">
        <v>128152</v>
      </c>
      <c r="C27" s="5" t="s">
        <v>623</v>
      </c>
      <c r="D27" s="5" t="s">
        <v>624</v>
      </c>
      <c r="E27" s="5" t="n">
        <f aca="false">VLOOKUP($B27,[1]Day1!$A$1:$H$394,4,FALSE())</f>
        <v>1</v>
      </c>
      <c r="F27" s="5" t="n">
        <f aca="false">VLOOKUP($B27,[1]Day1!$A$1:$H$394,5,FALSE())</f>
        <v>0</v>
      </c>
      <c r="G27" s="5" t="n">
        <f aca="false">VLOOKUP($B27,[1]Day1!$A$1:$H$394,6,FALSE())</f>
        <v>0</v>
      </c>
      <c r="H27" s="5" t="n">
        <f aca="false">VLOOKUP($B27,[1]Day2!$A$1:$H$400,4,FALSE())</f>
        <v>0</v>
      </c>
      <c r="I27" s="5" t="n">
        <f aca="false">VLOOKUP($B27,[1]Day2!$A$1:$H$400,5,FALSE())</f>
        <v>1</v>
      </c>
      <c r="J27" s="5" t="n">
        <f aca="false">VLOOKUP($B27,[1]Day2!$A$1:$H$400,6,FALSE())</f>
        <v>0</v>
      </c>
      <c r="K27" s="5" t="n">
        <f aca="false">SUM(E27:J27)</f>
        <v>2</v>
      </c>
      <c r="L27" s="0"/>
    </row>
    <row r="28" customFormat="false" ht="12.75" hidden="false" customHeight="true" outlineLevel="0" collapsed="false">
      <c r="A28" s="1" t="n">
        <v>27</v>
      </c>
      <c r="B28" s="5" t="n">
        <v>196774</v>
      </c>
      <c r="C28" s="5" t="s">
        <v>625</v>
      </c>
      <c r="D28" s="5" t="s">
        <v>409</v>
      </c>
      <c r="E28" s="5" t="n">
        <f aca="false">VLOOKUP($B28,[1]Day1!$A$1:$H$394,4,FALSE())</f>
        <v>1</v>
      </c>
      <c r="F28" s="5" t="n">
        <f aca="false">VLOOKUP($B28,[1]Day1!$A$1:$H$394,5,FALSE())</f>
        <v>0</v>
      </c>
      <c r="G28" s="5" t="n">
        <f aca="false">VLOOKUP($B28,[1]Day1!$A$1:$H$394,6,FALSE())</f>
        <v>0</v>
      </c>
      <c r="H28" s="5" t="n">
        <f aca="false">VLOOKUP($B28,[1]Day2!$A$1:$H$400,4,FALSE())</f>
        <v>1</v>
      </c>
      <c r="I28" s="5" t="n">
        <f aca="false">VLOOKUP($B28,[1]Day2!$A$1:$H$400,5,FALSE())</f>
        <v>0</v>
      </c>
      <c r="J28" s="5" t="n">
        <f aca="false">VLOOKUP($B28,[1]Day2!$A$1:$H$400,6,FALSE())</f>
        <v>0</v>
      </c>
      <c r="K28" s="5" t="n">
        <f aca="false">SUM(E28:J28)</f>
        <v>2</v>
      </c>
      <c r="L28" s="0"/>
    </row>
    <row r="29" customFormat="false" ht="12.75" hidden="false" customHeight="true" outlineLevel="0" collapsed="false">
      <c r="A29" s="1" t="n">
        <v>28</v>
      </c>
      <c r="B29" s="5" t="n">
        <v>107327</v>
      </c>
      <c r="C29" s="5" t="s">
        <v>626</v>
      </c>
      <c r="D29" s="5" t="s">
        <v>627</v>
      </c>
      <c r="E29" s="5" t="n">
        <f aca="false">VLOOKUP($B29,[1]Day1!$A$1:$H$394,4,FALSE())</f>
        <v>0.5</v>
      </c>
      <c r="F29" s="5" t="n">
        <f aca="false">VLOOKUP($B29,[1]Day1!$A$1:$H$394,5,FALSE())</f>
        <v>1</v>
      </c>
      <c r="G29" s="5" t="n">
        <f aca="false">VLOOKUP($B29,[1]Day1!$A$1:$H$394,6,FALSE())</f>
        <v>0</v>
      </c>
      <c r="H29" s="5" t="n">
        <f aca="false">VLOOKUP($B29,[1]Day2!$A$1:$H$400,4,FALSE())</f>
        <v>0</v>
      </c>
      <c r="I29" s="5" t="n">
        <f aca="false">VLOOKUP($B29,[1]Day2!$A$1:$H$400,5,FALSE())</f>
        <v>0</v>
      </c>
      <c r="J29" s="5" t="n">
        <f aca="false">VLOOKUP($B29,[1]Day2!$A$1:$H$400,6,FALSE())</f>
        <v>0</v>
      </c>
      <c r="K29" s="5" t="n">
        <f aca="false">SUM(E29:J29)</f>
        <v>1.5</v>
      </c>
      <c r="L29" s="0"/>
    </row>
    <row r="30" customFormat="false" ht="12.75" hidden="false" customHeight="true" outlineLevel="0" collapsed="false">
      <c r="A30" s="1" t="n">
        <v>29</v>
      </c>
      <c r="B30" s="5" t="n">
        <v>99109</v>
      </c>
      <c r="C30" s="5" t="s">
        <v>326</v>
      </c>
      <c r="D30" s="5" t="s">
        <v>18</v>
      </c>
      <c r="E30" s="5" t="n">
        <f aca="false">VLOOKUP($B30,[1]Day1!$A$1:$H$394,4,FALSE())</f>
        <v>0.5</v>
      </c>
      <c r="F30" s="5" t="n">
        <f aca="false">VLOOKUP($B30,[1]Day1!$A$1:$H$394,5,FALSE())</f>
        <v>1</v>
      </c>
      <c r="G30" s="5" t="n">
        <f aca="false">VLOOKUP($B30,[1]Day1!$A$1:$H$394,6,FALSE())</f>
        <v>0</v>
      </c>
      <c r="H30" s="5"/>
      <c r="I30" s="5"/>
      <c r="J30" s="5"/>
      <c r="K30" s="5" t="n">
        <f aca="false">SUM(E30:J30)</f>
        <v>1.5</v>
      </c>
      <c r="L30" s="0"/>
    </row>
    <row r="31" customFormat="false" ht="12.75" hidden="false" customHeight="true" outlineLevel="0" collapsed="false">
      <c r="A31" s="1" t="n">
        <v>30</v>
      </c>
      <c r="B31" s="5" t="n">
        <v>231996</v>
      </c>
      <c r="C31" s="5" t="s">
        <v>628</v>
      </c>
      <c r="D31" s="5" t="s">
        <v>629</v>
      </c>
      <c r="E31" s="5" t="n">
        <f aca="false">VLOOKUP($B31,[1]Day1!$A$1:$H$394,4,FALSE())</f>
        <v>1</v>
      </c>
      <c r="F31" s="5" t="n">
        <f aca="false">VLOOKUP($B31,[1]Day1!$A$1:$H$394,5,FALSE())</f>
        <v>0</v>
      </c>
      <c r="G31" s="5" t="n">
        <f aca="false">VLOOKUP($B31,[1]Day1!$A$1:$H$394,6,FALSE())</f>
        <v>0</v>
      </c>
      <c r="H31" s="5" t="n">
        <f aca="false">VLOOKUP($B31,[1]Day2!$A$1:$H$400,4,FALSE())</f>
        <v>0</v>
      </c>
      <c r="I31" s="5" t="n">
        <f aca="false">VLOOKUP($B31,[1]Day2!$A$1:$H$400,5,FALSE())</f>
        <v>0</v>
      </c>
      <c r="J31" s="5" t="n">
        <f aca="false">VLOOKUP($B31,[1]Day2!$A$1:$H$400,6,FALSE())</f>
        <v>0</v>
      </c>
      <c r="K31" s="5" t="n">
        <f aca="false">SUM(E31:J31)</f>
        <v>1</v>
      </c>
      <c r="L31" s="0"/>
    </row>
    <row r="32" customFormat="false" ht="12.75" hidden="false" customHeight="true" outlineLevel="0" collapsed="false">
      <c r="A32" s="1" t="n">
        <v>31</v>
      </c>
      <c r="B32" s="5" t="n">
        <v>231833</v>
      </c>
      <c r="C32" s="5" t="s">
        <v>630</v>
      </c>
      <c r="D32" s="5" t="s">
        <v>631</v>
      </c>
      <c r="E32" s="5" t="n">
        <f aca="false">VLOOKUP($B32,[1]Day1!$A$1:$H$394,4,FALSE())</f>
        <v>0</v>
      </c>
      <c r="F32" s="5" t="n">
        <f aca="false">VLOOKUP($B32,[1]Day1!$A$1:$H$394,5,FALSE())</f>
        <v>0</v>
      </c>
      <c r="G32" s="5" t="n">
        <f aca="false">VLOOKUP($B32,[1]Day1!$A$1:$H$394,6,FALSE())</f>
        <v>0</v>
      </c>
      <c r="H32" s="5" t="n">
        <f aca="false">VLOOKUP($B32,[1]Day2!$A$1:$H$400,4,FALSE())</f>
        <v>0</v>
      </c>
      <c r="I32" s="5" t="n">
        <f aca="false">VLOOKUP($B32,[1]Day2!$A$1:$H$400,5,FALSE())</f>
        <v>1</v>
      </c>
      <c r="J32" s="5" t="n">
        <f aca="false">VLOOKUP($B32,[1]Day2!$A$1:$H$400,6,FALSE())</f>
        <v>0</v>
      </c>
      <c r="K32" s="5" t="n">
        <f aca="false">SUM(E32:J32)</f>
        <v>1</v>
      </c>
      <c r="L32" s="0"/>
    </row>
    <row r="33" customFormat="false" ht="12.75" hidden="false" customHeight="true" outlineLevel="0" collapsed="false">
      <c r="A33" s="1" t="n">
        <v>32</v>
      </c>
      <c r="B33" s="5" t="n">
        <v>107318</v>
      </c>
      <c r="C33" s="5" t="s">
        <v>288</v>
      </c>
      <c r="D33" s="5" t="s">
        <v>313</v>
      </c>
      <c r="E33" s="5" t="n">
        <f aca="false">VLOOKUP($B33,[1]Day1!$A$1:$H$394,4,FALSE())</f>
        <v>0.5</v>
      </c>
      <c r="F33" s="5" t="n">
        <f aca="false">VLOOKUP($B33,[1]Day1!$A$1:$H$394,5,FALSE())</f>
        <v>0</v>
      </c>
      <c r="G33" s="5" t="n">
        <f aca="false">VLOOKUP($B33,[1]Day1!$A$1:$H$394,6,FALSE())</f>
        <v>0</v>
      </c>
      <c r="H33" s="5"/>
      <c r="I33" s="5"/>
      <c r="J33" s="5"/>
      <c r="K33" s="5" t="n">
        <f aca="false">SUM(E33:J33)</f>
        <v>0.5</v>
      </c>
      <c r="L33" s="0"/>
    </row>
    <row r="34" customFormat="false" ht="12.75" hidden="false" customHeight="true" outlineLevel="0" collapsed="false">
      <c r="A34" s="1" t="n">
        <v>33</v>
      </c>
      <c r="B34" s="5" t="n">
        <v>177724</v>
      </c>
      <c r="C34" s="5" t="s">
        <v>273</v>
      </c>
      <c r="D34" s="5" t="s">
        <v>632</v>
      </c>
      <c r="E34" s="5" t="n">
        <f aca="false">VLOOKUP($B34,[1]Day1!$A$1:$H$394,4,FALSE())</f>
        <v>0.5</v>
      </c>
      <c r="F34" s="5" t="n">
        <f aca="false">VLOOKUP($B34,[1]Day1!$A$1:$H$394,5,FALSE())</f>
        <v>0</v>
      </c>
      <c r="G34" s="5" t="n">
        <f aca="false">VLOOKUP($B34,[1]Day1!$A$1:$H$394,6,FALSE())</f>
        <v>0</v>
      </c>
      <c r="H34" s="5" t="n">
        <f aca="false">VLOOKUP($B34,[1]Day2!$A$1:$H$400,4,FALSE())</f>
        <v>0</v>
      </c>
      <c r="I34" s="5" t="n">
        <f aca="false">VLOOKUP($B34,[1]Day2!$A$1:$H$400,5,FALSE())</f>
        <v>0</v>
      </c>
      <c r="J34" s="5" t="n">
        <f aca="false">VLOOKUP($B34,[1]Day2!$A$1:$H$400,6,FALSE())</f>
        <v>0</v>
      </c>
      <c r="K34" s="5" t="n">
        <f aca="false">SUM(E34:J34)</f>
        <v>0.5</v>
      </c>
      <c r="L34" s="0"/>
    </row>
    <row r="35" customFormat="false" ht="12.75" hidden="false" customHeight="true" outlineLevel="0" collapsed="false">
      <c r="A35" s="1" t="n">
        <v>34</v>
      </c>
      <c r="B35" s="5" t="n">
        <v>194915</v>
      </c>
      <c r="C35" s="5" t="s">
        <v>297</v>
      </c>
      <c r="D35" s="5" t="s">
        <v>46</v>
      </c>
      <c r="E35" s="5" t="n">
        <f aca="false">VLOOKUP($B35,[1]Day1!$A$1:$H$394,4,FALSE())</f>
        <v>0.5</v>
      </c>
      <c r="F35" s="5" t="n">
        <f aca="false">VLOOKUP($B35,[1]Day1!$A$1:$H$394,5,FALSE())</f>
        <v>0</v>
      </c>
      <c r="G35" s="5" t="n">
        <f aca="false">VLOOKUP($B35,[1]Day1!$A$1:$H$394,6,FALSE())</f>
        <v>0</v>
      </c>
      <c r="H35" s="5" t="n">
        <f aca="false">VLOOKUP($B35,[1]Day2!$A$1:$H$400,4,FALSE())</f>
        <v>0</v>
      </c>
      <c r="I35" s="5" t="n">
        <f aca="false">VLOOKUP($B35,[1]Day2!$A$1:$H$400,5,FALSE())</f>
        <v>0</v>
      </c>
      <c r="J35" s="5" t="n">
        <f aca="false">VLOOKUP($B35,[1]Day2!$A$1:$H$400,6,FALSE())</f>
        <v>0</v>
      </c>
      <c r="K35" s="5" t="n">
        <f aca="false">SUM(E35:J35)</f>
        <v>0.5</v>
      </c>
      <c r="L35" s="0"/>
    </row>
    <row r="36" customFormat="false" ht="12.75" hidden="false" customHeight="true" outlineLevel="0" collapsed="false">
      <c r="A36" s="1" t="n">
        <v>35</v>
      </c>
      <c r="B36" s="5" t="n">
        <v>232109</v>
      </c>
      <c r="C36" s="5" t="s">
        <v>379</v>
      </c>
      <c r="D36" s="5" t="s">
        <v>34</v>
      </c>
      <c r="E36" s="5" t="n">
        <f aca="false">VLOOKUP($B36,[1]Day1!$A$1:$H$394,4,FALSE())</f>
        <v>0.5</v>
      </c>
      <c r="F36" s="5" t="n">
        <f aca="false">VLOOKUP($B36,[1]Day1!$A$1:$H$394,5,FALSE())</f>
        <v>0</v>
      </c>
      <c r="G36" s="5" t="n">
        <f aca="false">VLOOKUP($B36,[1]Day1!$A$1:$H$394,6,FALSE())</f>
        <v>0</v>
      </c>
      <c r="H36" s="5"/>
      <c r="I36" s="5"/>
      <c r="J36" s="5"/>
      <c r="K36" s="5" t="n">
        <f aca="false">SUM(E36:J36)</f>
        <v>0.5</v>
      </c>
      <c r="L36" s="0"/>
    </row>
    <row r="37" customFormat="false" ht="12.75" hidden="false" customHeight="true" outlineLevel="0" collapsed="false">
      <c r="A37" s="1" t="n">
        <v>36</v>
      </c>
      <c r="B37" s="5" t="n">
        <v>181836</v>
      </c>
      <c r="C37" s="5" t="s">
        <v>633</v>
      </c>
      <c r="D37" s="5" t="s">
        <v>634</v>
      </c>
      <c r="E37" s="5" t="n">
        <f aca="false">VLOOKUP($B37,[1]Day1!$A$1:$H$394,4,FALSE())</f>
        <v>0</v>
      </c>
      <c r="F37" s="5" t="n">
        <f aca="false">VLOOKUP($B37,[1]Day1!$A$1:$H$394,5,FALSE())</f>
        <v>0</v>
      </c>
      <c r="G37" s="5" t="n">
        <f aca="false">VLOOKUP($B37,[1]Day1!$A$1:$H$394,6,FALSE())</f>
        <v>0</v>
      </c>
      <c r="H37" s="5"/>
      <c r="I37" s="5"/>
      <c r="J37" s="5"/>
      <c r="K37" s="5" t="n">
        <f aca="false">SUM(E37:J37)</f>
        <v>0</v>
      </c>
      <c r="L37" s="0"/>
    </row>
    <row r="38" customFormat="false" ht="12.75" hidden="false" customHeight="true" outlineLevel="0" collapsed="false">
      <c r="A38" s="1" t="n">
        <v>37</v>
      </c>
      <c r="B38" s="5" t="n">
        <v>177741</v>
      </c>
      <c r="C38" s="5" t="s">
        <v>358</v>
      </c>
      <c r="D38" s="5" t="s">
        <v>635</v>
      </c>
      <c r="E38" s="5" t="n">
        <f aca="false">VLOOKUP($B38,[1]Day1!$A$1:$H$394,4,FALSE())</f>
        <v>0</v>
      </c>
      <c r="F38" s="5" t="n">
        <f aca="false">VLOOKUP($B38,[1]Day1!$A$1:$H$394,5,FALSE())</f>
        <v>0</v>
      </c>
      <c r="G38" s="5" t="n">
        <f aca="false">VLOOKUP($B38,[1]Day1!$A$1:$H$394,6,FALSE())</f>
        <v>0</v>
      </c>
      <c r="H38" s="5"/>
      <c r="I38" s="5"/>
      <c r="J38" s="5"/>
      <c r="K38" s="5" t="n">
        <f aca="false">SUM(E38:J38)</f>
        <v>0</v>
      </c>
      <c r="L38" s="0"/>
    </row>
    <row r="39" customFormat="false" ht="12.75" hidden="false" customHeight="true" outlineLevel="0" collapsed="false">
      <c r="A39" s="1" t="n">
        <v>38</v>
      </c>
      <c r="B39" s="5" t="n">
        <v>99373</v>
      </c>
      <c r="C39" s="5" t="s">
        <v>636</v>
      </c>
      <c r="D39" s="5" t="s">
        <v>637</v>
      </c>
      <c r="E39" s="5" t="n">
        <f aca="false">VLOOKUP($B39,[1]Day1!$A$1:$H$394,4,FALSE())</f>
        <v>0</v>
      </c>
      <c r="F39" s="5" t="n">
        <f aca="false">VLOOKUP($B39,[1]Day1!$A$1:$H$394,5,FALSE())</f>
        <v>0</v>
      </c>
      <c r="G39" s="5" t="n">
        <f aca="false">VLOOKUP($B39,[1]Day1!$A$1:$H$394,6,FALSE())</f>
        <v>0</v>
      </c>
      <c r="H39" s="5"/>
      <c r="I39" s="5"/>
      <c r="J39" s="5"/>
      <c r="K39" s="5" t="n">
        <f aca="false">SUM(E39:J39)</f>
        <v>0</v>
      </c>
      <c r="L39" s="0"/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3" min="3" style="6" width="30.14"/>
  </cols>
  <sheetData>
    <row r="1" customFormat="false" ht="12.75" hidden="false" customHeight="false" outlineLevel="0" collapsed="false">
      <c r="A1" s="6" t="s">
        <v>638</v>
      </c>
      <c r="B1" s="0" t="s">
        <v>639</v>
      </c>
    </row>
    <row r="2" customFormat="false" ht="12.75" hidden="false" customHeight="false" outlineLevel="0" collapsed="false">
      <c r="A2" s="6" t="s">
        <v>640</v>
      </c>
      <c r="B2" s="0" t="n">
        <v>19</v>
      </c>
      <c r="C2" s="6" t="s">
        <v>641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2025-12-15T14:16:47Z</dcterms:created>
  <dc:creator/>
  <dc:description/>
  <dc:language>en-US</dc:language>
  <cp:lastModifiedBy/>
  <dcterms:modified xsi:type="dcterms:W3CDTF">2025-12-20T16:28:56Z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