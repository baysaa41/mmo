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OneDrive\Documents\"/>
    </mc:Choice>
  </mc:AlternateContent>
  <xr:revisionPtr revIDLastSave="0" documentId="13_ncr:1_{51F71455-AEDB-4DC7-800E-11BA78CCD580}" xr6:coauthVersionLast="47" xr6:coauthVersionMax="47" xr10:uidLastSave="{00000000-0000-0000-0000-000000000000}"/>
  <bookViews>
    <workbookView xWindow="-110" yWindow="-110" windowWidth="19420" windowHeight="10300" activeTab="3" xr2:uid="{4EA7054C-1D28-4767-8530-1A672C30984C}"/>
  </bookViews>
  <sheets>
    <sheet name="C ангилал" sheetId="1" r:id="rId1"/>
    <sheet name="D ангилал" sheetId="2" r:id="rId2"/>
    <sheet name="E ангилал" sheetId="3" r:id="rId3"/>
    <sheet name="F ангилал" sheetId="6" r:id="rId4"/>
    <sheet name="S ангилал" sheetId="4" r:id="rId5"/>
    <sheet name="Т ангилал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" i="6" l="1"/>
  <c r="N137" i="6"/>
  <c r="J137" i="6"/>
  <c r="N136" i="6"/>
  <c r="O136" i="6" s="1"/>
  <c r="J136" i="6"/>
  <c r="N135" i="6"/>
  <c r="J135" i="6"/>
  <c r="O135" i="6" s="1"/>
  <c r="N134" i="6"/>
  <c r="J134" i="6"/>
  <c r="O134" i="6" s="1"/>
  <c r="O133" i="6"/>
  <c r="N133" i="6"/>
  <c r="J133" i="6"/>
  <c r="N132" i="6"/>
  <c r="O132" i="6" s="1"/>
  <c r="J132" i="6"/>
  <c r="N131" i="6"/>
  <c r="J131" i="6"/>
  <c r="O131" i="6" s="1"/>
  <c r="N130" i="6"/>
  <c r="J130" i="6"/>
  <c r="O130" i="6" s="1"/>
  <c r="O129" i="6"/>
  <c r="N129" i="6"/>
  <c r="J129" i="6"/>
  <c r="N128" i="6"/>
  <c r="O128" i="6" s="1"/>
  <c r="J128" i="6"/>
  <c r="N127" i="6"/>
  <c r="J127" i="6"/>
  <c r="O127" i="6" s="1"/>
  <c r="N126" i="6"/>
  <c r="J126" i="6"/>
  <c r="O126" i="6" s="1"/>
  <c r="O125" i="6"/>
  <c r="N125" i="6"/>
  <c r="J125" i="6"/>
  <c r="N124" i="6"/>
  <c r="O124" i="6" s="1"/>
  <c r="J124" i="6"/>
  <c r="N123" i="6"/>
  <c r="J123" i="6"/>
  <c r="O123" i="6" s="1"/>
  <c r="N122" i="6"/>
  <c r="J122" i="6"/>
  <c r="O122" i="6" s="1"/>
  <c r="O121" i="6"/>
  <c r="N121" i="6"/>
  <c r="J121" i="6"/>
  <c r="N120" i="6"/>
  <c r="O120" i="6" s="1"/>
  <c r="J120" i="6"/>
  <c r="N119" i="6"/>
  <c r="J119" i="6"/>
  <c r="O119" i="6" s="1"/>
  <c r="N118" i="6"/>
  <c r="J118" i="6"/>
  <c r="O118" i="6" s="1"/>
  <c r="O117" i="6"/>
  <c r="N117" i="6"/>
  <c r="J117" i="6"/>
  <c r="N116" i="6"/>
  <c r="O116" i="6" s="1"/>
  <c r="J116" i="6"/>
  <c r="N115" i="6"/>
  <c r="J115" i="6"/>
  <c r="O115" i="6" s="1"/>
  <c r="N114" i="6"/>
  <c r="J114" i="6"/>
  <c r="O114" i="6" s="1"/>
  <c r="O113" i="6"/>
  <c r="N113" i="6"/>
  <c r="J113" i="6"/>
  <c r="N112" i="6"/>
  <c r="O112" i="6" s="1"/>
  <c r="J112" i="6"/>
  <c r="N111" i="6"/>
  <c r="J111" i="6"/>
  <c r="O111" i="6" s="1"/>
  <c r="N110" i="6"/>
  <c r="J110" i="6"/>
  <c r="O110" i="6" s="1"/>
  <c r="O109" i="6"/>
  <c r="N109" i="6"/>
  <c r="J109" i="6"/>
  <c r="N108" i="6"/>
  <c r="O108" i="6" s="1"/>
  <c r="J108" i="6"/>
  <c r="N107" i="6"/>
  <c r="J107" i="6"/>
  <c r="O107" i="6" s="1"/>
  <c r="N106" i="6"/>
  <c r="J106" i="6"/>
  <c r="O106" i="6" s="1"/>
  <c r="O105" i="6"/>
  <c r="N105" i="6"/>
  <c r="J105" i="6"/>
  <c r="N104" i="6"/>
  <c r="O104" i="6" s="1"/>
  <c r="J104" i="6"/>
  <c r="N103" i="6"/>
  <c r="J103" i="6"/>
  <c r="O103" i="6" s="1"/>
  <c r="N102" i="6"/>
  <c r="J102" i="6"/>
  <c r="O102" i="6" s="1"/>
  <c r="O101" i="6"/>
  <c r="N101" i="6"/>
  <c r="J101" i="6"/>
  <c r="N100" i="6"/>
  <c r="O100" i="6" s="1"/>
  <c r="J100" i="6"/>
  <c r="N99" i="6"/>
  <c r="J99" i="6"/>
  <c r="O99" i="6" s="1"/>
  <c r="N98" i="6"/>
  <c r="J98" i="6"/>
  <c r="O98" i="6" s="1"/>
  <c r="O97" i="6"/>
  <c r="N97" i="6"/>
  <c r="J97" i="6"/>
  <c r="N96" i="6"/>
  <c r="O96" i="6" s="1"/>
  <c r="J96" i="6"/>
  <c r="N95" i="6"/>
  <c r="J95" i="6"/>
  <c r="O95" i="6" s="1"/>
  <c r="N94" i="6"/>
  <c r="J94" i="6"/>
  <c r="O94" i="6" s="1"/>
  <c r="O93" i="6"/>
  <c r="N93" i="6"/>
  <c r="J93" i="6"/>
  <c r="N92" i="6"/>
  <c r="O92" i="6" s="1"/>
  <c r="J92" i="6"/>
  <c r="N91" i="6"/>
  <c r="J91" i="6"/>
  <c r="O91" i="6" s="1"/>
  <c r="N90" i="6"/>
  <c r="J90" i="6"/>
  <c r="O90" i="6" s="1"/>
  <c r="O89" i="6"/>
  <c r="N89" i="6"/>
  <c r="J89" i="6"/>
  <c r="N88" i="6"/>
  <c r="O88" i="6" s="1"/>
  <c r="J88" i="6"/>
  <c r="N87" i="6"/>
  <c r="J87" i="6"/>
  <c r="O87" i="6" s="1"/>
  <c r="N86" i="6"/>
  <c r="J86" i="6"/>
  <c r="O86" i="6" s="1"/>
  <c r="O85" i="6"/>
  <c r="N85" i="6"/>
  <c r="J85" i="6"/>
  <c r="N84" i="6"/>
  <c r="O84" i="6" s="1"/>
  <c r="J84" i="6"/>
  <c r="N83" i="6"/>
  <c r="J83" i="6"/>
  <c r="O83" i="6" s="1"/>
  <c r="N82" i="6"/>
  <c r="J82" i="6"/>
  <c r="O82" i="6" s="1"/>
  <c r="O81" i="6"/>
  <c r="N81" i="6"/>
  <c r="J81" i="6"/>
  <c r="N80" i="6"/>
  <c r="O80" i="6" s="1"/>
  <c r="J80" i="6"/>
  <c r="N79" i="6"/>
  <c r="J79" i="6"/>
  <c r="O79" i="6" s="1"/>
  <c r="N78" i="6"/>
  <c r="J78" i="6"/>
  <c r="O78" i="6" s="1"/>
  <c r="O77" i="6"/>
  <c r="N77" i="6"/>
  <c r="J77" i="6"/>
  <c r="N76" i="6"/>
  <c r="O76" i="6" s="1"/>
  <c r="J76" i="6"/>
  <c r="N75" i="6"/>
  <c r="J75" i="6"/>
  <c r="O75" i="6" s="1"/>
  <c r="N74" i="6"/>
  <c r="J74" i="6"/>
  <c r="O74" i="6" s="1"/>
  <c r="O73" i="6"/>
  <c r="N73" i="6"/>
  <c r="J73" i="6"/>
  <c r="N72" i="6"/>
  <c r="O72" i="6" s="1"/>
  <c r="J72" i="6"/>
  <c r="N71" i="6"/>
  <c r="J71" i="6"/>
  <c r="O71" i="6" s="1"/>
  <c r="N70" i="6"/>
  <c r="J70" i="6"/>
  <c r="O70" i="6" s="1"/>
  <c r="O69" i="6"/>
  <c r="N69" i="6"/>
  <c r="J69" i="6"/>
  <c r="N68" i="6"/>
  <c r="O68" i="6" s="1"/>
  <c r="J68" i="6"/>
  <c r="N67" i="6"/>
  <c r="J67" i="6"/>
  <c r="O67" i="6" s="1"/>
  <c r="N66" i="6"/>
  <c r="J66" i="6"/>
  <c r="O66" i="6" s="1"/>
  <c r="O65" i="6"/>
  <c r="N65" i="6"/>
  <c r="J65" i="6"/>
  <c r="N64" i="6"/>
  <c r="O64" i="6" s="1"/>
  <c r="J64" i="6"/>
  <c r="N63" i="6"/>
  <c r="J63" i="6"/>
  <c r="O63" i="6" s="1"/>
  <c r="N62" i="6"/>
  <c r="J62" i="6"/>
  <c r="O62" i="6" s="1"/>
  <c r="O61" i="6"/>
  <c r="N61" i="6"/>
  <c r="J61" i="6"/>
  <c r="N60" i="6"/>
  <c r="O60" i="6" s="1"/>
  <c r="J60" i="6"/>
  <c r="N59" i="6"/>
  <c r="J59" i="6"/>
  <c r="O59" i="6" s="1"/>
  <c r="N58" i="6"/>
  <c r="J58" i="6"/>
  <c r="O58" i="6" s="1"/>
  <c r="O57" i="6"/>
  <c r="N57" i="6"/>
  <c r="J57" i="6"/>
  <c r="N56" i="6"/>
  <c r="O56" i="6" s="1"/>
  <c r="J56" i="6"/>
  <c r="N55" i="6"/>
  <c r="J55" i="6"/>
  <c r="O55" i="6" s="1"/>
  <c r="N54" i="6"/>
  <c r="J54" i="6"/>
  <c r="O54" i="6" s="1"/>
  <c r="O53" i="6"/>
  <c r="N53" i="6"/>
  <c r="J53" i="6"/>
  <c r="N52" i="6"/>
  <c r="O52" i="6" s="1"/>
  <c r="J52" i="6"/>
  <c r="N51" i="6"/>
  <c r="J51" i="6"/>
  <c r="O51" i="6" s="1"/>
  <c r="N50" i="6"/>
  <c r="J50" i="6"/>
  <c r="O50" i="6" s="1"/>
  <c r="O49" i="6"/>
  <c r="N49" i="6"/>
  <c r="J49" i="6"/>
  <c r="N48" i="6"/>
  <c r="O48" i="6" s="1"/>
  <c r="J48" i="6"/>
  <c r="N47" i="6"/>
  <c r="J47" i="6"/>
  <c r="O47" i="6" s="1"/>
  <c r="N46" i="6"/>
  <c r="J46" i="6"/>
  <c r="O46" i="6" s="1"/>
  <c r="O45" i="6"/>
  <c r="N45" i="6"/>
  <c r="J45" i="6"/>
  <c r="N44" i="6"/>
  <c r="O44" i="6" s="1"/>
  <c r="J44" i="6"/>
  <c r="N43" i="6"/>
  <c r="J43" i="6"/>
  <c r="O43" i="6" s="1"/>
  <c r="N42" i="6"/>
  <c r="J42" i="6"/>
  <c r="O42" i="6" s="1"/>
  <c r="O41" i="6"/>
  <c r="N41" i="6"/>
  <c r="J41" i="6"/>
  <c r="N40" i="6"/>
  <c r="O40" i="6" s="1"/>
  <c r="J40" i="6"/>
  <c r="N39" i="6"/>
  <c r="J39" i="6"/>
  <c r="O39" i="6" s="1"/>
  <c r="N38" i="6"/>
  <c r="J38" i="6"/>
  <c r="O38" i="6" s="1"/>
  <c r="O37" i="6"/>
  <c r="N37" i="6"/>
  <c r="J37" i="6"/>
  <c r="N36" i="6"/>
  <c r="O36" i="6" s="1"/>
  <c r="J36" i="6"/>
  <c r="N35" i="6"/>
  <c r="J35" i="6"/>
  <c r="O35" i="6" s="1"/>
  <c r="N34" i="6"/>
  <c r="J34" i="6"/>
  <c r="O34" i="6" s="1"/>
  <c r="O33" i="6"/>
  <c r="N33" i="6"/>
  <c r="J33" i="6"/>
  <c r="N32" i="6"/>
  <c r="O32" i="6" s="1"/>
  <c r="J32" i="6"/>
  <c r="N31" i="6"/>
  <c r="J31" i="6"/>
  <c r="O31" i="6" s="1"/>
  <c r="N30" i="6"/>
  <c r="J30" i="6"/>
  <c r="O30" i="6" s="1"/>
  <c r="O29" i="6"/>
  <c r="N29" i="6"/>
  <c r="J29" i="6"/>
  <c r="N28" i="6"/>
  <c r="O28" i="6" s="1"/>
  <c r="J28" i="6"/>
  <c r="N27" i="6"/>
  <c r="J27" i="6"/>
  <c r="O27" i="6" s="1"/>
  <c r="N26" i="6"/>
  <c r="J26" i="6"/>
  <c r="O26" i="6" s="1"/>
  <c r="O25" i="6"/>
  <c r="N25" i="6"/>
  <c r="J25" i="6"/>
  <c r="N24" i="6"/>
  <c r="O24" i="6" s="1"/>
  <c r="J24" i="6"/>
  <c r="N23" i="6"/>
  <c r="J23" i="6"/>
  <c r="O23" i="6" s="1"/>
  <c r="N22" i="6"/>
  <c r="J22" i="6"/>
  <c r="O22" i="6" s="1"/>
  <c r="O21" i="6"/>
  <c r="N21" i="6"/>
  <c r="J21" i="6"/>
  <c r="N20" i="6"/>
  <c r="O20" i="6" s="1"/>
  <c r="J20" i="6"/>
  <c r="N19" i="6"/>
  <c r="J19" i="6"/>
  <c r="O19" i="6" s="1"/>
  <c r="N18" i="6"/>
  <c r="J18" i="6"/>
  <c r="O18" i="6" s="1"/>
  <c r="O17" i="6"/>
  <c r="N17" i="6"/>
  <c r="J17" i="6"/>
  <c r="N16" i="6"/>
  <c r="O16" i="6" s="1"/>
  <c r="J16" i="6"/>
  <c r="N15" i="6"/>
  <c r="J15" i="6"/>
  <c r="O15" i="6" s="1"/>
  <c r="N14" i="6"/>
  <c r="J14" i="6"/>
  <c r="O14" i="6" s="1"/>
  <c r="O13" i="6"/>
  <c r="N13" i="6"/>
  <c r="J13" i="6"/>
  <c r="N12" i="6"/>
  <c r="O12" i="6" s="1"/>
  <c r="J12" i="6"/>
  <c r="N11" i="6"/>
  <c r="J11" i="6"/>
  <c r="O11" i="6" s="1"/>
  <c r="N10" i="6"/>
  <c r="J10" i="6"/>
  <c r="O10" i="6" s="1"/>
  <c r="O9" i="6"/>
  <c r="N9" i="6"/>
  <c r="J9" i="6"/>
  <c r="N8" i="6"/>
  <c r="O8" i="6" s="1"/>
  <c r="J8" i="6"/>
  <c r="N7" i="6"/>
  <c r="J7" i="6"/>
  <c r="O7" i="6" s="1"/>
  <c r="N6" i="6"/>
  <c r="J6" i="6"/>
  <c r="O6" i="6" s="1"/>
  <c r="O5" i="6"/>
  <c r="N5" i="6"/>
  <c r="J5" i="6"/>
  <c r="N4" i="6"/>
  <c r="O4" i="6" s="1"/>
  <c r="J4" i="6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</calcChain>
</file>

<file path=xl/sharedStrings.xml><?xml version="1.0" encoding="utf-8"?>
<sst xmlns="http://schemas.openxmlformats.org/spreadsheetml/2006/main" count="2328" uniqueCount="1039">
  <si>
    <t>Баянзүрх дүүргийн математикийн олимпиад C-ангилал (5-6 анги) Урдчилсан дүн мэдээ</t>
  </si>
  <si>
    <t>№</t>
  </si>
  <si>
    <t>Овог</t>
  </si>
  <si>
    <t>Нэр</t>
  </si>
  <si>
    <t>ID</t>
  </si>
  <si>
    <t>Сургууль</t>
  </si>
  <si>
    <t>Анги</t>
  </si>
  <si>
    <t>Б1</t>
  </si>
  <si>
    <t>Б2</t>
  </si>
  <si>
    <t>Б3</t>
  </si>
  <si>
    <t>Б4</t>
  </si>
  <si>
    <t>Нийт оноо</t>
  </si>
  <si>
    <t>Байр</t>
  </si>
  <si>
    <t>Билгүүнтөгс</t>
  </si>
  <si>
    <t>Монгол-Од</t>
  </si>
  <si>
    <t>Төгсдэлгэрэх</t>
  </si>
  <si>
    <t>I байр</t>
  </si>
  <si>
    <t>Адъяабазар</t>
  </si>
  <si>
    <t>Содбилэг</t>
  </si>
  <si>
    <t>Олонлог Академи</t>
  </si>
  <si>
    <t>II байр</t>
  </si>
  <si>
    <t>Жадамба</t>
  </si>
  <si>
    <t>Энх</t>
  </si>
  <si>
    <t>Шинэ Монгол 
сургууль</t>
  </si>
  <si>
    <t>Батбаяр</t>
  </si>
  <si>
    <t>Сувд-Эрдэнэ</t>
  </si>
  <si>
    <t>III байр</t>
  </si>
  <si>
    <t>Баттулга</t>
  </si>
  <si>
    <t>Болор-Эрдэнэ</t>
  </si>
  <si>
    <t>Улаанбаатар Эмпати</t>
  </si>
  <si>
    <t>Ганчимэг</t>
  </si>
  <si>
    <t>Эрхэм-Эрднэ</t>
  </si>
  <si>
    <t>Абсолют элит</t>
  </si>
  <si>
    <t xml:space="preserve">Болдбаатар </t>
  </si>
  <si>
    <t>Ялгуун</t>
  </si>
  <si>
    <t>53 сургууль</t>
  </si>
  <si>
    <t>Билгүүн</t>
  </si>
  <si>
    <t>Хангэрэл</t>
  </si>
  <si>
    <t>5в</t>
  </si>
  <si>
    <t>Бат-Отгон</t>
  </si>
  <si>
    <t>Есүй</t>
  </si>
  <si>
    <t>Х</t>
  </si>
  <si>
    <t>Ананд-Очир</t>
  </si>
  <si>
    <t>Энхбат</t>
  </si>
  <si>
    <t>Эрхэм</t>
  </si>
  <si>
    <t>Шинэ Монгол</t>
  </si>
  <si>
    <t>Түмэн-Өлзий</t>
  </si>
  <si>
    <t>Гэгээнхүслэн</t>
  </si>
  <si>
    <t>Амардалай</t>
  </si>
  <si>
    <t>Амартайван</t>
  </si>
  <si>
    <t>44-р сургууль</t>
  </si>
  <si>
    <t>Даваажаргал</t>
  </si>
  <si>
    <t>Төгсбилгүүн</t>
  </si>
  <si>
    <t>Оюунлаг</t>
  </si>
  <si>
    <t>6в</t>
  </si>
  <si>
    <t>Батмөнх</t>
  </si>
  <si>
    <t>Ананд</t>
  </si>
  <si>
    <t>Түмэнбаяр</t>
  </si>
  <si>
    <t>Замилан</t>
  </si>
  <si>
    <t>133-р сургууль</t>
  </si>
  <si>
    <t>Жаргалан</t>
  </si>
  <si>
    <t>Тэмүүлэн</t>
  </si>
  <si>
    <t>14-р сургууль</t>
  </si>
  <si>
    <t>З</t>
  </si>
  <si>
    <t>Чингүүн</t>
  </si>
  <si>
    <t>Олонлог академи</t>
  </si>
  <si>
    <t>6и</t>
  </si>
  <si>
    <t>Алдар</t>
  </si>
  <si>
    <t>Баяндалай</t>
  </si>
  <si>
    <t>97-р сургууль</t>
  </si>
  <si>
    <t>Золбаяр</t>
  </si>
  <si>
    <t>Удвал</t>
  </si>
  <si>
    <t>97-р Сургууль</t>
  </si>
  <si>
    <t>Мөнгөн</t>
  </si>
  <si>
    <t>Ануномин</t>
  </si>
  <si>
    <t>Эрхэмбаян Эрдэм</t>
  </si>
  <si>
    <t>6а</t>
  </si>
  <si>
    <t>Анхбаяр</t>
  </si>
  <si>
    <t>Содбаяр</t>
  </si>
  <si>
    <t>48-р сургууль</t>
  </si>
  <si>
    <t>Баасандорж</t>
  </si>
  <si>
    <t>Анар</t>
  </si>
  <si>
    <t>Шилдэг</t>
  </si>
  <si>
    <t>Сансар</t>
  </si>
  <si>
    <t>Ган-Эрдэнэ</t>
  </si>
  <si>
    <t>33-р сургууль</t>
  </si>
  <si>
    <t xml:space="preserve">Цолмонбаатар </t>
  </si>
  <si>
    <t>Нандин</t>
  </si>
  <si>
    <t>Уудам Монгол</t>
  </si>
  <si>
    <t>6б</t>
  </si>
  <si>
    <t xml:space="preserve">Оюунболд </t>
  </si>
  <si>
    <t>Оюунбилэг</t>
  </si>
  <si>
    <t xml:space="preserve">Нямхүү </t>
  </si>
  <si>
    <t>Содонбилэг</t>
  </si>
  <si>
    <t>Должин</t>
  </si>
  <si>
    <t>Ганцог</t>
  </si>
  <si>
    <t>6В</t>
  </si>
  <si>
    <t>Мэндбаяр</t>
  </si>
  <si>
    <t>Маралмаа</t>
  </si>
  <si>
    <t>Бат-Итгэл</t>
  </si>
  <si>
    <t>21-р сургууль</t>
  </si>
  <si>
    <t>Баяржаргал</t>
  </si>
  <si>
    <t>Энгүүн</t>
  </si>
  <si>
    <t>Уран</t>
  </si>
  <si>
    <t>Билгүүндалай</t>
  </si>
  <si>
    <t>183-р сургууль</t>
  </si>
  <si>
    <t>Батэрдэнэ</t>
  </si>
  <si>
    <t>Сүлд</t>
  </si>
  <si>
    <t>Амарбаясгалан</t>
  </si>
  <si>
    <t>Эмүжин</t>
  </si>
  <si>
    <t>84-р сургууль</t>
  </si>
  <si>
    <t>Оюунчимэг</t>
  </si>
  <si>
    <t>Мөнгөнхишиг</t>
  </si>
  <si>
    <t>Ууган-Эрдэнэ</t>
  </si>
  <si>
    <t>Энх-Ирээдүй</t>
  </si>
  <si>
    <t>92-р сургууль</t>
  </si>
  <si>
    <t>Болот</t>
  </si>
  <si>
    <t>Абай</t>
  </si>
  <si>
    <t>Мягмардорж</t>
  </si>
  <si>
    <t>Энэрэл</t>
  </si>
  <si>
    <t>147-р сургууль</t>
  </si>
  <si>
    <t>Тэнүүн</t>
  </si>
  <si>
    <t>Баттогтох</t>
  </si>
  <si>
    <t>Маргад</t>
  </si>
  <si>
    <t>Ариунболд</t>
  </si>
  <si>
    <t>Энхтөр</t>
  </si>
  <si>
    <t>Бүжинханд</t>
  </si>
  <si>
    <t>Улаанбаатар эмпати</t>
  </si>
  <si>
    <t>Ганхуяг</t>
  </si>
  <si>
    <t>Цэлмэг</t>
  </si>
  <si>
    <t>MIU</t>
  </si>
  <si>
    <t>Хуншагай</t>
  </si>
  <si>
    <t>Үйлсмандах</t>
  </si>
  <si>
    <t>Бага тэнгэр</t>
  </si>
  <si>
    <t>Бат-Эрдэнэ</t>
  </si>
  <si>
    <t>Сондор</t>
  </si>
  <si>
    <t>Баярбат</t>
  </si>
  <si>
    <t>Аргил</t>
  </si>
  <si>
    <t>С</t>
  </si>
  <si>
    <t>Мягмарсүрэн</t>
  </si>
  <si>
    <t>Ану-Үжин</t>
  </si>
  <si>
    <t>142-р сургууль</t>
  </si>
  <si>
    <t>Баттөр</t>
  </si>
  <si>
    <t>Цэгц</t>
  </si>
  <si>
    <t>Баттүшиг</t>
  </si>
  <si>
    <t>Бадрал</t>
  </si>
  <si>
    <t>Отгон-Эрдэнэ</t>
  </si>
  <si>
    <t>Төгсбилэг</t>
  </si>
  <si>
    <t>Шинэ Монгол сургууль</t>
  </si>
  <si>
    <t>Болдбаатар</t>
  </si>
  <si>
    <t>Дүүрэнзаяа</t>
  </si>
  <si>
    <t>Хулан</t>
  </si>
  <si>
    <t>Тэмүүжин өрлөг</t>
  </si>
  <si>
    <t>Ганболд</t>
  </si>
  <si>
    <t>Насанбаяр</t>
  </si>
  <si>
    <t>Амгалан</t>
  </si>
  <si>
    <t>Ангараг</t>
  </si>
  <si>
    <t>53-р сургууль</t>
  </si>
  <si>
    <t>Эрдэнэмөнх</t>
  </si>
  <si>
    <t>Түшиг</t>
  </si>
  <si>
    <t>Цолмон</t>
  </si>
  <si>
    <t>Гоомарал</t>
  </si>
  <si>
    <t>69-р сургууль</t>
  </si>
  <si>
    <t>Баасанжав</t>
  </si>
  <si>
    <t>Өсөх-Ирээдүй</t>
  </si>
  <si>
    <t>Отгонжаргал</t>
  </si>
  <si>
    <t>Гэгээлэн</t>
  </si>
  <si>
    <t>Гёте</t>
  </si>
  <si>
    <t>Батсайхан</t>
  </si>
  <si>
    <t>Их засаг лицей</t>
  </si>
  <si>
    <t>Мөнхжаргал</t>
  </si>
  <si>
    <t>Мандахбаяр</t>
  </si>
  <si>
    <t>Оюуны нахиа</t>
  </si>
  <si>
    <t>Мөнхсүрэн</t>
  </si>
  <si>
    <t>Төгөлдөр</t>
  </si>
  <si>
    <t>155-р сургууль</t>
  </si>
  <si>
    <t>Дэлгэрхангай</t>
  </si>
  <si>
    <t>Маргал</t>
  </si>
  <si>
    <t>Эрхэм баян Эрдэм</t>
  </si>
  <si>
    <t>Баярцэнгэл</t>
  </si>
  <si>
    <t>Жамьяансүрэн</t>
  </si>
  <si>
    <t>Улаанбаатар</t>
  </si>
  <si>
    <t>Гүнжинлхам</t>
  </si>
  <si>
    <t>Ренчиндугар</t>
  </si>
  <si>
    <t>Жаргалмаа</t>
  </si>
  <si>
    <t xml:space="preserve">Энх-Отгон </t>
  </si>
  <si>
    <t>6д</t>
  </si>
  <si>
    <t>Цогт</t>
  </si>
  <si>
    <t>Баттайшир</t>
  </si>
  <si>
    <t>6ж</t>
  </si>
  <si>
    <t>Биндэръяа</t>
  </si>
  <si>
    <t>Путонхуа</t>
  </si>
  <si>
    <t>Энх-Амгалан</t>
  </si>
  <si>
    <t>Хишиг</t>
  </si>
  <si>
    <t xml:space="preserve">Дагвасүрэн </t>
  </si>
  <si>
    <t>Батбилэг</t>
  </si>
  <si>
    <t>Тамир</t>
  </si>
  <si>
    <t>Гэгээ</t>
  </si>
  <si>
    <t>Рагчаадорж</t>
  </si>
  <si>
    <t>Ирмүүн</t>
  </si>
  <si>
    <t>Ганцолмон</t>
  </si>
  <si>
    <t>Хангай</t>
  </si>
  <si>
    <t>Гэрэлтсайхан</t>
  </si>
  <si>
    <t>Нандин-Эрдэнэ</t>
  </si>
  <si>
    <t>Найданжигд</t>
  </si>
  <si>
    <t>Эгшиглэн</t>
  </si>
  <si>
    <t>Баттүвшин</t>
  </si>
  <si>
    <t xml:space="preserve">Улаанбаатар </t>
  </si>
  <si>
    <t>Цэдэнжав</t>
  </si>
  <si>
    <t>Нарансүлд</t>
  </si>
  <si>
    <t>Аминзаяа</t>
  </si>
  <si>
    <t>Арсланбаатар</t>
  </si>
  <si>
    <t>Аззаяа</t>
  </si>
  <si>
    <t>Алтангэрэл</t>
  </si>
  <si>
    <t>Тэгшсайхан</t>
  </si>
  <si>
    <t>Батгэрэл</t>
  </si>
  <si>
    <t>Инжир</t>
  </si>
  <si>
    <t>Гансүх</t>
  </si>
  <si>
    <t>68-р сургууль</t>
  </si>
  <si>
    <t>Зулхүү</t>
  </si>
  <si>
    <t>Сувд</t>
  </si>
  <si>
    <t>120-р сургууль</t>
  </si>
  <si>
    <t>Танангоо</t>
  </si>
  <si>
    <t>И Эхлэл</t>
  </si>
  <si>
    <t>Хаш-Очир</t>
  </si>
  <si>
    <t>Ану</t>
  </si>
  <si>
    <t>Уугабаяр</t>
  </si>
  <si>
    <t>Мухамед</t>
  </si>
  <si>
    <t>Райса</t>
  </si>
  <si>
    <t>Ганзориг</t>
  </si>
  <si>
    <t>Буянт</t>
  </si>
  <si>
    <t>Очирбат</t>
  </si>
  <si>
    <t>Амин-Эрдэнэ</t>
  </si>
  <si>
    <t>Баатарсүрэн</t>
  </si>
  <si>
    <t>Содцэцэн</t>
  </si>
  <si>
    <t>Батмагнай</t>
  </si>
  <si>
    <t>Дэмбэрэлдорж</t>
  </si>
  <si>
    <t>Энхлүүн</t>
  </si>
  <si>
    <t>Мөнхзаяа</t>
  </si>
  <si>
    <t>Баяржавхлан</t>
  </si>
  <si>
    <t>148-р сургууль</t>
  </si>
  <si>
    <t>Эрдэнэхүү</t>
  </si>
  <si>
    <t>Наранхүү</t>
  </si>
  <si>
    <t>79-р сургууль</t>
  </si>
  <si>
    <t>Баатархүү</t>
  </si>
  <si>
    <t>Энхтүвшин</t>
  </si>
  <si>
    <t>Төгс-Амгалан</t>
  </si>
  <si>
    <t>Маргад-Эрдэнэ</t>
  </si>
  <si>
    <t>Болдтуяа</t>
  </si>
  <si>
    <t>Амартүвшин</t>
  </si>
  <si>
    <t>Маргадболд</t>
  </si>
  <si>
    <t>Батболд</t>
  </si>
  <si>
    <t>Батжав</t>
  </si>
  <si>
    <t>Мишээл</t>
  </si>
  <si>
    <t>Амарбат</t>
  </si>
  <si>
    <t>Амирлан</t>
  </si>
  <si>
    <t>Батбаатар</t>
  </si>
  <si>
    <t>Цовоо</t>
  </si>
  <si>
    <t>Нямсүрэн</t>
  </si>
  <si>
    <t>Гүнбилэг</t>
  </si>
  <si>
    <t>Алтайбаатар</t>
  </si>
  <si>
    <t>Билэгт</t>
  </si>
  <si>
    <t>111-р cургууль</t>
  </si>
  <si>
    <t>Наранцогт</t>
  </si>
  <si>
    <t>Дашрагчаа</t>
  </si>
  <si>
    <t>Жамц</t>
  </si>
  <si>
    <t xml:space="preserve">Янжинлхам   </t>
  </si>
  <si>
    <t>69-р Сургууль</t>
  </si>
  <si>
    <t>Номин-Эрдэнэ</t>
  </si>
  <si>
    <t>Хүсэл-Эрдэнэ</t>
  </si>
  <si>
    <t>Буянтогтох</t>
  </si>
  <si>
    <t>Индра</t>
  </si>
  <si>
    <t>Төгс-Орчлон</t>
  </si>
  <si>
    <t>Шинэбаатар</t>
  </si>
  <si>
    <t>Гантулга</t>
  </si>
  <si>
    <t>Эрхэмбаяр</t>
  </si>
  <si>
    <t>Нандинтүвшин</t>
  </si>
  <si>
    <t>Хаан-Очир</t>
  </si>
  <si>
    <t>Алтанбагана</t>
  </si>
  <si>
    <t>111-р сургууль</t>
  </si>
  <si>
    <t>Лхагвадорж</t>
  </si>
  <si>
    <t>Улсболд</t>
  </si>
  <si>
    <t>Адъяабаатар</t>
  </si>
  <si>
    <t>Гүнчинлхам</t>
  </si>
  <si>
    <t>Жаргалсайхан</t>
  </si>
  <si>
    <t>Виктория</t>
  </si>
  <si>
    <t>Шижирбат</t>
  </si>
  <si>
    <t>Өнөдтэлмүүн</t>
  </si>
  <si>
    <t>Сүхбаатар</t>
  </si>
  <si>
    <t>Анандбазар</t>
  </si>
  <si>
    <t>Танан</t>
  </si>
  <si>
    <t xml:space="preserve">Билэгсайхан </t>
  </si>
  <si>
    <t>Цэлмүүн</t>
  </si>
  <si>
    <t>Оргилмөнх</t>
  </si>
  <si>
    <t>Энх-Амар</t>
  </si>
  <si>
    <t>Ганбат</t>
  </si>
  <si>
    <t>Хишигт</t>
  </si>
  <si>
    <t>Дэлгэрмаа</t>
  </si>
  <si>
    <t>Сумъяа</t>
  </si>
  <si>
    <t>6г</t>
  </si>
  <si>
    <t>Ганчанга</t>
  </si>
  <si>
    <t>Бархас</t>
  </si>
  <si>
    <t>Шилдэг ЕБС</t>
  </si>
  <si>
    <t>Баясгалан</t>
  </si>
  <si>
    <t>Чингүн</t>
  </si>
  <si>
    <t>Мандах</t>
  </si>
  <si>
    <t>Буянтүшиг</t>
  </si>
  <si>
    <t>Бейбат</t>
  </si>
  <si>
    <t>Жантелик</t>
  </si>
  <si>
    <t>Хишигжаргал</t>
  </si>
  <si>
    <t>Тэмүүжин Өрлөг</t>
  </si>
  <si>
    <t>Хишигням</t>
  </si>
  <si>
    <t>Бодь-Очир</t>
  </si>
  <si>
    <t>Базаррагчаа</t>
  </si>
  <si>
    <t>Тэлмүүн</t>
  </si>
  <si>
    <t>Баасансүрэн</t>
  </si>
  <si>
    <t>Хүслэнзаяа</t>
  </si>
  <si>
    <t>Эрхэм баян эрдэм</t>
  </si>
  <si>
    <t>Батмэнд</t>
  </si>
  <si>
    <t>Мөнхбат</t>
  </si>
  <si>
    <t>Танхилуун</t>
  </si>
  <si>
    <t>Уламбаяр</t>
  </si>
  <si>
    <t>Урангоо</t>
  </si>
  <si>
    <t>Батчулуун</t>
  </si>
  <si>
    <t>Хүсэлзориг</t>
  </si>
  <si>
    <t>Э.ГУНГААЖАВ БАГШИЙН НЭРЭМЖИТ БАЯНЗҮРХ ДҮҮРГИЙН МАТЕМАТИКИЙН 62-Р ОЛИМПИАДЫН D(7-8) АНГИЛЛЫН ЭЦСИЙН ДҮН МЭДЭЭ</t>
  </si>
  <si>
    <t>Ангилал</t>
  </si>
  <si>
    <t xml:space="preserve"> Б1</t>
  </si>
  <si>
    <t>Нийт</t>
  </si>
  <si>
    <t>байр</t>
  </si>
  <si>
    <t>Хосбаяр</t>
  </si>
  <si>
    <t>D</t>
  </si>
  <si>
    <t>Эрдэнэбаяр</t>
  </si>
  <si>
    <t>Б</t>
  </si>
  <si>
    <t>Самбуу</t>
  </si>
  <si>
    <t>Дашдорж</t>
  </si>
  <si>
    <t>Ялгуусан</t>
  </si>
  <si>
    <t>Энхболд</t>
  </si>
  <si>
    <t>Түмэнжин</t>
  </si>
  <si>
    <t>Золбоо</t>
  </si>
  <si>
    <t>Хэмнэл</t>
  </si>
  <si>
    <t>Нийслэлийн эрх</t>
  </si>
  <si>
    <t>Алтанхундага</t>
  </si>
  <si>
    <t>Цогбадрах</t>
  </si>
  <si>
    <t>Мөнхмандах</t>
  </si>
  <si>
    <t>М</t>
  </si>
  <si>
    <t>Даян-очир</t>
  </si>
  <si>
    <t>Хадхүү</t>
  </si>
  <si>
    <t>Ариунгэрэл</t>
  </si>
  <si>
    <t xml:space="preserve">Баттөмөр </t>
  </si>
  <si>
    <t>Дөлгөөн</t>
  </si>
  <si>
    <t>Uyanzorig</t>
  </si>
  <si>
    <t>Khan-Orgil</t>
  </si>
  <si>
    <t>Отгонбаатар</t>
  </si>
  <si>
    <t>Амар</t>
  </si>
  <si>
    <t>Доржсүрэн</t>
  </si>
  <si>
    <t>Эрдэнэсувд</t>
  </si>
  <si>
    <t>Одгариг</t>
  </si>
  <si>
    <t>Эрхэн</t>
  </si>
  <si>
    <t>Батхүү</t>
  </si>
  <si>
    <t>Тэлүүн</t>
  </si>
  <si>
    <t>Банди</t>
  </si>
  <si>
    <t>Арвин</t>
  </si>
  <si>
    <t>Мөнх-Оргил</t>
  </si>
  <si>
    <t>Мөнхболд</t>
  </si>
  <si>
    <t>Майдар</t>
  </si>
  <si>
    <t>Төвшин</t>
  </si>
  <si>
    <t>Бямбасүрэн</t>
  </si>
  <si>
    <t>Дөл</t>
  </si>
  <si>
    <t>Даваацэрэн</t>
  </si>
  <si>
    <t>Ивээлсайхан</t>
  </si>
  <si>
    <t>Потонхуа</t>
  </si>
  <si>
    <t>Эрдэнэ-Ундрах</t>
  </si>
  <si>
    <t>Мөнх-Эрдэнэ</t>
  </si>
  <si>
    <t>Чинсанаа</t>
  </si>
  <si>
    <t>Гэгээнсувд</t>
  </si>
  <si>
    <t>Бямбанасан</t>
  </si>
  <si>
    <t>Болор-Эгшиглэн</t>
  </si>
  <si>
    <t>Бодьгэрэл</t>
  </si>
  <si>
    <t>Ариунжаргал</t>
  </si>
  <si>
    <t xml:space="preserve">Лхамсүрэн </t>
  </si>
  <si>
    <t xml:space="preserve">Дөлгөөн  </t>
  </si>
  <si>
    <t>Баярсүх</t>
  </si>
  <si>
    <t>Даваамягмар</t>
  </si>
  <si>
    <t>Баянмөнх</t>
  </si>
  <si>
    <t>Есөнбилэг</t>
  </si>
  <si>
    <t>Буяндалай</t>
  </si>
  <si>
    <t>Гантүшиг</t>
  </si>
  <si>
    <t>Анир</t>
  </si>
  <si>
    <t>Шинэ-Монгол</t>
  </si>
  <si>
    <t>Отгонмэнд</t>
  </si>
  <si>
    <t>Одонхүү</t>
  </si>
  <si>
    <t>Хосбилэг</t>
  </si>
  <si>
    <t>Ганбаатар</t>
  </si>
  <si>
    <t>Бат-Оюун</t>
  </si>
  <si>
    <t>Эрдэнэ-Очир</t>
  </si>
  <si>
    <t>Өгөөмөр</t>
  </si>
  <si>
    <t>Амарсайхан</t>
  </si>
  <si>
    <t>Мөнгөнсар</t>
  </si>
  <si>
    <t>Шинэ монгол сургууль</t>
  </si>
  <si>
    <t>Даваахүү</t>
  </si>
  <si>
    <t>Отгонбаяр</t>
  </si>
  <si>
    <t>Түвшин</t>
  </si>
  <si>
    <t>Ивээл</t>
  </si>
  <si>
    <t>Эхлэл</t>
  </si>
  <si>
    <t>Батзориг</t>
  </si>
  <si>
    <t>Бишрэлт</t>
  </si>
  <si>
    <t>Баянжаргал</t>
  </si>
  <si>
    <t>Оюу-Эрдэнэ</t>
  </si>
  <si>
    <t>Дорж</t>
  </si>
  <si>
    <t>Энх-Эгшиглэн</t>
  </si>
  <si>
    <t>Өлзийбат</t>
  </si>
  <si>
    <t>Есүгэн</t>
  </si>
  <si>
    <t>Батсүх</t>
  </si>
  <si>
    <t>Тэргэл</t>
  </si>
  <si>
    <t>Мөнхсайхан</t>
  </si>
  <si>
    <t>Мөнгөлжин</t>
  </si>
  <si>
    <t>Багатэнгэр</t>
  </si>
  <si>
    <t>Дашбалбар</t>
  </si>
  <si>
    <t>Номтбилиг</t>
  </si>
  <si>
    <t xml:space="preserve">Отгонбаатар </t>
  </si>
  <si>
    <t>Тэмүүжин</t>
  </si>
  <si>
    <t>Намсрай</t>
  </si>
  <si>
    <t>Эрдэмбулган</t>
  </si>
  <si>
    <t>Баярбаатар</t>
  </si>
  <si>
    <t>Амгалан сургууль</t>
  </si>
  <si>
    <t>Итгэлт</t>
  </si>
  <si>
    <t>Бөртэ</t>
  </si>
  <si>
    <t>Ариунбилэг</t>
  </si>
  <si>
    <t>Цэцэн</t>
  </si>
  <si>
    <t>Занабазар</t>
  </si>
  <si>
    <t>Хатанчимэг</t>
  </si>
  <si>
    <t>Оюундалай</t>
  </si>
  <si>
    <t>Бумбаяр</t>
  </si>
  <si>
    <t>Сүхболд</t>
  </si>
  <si>
    <t>Содбаатар</t>
  </si>
  <si>
    <t>Андин</t>
  </si>
  <si>
    <t>Жонон</t>
  </si>
  <si>
    <t>Дайчинбаатар</t>
  </si>
  <si>
    <t>Энхсайхан</t>
  </si>
  <si>
    <t>Энхбилгүүн</t>
  </si>
  <si>
    <t>Мөнхжин</t>
  </si>
  <si>
    <t>Шижир</t>
  </si>
  <si>
    <t>Энх-Учрал</t>
  </si>
  <si>
    <t>Нямдорж</t>
  </si>
  <si>
    <t>Энх-Оргил</t>
  </si>
  <si>
    <t>Гантуйл</t>
  </si>
  <si>
    <t>Ишжамц</t>
  </si>
  <si>
    <t>Эрхболд</t>
  </si>
  <si>
    <t>Цогтбаатар</t>
  </si>
  <si>
    <t>Шижирбаяр</t>
  </si>
  <si>
    <t>Сүхтулга</t>
  </si>
  <si>
    <t>Амир-Эрдэнэ</t>
  </si>
  <si>
    <t>Оюуны Нахиа</t>
  </si>
  <si>
    <t>Сугар</t>
  </si>
  <si>
    <t>Болдбаяр</t>
  </si>
  <si>
    <t>Бат-Өлзий</t>
  </si>
  <si>
    <t>Итгэлсайхан</t>
  </si>
  <si>
    <t>Алтантөр</t>
  </si>
  <si>
    <t>Энхриймаа</t>
  </si>
  <si>
    <t>Мөнхзул</t>
  </si>
  <si>
    <t>Бат-Ирээдүй</t>
  </si>
  <si>
    <t>Шинэбаяр</t>
  </si>
  <si>
    <t>Номин</t>
  </si>
  <si>
    <t xml:space="preserve">Золжаргал </t>
  </si>
  <si>
    <t>Цэнгүүн</t>
  </si>
  <si>
    <t>Шилдэг сургууль</t>
  </si>
  <si>
    <t>Энхжин</t>
  </si>
  <si>
    <t>Ууганбаяр</t>
  </si>
  <si>
    <t>Бэлгүтэй</t>
  </si>
  <si>
    <t>Азбилэг</t>
  </si>
  <si>
    <t>Баасан</t>
  </si>
  <si>
    <t>Энххүсэл</t>
  </si>
  <si>
    <t>Миеэгомбо</t>
  </si>
  <si>
    <t>Ням-Очир</t>
  </si>
  <si>
    <t>Томүжин</t>
  </si>
  <si>
    <t>Баасанцэрэн</t>
  </si>
  <si>
    <t>Отгонборгил</t>
  </si>
  <si>
    <t>Солонготуяа</t>
  </si>
  <si>
    <t>Сэр-Од</t>
  </si>
  <si>
    <t>Хэрлэн</t>
  </si>
  <si>
    <t>Дашням</t>
  </si>
  <si>
    <t>Сувданцэцэг</t>
  </si>
  <si>
    <t>Эм Ай Ю</t>
  </si>
  <si>
    <t>Батсүлд</t>
  </si>
  <si>
    <t>Наран-Энхрийлэн</t>
  </si>
  <si>
    <t>Энх-Ундрал</t>
  </si>
  <si>
    <t>Пүрэв-Очир</t>
  </si>
  <si>
    <t>Намуун</t>
  </si>
  <si>
    <t>Алтаншагай</t>
  </si>
  <si>
    <t>Энх-Од</t>
  </si>
  <si>
    <t>Алтанхуяг</t>
  </si>
  <si>
    <t>Ганжигүүр</t>
  </si>
  <si>
    <t>Сарангуа</t>
  </si>
  <si>
    <t>Алдармөнх</t>
  </si>
  <si>
    <t>Цэцэнбилэг</t>
  </si>
  <si>
    <t>Тэгшээ</t>
  </si>
  <si>
    <t xml:space="preserve">Даваасүрэн </t>
  </si>
  <si>
    <t>Ухаанзаяа</t>
  </si>
  <si>
    <t>Санжаасүрэн</t>
  </si>
  <si>
    <t>Уранцэцэг</t>
  </si>
  <si>
    <t>Маргад-Од</t>
  </si>
  <si>
    <t>Эрдэнэсайхан</t>
  </si>
  <si>
    <t>Мөнхгэрэл</t>
  </si>
  <si>
    <t xml:space="preserve"> И эхлэл</t>
  </si>
  <si>
    <t>Гуамарал</t>
  </si>
  <si>
    <t>Батсонгууль</t>
  </si>
  <si>
    <t>Нямхүү</t>
  </si>
  <si>
    <t>Даваадалай</t>
  </si>
  <si>
    <t>Төмөрчөдөр</t>
  </si>
  <si>
    <t>Буянжаргал</t>
  </si>
  <si>
    <t>Пүрэвсанжаа</t>
  </si>
  <si>
    <t>Уранбайгаль</t>
  </si>
  <si>
    <t>Бямбадорж</t>
  </si>
  <si>
    <t>Батхишиг</t>
  </si>
  <si>
    <t>Уудам монгол</t>
  </si>
  <si>
    <t>Энхчимэг</t>
  </si>
  <si>
    <t>102-р сургууль</t>
  </si>
  <si>
    <t>Энхжаргал</t>
  </si>
  <si>
    <t>Мөнхтамир</t>
  </si>
  <si>
    <t>Мөнхтулга</t>
  </si>
  <si>
    <t>Хишиг сургууль</t>
  </si>
  <si>
    <t>Чандмана-Эрдэнэ</t>
  </si>
  <si>
    <t>Төгстөгөлдөр</t>
  </si>
  <si>
    <t>Абсолют Элит</t>
  </si>
  <si>
    <t>Батпүрэв</t>
  </si>
  <si>
    <t>УБ эмпати</t>
  </si>
  <si>
    <t>Тогтохбаяр</t>
  </si>
  <si>
    <t>Хүсэлбаяр</t>
  </si>
  <si>
    <t>Жавхлан</t>
  </si>
  <si>
    <t>Дашдэмбэрэл</t>
  </si>
  <si>
    <t>Санжмятав</t>
  </si>
  <si>
    <t>Цацрал</t>
  </si>
  <si>
    <t>Содномцэрэн</t>
  </si>
  <si>
    <t>Ариунбуд</t>
  </si>
  <si>
    <t>Чинзориг</t>
  </si>
  <si>
    <t>Бямбажаргал</t>
  </si>
  <si>
    <t>Үжин</t>
  </si>
  <si>
    <t>Энх-Орчлон</t>
  </si>
  <si>
    <t>Хулангоо</t>
  </si>
  <si>
    <t>Мичид</t>
  </si>
  <si>
    <t>Ариусал</t>
  </si>
  <si>
    <t>Эрдэнэбаатар</t>
  </si>
  <si>
    <t>Сувданчимэг</t>
  </si>
  <si>
    <t>Рагчаа</t>
  </si>
  <si>
    <t>Эрдэмбилэг</t>
  </si>
  <si>
    <t>Энх- Амгалан</t>
  </si>
  <si>
    <t>Одхүү</t>
  </si>
  <si>
    <t>Одонбат</t>
  </si>
  <si>
    <t>Төрхүү</t>
  </si>
  <si>
    <t>Түвшинбат</t>
  </si>
  <si>
    <t>Мөнхтөр</t>
  </si>
  <si>
    <t xml:space="preserve">Тэргүүнманлай </t>
  </si>
  <si>
    <t>Батсуурь</t>
  </si>
  <si>
    <t>Энхгэрэл</t>
  </si>
  <si>
    <t>Эгиймаа</t>
  </si>
  <si>
    <t>Даваанямбуу</t>
  </si>
  <si>
    <t>Соёл-Эрдэнэ</t>
  </si>
  <si>
    <t>Батхаан</t>
  </si>
  <si>
    <t>Дөлгөөнмөрөн</t>
  </si>
  <si>
    <t>Итгэл</t>
  </si>
  <si>
    <t>Ундрах</t>
  </si>
  <si>
    <t>Болд-Эрдэнэ</t>
  </si>
  <si>
    <t>Алтансувд</t>
  </si>
  <si>
    <t>Гангантөгс</t>
  </si>
  <si>
    <t>Нэн-Эгшиглэн</t>
  </si>
  <si>
    <t>Нармандах</t>
  </si>
  <si>
    <t>Отгонбилэг</t>
  </si>
  <si>
    <t>Төгсбаяр</t>
  </si>
  <si>
    <t>Санжаа</t>
  </si>
  <si>
    <t>Сандаг-Очир</t>
  </si>
  <si>
    <t>Азбаяр</t>
  </si>
  <si>
    <t>Гантуяа</t>
  </si>
  <si>
    <t>Сундуйжав</t>
  </si>
  <si>
    <t>Сийлэн</t>
  </si>
  <si>
    <t>Наранбаяр</t>
  </si>
  <si>
    <t>Нинжин</t>
  </si>
  <si>
    <t>Мөнхбаатар</t>
  </si>
  <si>
    <t xml:space="preserve">Э.ГУНГААЖАВ БАГШИЙН НЭРЭМЖИТ БАЯНЗҮРХ ДҮҮРГИЙН МАТЕМАТИКИЙН 62-Р ОЛИМПИАДЫН                                                                        Е(9-10) АНГИЛЛЫН ЭЦСИЙН ДҮН МЭДЭЭ </t>
  </si>
  <si>
    <t>Е АНГИЛАЛ</t>
  </si>
  <si>
    <t>12-13-ны өдөр</t>
  </si>
  <si>
    <t>12-14-ны өдөр</t>
  </si>
  <si>
    <t>нийт оноо</t>
  </si>
  <si>
    <t>оноо</t>
  </si>
  <si>
    <t>Б5</t>
  </si>
  <si>
    <t>Б6</t>
  </si>
  <si>
    <t>Энхбаатар</t>
  </si>
  <si>
    <t>Энхлэн</t>
  </si>
  <si>
    <t>Наранцэцэг</t>
  </si>
  <si>
    <t>Залуудай</t>
  </si>
  <si>
    <t>Энхбаяр</t>
  </si>
  <si>
    <t>Энхсэргэлэн</t>
  </si>
  <si>
    <t>Оргил</t>
  </si>
  <si>
    <t>Энхцогт</t>
  </si>
  <si>
    <t>Монгол тэмүүлэл</t>
  </si>
  <si>
    <t>Мөнгөнбагана</t>
  </si>
  <si>
    <t>Эрмүүн</t>
  </si>
  <si>
    <t>Номун</t>
  </si>
  <si>
    <t>Шинэ Монгол технологийн коллеж</t>
  </si>
  <si>
    <t>Хоролдагва</t>
  </si>
  <si>
    <t>Баяндэлгэр</t>
  </si>
  <si>
    <t>14-р  сургууль</t>
  </si>
  <si>
    <t>Булган</t>
  </si>
  <si>
    <t>Эрдэм</t>
  </si>
  <si>
    <t>Даваасүрэн</t>
  </si>
  <si>
    <t>Ирээдүй</t>
  </si>
  <si>
    <t>Төрмөнх</t>
  </si>
  <si>
    <t>Адилхүү</t>
  </si>
  <si>
    <t>Азжаргал</t>
  </si>
  <si>
    <t>Туул</t>
  </si>
  <si>
    <t>Өлзийбаатар</t>
  </si>
  <si>
    <t>Халиунзаяа</t>
  </si>
  <si>
    <t>Ууганбаатар</t>
  </si>
  <si>
    <t xml:space="preserve">ДХИС ахлах </t>
  </si>
  <si>
    <t>Самбагарав</t>
  </si>
  <si>
    <t>Есөнмөнх</t>
  </si>
  <si>
    <t>Өсөхбаяр</t>
  </si>
  <si>
    <t>Ариг бөх</t>
  </si>
  <si>
    <t xml:space="preserve">Амартүвшин </t>
  </si>
  <si>
    <t>Тэнгис</t>
  </si>
  <si>
    <t>Төгсдэлгэрэх сургууль</t>
  </si>
  <si>
    <t>Эрхэмбаян эрдэм</t>
  </si>
  <si>
    <t>Е АНГИЛАЛ ЭЦСИЙН ДҮН МЭДЭЭ</t>
  </si>
  <si>
    <t xml:space="preserve">нийт </t>
  </si>
  <si>
    <t>Мөнхбаяр</t>
  </si>
  <si>
    <t>Цогтгэрэл</t>
  </si>
  <si>
    <t>Пүрэв</t>
  </si>
  <si>
    <t>Саруултөгс</t>
  </si>
  <si>
    <t>Гёте ОУБДС</t>
  </si>
  <si>
    <t>Өнөрзаяа</t>
  </si>
  <si>
    <t>Мандуул</t>
  </si>
  <si>
    <t>Гүнцэгц</t>
  </si>
  <si>
    <t>Шинэлунда</t>
  </si>
  <si>
    <t>Түшиг-Эрдэнэ</t>
  </si>
  <si>
    <t>Идэрхангай</t>
  </si>
  <si>
    <t>НЕБ-ын Багатэнгэр сургууль</t>
  </si>
  <si>
    <t>Чойжин-Одсэр</t>
  </si>
  <si>
    <t>Түвшинбаяр</t>
  </si>
  <si>
    <t>Абсолют Элит ЕБС</t>
  </si>
  <si>
    <t>Хаш-Эрдэнэ</t>
  </si>
  <si>
    <t>Эрхэмбилэг</t>
  </si>
  <si>
    <t>Пүрэвдорж</t>
  </si>
  <si>
    <t>Оюунлаг сургууль</t>
  </si>
  <si>
    <t>Энхтүшиг</t>
  </si>
  <si>
    <t xml:space="preserve">Томүжин Алтернатив </t>
  </si>
  <si>
    <t>Үлэмж</t>
  </si>
  <si>
    <t>Дэлгэрмөрөн</t>
  </si>
  <si>
    <t>Гантөмөр</t>
  </si>
  <si>
    <t>97-рсургууль</t>
  </si>
  <si>
    <t>Ариун-Эрдэнэ</t>
  </si>
  <si>
    <t>Ундрам</t>
  </si>
  <si>
    <t>84-р сургуудь</t>
  </si>
  <si>
    <t>Жамъяндорж</t>
  </si>
  <si>
    <t>Төрбадрах</t>
  </si>
  <si>
    <t xml:space="preserve">Шинэ Монгол </t>
  </si>
  <si>
    <t>Дагвадамба</t>
  </si>
  <si>
    <t xml:space="preserve">Оюуны нахиа </t>
  </si>
  <si>
    <t>Манлай</t>
  </si>
  <si>
    <t>Пүрэвдагва</t>
  </si>
  <si>
    <t>Эрдэнэцэцэг</t>
  </si>
  <si>
    <t>Анударь</t>
  </si>
  <si>
    <t>Лхам</t>
  </si>
  <si>
    <t>Одгэрэл</t>
  </si>
  <si>
    <t xml:space="preserve">Отгончулуун </t>
  </si>
  <si>
    <t>НЕБ Улаанбаатар</t>
  </si>
  <si>
    <t>Буриад</t>
  </si>
  <si>
    <t>Баттөгс</t>
  </si>
  <si>
    <t>Сүхбат</t>
  </si>
  <si>
    <t xml:space="preserve">Уудам Монгол </t>
  </si>
  <si>
    <t>Сугараа</t>
  </si>
  <si>
    <t>Марал</t>
  </si>
  <si>
    <t>Баярхүү</t>
  </si>
  <si>
    <t>Соёмбо</t>
  </si>
  <si>
    <t>Буяндэлгэр</t>
  </si>
  <si>
    <t>Батням</t>
  </si>
  <si>
    <t>Мөнхнасан</t>
  </si>
  <si>
    <t>Мөнх-Очир</t>
  </si>
  <si>
    <t>Лувсаншарав</t>
  </si>
  <si>
    <t>Шижирболд</t>
  </si>
  <si>
    <t>Нэргүйбаатар</t>
  </si>
  <si>
    <t>Оюунцэцэг</t>
  </si>
  <si>
    <t>Одбайгаль</t>
  </si>
  <si>
    <t>Зундуйдорж</t>
  </si>
  <si>
    <t>Нарангэрэл</t>
  </si>
  <si>
    <t>Хурцгэрэл</t>
  </si>
  <si>
    <t xml:space="preserve">Энхбаяр </t>
  </si>
  <si>
    <t>Эм Ай Ю сургууль</t>
  </si>
  <si>
    <t>Мөнхчулуун</t>
  </si>
  <si>
    <t>Төрболд</t>
  </si>
  <si>
    <t>157-р сургууль</t>
  </si>
  <si>
    <t>Ялалтцэцэг</t>
  </si>
  <si>
    <t>Анхлан</t>
  </si>
  <si>
    <t>Төмөрөө</t>
  </si>
  <si>
    <t>Төгсжаргал</t>
  </si>
  <si>
    <t>Санчир-Од</t>
  </si>
  <si>
    <t>Цэцэнбилигт</t>
  </si>
  <si>
    <t>Болорсүх</t>
  </si>
  <si>
    <t>Далайжаргал</t>
  </si>
  <si>
    <t>Урантүшээ</t>
  </si>
  <si>
    <t xml:space="preserve">Путонхуа </t>
  </si>
  <si>
    <t>Мөнхсүмбэрэл</t>
  </si>
  <si>
    <t>Хишигсүрэн</t>
  </si>
  <si>
    <t>Золжаргал</t>
  </si>
  <si>
    <t>Зинамидир</t>
  </si>
  <si>
    <t>Төгс-Эрдэнэ</t>
  </si>
  <si>
    <t>Мияагомбо</t>
  </si>
  <si>
    <t>Ихбаяр</t>
  </si>
  <si>
    <t xml:space="preserve">Батсайхан </t>
  </si>
  <si>
    <t xml:space="preserve">Есүй </t>
  </si>
  <si>
    <t>Наранбаатар</t>
  </si>
  <si>
    <t>Алимаа</t>
  </si>
  <si>
    <t>Энхтайван</t>
  </si>
  <si>
    <t>Энхдөл</t>
  </si>
  <si>
    <t>Муён</t>
  </si>
  <si>
    <t>Билэг-Оюун</t>
  </si>
  <si>
    <t>Ариунаа</t>
  </si>
  <si>
    <t>Алдартөгс</t>
  </si>
  <si>
    <t>Баасанжаргал</t>
  </si>
  <si>
    <t>Энх-Эрдэнэ</t>
  </si>
  <si>
    <t>Баатар</t>
  </si>
  <si>
    <t xml:space="preserve">Их засаг лицей </t>
  </si>
  <si>
    <t>Очирхүү</t>
  </si>
  <si>
    <t xml:space="preserve">Томүжин </t>
  </si>
  <si>
    <t>Нямаа</t>
  </si>
  <si>
    <t>Учралт-Од</t>
  </si>
  <si>
    <t>Мандалбаяр</t>
  </si>
  <si>
    <t>Энхзул</t>
  </si>
  <si>
    <t>Оюунжаргал</t>
  </si>
  <si>
    <t>Загдцэсэм</t>
  </si>
  <si>
    <t>Батжаргал</t>
  </si>
  <si>
    <t>Энхнаран</t>
  </si>
  <si>
    <t>Гаанжуур</t>
  </si>
  <si>
    <t>Баярмагнай</t>
  </si>
  <si>
    <t>Хишигсайхан</t>
  </si>
  <si>
    <t>Мандухай</t>
  </si>
  <si>
    <t>Алтанцоож</t>
  </si>
  <si>
    <t>Далайван</t>
  </si>
  <si>
    <t>Сайнбаяр</t>
  </si>
  <si>
    <t>Анар-Эрдэнэ</t>
  </si>
  <si>
    <t>Путонхуа сургууль</t>
  </si>
  <si>
    <t>Аравнайсүрэн</t>
  </si>
  <si>
    <t>И Эхлэл Мөнхий Анар ЕБС</t>
  </si>
  <si>
    <t>Гэрэлцогт</t>
  </si>
  <si>
    <t>Содболор</t>
  </si>
  <si>
    <t>Маргадбаяр</t>
  </si>
  <si>
    <t>ДХИС-ийн ахлах сургууль</t>
  </si>
  <si>
    <t>Цэндсайхан</t>
  </si>
  <si>
    <t>Болортунгалаг</t>
  </si>
  <si>
    <t>Хүслэн</t>
  </si>
  <si>
    <t>Дэважамц</t>
  </si>
  <si>
    <t>Алтанзул</t>
  </si>
  <si>
    <t>Алтансүх</t>
  </si>
  <si>
    <t>Оюун-Эрдэнэ</t>
  </si>
  <si>
    <t>Анхжаргал</t>
  </si>
  <si>
    <t>Цэрэнхүү</t>
  </si>
  <si>
    <t>Чулуунбаатар</t>
  </si>
  <si>
    <t>Анхчимэг</t>
  </si>
  <si>
    <t>Эрдэнэбат</t>
  </si>
  <si>
    <t>Гарьд</t>
  </si>
  <si>
    <t>Шинэ монгол</t>
  </si>
  <si>
    <t>Э.ГУНГААЖАВ БАГШИЙН НЭРЭМЖИТ БАЯНЗҮРХ ДҮҮРГИЙН МАТЕМАТИКИЙН 62-Р ОЛИМПИАДЫН          
T(дунд ангийн багш) АНГИЛЛЫН ЭЦСИЙН ДҮН МЭДЭЭ</t>
  </si>
  <si>
    <t xml:space="preserve">Багш </t>
  </si>
  <si>
    <t>I өдөр</t>
  </si>
  <si>
    <t>II өдөр</t>
  </si>
  <si>
    <t>I</t>
  </si>
  <si>
    <t>II</t>
  </si>
  <si>
    <t>III</t>
  </si>
  <si>
    <t>IV</t>
  </si>
  <si>
    <t>V</t>
  </si>
  <si>
    <t>VI</t>
  </si>
  <si>
    <t>нийт</t>
  </si>
  <si>
    <t>Бага Тэнгэр</t>
  </si>
  <si>
    <t>T</t>
  </si>
  <si>
    <t>I Байр</t>
  </si>
  <si>
    <t>II Байр</t>
  </si>
  <si>
    <t>III Байр</t>
  </si>
  <si>
    <t>Пүрэвсүрэн</t>
  </si>
  <si>
    <t>Цэнгэл</t>
  </si>
  <si>
    <t>Жамсран</t>
  </si>
  <si>
    <t>Цогжаргал</t>
  </si>
  <si>
    <t>Цандэлэг</t>
  </si>
  <si>
    <t>ГЁТЕ ОУ</t>
  </si>
  <si>
    <t>Сүхээ</t>
  </si>
  <si>
    <t>Амарбаяр</t>
  </si>
  <si>
    <t>Чинбат</t>
  </si>
  <si>
    <t>Цэдэнбалжир</t>
  </si>
  <si>
    <t>Чунаг</t>
  </si>
  <si>
    <t>Хишигдэлгэр</t>
  </si>
  <si>
    <t>Уваа</t>
  </si>
  <si>
    <t>Г</t>
  </si>
  <si>
    <t>Аскер</t>
  </si>
  <si>
    <t>Нурсолтан</t>
  </si>
  <si>
    <t>84-р Сургууль</t>
  </si>
  <si>
    <t>Өлзийхишиг</t>
  </si>
  <si>
    <t>Бархасболд</t>
  </si>
  <si>
    <t>Сайнхүү</t>
  </si>
  <si>
    <t xml:space="preserve">Хүрэлбаатар </t>
  </si>
  <si>
    <t>Суддарь</t>
  </si>
  <si>
    <t>Бэрхсайхан</t>
  </si>
  <si>
    <t>Баасанжарал</t>
  </si>
  <si>
    <t>Ням</t>
  </si>
  <si>
    <t>Бадамгарав</t>
  </si>
  <si>
    <t>Батдэлгэр</t>
  </si>
  <si>
    <t>Содгэрэл</t>
  </si>
  <si>
    <t>Даштогтох</t>
  </si>
  <si>
    <t>Чагнаадорж</t>
  </si>
  <si>
    <t>ЭМ АЙ Ю</t>
  </si>
  <si>
    <t>Оюунбаатар</t>
  </si>
  <si>
    <t>Сугардорж</t>
  </si>
  <si>
    <t>Уртнасан</t>
  </si>
  <si>
    <t>Муханбет</t>
  </si>
  <si>
    <t>Хумарбек</t>
  </si>
  <si>
    <t>Буянчуулган</t>
  </si>
  <si>
    <t>ДХИС</t>
  </si>
  <si>
    <t>Гантай</t>
  </si>
  <si>
    <t>Цэвэгмэд</t>
  </si>
  <si>
    <t>Тилейхан</t>
  </si>
  <si>
    <t>Фатиза</t>
  </si>
  <si>
    <t>Данаажав</t>
  </si>
  <si>
    <t>Долгорсүрэн</t>
  </si>
  <si>
    <t>Гээпил</t>
  </si>
  <si>
    <t>142-р Сургууль</t>
  </si>
  <si>
    <t>Э.ГУНГААЖАВ БАГШИЙН НЭРЭМЖИТ БАЯНЗҮРХ ДҮҮРГИЙН МАТЕМАТИКИЙН 62-Р ОЛИМПИАДЫН        
  S(бага ангийн багш) АНГИЛЛЫН ЭЦСИЙН ДҮН МЭДЭЭ</t>
  </si>
  <si>
    <t xml:space="preserve">Бодлого </t>
  </si>
  <si>
    <t>Хасагбаатар</t>
  </si>
  <si>
    <t>Энхцэцэг</t>
  </si>
  <si>
    <t>S</t>
  </si>
  <si>
    <t>Хатбаатар</t>
  </si>
  <si>
    <t>Ариунзул</t>
  </si>
  <si>
    <t>Түвшинжаргал</t>
  </si>
  <si>
    <t>Дорждэрэм</t>
  </si>
  <si>
    <t>Саранзаяа</t>
  </si>
  <si>
    <t>Энхтуул</t>
  </si>
  <si>
    <t>Зангаар</t>
  </si>
  <si>
    <t>Анаргүль</t>
  </si>
  <si>
    <t>Банзрагч</t>
  </si>
  <si>
    <t>Амармэнд</t>
  </si>
  <si>
    <t>Ширхэн</t>
  </si>
  <si>
    <t>Жинсмаа</t>
  </si>
  <si>
    <t>Пүрэвдулам</t>
  </si>
  <si>
    <t>Байгалмаа</t>
  </si>
  <si>
    <t>Донсол</t>
  </si>
  <si>
    <t>Бямбасан</t>
  </si>
  <si>
    <t>Отгонтуяа</t>
  </si>
  <si>
    <t>Төмөрбаатар</t>
  </si>
  <si>
    <t>Нацагдорж</t>
  </si>
  <si>
    <t>Даваасамбуу</t>
  </si>
  <si>
    <t>Цэцэгмаа</t>
  </si>
  <si>
    <t>F АНГИЛАЛ</t>
  </si>
  <si>
    <t>12-14-ний өдөр</t>
  </si>
  <si>
    <t>Цогтбаяр</t>
  </si>
  <si>
    <t>Цэцбилгүүн</t>
  </si>
  <si>
    <t>Монгол Тэмүүлэл</t>
  </si>
  <si>
    <t>Амарнаран</t>
  </si>
  <si>
    <t>11б</t>
  </si>
  <si>
    <t>Батдорж</t>
  </si>
  <si>
    <t xml:space="preserve">Мөнхжаргал </t>
  </si>
  <si>
    <t xml:space="preserve">Чинбаатар </t>
  </si>
  <si>
    <t xml:space="preserve">Билгүүн </t>
  </si>
  <si>
    <t xml:space="preserve">Тэнүүн </t>
  </si>
  <si>
    <t>Томүжин Алтернатив</t>
  </si>
  <si>
    <t>11з</t>
  </si>
  <si>
    <t>Дашгомбо</t>
  </si>
  <si>
    <t>Очирсүрэн</t>
  </si>
  <si>
    <t>Цанлиг</t>
  </si>
  <si>
    <t xml:space="preserve">Төгөлдөр </t>
  </si>
  <si>
    <t xml:space="preserve">Чулуун </t>
  </si>
  <si>
    <t>Бат-Ундрал</t>
  </si>
  <si>
    <t>11д</t>
  </si>
  <si>
    <t>Азтөр</t>
  </si>
  <si>
    <t>Халиунаа</t>
  </si>
  <si>
    <t>Баярмөнх</t>
  </si>
  <si>
    <t>Билэгбуян</t>
  </si>
  <si>
    <t>Этүгэн</t>
  </si>
  <si>
    <t>Наранзун</t>
  </si>
  <si>
    <t>11г</t>
  </si>
  <si>
    <t>Хадылбек</t>
  </si>
  <si>
    <t>Онгарган</t>
  </si>
  <si>
    <t>Мөнхбаясгалан</t>
  </si>
  <si>
    <t>Энххүслэн</t>
  </si>
  <si>
    <t>Цэрэннэмэх</t>
  </si>
  <si>
    <t xml:space="preserve">Хүслэн </t>
  </si>
  <si>
    <t xml:space="preserve">97-р сургууль </t>
  </si>
  <si>
    <t>12в</t>
  </si>
  <si>
    <t>Ганбилэг</t>
  </si>
  <si>
    <t>Бат</t>
  </si>
  <si>
    <t>Мөнх-Од</t>
  </si>
  <si>
    <t>Хангал</t>
  </si>
  <si>
    <t xml:space="preserve">Хишиг </t>
  </si>
  <si>
    <t xml:space="preserve">Ариундөш </t>
  </si>
  <si>
    <t>Есүйгэн</t>
  </si>
  <si>
    <t>Нарангэрэлтхан</t>
  </si>
  <si>
    <t xml:space="preserve">Их Засаг Лицей </t>
  </si>
  <si>
    <t xml:space="preserve">Гурдыбек </t>
  </si>
  <si>
    <t>Адилжан</t>
  </si>
  <si>
    <t>Бат-Энх</t>
  </si>
  <si>
    <t xml:space="preserve">Шинэ Монгол ТК </t>
  </si>
  <si>
    <t>Бүрэнжаргал</t>
  </si>
  <si>
    <t xml:space="preserve">Оюунлаг </t>
  </si>
  <si>
    <t>12б</t>
  </si>
  <si>
    <t>Лхагважав</t>
  </si>
  <si>
    <t>Сайханбилиг</t>
  </si>
  <si>
    <t xml:space="preserve">Ирмүүн </t>
  </si>
  <si>
    <t>Сугаррагчаа</t>
  </si>
  <si>
    <t>Намуунжаргал</t>
  </si>
  <si>
    <t>Мандах-Эрдэнэ</t>
  </si>
  <si>
    <t xml:space="preserve">Ганболд </t>
  </si>
  <si>
    <t>Алтанболд</t>
  </si>
  <si>
    <t>12д</t>
  </si>
  <si>
    <t>Сансарболд</t>
  </si>
  <si>
    <t xml:space="preserve">Хуншагай </t>
  </si>
  <si>
    <t xml:space="preserve">Өнөмандах </t>
  </si>
  <si>
    <t>Эрхэм-Учрал</t>
  </si>
  <si>
    <t>12ж</t>
  </si>
  <si>
    <t>Мөнх-Амгалан</t>
  </si>
  <si>
    <t>Эрдэмтөгс</t>
  </si>
  <si>
    <t xml:space="preserve">Оюунтүлхүүр </t>
  </si>
  <si>
    <t>UB эмпати</t>
  </si>
  <si>
    <t>Ариунбаяр</t>
  </si>
  <si>
    <t>Чойжамц</t>
  </si>
  <si>
    <t xml:space="preserve">Хулан </t>
  </si>
  <si>
    <t>Батцогт</t>
  </si>
  <si>
    <t xml:space="preserve">Цолмон </t>
  </si>
  <si>
    <t>11ж</t>
  </si>
  <si>
    <t>Бямбадагва</t>
  </si>
  <si>
    <t>Мөнхдэмбэрэл</t>
  </si>
  <si>
    <t>Мөнгөнцоож</t>
  </si>
  <si>
    <t>11в</t>
  </si>
  <si>
    <t xml:space="preserve">Эрдэнэчулуун </t>
  </si>
  <si>
    <t>Халиун</t>
  </si>
  <si>
    <t>Эрхэм Баян Эрдэм</t>
  </si>
  <si>
    <t>12а</t>
  </si>
  <si>
    <t xml:space="preserve">Баяр </t>
  </si>
  <si>
    <t>Болор-Уянга</t>
  </si>
  <si>
    <t xml:space="preserve">Энхбат </t>
  </si>
  <si>
    <t>Нарангэрэлт</t>
  </si>
  <si>
    <t>Сайнжаргал</t>
  </si>
  <si>
    <t xml:space="preserve">147-р сургууль </t>
  </si>
  <si>
    <t>Сайханбаатар</t>
  </si>
  <si>
    <t>Очир-Эрдэнэ</t>
  </si>
  <si>
    <t>Болорчимэг</t>
  </si>
  <si>
    <t>Тэмүгэ</t>
  </si>
  <si>
    <t>Өлзийбаяр</t>
  </si>
  <si>
    <t>Хангарьд</t>
  </si>
  <si>
    <t>Буянбат</t>
  </si>
  <si>
    <t>Ариунзаяа</t>
  </si>
  <si>
    <t>Элдэв-Очир</t>
  </si>
  <si>
    <t>Их Засаг Лицей</t>
  </si>
  <si>
    <t>Баярбаясгалан</t>
  </si>
  <si>
    <t>Цэрэнтогтох</t>
  </si>
  <si>
    <t xml:space="preserve">Тамир </t>
  </si>
  <si>
    <t>Энхзаяа</t>
  </si>
  <si>
    <t>Хонгорзул</t>
  </si>
  <si>
    <t>Отгондаваа</t>
  </si>
  <si>
    <t>Эрдэнэ</t>
  </si>
  <si>
    <t>11а</t>
  </si>
  <si>
    <t>Дүүрэнбаяр</t>
  </si>
  <si>
    <t>Пунцаг</t>
  </si>
  <si>
    <t>Мяндас</t>
  </si>
  <si>
    <t xml:space="preserve">Энхтүвшин </t>
  </si>
  <si>
    <t>Жавхландалай</t>
  </si>
  <si>
    <t xml:space="preserve">Багатэнгэр </t>
  </si>
  <si>
    <t>Учрал</t>
  </si>
  <si>
    <t>Лхагва-Очир</t>
  </si>
  <si>
    <t>Пүрэвбат</t>
  </si>
  <si>
    <t>Нямжаргал</t>
  </si>
  <si>
    <t>Төрбат</t>
  </si>
  <si>
    <t>Золбат</t>
  </si>
  <si>
    <t>Лутбаяр</t>
  </si>
  <si>
    <t>148-рсургууль</t>
  </si>
  <si>
    <t>Саруул-Од</t>
  </si>
  <si>
    <t xml:space="preserve">Очирсүх </t>
  </si>
  <si>
    <t>Жавхланбаяр</t>
  </si>
  <si>
    <t>Батбямба</t>
  </si>
  <si>
    <t>UB Эмпати</t>
  </si>
  <si>
    <t>Алтантөгс</t>
  </si>
  <si>
    <t xml:space="preserve">Идэрмөнх </t>
  </si>
  <si>
    <t>Тайванхүү</t>
  </si>
  <si>
    <t xml:space="preserve">Дүүрэнбаяр </t>
  </si>
  <si>
    <t xml:space="preserve">Бямбацогт </t>
  </si>
  <si>
    <t xml:space="preserve">Амарбаясгалан </t>
  </si>
  <si>
    <t>Түвшинтулга</t>
  </si>
  <si>
    <t>Түвшин-Оргил</t>
  </si>
  <si>
    <t>Түвшинсайхан</t>
  </si>
  <si>
    <t>Төгсболд</t>
  </si>
  <si>
    <t>Мэргээдэй</t>
  </si>
  <si>
    <t>Мөрөөдөл</t>
  </si>
  <si>
    <t>Бат-Очир</t>
  </si>
  <si>
    <t>Ариунсувд</t>
  </si>
  <si>
    <t>Чинзүрх</t>
  </si>
  <si>
    <t xml:space="preserve">ДХИС-ийн ахлах сургууль </t>
  </si>
  <si>
    <t xml:space="preserve">Баатарболд </t>
  </si>
  <si>
    <t xml:space="preserve">68-р сургууль </t>
  </si>
  <si>
    <t>Сонинбаатар</t>
  </si>
  <si>
    <t>Эрдэнэчимэг</t>
  </si>
  <si>
    <t xml:space="preserve">Батболд </t>
  </si>
  <si>
    <t>Батцэцэг</t>
  </si>
  <si>
    <t xml:space="preserve">Цэгмэд </t>
  </si>
  <si>
    <t>Маралжингуа</t>
  </si>
  <si>
    <t>Баяртогтох</t>
  </si>
  <si>
    <t xml:space="preserve">Мөнхтөгөлдөр </t>
  </si>
  <si>
    <t xml:space="preserve">68-р сургуль </t>
  </si>
  <si>
    <t>Эм АЙ Ю</t>
  </si>
  <si>
    <t>Мягмарсайхан</t>
  </si>
  <si>
    <t>Лхагва</t>
  </si>
  <si>
    <t>Анужин</t>
  </si>
  <si>
    <t>Олзвой</t>
  </si>
  <si>
    <t xml:space="preserve">Цогбадралт </t>
  </si>
  <si>
    <t xml:space="preserve">Гёте </t>
  </si>
  <si>
    <t>Даваадорж</t>
  </si>
  <si>
    <t>Ариунгоо</t>
  </si>
  <si>
    <t xml:space="preserve">Ариунболд </t>
  </si>
  <si>
    <t>Агар</t>
  </si>
  <si>
    <t>Бямбаахүү</t>
  </si>
  <si>
    <t>Болор</t>
  </si>
  <si>
    <t xml:space="preserve">ДХИС ахлах сургууль </t>
  </si>
  <si>
    <t>Лувсанжанбаа</t>
  </si>
  <si>
    <t>Баатарсүх</t>
  </si>
  <si>
    <t>Ширчиндорж</t>
  </si>
  <si>
    <t>Эрдэнэтуяа</t>
  </si>
  <si>
    <t>Цасанчимэг</t>
  </si>
  <si>
    <t>Их Засаг лицей</t>
  </si>
  <si>
    <t>Эрхэмхүслэн</t>
  </si>
  <si>
    <t>Алтан-Од</t>
  </si>
  <si>
    <t>11е</t>
  </si>
  <si>
    <t xml:space="preserve">Энхболд </t>
  </si>
  <si>
    <t xml:space="preserve">Сэмж-Үржин </t>
  </si>
  <si>
    <t>ДХИС ахлах сургууль</t>
  </si>
  <si>
    <t xml:space="preserve">Азжаргал </t>
  </si>
  <si>
    <t>Лхасүрэн</t>
  </si>
  <si>
    <t>Лхагвадулам</t>
  </si>
  <si>
    <t>Отгонбат</t>
  </si>
  <si>
    <t>Баянзул</t>
  </si>
  <si>
    <t>Дэчин-Оцол</t>
  </si>
  <si>
    <t>Сод-Эрдэнэ</t>
  </si>
  <si>
    <t>Соронзонболд</t>
  </si>
  <si>
    <t>Содномдорж</t>
  </si>
  <si>
    <t xml:space="preserve">Намуун </t>
  </si>
  <si>
    <t xml:space="preserve">  Э. ГУНГААЖАВ БАГШИЙН НЭРЭМЖИТ БАЯНЗҮРХ ДҮҮРГИЙН МАТЕМАТИКИЙН 62-Р ОЛИМПИАДЫН                                                                                    F(11-12) АНГИЛЛЫН ЭЦСИЙН ДҮН МЭДЭЭ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</si>
</sst>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212529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3" fillId="3" borderId="2" xfId="0" applyFont="1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left" vertical="center"/>
    </xf>
    <xf numFmtId="0" fontId="1" fillId="5" borderId="11" xfId="0" applyFont="1" applyFill="1" applyBorder="1" applyAlignment="1">
      <alignment horizontal="left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/>
    </xf>
    <xf numFmtId="0" fontId="1" fillId="5" borderId="18" xfId="0" applyFont="1" applyFill="1" applyBorder="1" applyAlignment="1">
      <alignment horizontal="center"/>
    </xf>
    <xf numFmtId="0" fontId="1" fillId="5" borderId="13" xfId="0" applyFont="1" applyFill="1" applyBorder="1"/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left"/>
    </xf>
    <xf numFmtId="0" fontId="1" fillId="5" borderId="13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/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/>
    </xf>
    <xf numFmtId="0" fontId="1" fillId="5" borderId="1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3" xfId="0" applyFont="1" applyFill="1" applyBorder="1"/>
    <xf numFmtId="0" fontId="1" fillId="7" borderId="13" xfId="0" applyFont="1" applyFill="1" applyBorder="1" applyAlignment="1">
      <alignment vertical="center"/>
    </xf>
    <xf numFmtId="0" fontId="1" fillId="7" borderId="13" xfId="0" applyFont="1" applyFill="1" applyBorder="1" applyAlignment="1">
      <alignment horizontal="left" vertical="center"/>
    </xf>
    <xf numFmtId="0" fontId="1" fillId="7" borderId="9" xfId="0" applyFont="1" applyFill="1" applyBorder="1" applyAlignment="1">
      <alignment horizontal="center"/>
    </xf>
    <xf numFmtId="0" fontId="1" fillId="7" borderId="14" xfId="0" applyFont="1" applyFill="1" applyBorder="1"/>
    <xf numFmtId="0" fontId="1" fillId="7" borderId="15" xfId="0" applyFont="1" applyFill="1" applyBorder="1"/>
    <xf numFmtId="0" fontId="1" fillId="7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left"/>
    </xf>
    <xf numFmtId="0" fontId="1" fillId="7" borderId="16" xfId="0" applyFont="1" applyFill="1" applyBorder="1" applyAlignment="1">
      <alignment horizontal="center"/>
    </xf>
    <xf numFmtId="0" fontId="1" fillId="7" borderId="8" xfId="0" applyFont="1" applyFill="1" applyBorder="1"/>
    <xf numFmtId="0" fontId="1" fillId="7" borderId="8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4" fillId="4" borderId="0" xfId="0" applyFont="1" applyFill="1" applyAlignment="1">
      <alignment horizontal="center" vertical="center" wrapText="1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7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 vertical="center"/>
    </xf>
    <xf numFmtId="0" fontId="1" fillId="0" borderId="0" xfId="0" applyFont="1"/>
    <xf numFmtId="0" fontId="1" fillId="7" borderId="1" xfId="0" applyFont="1" applyFill="1" applyBorder="1"/>
    <xf numFmtId="0" fontId="1" fillId="0" borderId="1" xfId="0" applyFont="1" applyBorder="1" applyAlignment="1">
      <alignment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wrapText="1"/>
    </xf>
    <xf numFmtId="0" fontId="1" fillId="8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5" fillId="9" borderId="0" xfId="0" applyFont="1" applyFill="1" applyAlignment="1">
      <alignment horizontal="center" vertical="center" wrapText="1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wrapText="1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wrapText="1"/>
    </xf>
    <xf numFmtId="0" fontId="1" fillId="11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horizontal="center" wrapText="1"/>
    </xf>
    <xf numFmtId="0" fontId="1" fillId="7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center" wrapText="1"/>
    </xf>
    <xf numFmtId="0" fontId="1" fillId="7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left" wrapText="1"/>
    </xf>
    <xf numFmtId="0" fontId="3" fillId="9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73175-297C-4971-AF99-E48287F9641D}">
  <dimension ref="A1:L148"/>
  <sheetViews>
    <sheetView workbookViewId="0">
      <selection activeCell="K2" sqref="K2"/>
    </sheetView>
  </sheetViews>
  <sheetFormatPr defaultRowHeight="14.5" x14ac:dyDescent="0.35"/>
  <cols>
    <col min="1" max="1" width="4.08984375" bestFit="1" customWidth="1"/>
    <col min="2" max="2" width="15.26953125" bestFit="1" customWidth="1"/>
    <col min="3" max="3" width="15.1796875" bestFit="1" customWidth="1"/>
    <col min="4" max="4" width="7.36328125" bestFit="1" customWidth="1"/>
    <col min="5" max="5" width="22.1796875" bestFit="1" customWidth="1"/>
    <col min="6" max="6" width="5" bestFit="1" customWidth="1"/>
    <col min="7" max="10" width="4.54296875" customWidth="1"/>
    <col min="11" max="11" width="7.26953125" customWidth="1"/>
    <col min="12" max="12" width="7.453125" bestFit="1" customWidth="1"/>
  </cols>
  <sheetData>
    <row r="1" spans="1:12" x14ac:dyDescent="0.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9" thickBot="1" x14ac:dyDescent="0.4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3" t="s">
        <v>6</v>
      </c>
      <c r="G2" s="15" t="s">
        <v>7</v>
      </c>
      <c r="H2" s="15" t="s">
        <v>8</v>
      </c>
      <c r="I2" s="15" t="s">
        <v>9</v>
      </c>
      <c r="J2" s="15" t="s">
        <v>10</v>
      </c>
      <c r="K2" s="56" t="s">
        <v>11</v>
      </c>
      <c r="L2" s="2" t="s">
        <v>12</v>
      </c>
    </row>
    <row r="3" spans="1:12" x14ac:dyDescent="0.35">
      <c r="A3" s="16">
        <v>1</v>
      </c>
      <c r="B3" s="17" t="s">
        <v>13</v>
      </c>
      <c r="C3" s="18" t="s">
        <v>14</v>
      </c>
      <c r="D3" s="19">
        <v>187206</v>
      </c>
      <c r="E3" s="18" t="s">
        <v>15</v>
      </c>
      <c r="F3" s="20">
        <v>5</v>
      </c>
      <c r="G3" s="20">
        <v>7</v>
      </c>
      <c r="H3" s="20">
        <v>3</v>
      </c>
      <c r="I3" s="20">
        <v>4</v>
      </c>
      <c r="J3" s="20">
        <v>2</v>
      </c>
      <c r="K3" s="38">
        <v>16</v>
      </c>
      <c r="L3" s="28" t="s">
        <v>16</v>
      </c>
    </row>
    <row r="4" spans="1:12" x14ac:dyDescent="0.35">
      <c r="A4" s="21">
        <v>2</v>
      </c>
      <c r="B4" s="22" t="s">
        <v>17</v>
      </c>
      <c r="C4" s="23" t="s">
        <v>18</v>
      </c>
      <c r="D4" s="24">
        <v>159434</v>
      </c>
      <c r="E4" s="25" t="s">
        <v>19</v>
      </c>
      <c r="F4" s="24">
        <v>6</v>
      </c>
      <c r="G4" s="24">
        <v>7</v>
      </c>
      <c r="H4" s="24">
        <v>0</v>
      </c>
      <c r="I4" s="24">
        <v>7</v>
      </c>
      <c r="J4" s="24">
        <v>0</v>
      </c>
      <c r="K4" s="30">
        <v>14</v>
      </c>
      <c r="L4" s="28" t="s">
        <v>20</v>
      </c>
    </row>
    <row r="5" spans="1:12" ht="28.5" thickBot="1" x14ac:dyDescent="0.4">
      <c r="A5" s="21">
        <v>3</v>
      </c>
      <c r="B5" s="26" t="s">
        <v>21</v>
      </c>
      <c r="C5" s="27" t="s">
        <v>22</v>
      </c>
      <c r="D5" s="28">
        <v>188646</v>
      </c>
      <c r="E5" s="29" t="s">
        <v>23</v>
      </c>
      <c r="F5" s="24"/>
      <c r="G5" s="24">
        <v>2</v>
      </c>
      <c r="H5" s="24">
        <v>4</v>
      </c>
      <c r="I5" s="24">
        <v>7</v>
      </c>
      <c r="J5" s="24">
        <v>0</v>
      </c>
      <c r="K5" s="30">
        <v>13</v>
      </c>
      <c r="L5" s="28" t="s">
        <v>20</v>
      </c>
    </row>
    <row r="6" spans="1:12" x14ac:dyDescent="0.35">
      <c r="A6" s="16">
        <v>4</v>
      </c>
      <c r="B6" s="22" t="s">
        <v>24</v>
      </c>
      <c r="C6" s="23" t="s">
        <v>25</v>
      </c>
      <c r="D6" s="24">
        <v>185974</v>
      </c>
      <c r="E6" s="25" t="s">
        <v>19</v>
      </c>
      <c r="F6" s="24">
        <v>5</v>
      </c>
      <c r="G6" s="24">
        <v>7</v>
      </c>
      <c r="H6" s="24">
        <v>0</v>
      </c>
      <c r="I6" s="24">
        <v>5</v>
      </c>
      <c r="J6" s="24">
        <v>0</v>
      </c>
      <c r="K6" s="30">
        <v>12</v>
      </c>
      <c r="L6" s="28" t="s">
        <v>26</v>
      </c>
    </row>
    <row r="7" spans="1:12" x14ac:dyDescent="0.35">
      <c r="A7" s="21">
        <v>5</v>
      </c>
      <c r="B7" s="22" t="s">
        <v>27</v>
      </c>
      <c r="C7" s="23" t="s">
        <v>28</v>
      </c>
      <c r="D7" s="24">
        <v>183058</v>
      </c>
      <c r="E7" s="25" t="s">
        <v>29</v>
      </c>
      <c r="F7" s="24">
        <v>6</v>
      </c>
      <c r="G7" s="24">
        <v>7</v>
      </c>
      <c r="H7" s="24">
        <v>0</v>
      </c>
      <c r="I7" s="24">
        <v>5</v>
      </c>
      <c r="J7" s="24">
        <v>0</v>
      </c>
      <c r="K7" s="30">
        <v>12</v>
      </c>
      <c r="L7" s="28" t="s">
        <v>26</v>
      </c>
    </row>
    <row r="8" spans="1:12" ht="15" thickBot="1" x14ac:dyDescent="0.4">
      <c r="A8" s="21">
        <v>6</v>
      </c>
      <c r="B8" s="22" t="s">
        <v>30</v>
      </c>
      <c r="C8" s="23" t="s">
        <v>31</v>
      </c>
      <c r="D8" s="24">
        <v>225902</v>
      </c>
      <c r="E8" s="25" t="s">
        <v>32</v>
      </c>
      <c r="F8" s="24">
        <v>6</v>
      </c>
      <c r="G8" s="24">
        <v>7</v>
      </c>
      <c r="H8" s="24">
        <v>0</v>
      </c>
      <c r="I8" s="24">
        <v>4</v>
      </c>
      <c r="J8" s="24">
        <v>0</v>
      </c>
      <c r="K8" s="30">
        <v>11</v>
      </c>
      <c r="L8" s="28" t="s">
        <v>26</v>
      </c>
    </row>
    <row r="9" spans="1:12" x14ac:dyDescent="0.35">
      <c r="A9" s="55">
        <v>7</v>
      </c>
      <c r="B9" s="42" t="s">
        <v>33</v>
      </c>
      <c r="C9" s="32" t="s">
        <v>34</v>
      </c>
      <c r="D9" s="31">
        <v>215141</v>
      </c>
      <c r="E9" s="33" t="s">
        <v>35</v>
      </c>
      <c r="F9" s="31">
        <v>5</v>
      </c>
      <c r="G9" s="31">
        <v>5</v>
      </c>
      <c r="H9" s="31">
        <v>0</v>
      </c>
      <c r="I9" s="31">
        <v>5</v>
      </c>
      <c r="J9" s="31">
        <v>0</v>
      </c>
      <c r="K9" s="39">
        <v>10</v>
      </c>
      <c r="L9" s="32"/>
    </row>
    <row r="10" spans="1:12" x14ac:dyDescent="0.35">
      <c r="A10" s="41">
        <v>8</v>
      </c>
      <c r="B10" s="43" t="s">
        <v>36</v>
      </c>
      <c r="C10" s="34" t="s">
        <v>37</v>
      </c>
      <c r="D10" s="35">
        <v>187117</v>
      </c>
      <c r="E10" s="36" t="s">
        <v>19</v>
      </c>
      <c r="F10" s="31" t="s">
        <v>38</v>
      </c>
      <c r="G10" s="31">
        <v>6</v>
      </c>
      <c r="H10" s="31">
        <v>0</v>
      </c>
      <c r="I10" s="31">
        <v>4</v>
      </c>
      <c r="J10" s="31">
        <v>0</v>
      </c>
      <c r="K10" s="39">
        <v>10</v>
      </c>
      <c r="L10" s="32"/>
    </row>
    <row r="11" spans="1:12" ht="15" thickBot="1" x14ac:dyDescent="0.4">
      <c r="A11" s="41">
        <v>9</v>
      </c>
      <c r="B11" s="44" t="s">
        <v>39</v>
      </c>
      <c r="C11" s="36" t="s">
        <v>40</v>
      </c>
      <c r="D11" s="35">
        <v>187212</v>
      </c>
      <c r="E11" s="36" t="s">
        <v>15</v>
      </c>
      <c r="F11" s="31">
        <v>5</v>
      </c>
      <c r="G11" s="31">
        <v>7</v>
      </c>
      <c r="H11" s="31">
        <v>0</v>
      </c>
      <c r="I11" s="31">
        <v>2</v>
      </c>
      <c r="J11" s="31">
        <v>0</v>
      </c>
      <c r="K11" s="39">
        <v>9</v>
      </c>
      <c r="L11" s="32"/>
    </row>
    <row r="12" spans="1:12" x14ac:dyDescent="0.35">
      <c r="A12" s="55">
        <v>10</v>
      </c>
      <c r="B12" s="42" t="s">
        <v>41</v>
      </c>
      <c r="C12" s="32" t="s">
        <v>42</v>
      </c>
      <c r="D12" s="31">
        <v>159450</v>
      </c>
      <c r="E12" s="33" t="s">
        <v>19</v>
      </c>
      <c r="F12" s="31">
        <v>6</v>
      </c>
      <c r="G12" s="31">
        <v>0</v>
      </c>
      <c r="H12" s="31">
        <v>0</v>
      </c>
      <c r="I12" s="31">
        <v>7</v>
      </c>
      <c r="J12" s="31">
        <v>0</v>
      </c>
      <c r="K12" s="39">
        <v>7</v>
      </c>
      <c r="L12" s="32"/>
    </row>
    <row r="13" spans="1:12" x14ac:dyDescent="0.35">
      <c r="A13" s="41">
        <v>11</v>
      </c>
      <c r="B13" s="42" t="s">
        <v>43</v>
      </c>
      <c r="C13" s="32" t="s">
        <v>44</v>
      </c>
      <c r="D13" s="31">
        <v>189015</v>
      </c>
      <c r="E13" s="33" t="s">
        <v>45</v>
      </c>
      <c r="F13" s="31"/>
      <c r="G13" s="31">
        <v>0</v>
      </c>
      <c r="H13" s="31">
        <v>0</v>
      </c>
      <c r="I13" s="31">
        <v>7</v>
      </c>
      <c r="J13" s="31">
        <v>0</v>
      </c>
      <c r="K13" s="39">
        <v>7</v>
      </c>
      <c r="L13" s="32"/>
    </row>
    <row r="14" spans="1:12" ht="15" thickBot="1" x14ac:dyDescent="0.4">
      <c r="A14" s="41">
        <v>12</v>
      </c>
      <c r="B14" s="42" t="s">
        <v>46</v>
      </c>
      <c r="C14" s="32" t="s">
        <v>47</v>
      </c>
      <c r="D14" s="31">
        <v>210943</v>
      </c>
      <c r="E14" s="33" t="s">
        <v>19</v>
      </c>
      <c r="F14" s="39">
        <v>6</v>
      </c>
      <c r="G14" s="31">
        <v>0</v>
      </c>
      <c r="H14" s="31">
        <v>0</v>
      </c>
      <c r="I14" s="31">
        <v>7</v>
      </c>
      <c r="J14" s="31">
        <v>0</v>
      </c>
      <c r="K14" s="39">
        <v>7</v>
      </c>
      <c r="L14" s="32"/>
    </row>
    <row r="15" spans="1:12" x14ac:dyDescent="0.35">
      <c r="A15" s="55">
        <v>13</v>
      </c>
      <c r="B15" s="42" t="s">
        <v>48</v>
      </c>
      <c r="C15" s="32" t="s">
        <v>49</v>
      </c>
      <c r="D15" s="31">
        <v>208268</v>
      </c>
      <c r="E15" s="33" t="s">
        <v>50</v>
      </c>
      <c r="F15" s="39">
        <v>6</v>
      </c>
      <c r="G15" s="31">
        <v>3</v>
      </c>
      <c r="H15" s="31">
        <v>0</v>
      </c>
      <c r="I15" s="31">
        <v>4</v>
      </c>
      <c r="J15" s="31">
        <v>0</v>
      </c>
      <c r="K15" s="39">
        <v>7</v>
      </c>
      <c r="L15" s="32"/>
    </row>
    <row r="16" spans="1:12" x14ac:dyDescent="0.35">
      <c r="A16" s="41">
        <v>14</v>
      </c>
      <c r="B16" s="42" t="s">
        <v>51</v>
      </c>
      <c r="C16" s="32" t="s">
        <v>52</v>
      </c>
      <c r="D16" s="31">
        <v>180682</v>
      </c>
      <c r="E16" s="33" t="s">
        <v>53</v>
      </c>
      <c r="F16" s="39" t="s">
        <v>54</v>
      </c>
      <c r="G16" s="31">
        <v>0</v>
      </c>
      <c r="H16" s="31">
        <v>3</v>
      </c>
      <c r="I16" s="31">
        <v>4</v>
      </c>
      <c r="J16" s="31">
        <v>0</v>
      </c>
      <c r="K16" s="39">
        <v>7</v>
      </c>
      <c r="L16" s="32"/>
    </row>
    <row r="17" spans="1:12" ht="15" thickBot="1" x14ac:dyDescent="0.4">
      <c r="A17" s="41">
        <v>15</v>
      </c>
      <c r="B17" s="43" t="s">
        <v>55</v>
      </c>
      <c r="C17" s="34" t="s">
        <v>56</v>
      </c>
      <c r="D17" s="35">
        <v>186207</v>
      </c>
      <c r="E17" s="36" t="s">
        <v>15</v>
      </c>
      <c r="F17" s="39">
        <v>6</v>
      </c>
      <c r="G17" s="31">
        <v>5</v>
      </c>
      <c r="H17" s="31">
        <v>1</v>
      </c>
      <c r="I17" s="31">
        <v>1</v>
      </c>
      <c r="J17" s="31">
        <v>0</v>
      </c>
      <c r="K17" s="39">
        <v>7</v>
      </c>
      <c r="L17" s="32"/>
    </row>
    <row r="18" spans="1:12" x14ac:dyDescent="0.35">
      <c r="A18" s="55">
        <v>16</v>
      </c>
      <c r="B18" s="44" t="s">
        <v>57</v>
      </c>
      <c r="C18" s="36" t="s">
        <v>58</v>
      </c>
      <c r="D18" s="35">
        <v>123487</v>
      </c>
      <c r="E18" s="36" t="s">
        <v>59</v>
      </c>
      <c r="F18" s="39">
        <v>6</v>
      </c>
      <c r="G18" s="31">
        <v>2</v>
      </c>
      <c r="H18" s="31">
        <v>0</v>
      </c>
      <c r="I18" s="31">
        <v>5</v>
      </c>
      <c r="J18" s="31">
        <v>0</v>
      </c>
      <c r="K18" s="39">
        <v>7</v>
      </c>
      <c r="L18" s="32"/>
    </row>
    <row r="19" spans="1:12" x14ac:dyDescent="0.35">
      <c r="A19" s="41">
        <v>17</v>
      </c>
      <c r="B19" s="42" t="s">
        <v>60</v>
      </c>
      <c r="C19" s="32" t="s">
        <v>61</v>
      </c>
      <c r="D19" s="31">
        <v>184328</v>
      </c>
      <c r="E19" s="33" t="s">
        <v>62</v>
      </c>
      <c r="F19" s="39">
        <v>6</v>
      </c>
      <c r="G19" s="31">
        <v>7</v>
      </c>
      <c r="H19" s="31">
        <v>0</v>
      </c>
      <c r="I19" s="31">
        <v>0</v>
      </c>
      <c r="J19" s="31">
        <v>0</v>
      </c>
      <c r="K19" s="39">
        <v>7</v>
      </c>
      <c r="L19" s="32"/>
    </row>
    <row r="20" spans="1:12" ht="15" thickBot="1" x14ac:dyDescent="0.4">
      <c r="A20" s="41">
        <v>18</v>
      </c>
      <c r="B20" s="46" t="s">
        <v>63</v>
      </c>
      <c r="C20" s="47" t="s">
        <v>64</v>
      </c>
      <c r="D20" s="48">
        <v>159439</v>
      </c>
      <c r="E20" s="49" t="s">
        <v>65</v>
      </c>
      <c r="F20" s="50" t="s">
        <v>66</v>
      </c>
      <c r="G20" s="48">
        <v>2</v>
      </c>
      <c r="H20" s="48">
        <v>0</v>
      </c>
      <c r="I20" s="48">
        <v>4</v>
      </c>
      <c r="J20" s="48">
        <v>0</v>
      </c>
      <c r="K20" s="50">
        <v>6</v>
      </c>
      <c r="L20" s="32"/>
    </row>
    <row r="21" spans="1:12" x14ac:dyDescent="0.35">
      <c r="A21" s="55">
        <v>19</v>
      </c>
      <c r="B21" s="51" t="s">
        <v>67</v>
      </c>
      <c r="C21" s="51" t="s">
        <v>68</v>
      </c>
      <c r="D21" s="52">
        <v>199305</v>
      </c>
      <c r="E21" s="53" t="s">
        <v>69</v>
      </c>
      <c r="F21" s="52">
        <v>6</v>
      </c>
      <c r="G21" s="52">
        <v>2</v>
      </c>
      <c r="H21" s="52">
        <v>2</v>
      </c>
      <c r="I21" s="52">
        <v>2</v>
      </c>
      <c r="J21" s="52">
        <v>0</v>
      </c>
      <c r="K21" s="45">
        <v>6</v>
      </c>
      <c r="L21" s="32"/>
    </row>
    <row r="22" spans="1:12" x14ac:dyDescent="0.35">
      <c r="A22" s="41">
        <v>20</v>
      </c>
      <c r="B22" s="32" t="s">
        <v>70</v>
      </c>
      <c r="C22" s="32" t="s">
        <v>71</v>
      </c>
      <c r="D22" s="31">
        <v>135127</v>
      </c>
      <c r="E22" s="33" t="s">
        <v>72</v>
      </c>
      <c r="F22" s="31">
        <v>6</v>
      </c>
      <c r="G22" s="31">
        <v>0</v>
      </c>
      <c r="H22" s="31">
        <v>0</v>
      </c>
      <c r="I22" s="31">
        <v>5</v>
      </c>
      <c r="J22" s="31">
        <v>1</v>
      </c>
      <c r="K22" s="39">
        <v>6</v>
      </c>
      <c r="L22" s="32"/>
    </row>
    <row r="23" spans="1:12" ht="15" thickBot="1" x14ac:dyDescent="0.4">
      <c r="A23" s="41">
        <v>21</v>
      </c>
      <c r="B23" s="32" t="s">
        <v>73</v>
      </c>
      <c r="C23" s="32" t="s">
        <v>74</v>
      </c>
      <c r="D23" s="31">
        <v>151690</v>
      </c>
      <c r="E23" s="33" t="s">
        <v>75</v>
      </c>
      <c r="F23" s="31" t="s">
        <v>76</v>
      </c>
      <c r="G23" s="31">
        <v>0</v>
      </c>
      <c r="H23" s="31">
        <v>0</v>
      </c>
      <c r="I23" s="31">
        <v>5</v>
      </c>
      <c r="J23" s="31">
        <v>0</v>
      </c>
      <c r="K23" s="39">
        <v>5</v>
      </c>
      <c r="L23" s="32"/>
    </row>
    <row r="24" spans="1:12" x14ac:dyDescent="0.35">
      <c r="A24" s="55">
        <v>22</v>
      </c>
      <c r="B24" s="32" t="s">
        <v>77</v>
      </c>
      <c r="C24" s="32" t="s">
        <v>78</v>
      </c>
      <c r="D24" s="31">
        <v>220879</v>
      </c>
      <c r="E24" s="33" t="s">
        <v>79</v>
      </c>
      <c r="F24" s="31">
        <v>6</v>
      </c>
      <c r="G24" s="31">
        <v>0</v>
      </c>
      <c r="H24" s="31">
        <v>0</v>
      </c>
      <c r="I24" s="31">
        <v>5</v>
      </c>
      <c r="J24" s="31">
        <v>0</v>
      </c>
      <c r="K24" s="39">
        <v>5</v>
      </c>
      <c r="L24" s="32"/>
    </row>
    <row r="25" spans="1:12" x14ac:dyDescent="0.35">
      <c r="A25" s="41">
        <v>23</v>
      </c>
      <c r="B25" s="32" t="s">
        <v>80</v>
      </c>
      <c r="C25" s="32" t="s">
        <v>81</v>
      </c>
      <c r="D25" s="31">
        <v>172135</v>
      </c>
      <c r="E25" s="33" t="s">
        <v>82</v>
      </c>
      <c r="F25" s="31">
        <v>6</v>
      </c>
      <c r="G25" s="31">
        <v>0</v>
      </c>
      <c r="H25" s="31">
        <v>1</v>
      </c>
      <c r="I25" s="31">
        <v>4</v>
      </c>
      <c r="J25" s="31">
        <v>0</v>
      </c>
      <c r="K25" s="39">
        <v>5</v>
      </c>
      <c r="L25" s="32"/>
    </row>
    <row r="26" spans="1:12" ht="15" thickBot="1" x14ac:dyDescent="0.4">
      <c r="A26" s="41">
        <v>24</v>
      </c>
      <c r="B26" s="32" t="s">
        <v>83</v>
      </c>
      <c r="C26" s="32" t="s">
        <v>84</v>
      </c>
      <c r="D26" s="31">
        <v>190928</v>
      </c>
      <c r="E26" s="33" t="s">
        <v>85</v>
      </c>
      <c r="F26" s="31">
        <v>5</v>
      </c>
      <c r="G26" s="31">
        <v>0</v>
      </c>
      <c r="H26" s="31">
        <v>0</v>
      </c>
      <c r="I26" s="31">
        <v>5</v>
      </c>
      <c r="J26" s="31">
        <v>0</v>
      </c>
      <c r="K26" s="39">
        <v>5</v>
      </c>
      <c r="L26" s="32"/>
    </row>
    <row r="27" spans="1:12" x14ac:dyDescent="0.35">
      <c r="A27" s="55">
        <v>25</v>
      </c>
      <c r="B27" s="32" t="s">
        <v>86</v>
      </c>
      <c r="C27" s="32" t="s">
        <v>87</v>
      </c>
      <c r="D27" s="31">
        <v>216276</v>
      </c>
      <c r="E27" s="33" t="s">
        <v>88</v>
      </c>
      <c r="F27" s="31" t="s">
        <v>89</v>
      </c>
      <c r="G27" s="31">
        <v>0</v>
      </c>
      <c r="H27" s="31">
        <v>5</v>
      </c>
      <c r="I27" s="31">
        <v>0</v>
      </c>
      <c r="J27" s="31">
        <v>0</v>
      </c>
      <c r="K27" s="39">
        <v>5</v>
      </c>
      <c r="L27" s="32"/>
    </row>
    <row r="28" spans="1:12" x14ac:dyDescent="0.35">
      <c r="A28" s="41">
        <v>26</v>
      </c>
      <c r="B28" s="32" t="s">
        <v>90</v>
      </c>
      <c r="C28" s="32" t="s">
        <v>91</v>
      </c>
      <c r="D28" s="32">
        <v>122997</v>
      </c>
      <c r="E28" s="33" t="s">
        <v>45</v>
      </c>
      <c r="F28" s="31">
        <v>6</v>
      </c>
      <c r="G28" s="31">
        <v>0</v>
      </c>
      <c r="H28" s="31">
        <v>0</v>
      </c>
      <c r="I28" s="31">
        <v>5</v>
      </c>
      <c r="J28" s="31">
        <v>0</v>
      </c>
      <c r="K28" s="39">
        <v>5</v>
      </c>
      <c r="L28" s="32"/>
    </row>
    <row r="29" spans="1:12" ht="15" thickBot="1" x14ac:dyDescent="0.4">
      <c r="A29" s="41">
        <v>27</v>
      </c>
      <c r="B29" s="32" t="s">
        <v>92</v>
      </c>
      <c r="C29" s="32" t="s">
        <v>93</v>
      </c>
      <c r="D29" s="31">
        <v>184892</v>
      </c>
      <c r="E29" s="33" t="s">
        <v>62</v>
      </c>
      <c r="F29" s="31" t="s">
        <v>76</v>
      </c>
      <c r="G29" s="31">
        <v>0</v>
      </c>
      <c r="H29" s="31">
        <v>0</v>
      </c>
      <c r="I29" s="31">
        <v>5</v>
      </c>
      <c r="J29" s="31">
        <v>0</v>
      </c>
      <c r="K29" s="39">
        <v>5</v>
      </c>
      <c r="L29" s="32"/>
    </row>
    <row r="30" spans="1:12" x14ac:dyDescent="0.35">
      <c r="A30" s="55">
        <v>28</v>
      </c>
      <c r="B30" s="32" t="s">
        <v>94</v>
      </c>
      <c r="C30" s="32" t="s">
        <v>95</v>
      </c>
      <c r="D30" s="31">
        <v>137293</v>
      </c>
      <c r="E30" s="33" t="s">
        <v>85</v>
      </c>
      <c r="F30" s="31" t="s">
        <v>96</v>
      </c>
      <c r="G30" s="31">
        <v>0</v>
      </c>
      <c r="H30" s="31">
        <v>0</v>
      </c>
      <c r="I30" s="31">
        <v>5</v>
      </c>
      <c r="J30" s="31">
        <v>0</v>
      </c>
      <c r="K30" s="39">
        <v>5</v>
      </c>
      <c r="L30" s="32"/>
    </row>
    <row r="31" spans="1:12" x14ac:dyDescent="0.35">
      <c r="A31" s="41">
        <v>29</v>
      </c>
      <c r="B31" s="32" t="s">
        <v>97</v>
      </c>
      <c r="C31" s="32" t="s">
        <v>98</v>
      </c>
      <c r="D31" s="31">
        <v>184653</v>
      </c>
      <c r="E31" s="33" t="s">
        <v>62</v>
      </c>
      <c r="F31" s="31">
        <v>6</v>
      </c>
      <c r="G31" s="31">
        <v>0</v>
      </c>
      <c r="H31" s="31">
        <v>0</v>
      </c>
      <c r="I31" s="31">
        <v>5</v>
      </c>
      <c r="J31" s="31">
        <v>0</v>
      </c>
      <c r="K31" s="39">
        <v>5</v>
      </c>
      <c r="L31" s="32"/>
    </row>
    <row r="32" spans="1:12" ht="15" thickBot="1" x14ac:dyDescent="0.4">
      <c r="A32" s="41">
        <v>30</v>
      </c>
      <c r="B32" s="36" t="s">
        <v>24</v>
      </c>
      <c r="C32" s="36" t="s">
        <v>99</v>
      </c>
      <c r="D32" s="35">
        <v>205390</v>
      </c>
      <c r="E32" s="36" t="s">
        <v>100</v>
      </c>
      <c r="F32" s="31">
        <v>5</v>
      </c>
      <c r="G32" s="31">
        <v>0</v>
      </c>
      <c r="H32" s="31">
        <v>0</v>
      </c>
      <c r="I32" s="31">
        <v>4</v>
      </c>
      <c r="J32" s="31">
        <v>0</v>
      </c>
      <c r="K32" s="39">
        <v>4</v>
      </c>
      <c r="L32" s="32"/>
    </row>
    <row r="33" spans="1:12" x14ac:dyDescent="0.35">
      <c r="A33" s="55">
        <v>31</v>
      </c>
      <c r="B33" s="32" t="s">
        <v>101</v>
      </c>
      <c r="C33" s="32" t="s">
        <v>102</v>
      </c>
      <c r="D33" s="31">
        <v>210741</v>
      </c>
      <c r="E33" s="33" t="s">
        <v>19</v>
      </c>
      <c r="F33" s="31">
        <v>6</v>
      </c>
      <c r="G33" s="31">
        <v>0</v>
      </c>
      <c r="H33" s="31">
        <v>0</v>
      </c>
      <c r="I33" s="31">
        <v>0</v>
      </c>
      <c r="J33" s="31">
        <v>4</v>
      </c>
      <c r="K33" s="39">
        <v>4</v>
      </c>
      <c r="L33" s="32"/>
    </row>
    <row r="34" spans="1:12" x14ac:dyDescent="0.35">
      <c r="A34" s="41">
        <v>32</v>
      </c>
      <c r="B34" s="32" t="s">
        <v>103</v>
      </c>
      <c r="C34" s="32" t="s">
        <v>104</v>
      </c>
      <c r="D34" s="31">
        <v>207668</v>
      </c>
      <c r="E34" s="33" t="s">
        <v>105</v>
      </c>
      <c r="F34" s="31">
        <v>5</v>
      </c>
      <c r="G34" s="31">
        <v>0</v>
      </c>
      <c r="H34" s="31">
        <v>2</v>
      </c>
      <c r="I34" s="31">
        <v>2</v>
      </c>
      <c r="J34" s="31">
        <v>0</v>
      </c>
      <c r="K34" s="39">
        <v>4</v>
      </c>
      <c r="L34" s="32"/>
    </row>
    <row r="35" spans="1:12" ht="15" thickBot="1" x14ac:dyDescent="0.4">
      <c r="A35" s="41">
        <v>33</v>
      </c>
      <c r="B35" s="34" t="s">
        <v>106</v>
      </c>
      <c r="C35" s="34" t="s">
        <v>107</v>
      </c>
      <c r="D35" s="35">
        <v>182741</v>
      </c>
      <c r="E35" s="36" t="s">
        <v>62</v>
      </c>
      <c r="F35" s="31">
        <v>6</v>
      </c>
      <c r="G35" s="31">
        <v>0</v>
      </c>
      <c r="H35" s="31">
        <v>3</v>
      </c>
      <c r="I35" s="31">
        <v>1</v>
      </c>
      <c r="J35" s="31">
        <v>0</v>
      </c>
      <c r="K35" s="39">
        <v>4</v>
      </c>
      <c r="L35" s="32"/>
    </row>
    <row r="36" spans="1:12" x14ac:dyDescent="0.35">
      <c r="A36" s="55">
        <v>34</v>
      </c>
      <c r="B36" s="34" t="s">
        <v>108</v>
      </c>
      <c r="C36" s="34" t="s">
        <v>109</v>
      </c>
      <c r="D36" s="35">
        <v>223673</v>
      </c>
      <c r="E36" s="36" t="s">
        <v>110</v>
      </c>
      <c r="F36" s="31">
        <v>6</v>
      </c>
      <c r="G36" s="31">
        <v>0</v>
      </c>
      <c r="H36" s="31">
        <v>0</v>
      </c>
      <c r="I36" s="31">
        <v>2</v>
      </c>
      <c r="J36" s="31">
        <v>2</v>
      </c>
      <c r="K36" s="39">
        <v>4</v>
      </c>
      <c r="L36" s="32"/>
    </row>
    <row r="37" spans="1:12" x14ac:dyDescent="0.35">
      <c r="A37" s="41">
        <v>35</v>
      </c>
      <c r="B37" s="36" t="s">
        <v>111</v>
      </c>
      <c r="C37" s="36" t="s">
        <v>112</v>
      </c>
      <c r="D37" s="35">
        <v>211035</v>
      </c>
      <c r="E37" s="36" t="s">
        <v>19</v>
      </c>
      <c r="F37" s="31">
        <v>6</v>
      </c>
      <c r="G37" s="31">
        <v>0</v>
      </c>
      <c r="H37" s="31">
        <v>0</v>
      </c>
      <c r="I37" s="31">
        <v>4</v>
      </c>
      <c r="J37" s="31">
        <v>0</v>
      </c>
      <c r="K37" s="39">
        <v>4</v>
      </c>
      <c r="L37" s="32"/>
    </row>
    <row r="38" spans="1:12" ht="15" thickBot="1" x14ac:dyDescent="0.4">
      <c r="A38" s="41">
        <v>36</v>
      </c>
      <c r="B38" s="32" t="s">
        <v>113</v>
      </c>
      <c r="C38" s="32" t="s">
        <v>114</v>
      </c>
      <c r="D38" s="31">
        <v>190751</v>
      </c>
      <c r="E38" s="33" t="s">
        <v>115</v>
      </c>
      <c r="F38" s="31">
        <v>6</v>
      </c>
      <c r="G38" s="31">
        <v>0</v>
      </c>
      <c r="H38" s="31">
        <v>0</v>
      </c>
      <c r="I38" s="31">
        <v>4</v>
      </c>
      <c r="J38" s="31">
        <v>0</v>
      </c>
      <c r="K38" s="39">
        <v>4</v>
      </c>
      <c r="L38" s="32"/>
    </row>
    <row r="39" spans="1:12" x14ac:dyDescent="0.35">
      <c r="A39" s="55">
        <v>37</v>
      </c>
      <c r="B39" s="32" t="s">
        <v>116</v>
      </c>
      <c r="C39" s="32" t="s">
        <v>117</v>
      </c>
      <c r="D39" s="31">
        <v>123354</v>
      </c>
      <c r="E39" s="33" t="s">
        <v>59</v>
      </c>
      <c r="F39" s="31">
        <v>6</v>
      </c>
      <c r="G39" s="31">
        <v>0</v>
      </c>
      <c r="H39" s="31">
        <v>0</v>
      </c>
      <c r="I39" s="31">
        <v>4</v>
      </c>
      <c r="J39" s="31">
        <v>0</v>
      </c>
      <c r="K39" s="39">
        <v>4</v>
      </c>
      <c r="L39" s="32"/>
    </row>
    <row r="40" spans="1:12" x14ac:dyDescent="0.35">
      <c r="A40" s="41">
        <v>38</v>
      </c>
      <c r="B40" s="32" t="s">
        <v>118</v>
      </c>
      <c r="C40" s="32" t="s">
        <v>119</v>
      </c>
      <c r="D40" s="31">
        <v>206404</v>
      </c>
      <c r="E40" s="33" t="s">
        <v>120</v>
      </c>
      <c r="F40" s="31">
        <v>6</v>
      </c>
      <c r="G40" s="31">
        <v>0</v>
      </c>
      <c r="H40" s="31">
        <v>0</v>
      </c>
      <c r="I40" s="31">
        <v>4</v>
      </c>
      <c r="J40" s="31">
        <v>0</v>
      </c>
      <c r="K40" s="39">
        <v>4</v>
      </c>
      <c r="L40" s="32"/>
    </row>
    <row r="41" spans="1:12" ht="15" thickBot="1" x14ac:dyDescent="0.4">
      <c r="A41" s="41">
        <v>39</v>
      </c>
      <c r="B41" s="32" t="s">
        <v>43</v>
      </c>
      <c r="C41" s="32" t="s">
        <v>121</v>
      </c>
      <c r="D41" s="31">
        <v>226657</v>
      </c>
      <c r="E41" s="33" t="s">
        <v>53</v>
      </c>
      <c r="F41" s="31">
        <v>5</v>
      </c>
      <c r="G41" s="31">
        <v>0</v>
      </c>
      <c r="H41" s="31">
        <v>1</v>
      </c>
      <c r="I41" s="31">
        <v>0</v>
      </c>
      <c r="J41" s="31">
        <v>2</v>
      </c>
      <c r="K41" s="39">
        <v>3</v>
      </c>
      <c r="L41" s="32"/>
    </row>
    <row r="42" spans="1:12" x14ac:dyDescent="0.35">
      <c r="A42" s="55">
        <v>40</v>
      </c>
      <c r="B42" s="32" t="s">
        <v>122</v>
      </c>
      <c r="C42" s="32" t="s">
        <v>123</v>
      </c>
      <c r="D42" s="31">
        <v>206444</v>
      </c>
      <c r="E42" s="33" t="s">
        <v>120</v>
      </c>
      <c r="F42" s="31">
        <v>6</v>
      </c>
      <c r="G42" s="31">
        <v>3</v>
      </c>
      <c r="H42" s="31">
        <v>0</v>
      </c>
      <c r="I42" s="31">
        <v>0</v>
      </c>
      <c r="J42" s="31">
        <v>0</v>
      </c>
      <c r="K42" s="39">
        <v>3</v>
      </c>
      <c r="L42" s="32"/>
    </row>
    <row r="43" spans="1:12" x14ac:dyDescent="0.35">
      <c r="A43" s="41">
        <v>41</v>
      </c>
      <c r="B43" s="32" t="s">
        <v>124</v>
      </c>
      <c r="C43" s="32" t="s">
        <v>27</v>
      </c>
      <c r="D43" s="31">
        <v>230954</v>
      </c>
      <c r="E43" s="33" t="s">
        <v>82</v>
      </c>
      <c r="F43" s="31">
        <v>5</v>
      </c>
      <c r="G43" s="31">
        <v>3</v>
      </c>
      <c r="H43" s="31">
        <v>0</v>
      </c>
      <c r="I43" s="31">
        <v>0</v>
      </c>
      <c r="J43" s="31">
        <v>0</v>
      </c>
      <c r="K43" s="39">
        <v>3</v>
      </c>
      <c r="L43" s="32"/>
    </row>
    <row r="44" spans="1:12" ht="15" thickBot="1" x14ac:dyDescent="0.4">
      <c r="A44" s="41">
        <v>42</v>
      </c>
      <c r="B44" s="36" t="s">
        <v>125</v>
      </c>
      <c r="C44" s="36" t="s">
        <v>126</v>
      </c>
      <c r="D44" s="35">
        <v>183314</v>
      </c>
      <c r="E44" s="36" t="s">
        <v>127</v>
      </c>
      <c r="F44" s="31">
        <v>6</v>
      </c>
      <c r="G44" s="31">
        <v>0</v>
      </c>
      <c r="H44" s="31">
        <v>0</v>
      </c>
      <c r="I44" s="31">
        <v>0</v>
      </c>
      <c r="J44" s="31">
        <v>2</v>
      </c>
      <c r="K44" s="39">
        <v>2</v>
      </c>
      <c r="L44" s="32"/>
    </row>
    <row r="45" spans="1:12" x14ac:dyDescent="0.35">
      <c r="A45" s="55">
        <v>43</v>
      </c>
      <c r="B45" s="32" t="s">
        <v>128</v>
      </c>
      <c r="C45" s="32" t="s">
        <v>129</v>
      </c>
      <c r="D45" s="31">
        <v>206231</v>
      </c>
      <c r="E45" s="33" t="s">
        <v>130</v>
      </c>
      <c r="F45" s="31">
        <v>6</v>
      </c>
      <c r="G45" s="31">
        <v>0</v>
      </c>
      <c r="H45" s="31">
        <v>0</v>
      </c>
      <c r="I45" s="31">
        <v>2</v>
      </c>
      <c r="J45" s="31">
        <v>0</v>
      </c>
      <c r="K45" s="39">
        <v>2</v>
      </c>
      <c r="L45" s="32"/>
    </row>
    <row r="46" spans="1:12" x14ac:dyDescent="0.35">
      <c r="A46" s="41">
        <v>44</v>
      </c>
      <c r="B46" s="32" t="s">
        <v>131</v>
      </c>
      <c r="C46" s="32" t="s">
        <v>132</v>
      </c>
      <c r="D46" s="32">
        <v>159890</v>
      </c>
      <c r="E46" s="33" t="s">
        <v>133</v>
      </c>
      <c r="F46" s="31">
        <v>6</v>
      </c>
      <c r="G46" s="31">
        <v>0</v>
      </c>
      <c r="H46" s="31">
        <v>0</v>
      </c>
      <c r="I46" s="31">
        <v>2</v>
      </c>
      <c r="J46" s="31">
        <v>0</v>
      </c>
      <c r="K46" s="39">
        <v>2</v>
      </c>
      <c r="L46" s="32"/>
    </row>
    <row r="47" spans="1:12" ht="15" thickBot="1" x14ac:dyDescent="0.4">
      <c r="A47" s="41">
        <v>45</v>
      </c>
      <c r="B47" s="36" t="s">
        <v>134</v>
      </c>
      <c r="C47" s="36" t="s">
        <v>135</v>
      </c>
      <c r="D47" s="35">
        <v>174829</v>
      </c>
      <c r="E47" s="36" t="s">
        <v>53</v>
      </c>
      <c r="F47" s="31" t="s">
        <v>54</v>
      </c>
      <c r="G47" s="31">
        <v>0</v>
      </c>
      <c r="H47" s="31">
        <v>2</v>
      </c>
      <c r="I47" s="31">
        <v>0</v>
      </c>
      <c r="J47" s="31">
        <v>0</v>
      </c>
      <c r="K47" s="39">
        <v>2</v>
      </c>
      <c r="L47" s="32"/>
    </row>
    <row r="48" spans="1:12" x14ac:dyDescent="0.35">
      <c r="A48" s="55">
        <v>46</v>
      </c>
      <c r="B48" s="32" t="s">
        <v>136</v>
      </c>
      <c r="C48" s="32" t="s">
        <v>137</v>
      </c>
      <c r="D48" s="31">
        <v>123897</v>
      </c>
      <c r="E48" s="33">
        <v>33</v>
      </c>
      <c r="F48" s="31" t="s">
        <v>54</v>
      </c>
      <c r="G48" s="31">
        <v>0</v>
      </c>
      <c r="H48" s="31">
        <v>1</v>
      </c>
      <c r="I48" s="31">
        <v>0</v>
      </c>
      <c r="J48" s="31">
        <v>1</v>
      </c>
      <c r="K48" s="39">
        <v>2</v>
      </c>
      <c r="L48" s="32"/>
    </row>
    <row r="49" spans="1:12" x14ac:dyDescent="0.35">
      <c r="A49" s="41">
        <v>47</v>
      </c>
      <c r="B49" s="32" t="s">
        <v>138</v>
      </c>
      <c r="C49" s="32" t="s">
        <v>121</v>
      </c>
      <c r="D49" s="31">
        <v>159470</v>
      </c>
      <c r="E49" s="36" t="s">
        <v>19</v>
      </c>
      <c r="F49" s="31">
        <v>6</v>
      </c>
      <c r="G49" s="31">
        <v>2</v>
      </c>
      <c r="H49" s="31">
        <v>0</v>
      </c>
      <c r="I49" s="31">
        <v>0</v>
      </c>
      <c r="J49" s="31">
        <v>0</v>
      </c>
      <c r="K49" s="39">
        <v>2</v>
      </c>
      <c r="L49" s="32"/>
    </row>
    <row r="50" spans="1:12" ht="15" thickBot="1" x14ac:dyDescent="0.4">
      <c r="A50" s="41">
        <v>48</v>
      </c>
      <c r="B50" s="32" t="s">
        <v>139</v>
      </c>
      <c r="C50" s="32" t="s">
        <v>140</v>
      </c>
      <c r="D50" s="31">
        <v>218067</v>
      </c>
      <c r="E50" s="33" t="s">
        <v>141</v>
      </c>
      <c r="F50" s="31">
        <v>6</v>
      </c>
      <c r="G50" s="31">
        <v>0</v>
      </c>
      <c r="H50" s="31">
        <v>2</v>
      </c>
      <c r="I50" s="31">
        <v>0</v>
      </c>
      <c r="J50" s="31">
        <v>0</v>
      </c>
      <c r="K50" s="39">
        <v>2</v>
      </c>
      <c r="L50" s="32"/>
    </row>
    <row r="51" spans="1:12" x14ac:dyDescent="0.35">
      <c r="A51" s="55">
        <v>49</v>
      </c>
      <c r="B51" s="32" t="s">
        <v>142</v>
      </c>
      <c r="C51" s="32" t="s">
        <v>143</v>
      </c>
      <c r="D51" s="31">
        <v>223638</v>
      </c>
      <c r="E51" s="33" t="s">
        <v>110</v>
      </c>
      <c r="F51" s="31">
        <v>6</v>
      </c>
      <c r="G51" s="31">
        <v>0</v>
      </c>
      <c r="H51" s="31">
        <v>1</v>
      </c>
      <c r="I51" s="31">
        <v>1</v>
      </c>
      <c r="J51" s="31">
        <v>0</v>
      </c>
      <c r="K51" s="39">
        <v>2</v>
      </c>
      <c r="L51" s="32"/>
    </row>
    <row r="52" spans="1:12" x14ac:dyDescent="0.35">
      <c r="A52" s="41">
        <v>50</v>
      </c>
      <c r="B52" s="32" t="s">
        <v>144</v>
      </c>
      <c r="C52" s="32" t="s">
        <v>145</v>
      </c>
      <c r="D52" s="31">
        <v>216191</v>
      </c>
      <c r="E52" s="33" t="s">
        <v>88</v>
      </c>
      <c r="F52" s="31">
        <v>6</v>
      </c>
      <c r="G52" s="31">
        <v>0</v>
      </c>
      <c r="H52" s="31">
        <v>2</v>
      </c>
      <c r="I52" s="31">
        <v>0</v>
      </c>
      <c r="J52" s="31">
        <v>0</v>
      </c>
      <c r="K52" s="39">
        <v>2</v>
      </c>
      <c r="L52" s="32"/>
    </row>
    <row r="53" spans="1:12" ht="15" thickBot="1" x14ac:dyDescent="0.4">
      <c r="A53" s="41">
        <v>51</v>
      </c>
      <c r="B53" s="32" t="s">
        <v>146</v>
      </c>
      <c r="C53" s="32" t="s">
        <v>147</v>
      </c>
      <c r="D53" s="31">
        <v>122864</v>
      </c>
      <c r="E53" s="33" t="s">
        <v>148</v>
      </c>
      <c r="F53" s="31"/>
      <c r="G53" s="31">
        <v>0</v>
      </c>
      <c r="H53" s="31">
        <v>0</v>
      </c>
      <c r="I53" s="31">
        <v>2</v>
      </c>
      <c r="J53" s="31">
        <v>0</v>
      </c>
      <c r="K53" s="39">
        <v>2</v>
      </c>
      <c r="L53" s="32"/>
    </row>
    <row r="54" spans="1:12" x14ac:dyDescent="0.35">
      <c r="A54" s="55">
        <v>52</v>
      </c>
      <c r="B54" s="32" t="s">
        <v>149</v>
      </c>
      <c r="C54" s="32" t="s">
        <v>150</v>
      </c>
      <c r="D54" s="31">
        <v>135127</v>
      </c>
      <c r="E54" s="33" t="s">
        <v>69</v>
      </c>
      <c r="F54" s="31">
        <v>6</v>
      </c>
      <c r="G54" s="31">
        <v>0</v>
      </c>
      <c r="H54" s="31">
        <v>2</v>
      </c>
      <c r="I54" s="31">
        <v>0</v>
      </c>
      <c r="J54" s="31">
        <v>0</v>
      </c>
      <c r="K54" s="39">
        <v>2</v>
      </c>
      <c r="L54" s="32"/>
    </row>
    <row r="55" spans="1:12" x14ac:dyDescent="0.35">
      <c r="A55" s="41">
        <v>53</v>
      </c>
      <c r="B55" s="32" t="s">
        <v>43</v>
      </c>
      <c r="C55" s="32" t="s">
        <v>151</v>
      </c>
      <c r="D55" s="31">
        <v>209950</v>
      </c>
      <c r="E55" s="33" t="s">
        <v>152</v>
      </c>
      <c r="F55" s="31">
        <v>6</v>
      </c>
      <c r="G55" s="31">
        <v>0</v>
      </c>
      <c r="H55" s="31">
        <v>0</v>
      </c>
      <c r="I55" s="31">
        <v>0</v>
      </c>
      <c r="J55" s="31">
        <v>2</v>
      </c>
      <c r="K55" s="39">
        <v>2</v>
      </c>
      <c r="L55" s="32"/>
    </row>
    <row r="56" spans="1:12" ht="15" thickBot="1" x14ac:dyDescent="0.4">
      <c r="A56" s="41">
        <v>54</v>
      </c>
      <c r="B56" s="32" t="s">
        <v>153</v>
      </c>
      <c r="C56" s="32" t="s">
        <v>154</v>
      </c>
      <c r="D56" s="31">
        <v>212497</v>
      </c>
      <c r="E56" s="33" t="s">
        <v>155</v>
      </c>
      <c r="F56" s="31" t="s">
        <v>76</v>
      </c>
      <c r="G56" s="31">
        <v>0</v>
      </c>
      <c r="H56" s="31">
        <v>0</v>
      </c>
      <c r="I56" s="31">
        <v>2</v>
      </c>
      <c r="J56" s="31">
        <v>0</v>
      </c>
      <c r="K56" s="39">
        <v>2</v>
      </c>
      <c r="L56" s="32"/>
    </row>
    <row r="57" spans="1:12" x14ac:dyDescent="0.35">
      <c r="A57" s="55">
        <v>55</v>
      </c>
      <c r="B57" s="32" t="s">
        <v>156</v>
      </c>
      <c r="C57" s="32" t="s">
        <v>64</v>
      </c>
      <c r="D57" s="31">
        <v>215122</v>
      </c>
      <c r="E57" s="33" t="s">
        <v>157</v>
      </c>
      <c r="F57" s="31">
        <v>5</v>
      </c>
      <c r="G57" s="31">
        <v>0</v>
      </c>
      <c r="H57" s="31">
        <v>0</v>
      </c>
      <c r="I57" s="31">
        <v>2</v>
      </c>
      <c r="J57" s="31">
        <v>0</v>
      </c>
      <c r="K57" s="39">
        <v>2</v>
      </c>
      <c r="L57" s="32"/>
    </row>
    <row r="58" spans="1:12" x14ac:dyDescent="0.35">
      <c r="A58" s="41">
        <v>56</v>
      </c>
      <c r="B58" s="32" t="s">
        <v>158</v>
      </c>
      <c r="C58" s="32" t="s">
        <v>159</v>
      </c>
      <c r="D58" s="54">
        <v>187260</v>
      </c>
      <c r="E58" s="33" t="s">
        <v>15</v>
      </c>
      <c r="F58" s="31">
        <v>5</v>
      </c>
      <c r="G58" s="31">
        <v>0</v>
      </c>
      <c r="H58" s="31">
        <v>0</v>
      </c>
      <c r="I58" s="31">
        <v>2</v>
      </c>
      <c r="J58" s="31">
        <v>0</v>
      </c>
      <c r="K58" s="39">
        <v>2</v>
      </c>
      <c r="L58" s="32"/>
    </row>
    <row r="59" spans="1:12" ht="15" thickBot="1" x14ac:dyDescent="0.4">
      <c r="A59" s="41">
        <v>57</v>
      </c>
      <c r="B59" s="32" t="s">
        <v>160</v>
      </c>
      <c r="C59" s="32" t="s">
        <v>161</v>
      </c>
      <c r="D59" s="54">
        <v>197906</v>
      </c>
      <c r="E59" s="33" t="s">
        <v>162</v>
      </c>
      <c r="F59" s="31">
        <v>6</v>
      </c>
      <c r="G59" s="31">
        <v>0</v>
      </c>
      <c r="H59" s="31">
        <v>0</v>
      </c>
      <c r="I59" s="31">
        <v>2</v>
      </c>
      <c r="J59" s="31">
        <v>0</v>
      </c>
      <c r="K59" s="39">
        <v>2</v>
      </c>
      <c r="L59" s="32"/>
    </row>
    <row r="60" spans="1:12" x14ac:dyDescent="0.35">
      <c r="A60" s="55">
        <v>58</v>
      </c>
      <c r="B60" s="32" t="s">
        <v>55</v>
      </c>
      <c r="C60" s="32" t="s">
        <v>119</v>
      </c>
      <c r="D60" s="31">
        <v>160812</v>
      </c>
      <c r="E60" s="33" t="s">
        <v>155</v>
      </c>
      <c r="F60" s="31" t="s">
        <v>76</v>
      </c>
      <c r="G60" s="31">
        <v>0</v>
      </c>
      <c r="H60" s="31">
        <v>1</v>
      </c>
      <c r="I60" s="31">
        <v>0</v>
      </c>
      <c r="J60" s="31">
        <v>0</v>
      </c>
      <c r="K60" s="39">
        <v>1</v>
      </c>
      <c r="L60" s="32"/>
    </row>
    <row r="61" spans="1:12" x14ac:dyDescent="0.35">
      <c r="A61" s="41">
        <v>59</v>
      </c>
      <c r="B61" s="32" t="s">
        <v>163</v>
      </c>
      <c r="C61" s="32" t="s">
        <v>164</v>
      </c>
      <c r="D61" s="31">
        <v>186423</v>
      </c>
      <c r="E61" s="33">
        <v>155</v>
      </c>
      <c r="F61" s="31">
        <v>6</v>
      </c>
      <c r="G61" s="31">
        <v>0</v>
      </c>
      <c r="H61" s="31">
        <v>1</v>
      </c>
      <c r="I61" s="31">
        <v>0</v>
      </c>
      <c r="J61" s="31">
        <v>0</v>
      </c>
      <c r="K61" s="39">
        <v>1</v>
      </c>
      <c r="L61" s="32"/>
    </row>
    <row r="62" spans="1:12" ht="15" thickBot="1" x14ac:dyDescent="0.4">
      <c r="A62" s="41">
        <v>60</v>
      </c>
      <c r="B62" s="32" t="s">
        <v>165</v>
      </c>
      <c r="C62" s="32" t="s">
        <v>166</v>
      </c>
      <c r="D62" s="31">
        <v>208548</v>
      </c>
      <c r="E62" s="33" t="s">
        <v>167</v>
      </c>
      <c r="F62" s="31">
        <v>6</v>
      </c>
      <c r="G62" s="31">
        <v>0</v>
      </c>
      <c r="H62" s="31">
        <v>1</v>
      </c>
      <c r="I62" s="31">
        <v>0</v>
      </c>
      <c r="J62" s="31">
        <v>0</v>
      </c>
      <c r="K62" s="39">
        <v>1</v>
      </c>
      <c r="L62" s="32"/>
    </row>
    <row r="63" spans="1:12" x14ac:dyDescent="0.35">
      <c r="A63" s="55">
        <v>61</v>
      </c>
      <c r="B63" s="32" t="s">
        <v>168</v>
      </c>
      <c r="C63" s="32" t="s">
        <v>119</v>
      </c>
      <c r="D63" s="31">
        <v>222286</v>
      </c>
      <c r="E63" s="33" t="s">
        <v>169</v>
      </c>
      <c r="F63" s="31">
        <v>5</v>
      </c>
      <c r="G63" s="31">
        <v>0</v>
      </c>
      <c r="H63" s="31">
        <v>0</v>
      </c>
      <c r="I63" s="31">
        <v>0</v>
      </c>
      <c r="J63" s="31">
        <v>1</v>
      </c>
      <c r="K63" s="39">
        <v>1</v>
      </c>
      <c r="L63" s="32"/>
    </row>
    <row r="64" spans="1:12" x14ac:dyDescent="0.35">
      <c r="A64" s="41">
        <v>62</v>
      </c>
      <c r="B64" s="32" t="s">
        <v>170</v>
      </c>
      <c r="C64" s="32" t="s">
        <v>171</v>
      </c>
      <c r="D64" s="31">
        <v>200845</v>
      </c>
      <c r="E64" s="33" t="s">
        <v>172</v>
      </c>
      <c r="F64" s="31">
        <v>6</v>
      </c>
      <c r="G64" s="31">
        <v>0</v>
      </c>
      <c r="H64" s="31">
        <v>0</v>
      </c>
      <c r="I64" s="31">
        <v>1</v>
      </c>
      <c r="J64" s="31">
        <v>0</v>
      </c>
      <c r="K64" s="39">
        <v>1</v>
      </c>
      <c r="L64" s="32"/>
    </row>
    <row r="65" spans="1:12" ht="15" thickBot="1" x14ac:dyDescent="0.4">
      <c r="A65" s="41">
        <v>63</v>
      </c>
      <c r="B65" s="32" t="s">
        <v>173</v>
      </c>
      <c r="C65" s="32" t="s">
        <v>174</v>
      </c>
      <c r="D65" s="31">
        <v>186367</v>
      </c>
      <c r="E65" s="33" t="s">
        <v>175</v>
      </c>
      <c r="F65" s="31">
        <v>6</v>
      </c>
      <c r="G65" s="31">
        <v>0</v>
      </c>
      <c r="H65" s="31">
        <v>1</v>
      </c>
      <c r="I65" s="31">
        <v>0</v>
      </c>
      <c r="J65" s="31">
        <v>0</v>
      </c>
      <c r="K65" s="39">
        <v>1</v>
      </c>
      <c r="L65" s="32"/>
    </row>
    <row r="66" spans="1:12" x14ac:dyDescent="0.35">
      <c r="A66" s="55">
        <v>64</v>
      </c>
      <c r="B66" s="32" t="s">
        <v>176</v>
      </c>
      <c r="C66" s="32" t="s">
        <v>177</v>
      </c>
      <c r="D66" s="31"/>
      <c r="E66" s="33" t="s">
        <v>178</v>
      </c>
      <c r="F66" s="31">
        <v>5</v>
      </c>
      <c r="G66" s="31">
        <v>0</v>
      </c>
      <c r="H66" s="31">
        <v>1</v>
      </c>
      <c r="I66" s="31">
        <v>0</v>
      </c>
      <c r="J66" s="31">
        <v>0</v>
      </c>
      <c r="K66" s="39">
        <v>1</v>
      </c>
      <c r="L66" s="32"/>
    </row>
    <row r="67" spans="1:12" x14ac:dyDescent="0.35">
      <c r="A67" s="41">
        <v>65</v>
      </c>
      <c r="B67" s="32" t="s">
        <v>179</v>
      </c>
      <c r="C67" s="32" t="s">
        <v>56</v>
      </c>
      <c r="D67" s="31">
        <v>123467</v>
      </c>
      <c r="E67" s="33" t="s">
        <v>59</v>
      </c>
      <c r="F67" s="31">
        <v>6</v>
      </c>
      <c r="G67" s="31">
        <v>0</v>
      </c>
      <c r="H67" s="31">
        <v>1</v>
      </c>
      <c r="I67" s="31">
        <v>0</v>
      </c>
      <c r="J67" s="31">
        <v>0</v>
      </c>
      <c r="K67" s="39">
        <v>1</v>
      </c>
      <c r="L67" s="32"/>
    </row>
    <row r="68" spans="1:12" ht="15" thickBot="1" x14ac:dyDescent="0.4">
      <c r="A68" s="41">
        <v>66</v>
      </c>
      <c r="B68" s="32" t="s">
        <v>180</v>
      </c>
      <c r="C68" s="32" t="s">
        <v>64</v>
      </c>
      <c r="D68" s="31">
        <v>214583</v>
      </c>
      <c r="E68" s="33" t="s">
        <v>181</v>
      </c>
      <c r="F68" s="31">
        <v>6</v>
      </c>
      <c r="G68" s="31">
        <v>0</v>
      </c>
      <c r="H68" s="31">
        <v>0</v>
      </c>
      <c r="I68" s="31">
        <v>0</v>
      </c>
      <c r="J68" s="31">
        <v>1</v>
      </c>
      <c r="K68" s="39">
        <v>1</v>
      </c>
      <c r="L68" s="32"/>
    </row>
    <row r="69" spans="1:12" x14ac:dyDescent="0.35">
      <c r="A69" s="55">
        <v>67</v>
      </c>
      <c r="B69" s="32" t="s">
        <v>97</v>
      </c>
      <c r="C69" s="32" t="s">
        <v>182</v>
      </c>
      <c r="D69" s="31">
        <v>157267</v>
      </c>
      <c r="E69" s="33" t="s">
        <v>157</v>
      </c>
      <c r="F69" s="31">
        <v>6</v>
      </c>
      <c r="G69" s="31">
        <v>0</v>
      </c>
      <c r="H69" s="31">
        <v>1</v>
      </c>
      <c r="I69" s="31">
        <v>0</v>
      </c>
      <c r="J69" s="31">
        <v>0</v>
      </c>
      <c r="K69" s="39">
        <v>1</v>
      </c>
      <c r="L69" s="32"/>
    </row>
    <row r="70" spans="1:12" x14ac:dyDescent="0.35">
      <c r="A70" s="41">
        <v>68</v>
      </c>
      <c r="B70" s="32" t="s">
        <v>183</v>
      </c>
      <c r="C70" s="32" t="s">
        <v>184</v>
      </c>
      <c r="D70" s="31">
        <v>219646</v>
      </c>
      <c r="E70" s="33" t="s">
        <v>79</v>
      </c>
      <c r="F70" s="31">
        <v>6</v>
      </c>
      <c r="G70" s="31">
        <v>0</v>
      </c>
      <c r="H70" s="31">
        <v>0</v>
      </c>
      <c r="I70" s="31">
        <v>0</v>
      </c>
      <c r="J70" s="31">
        <v>0</v>
      </c>
      <c r="K70" s="39">
        <v>0</v>
      </c>
      <c r="L70" s="32"/>
    </row>
    <row r="71" spans="1:12" ht="15" thickBot="1" x14ac:dyDescent="0.4">
      <c r="A71" s="41">
        <v>69</v>
      </c>
      <c r="B71" s="32" t="s">
        <v>185</v>
      </c>
      <c r="C71" s="32" t="s">
        <v>61</v>
      </c>
      <c r="D71" s="31">
        <v>190725</v>
      </c>
      <c r="E71" s="33" t="s">
        <v>115</v>
      </c>
      <c r="F71" s="31" t="s">
        <v>186</v>
      </c>
      <c r="G71" s="31">
        <v>0</v>
      </c>
      <c r="H71" s="31">
        <v>0</v>
      </c>
      <c r="I71" s="31">
        <v>0</v>
      </c>
      <c r="J71" s="31">
        <v>0</v>
      </c>
      <c r="K71" s="39">
        <v>0</v>
      </c>
      <c r="L71" s="32"/>
    </row>
    <row r="72" spans="1:12" x14ac:dyDescent="0.35">
      <c r="A72" s="55">
        <v>70</v>
      </c>
      <c r="B72" s="32" t="s">
        <v>187</v>
      </c>
      <c r="C72" s="32" t="s">
        <v>188</v>
      </c>
      <c r="D72" s="31">
        <v>204089</v>
      </c>
      <c r="E72" s="33" t="s">
        <v>59</v>
      </c>
      <c r="F72" s="31" t="s">
        <v>189</v>
      </c>
      <c r="G72" s="31">
        <v>0</v>
      </c>
      <c r="H72" s="31">
        <v>0</v>
      </c>
      <c r="I72" s="31">
        <v>0</v>
      </c>
      <c r="J72" s="31">
        <v>0</v>
      </c>
      <c r="K72" s="39">
        <v>0</v>
      </c>
      <c r="L72" s="32"/>
    </row>
    <row r="73" spans="1:12" x14ac:dyDescent="0.35">
      <c r="A73" s="41">
        <v>71</v>
      </c>
      <c r="B73" s="32" t="s">
        <v>43</v>
      </c>
      <c r="C73" s="32" t="s">
        <v>190</v>
      </c>
      <c r="D73" s="31">
        <v>216534</v>
      </c>
      <c r="E73" s="33" t="s">
        <v>191</v>
      </c>
      <c r="F73" s="31">
        <v>6</v>
      </c>
      <c r="G73" s="31">
        <v>0</v>
      </c>
      <c r="H73" s="31">
        <v>0</v>
      </c>
      <c r="I73" s="31">
        <v>0</v>
      </c>
      <c r="J73" s="31">
        <v>0</v>
      </c>
      <c r="K73" s="39">
        <v>0</v>
      </c>
      <c r="L73" s="32"/>
    </row>
    <row r="74" spans="1:12" ht="15" thickBot="1" x14ac:dyDescent="0.4">
      <c r="A74" s="41">
        <v>72</v>
      </c>
      <c r="B74" s="32" t="s">
        <v>55</v>
      </c>
      <c r="C74" s="32" t="s">
        <v>192</v>
      </c>
      <c r="D74" s="31">
        <v>184701</v>
      </c>
      <c r="E74" s="33" t="s">
        <v>193</v>
      </c>
      <c r="F74" s="31">
        <v>6</v>
      </c>
      <c r="G74" s="31">
        <v>0</v>
      </c>
      <c r="H74" s="31">
        <v>0</v>
      </c>
      <c r="I74" s="31">
        <v>0</v>
      </c>
      <c r="J74" s="31">
        <v>0</v>
      </c>
      <c r="K74" s="39">
        <v>0</v>
      </c>
      <c r="L74" s="32"/>
    </row>
    <row r="75" spans="1:12" x14ac:dyDescent="0.35">
      <c r="A75" s="55">
        <v>73</v>
      </c>
      <c r="B75" s="32" t="s">
        <v>194</v>
      </c>
      <c r="C75" s="32" t="s">
        <v>195</v>
      </c>
      <c r="D75" s="31">
        <v>145639</v>
      </c>
      <c r="E75" s="33" t="s">
        <v>62</v>
      </c>
      <c r="F75" s="31">
        <v>6</v>
      </c>
      <c r="G75" s="31">
        <v>0</v>
      </c>
      <c r="H75" s="31">
        <v>0</v>
      </c>
      <c r="I75" s="31">
        <v>0</v>
      </c>
      <c r="J75" s="31">
        <v>0</v>
      </c>
      <c r="K75" s="39">
        <v>0</v>
      </c>
      <c r="L75" s="32"/>
    </row>
    <row r="76" spans="1:12" x14ac:dyDescent="0.35">
      <c r="A76" s="41">
        <v>74</v>
      </c>
      <c r="B76" s="32" t="s">
        <v>196</v>
      </c>
      <c r="C76" s="32" t="s">
        <v>197</v>
      </c>
      <c r="D76" s="32">
        <v>145436</v>
      </c>
      <c r="E76" s="33" t="s">
        <v>110</v>
      </c>
      <c r="F76" s="31">
        <v>6</v>
      </c>
      <c r="G76" s="31">
        <v>0</v>
      </c>
      <c r="H76" s="31">
        <v>0</v>
      </c>
      <c r="I76" s="31">
        <v>0</v>
      </c>
      <c r="J76" s="31">
        <v>0</v>
      </c>
      <c r="K76" s="39">
        <v>0</v>
      </c>
      <c r="L76" s="32"/>
    </row>
    <row r="77" spans="1:12" ht="15" thickBot="1" x14ac:dyDescent="0.4">
      <c r="A77" s="41">
        <v>75</v>
      </c>
      <c r="B77" s="32" t="s">
        <v>198</v>
      </c>
      <c r="C77" s="32" t="s">
        <v>199</v>
      </c>
      <c r="D77" s="32">
        <v>146725</v>
      </c>
      <c r="E77" s="33" t="s">
        <v>45</v>
      </c>
      <c r="F77" s="31">
        <v>6</v>
      </c>
      <c r="G77" s="31">
        <v>0</v>
      </c>
      <c r="H77" s="31">
        <v>0</v>
      </c>
      <c r="I77" s="31">
        <v>0</v>
      </c>
      <c r="J77" s="31">
        <v>0</v>
      </c>
      <c r="K77" s="39">
        <v>0</v>
      </c>
      <c r="L77" s="32"/>
    </row>
    <row r="78" spans="1:12" x14ac:dyDescent="0.35">
      <c r="A78" s="55">
        <v>76</v>
      </c>
      <c r="B78" s="36" t="s">
        <v>200</v>
      </c>
      <c r="C78" s="36" t="s">
        <v>201</v>
      </c>
      <c r="D78" s="35">
        <v>210916</v>
      </c>
      <c r="E78" s="36" t="s">
        <v>19</v>
      </c>
      <c r="F78" s="31" t="s">
        <v>66</v>
      </c>
      <c r="G78" s="31">
        <v>0</v>
      </c>
      <c r="H78" s="31">
        <v>0</v>
      </c>
      <c r="I78" s="31">
        <v>0</v>
      </c>
      <c r="J78" s="31">
        <v>0</v>
      </c>
      <c r="K78" s="39">
        <v>0</v>
      </c>
      <c r="L78" s="32"/>
    </row>
    <row r="79" spans="1:12" x14ac:dyDescent="0.35">
      <c r="A79" s="41">
        <v>77</v>
      </c>
      <c r="B79" s="32" t="s">
        <v>202</v>
      </c>
      <c r="C79" s="32" t="s">
        <v>203</v>
      </c>
      <c r="D79" s="31">
        <v>192010</v>
      </c>
      <c r="E79" s="33" t="s">
        <v>167</v>
      </c>
      <c r="F79" s="31">
        <v>6</v>
      </c>
      <c r="G79" s="31">
        <v>0</v>
      </c>
      <c r="H79" s="31">
        <v>0</v>
      </c>
      <c r="I79" s="31">
        <v>0</v>
      </c>
      <c r="J79" s="31">
        <v>0</v>
      </c>
      <c r="K79" s="39">
        <v>0</v>
      </c>
      <c r="L79" s="32"/>
    </row>
    <row r="80" spans="1:12" ht="15" thickBot="1" x14ac:dyDescent="0.4">
      <c r="A80" s="41">
        <v>78</v>
      </c>
      <c r="B80" s="32" t="s">
        <v>204</v>
      </c>
      <c r="C80" s="32" t="s">
        <v>205</v>
      </c>
      <c r="D80" s="31">
        <v>225907</v>
      </c>
      <c r="E80" s="33" t="s">
        <v>32</v>
      </c>
      <c r="F80" s="31">
        <v>6</v>
      </c>
      <c r="G80" s="31">
        <v>0</v>
      </c>
      <c r="H80" s="31">
        <v>0</v>
      </c>
      <c r="I80" s="31">
        <v>0</v>
      </c>
      <c r="J80" s="31">
        <v>0</v>
      </c>
      <c r="K80" s="39">
        <v>0</v>
      </c>
      <c r="L80" s="32"/>
    </row>
    <row r="81" spans="1:12" x14ac:dyDescent="0.35">
      <c r="A81" s="55">
        <v>79</v>
      </c>
      <c r="B81" s="32" t="s">
        <v>206</v>
      </c>
      <c r="C81" s="32" t="s">
        <v>199</v>
      </c>
      <c r="D81" s="31">
        <v>215846</v>
      </c>
      <c r="E81" s="33" t="s">
        <v>207</v>
      </c>
      <c r="F81" s="31">
        <v>6</v>
      </c>
      <c r="G81" s="31">
        <v>0</v>
      </c>
      <c r="H81" s="31">
        <v>0</v>
      </c>
      <c r="I81" s="31">
        <v>0</v>
      </c>
      <c r="J81" s="31">
        <v>0</v>
      </c>
      <c r="K81" s="39">
        <v>0</v>
      </c>
      <c r="L81" s="32"/>
    </row>
    <row r="82" spans="1:12" x14ac:dyDescent="0.35">
      <c r="A82" s="41">
        <v>80</v>
      </c>
      <c r="B82" s="32" t="s">
        <v>208</v>
      </c>
      <c r="C82" s="32" t="s">
        <v>209</v>
      </c>
      <c r="D82" s="31">
        <v>220876</v>
      </c>
      <c r="E82" s="33" t="s">
        <v>79</v>
      </c>
      <c r="F82" s="31">
        <v>6</v>
      </c>
      <c r="G82" s="31">
        <v>0</v>
      </c>
      <c r="H82" s="31">
        <v>0</v>
      </c>
      <c r="I82" s="31">
        <v>0</v>
      </c>
      <c r="J82" s="31">
        <v>0</v>
      </c>
      <c r="K82" s="39">
        <v>0</v>
      </c>
      <c r="L82" s="32"/>
    </row>
    <row r="83" spans="1:12" ht="15" thickBot="1" x14ac:dyDescent="0.4">
      <c r="A83" s="41">
        <v>81</v>
      </c>
      <c r="B83" s="32" t="s">
        <v>128</v>
      </c>
      <c r="C83" s="32" t="s">
        <v>210</v>
      </c>
      <c r="D83" s="31">
        <v>19612</v>
      </c>
      <c r="E83" s="33" t="s">
        <v>115</v>
      </c>
      <c r="F83" s="31">
        <v>6</v>
      </c>
      <c r="G83" s="31">
        <v>0</v>
      </c>
      <c r="H83" s="31">
        <v>0</v>
      </c>
      <c r="I83" s="31">
        <v>0</v>
      </c>
      <c r="J83" s="31">
        <v>0</v>
      </c>
      <c r="K83" s="39">
        <v>0</v>
      </c>
      <c r="L83" s="32"/>
    </row>
    <row r="84" spans="1:12" x14ac:dyDescent="0.35">
      <c r="A84" s="55">
        <v>82</v>
      </c>
      <c r="B84" s="32" t="s">
        <v>211</v>
      </c>
      <c r="C84" s="32" t="s">
        <v>212</v>
      </c>
      <c r="D84" s="31">
        <v>190587</v>
      </c>
      <c r="E84" s="33" t="s">
        <v>130</v>
      </c>
      <c r="F84" s="31">
        <v>6</v>
      </c>
      <c r="G84" s="31">
        <v>0</v>
      </c>
      <c r="H84" s="31">
        <v>0</v>
      </c>
      <c r="I84" s="31">
        <v>0</v>
      </c>
      <c r="J84" s="31">
        <v>0</v>
      </c>
      <c r="K84" s="39">
        <v>0</v>
      </c>
      <c r="L84" s="32"/>
    </row>
    <row r="85" spans="1:12" x14ac:dyDescent="0.35">
      <c r="A85" s="41">
        <v>83</v>
      </c>
      <c r="B85" s="32" t="s">
        <v>213</v>
      </c>
      <c r="C85" s="32" t="s">
        <v>214</v>
      </c>
      <c r="D85" s="31">
        <v>160804</v>
      </c>
      <c r="E85" s="33" t="s">
        <v>155</v>
      </c>
      <c r="F85" s="31" t="s">
        <v>76</v>
      </c>
      <c r="G85" s="31">
        <v>0</v>
      </c>
      <c r="H85" s="31">
        <v>0</v>
      </c>
      <c r="I85" s="31">
        <v>0</v>
      </c>
      <c r="J85" s="31">
        <v>0</v>
      </c>
      <c r="K85" s="39">
        <v>0</v>
      </c>
      <c r="L85" s="32"/>
    </row>
    <row r="86" spans="1:12" ht="15" thickBot="1" x14ac:dyDescent="0.4">
      <c r="A86" s="41">
        <v>84</v>
      </c>
      <c r="B86" s="32" t="s">
        <v>215</v>
      </c>
      <c r="C86" s="32" t="s">
        <v>216</v>
      </c>
      <c r="D86" s="31">
        <v>180688</v>
      </c>
      <c r="E86" s="33" t="s">
        <v>53</v>
      </c>
      <c r="F86" s="31" t="s">
        <v>54</v>
      </c>
      <c r="G86" s="31">
        <v>0</v>
      </c>
      <c r="H86" s="31">
        <v>0</v>
      </c>
      <c r="I86" s="31">
        <v>0</v>
      </c>
      <c r="J86" s="31">
        <v>0</v>
      </c>
      <c r="K86" s="39">
        <v>0</v>
      </c>
      <c r="L86" s="32"/>
    </row>
    <row r="87" spans="1:12" x14ac:dyDescent="0.35">
      <c r="A87" s="55">
        <v>85</v>
      </c>
      <c r="B87" s="32" t="s">
        <v>217</v>
      </c>
      <c r="C87" s="32" t="s">
        <v>36</v>
      </c>
      <c r="D87" s="31">
        <v>147645</v>
      </c>
      <c r="E87" s="33" t="s">
        <v>218</v>
      </c>
      <c r="F87" s="31">
        <v>6</v>
      </c>
      <c r="G87" s="31">
        <v>0</v>
      </c>
      <c r="H87" s="31">
        <v>0</v>
      </c>
      <c r="I87" s="31">
        <v>0</v>
      </c>
      <c r="J87" s="31">
        <v>0</v>
      </c>
      <c r="K87" s="39">
        <v>0</v>
      </c>
      <c r="L87" s="32"/>
    </row>
    <row r="88" spans="1:12" x14ac:dyDescent="0.35">
      <c r="A88" s="41">
        <v>86</v>
      </c>
      <c r="B88" s="32" t="s">
        <v>219</v>
      </c>
      <c r="C88" s="32" t="s">
        <v>220</v>
      </c>
      <c r="D88" s="31">
        <v>226211</v>
      </c>
      <c r="E88" s="33" t="s">
        <v>221</v>
      </c>
      <c r="F88" s="31" t="s">
        <v>76</v>
      </c>
      <c r="G88" s="31">
        <v>0</v>
      </c>
      <c r="H88" s="31">
        <v>0</v>
      </c>
      <c r="I88" s="31">
        <v>0</v>
      </c>
      <c r="J88" s="31">
        <v>0</v>
      </c>
      <c r="K88" s="39">
        <v>0</v>
      </c>
      <c r="L88" s="32"/>
    </row>
    <row r="89" spans="1:12" ht="15" thickBot="1" x14ac:dyDescent="0.4">
      <c r="A89" s="41">
        <v>87</v>
      </c>
      <c r="B89" s="32" t="s">
        <v>196</v>
      </c>
      <c r="C89" s="32" t="s">
        <v>222</v>
      </c>
      <c r="D89" s="31">
        <v>225979</v>
      </c>
      <c r="E89" s="33" t="s">
        <v>223</v>
      </c>
      <c r="F89" s="31">
        <v>6</v>
      </c>
      <c r="G89" s="31">
        <v>0</v>
      </c>
      <c r="H89" s="31">
        <v>0</v>
      </c>
      <c r="I89" s="31">
        <v>0</v>
      </c>
      <c r="J89" s="31">
        <v>0</v>
      </c>
      <c r="K89" s="39">
        <v>0</v>
      </c>
      <c r="L89" s="32"/>
    </row>
    <row r="90" spans="1:12" x14ac:dyDescent="0.35">
      <c r="A90" s="55">
        <v>88</v>
      </c>
      <c r="B90" s="32" t="s">
        <v>224</v>
      </c>
      <c r="C90" s="32" t="s">
        <v>225</v>
      </c>
      <c r="D90" s="31">
        <v>123279</v>
      </c>
      <c r="E90" s="33" t="s">
        <v>59</v>
      </c>
      <c r="F90" s="31">
        <v>6</v>
      </c>
      <c r="G90" s="31">
        <v>0</v>
      </c>
      <c r="H90" s="31">
        <v>0</v>
      </c>
      <c r="I90" s="31">
        <v>0</v>
      </c>
      <c r="J90" s="31">
        <v>0</v>
      </c>
      <c r="K90" s="39">
        <v>0</v>
      </c>
      <c r="L90" s="32"/>
    </row>
    <row r="91" spans="1:12" x14ac:dyDescent="0.35">
      <c r="A91" s="41">
        <v>89</v>
      </c>
      <c r="B91" s="32" t="s">
        <v>27</v>
      </c>
      <c r="C91" s="32" t="s">
        <v>226</v>
      </c>
      <c r="D91" s="32"/>
      <c r="E91" s="33" t="s">
        <v>110</v>
      </c>
      <c r="F91" s="31">
        <v>6</v>
      </c>
      <c r="G91" s="31">
        <v>0</v>
      </c>
      <c r="H91" s="31">
        <v>0</v>
      </c>
      <c r="I91" s="31">
        <v>0</v>
      </c>
      <c r="J91" s="31">
        <v>0</v>
      </c>
      <c r="K91" s="39">
        <v>0</v>
      </c>
      <c r="L91" s="32"/>
    </row>
    <row r="92" spans="1:12" ht="15" thickBot="1" x14ac:dyDescent="0.4">
      <c r="A92" s="41">
        <v>90</v>
      </c>
      <c r="B92" s="32" t="s">
        <v>227</v>
      </c>
      <c r="C92" s="32" t="s">
        <v>228</v>
      </c>
      <c r="D92" s="32"/>
      <c r="E92" s="33" t="s">
        <v>133</v>
      </c>
      <c r="F92" s="31">
        <v>6</v>
      </c>
      <c r="G92" s="31">
        <v>0</v>
      </c>
      <c r="H92" s="31">
        <v>0</v>
      </c>
      <c r="I92" s="31">
        <v>0</v>
      </c>
      <c r="J92" s="31">
        <v>0</v>
      </c>
      <c r="K92" s="39">
        <v>0</v>
      </c>
      <c r="L92" s="32"/>
    </row>
    <row r="93" spans="1:12" x14ac:dyDescent="0.35">
      <c r="A93" s="55">
        <v>91</v>
      </c>
      <c r="B93" s="32" t="s">
        <v>229</v>
      </c>
      <c r="C93" s="32" t="s">
        <v>230</v>
      </c>
      <c r="D93" s="31">
        <v>183030</v>
      </c>
      <c r="E93" s="33" t="s">
        <v>29</v>
      </c>
      <c r="F93" s="31">
        <v>6</v>
      </c>
      <c r="G93" s="31">
        <v>0</v>
      </c>
      <c r="H93" s="31">
        <v>0</v>
      </c>
      <c r="I93" s="31">
        <v>0</v>
      </c>
      <c r="J93" s="31">
        <v>0</v>
      </c>
      <c r="K93" s="39">
        <v>0</v>
      </c>
      <c r="L93" s="32"/>
    </row>
    <row r="94" spans="1:12" x14ac:dyDescent="0.35">
      <c r="A94" s="41">
        <v>92</v>
      </c>
      <c r="B94" s="32" t="s">
        <v>231</v>
      </c>
      <c r="C94" s="32" t="s">
        <v>232</v>
      </c>
      <c r="D94" s="31">
        <v>222369</v>
      </c>
      <c r="E94" s="33" t="s">
        <v>169</v>
      </c>
      <c r="F94" s="31">
        <v>6</v>
      </c>
      <c r="G94" s="31">
        <v>0</v>
      </c>
      <c r="H94" s="31">
        <v>0</v>
      </c>
      <c r="I94" s="31">
        <v>0</v>
      </c>
      <c r="J94" s="31">
        <v>0</v>
      </c>
      <c r="K94" s="39">
        <v>0</v>
      </c>
      <c r="L94" s="32"/>
    </row>
    <row r="95" spans="1:12" ht="15" thickBot="1" x14ac:dyDescent="0.4">
      <c r="A95" s="41">
        <v>93</v>
      </c>
      <c r="B95" s="32" t="s">
        <v>233</v>
      </c>
      <c r="C95" s="32" t="s">
        <v>234</v>
      </c>
      <c r="D95" s="31">
        <v>198927</v>
      </c>
      <c r="E95" s="33" t="s">
        <v>172</v>
      </c>
      <c r="F95" s="31">
        <v>6</v>
      </c>
      <c r="G95" s="31">
        <v>0</v>
      </c>
      <c r="H95" s="31">
        <v>0</v>
      </c>
      <c r="I95" s="31">
        <v>0</v>
      </c>
      <c r="J95" s="31">
        <v>0</v>
      </c>
      <c r="K95" s="39">
        <v>0</v>
      </c>
      <c r="L95" s="32"/>
    </row>
    <row r="96" spans="1:12" x14ac:dyDescent="0.35">
      <c r="A96" s="55">
        <v>94</v>
      </c>
      <c r="B96" s="32" t="s">
        <v>235</v>
      </c>
      <c r="C96" s="32" t="s">
        <v>159</v>
      </c>
      <c r="D96" s="31">
        <v>123334</v>
      </c>
      <c r="E96" s="33" t="s">
        <v>59</v>
      </c>
      <c r="F96" s="31">
        <v>6</v>
      </c>
      <c r="G96" s="31">
        <v>0</v>
      </c>
      <c r="H96" s="31">
        <v>0</v>
      </c>
      <c r="I96" s="31">
        <v>0</v>
      </c>
      <c r="J96" s="31">
        <v>0</v>
      </c>
      <c r="K96" s="39">
        <v>0</v>
      </c>
      <c r="L96" s="32"/>
    </row>
    <row r="97" spans="1:12" x14ac:dyDescent="0.35">
      <c r="A97" s="41">
        <v>95</v>
      </c>
      <c r="B97" s="32" t="s">
        <v>236</v>
      </c>
      <c r="C97" s="32" t="s">
        <v>237</v>
      </c>
      <c r="D97" s="31">
        <v>186359</v>
      </c>
      <c r="E97" s="33" t="s">
        <v>130</v>
      </c>
      <c r="F97" s="31">
        <v>6</v>
      </c>
      <c r="G97" s="31">
        <v>0</v>
      </c>
      <c r="H97" s="31">
        <v>0</v>
      </c>
      <c r="I97" s="31">
        <v>0</v>
      </c>
      <c r="J97" s="31">
        <v>0</v>
      </c>
      <c r="K97" s="39">
        <v>0</v>
      </c>
      <c r="L97" s="32"/>
    </row>
    <row r="98" spans="1:12" ht="15" thickBot="1" x14ac:dyDescent="0.4">
      <c r="A98" s="41">
        <v>96</v>
      </c>
      <c r="B98" s="32" t="s">
        <v>238</v>
      </c>
      <c r="C98" s="32" t="s">
        <v>239</v>
      </c>
      <c r="D98" s="31">
        <v>201790</v>
      </c>
      <c r="E98" s="33" t="s">
        <v>240</v>
      </c>
      <c r="F98" s="31">
        <v>6</v>
      </c>
      <c r="G98" s="31">
        <v>0</v>
      </c>
      <c r="H98" s="31">
        <v>0</v>
      </c>
      <c r="I98" s="31">
        <v>0</v>
      </c>
      <c r="J98" s="31">
        <v>0</v>
      </c>
      <c r="K98" s="39">
        <v>0</v>
      </c>
      <c r="L98" s="32"/>
    </row>
    <row r="99" spans="1:12" x14ac:dyDescent="0.35">
      <c r="A99" s="55">
        <v>97</v>
      </c>
      <c r="B99" s="32" t="s">
        <v>241</v>
      </c>
      <c r="C99" s="32" t="s">
        <v>242</v>
      </c>
      <c r="D99" s="31">
        <v>198231</v>
      </c>
      <c r="E99" s="33" t="s">
        <v>243</v>
      </c>
      <c r="F99" s="31">
        <v>6</v>
      </c>
      <c r="G99" s="31">
        <v>0</v>
      </c>
      <c r="H99" s="31">
        <v>0</v>
      </c>
      <c r="I99" s="31">
        <v>0</v>
      </c>
      <c r="J99" s="31">
        <v>0</v>
      </c>
      <c r="K99" s="39">
        <v>0</v>
      </c>
      <c r="L99" s="32"/>
    </row>
    <row r="100" spans="1:12" x14ac:dyDescent="0.35">
      <c r="A100" s="41">
        <v>98</v>
      </c>
      <c r="B100" s="32" t="s">
        <v>244</v>
      </c>
      <c r="C100" s="32" t="s">
        <v>56</v>
      </c>
      <c r="D100" s="31">
        <v>172910</v>
      </c>
      <c r="E100" s="33" t="s">
        <v>133</v>
      </c>
      <c r="F100" s="31">
        <v>6</v>
      </c>
      <c r="G100" s="31">
        <v>0</v>
      </c>
      <c r="H100" s="31">
        <v>0</v>
      </c>
      <c r="I100" s="31">
        <v>0</v>
      </c>
      <c r="J100" s="31">
        <v>0</v>
      </c>
      <c r="K100" s="39">
        <v>0</v>
      </c>
      <c r="L100" s="32"/>
    </row>
    <row r="101" spans="1:12" ht="15" thickBot="1" x14ac:dyDescent="0.4">
      <c r="A101" s="41">
        <v>99</v>
      </c>
      <c r="B101" s="32" t="s">
        <v>245</v>
      </c>
      <c r="C101" s="32" t="s">
        <v>246</v>
      </c>
      <c r="D101" s="31">
        <v>123492</v>
      </c>
      <c r="E101" s="33" t="s">
        <v>59</v>
      </c>
      <c r="F101" s="31">
        <v>6</v>
      </c>
      <c r="G101" s="31">
        <v>0</v>
      </c>
      <c r="H101" s="31">
        <v>0</v>
      </c>
      <c r="I101" s="31">
        <v>0</v>
      </c>
      <c r="J101" s="31">
        <v>0</v>
      </c>
      <c r="K101" s="39">
        <v>0</v>
      </c>
      <c r="L101" s="32"/>
    </row>
    <row r="102" spans="1:12" x14ac:dyDescent="0.35">
      <c r="A102" s="55">
        <v>100</v>
      </c>
      <c r="B102" s="32" t="s">
        <v>217</v>
      </c>
      <c r="C102" s="32" t="s">
        <v>247</v>
      </c>
      <c r="D102" s="31">
        <v>190679</v>
      </c>
      <c r="E102" s="33" t="s">
        <v>115</v>
      </c>
      <c r="F102" s="31"/>
      <c r="G102" s="31">
        <v>0</v>
      </c>
      <c r="H102" s="31">
        <v>0</v>
      </c>
      <c r="I102" s="31">
        <v>0</v>
      </c>
      <c r="J102" s="31">
        <v>0</v>
      </c>
      <c r="K102" s="39">
        <v>0</v>
      </c>
      <c r="L102" s="32"/>
    </row>
    <row r="103" spans="1:12" x14ac:dyDescent="0.35">
      <c r="A103" s="41">
        <v>101</v>
      </c>
      <c r="B103" s="32" t="s">
        <v>248</v>
      </c>
      <c r="C103" s="32" t="s">
        <v>249</v>
      </c>
      <c r="D103" s="31">
        <v>203051</v>
      </c>
      <c r="E103" s="33" t="s">
        <v>100</v>
      </c>
      <c r="F103" s="31"/>
      <c r="G103" s="31">
        <v>0</v>
      </c>
      <c r="H103" s="31">
        <v>0</v>
      </c>
      <c r="I103" s="31">
        <v>0</v>
      </c>
      <c r="J103" s="31">
        <v>0</v>
      </c>
      <c r="K103" s="39">
        <v>0</v>
      </c>
      <c r="L103" s="32"/>
    </row>
    <row r="104" spans="1:12" ht="15" thickBot="1" x14ac:dyDescent="0.4">
      <c r="A104" s="41">
        <v>102</v>
      </c>
      <c r="B104" s="8" t="s">
        <v>149</v>
      </c>
      <c r="C104" s="8" t="s">
        <v>250</v>
      </c>
      <c r="D104" s="7">
        <v>197886</v>
      </c>
      <c r="E104" s="14" t="s">
        <v>243</v>
      </c>
      <c r="F104" s="7">
        <v>6</v>
      </c>
      <c r="G104" s="7"/>
      <c r="H104" s="7"/>
      <c r="I104" s="7"/>
      <c r="J104" s="7"/>
      <c r="K104" s="40">
        <v>0</v>
      </c>
      <c r="L104" s="2"/>
    </row>
    <row r="105" spans="1:12" x14ac:dyDescent="0.35">
      <c r="A105" s="55">
        <v>103</v>
      </c>
      <c r="B105" s="2" t="s">
        <v>77</v>
      </c>
      <c r="C105" s="2" t="s">
        <v>251</v>
      </c>
      <c r="D105" s="3">
        <v>148263</v>
      </c>
      <c r="E105" s="4" t="s">
        <v>218</v>
      </c>
      <c r="F105" s="3">
        <v>6</v>
      </c>
      <c r="G105" s="3">
        <v>0</v>
      </c>
      <c r="H105" s="3">
        <v>0</v>
      </c>
      <c r="I105" s="3">
        <v>0</v>
      </c>
      <c r="J105" s="3">
        <v>0</v>
      </c>
      <c r="K105" s="6">
        <v>0</v>
      </c>
      <c r="L105" s="2"/>
    </row>
    <row r="106" spans="1:12" x14ac:dyDescent="0.35">
      <c r="A106" s="41">
        <v>104</v>
      </c>
      <c r="B106" s="2" t="s">
        <v>134</v>
      </c>
      <c r="C106" s="2" t="s">
        <v>205</v>
      </c>
      <c r="D106" s="3">
        <v>218018</v>
      </c>
      <c r="E106" s="4" t="s">
        <v>141</v>
      </c>
      <c r="F106" s="3">
        <v>6</v>
      </c>
      <c r="G106" s="3">
        <v>0</v>
      </c>
      <c r="H106" s="3">
        <v>0</v>
      </c>
      <c r="I106" s="3">
        <v>0</v>
      </c>
      <c r="J106" s="3">
        <v>0</v>
      </c>
      <c r="K106" s="6">
        <v>0</v>
      </c>
      <c r="L106" s="2"/>
    </row>
    <row r="107" spans="1:12" ht="15" thickBot="1" x14ac:dyDescent="0.4">
      <c r="A107" s="41">
        <v>105</v>
      </c>
      <c r="B107" s="2" t="s">
        <v>215</v>
      </c>
      <c r="C107" s="2" t="s">
        <v>210</v>
      </c>
      <c r="D107" s="3">
        <v>123326</v>
      </c>
      <c r="E107" s="4" t="s">
        <v>59</v>
      </c>
      <c r="F107" s="3">
        <v>6</v>
      </c>
      <c r="G107" s="3">
        <v>0</v>
      </c>
      <c r="H107" s="3">
        <v>0</v>
      </c>
      <c r="I107" s="3">
        <v>0</v>
      </c>
      <c r="J107" s="3">
        <v>0</v>
      </c>
      <c r="K107" s="6">
        <v>0</v>
      </c>
      <c r="L107" s="2"/>
    </row>
    <row r="108" spans="1:12" x14ac:dyDescent="0.35">
      <c r="A108" s="55">
        <v>106</v>
      </c>
      <c r="B108" s="2" t="s">
        <v>252</v>
      </c>
      <c r="C108" s="2" t="s">
        <v>253</v>
      </c>
      <c r="D108" s="3">
        <v>184713</v>
      </c>
      <c r="E108" s="4" t="s">
        <v>193</v>
      </c>
      <c r="F108" s="3">
        <v>5</v>
      </c>
      <c r="G108" s="3">
        <v>0</v>
      </c>
      <c r="H108" s="3">
        <v>0</v>
      </c>
      <c r="I108" s="3">
        <v>0</v>
      </c>
      <c r="J108" s="3">
        <v>0</v>
      </c>
      <c r="K108" s="6">
        <v>0</v>
      </c>
      <c r="L108" s="2"/>
    </row>
    <row r="109" spans="1:12" x14ac:dyDescent="0.35">
      <c r="A109" s="41">
        <v>107</v>
      </c>
      <c r="B109" s="2" t="s">
        <v>254</v>
      </c>
      <c r="C109" s="2" t="s">
        <v>255</v>
      </c>
      <c r="D109" s="3">
        <v>174830</v>
      </c>
      <c r="E109" s="4" t="s">
        <v>53</v>
      </c>
      <c r="F109" s="3">
        <v>6</v>
      </c>
      <c r="G109" s="3">
        <v>0</v>
      </c>
      <c r="H109" s="3">
        <v>0</v>
      </c>
      <c r="I109" s="3">
        <v>0</v>
      </c>
      <c r="J109" s="3">
        <v>0</v>
      </c>
      <c r="K109" s="6">
        <v>0</v>
      </c>
      <c r="L109" s="2"/>
    </row>
    <row r="110" spans="1:12" ht="15" thickBot="1" x14ac:dyDescent="0.4">
      <c r="A110" s="41">
        <v>108</v>
      </c>
      <c r="B110" s="2" t="s">
        <v>124</v>
      </c>
      <c r="C110" s="2" t="s">
        <v>61</v>
      </c>
      <c r="D110" s="3">
        <v>205665</v>
      </c>
      <c r="E110" s="4" t="s">
        <v>105</v>
      </c>
      <c r="F110" s="3">
        <v>5</v>
      </c>
      <c r="G110" s="3">
        <v>0</v>
      </c>
      <c r="H110" s="3">
        <v>0</v>
      </c>
      <c r="I110" s="3">
        <v>0</v>
      </c>
      <c r="J110" s="3">
        <v>0</v>
      </c>
      <c r="K110" s="6">
        <v>0</v>
      </c>
      <c r="L110" s="2"/>
    </row>
    <row r="111" spans="1:12" x14ac:dyDescent="0.35">
      <c r="A111" s="55">
        <v>109</v>
      </c>
      <c r="B111" s="2" t="s">
        <v>256</v>
      </c>
      <c r="C111" s="2" t="s">
        <v>56</v>
      </c>
      <c r="D111" s="3">
        <v>208301</v>
      </c>
      <c r="E111" s="4" t="s">
        <v>50</v>
      </c>
      <c r="F111" s="3">
        <v>6</v>
      </c>
      <c r="G111" s="3">
        <v>0</v>
      </c>
      <c r="H111" s="3">
        <v>0</v>
      </c>
      <c r="I111" s="3">
        <v>0</v>
      </c>
      <c r="J111" s="3">
        <v>0</v>
      </c>
      <c r="K111" s="6">
        <v>0</v>
      </c>
      <c r="L111" s="2"/>
    </row>
    <row r="112" spans="1:12" x14ac:dyDescent="0.35">
      <c r="A112" s="41">
        <v>110</v>
      </c>
      <c r="B112" s="8" t="s">
        <v>168</v>
      </c>
      <c r="C112" s="8" t="s">
        <v>257</v>
      </c>
      <c r="D112" s="7">
        <v>190745</v>
      </c>
      <c r="E112" s="14" t="s">
        <v>115</v>
      </c>
      <c r="F112" s="7">
        <v>6</v>
      </c>
      <c r="G112" s="7"/>
      <c r="H112" s="7"/>
      <c r="I112" s="7"/>
      <c r="J112" s="7"/>
      <c r="K112" s="40">
        <v>0</v>
      </c>
      <c r="L112" s="2"/>
    </row>
    <row r="113" spans="1:12" ht="15" thickBot="1" x14ac:dyDescent="0.4">
      <c r="A113" s="41">
        <v>111</v>
      </c>
      <c r="B113" s="2" t="s">
        <v>258</v>
      </c>
      <c r="C113" s="2" t="s">
        <v>259</v>
      </c>
      <c r="D113" s="3">
        <v>226687</v>
      </c>
      <c r="E113" s="4" t="s">
        <v>178</v>
      </c>
      <c r="F113" s="3">
        <v>5</v>
      </c>
      <c r="G113" s="3">
        <v>0</v>
      </c>
      <c r="H113" s="3">
        <v>0</v>
      </c>
      <c r="I113" s="3">
        <v>0</v>
      </c>
      <c r="J113" s="3">
        <v>0</v>
      </c>
      <c r="K113" s="6">
        <v>0</v>
      </c>
      <c r="L113" s="2"/>
    </row>
    <row r="114" spans="1:12" x14ac:dyDescent="0.35">
      <c r="A114" s="55">
        <v>112</v>
      </c>
      <c r="B114" s="2" t="s">
        <v>260</v>
      </c>
      <c r="C114" s="2" t="s">
        <v>261</v>
      </c>
      <c r="D114" s="3">
        <v>212798</v>
      </c>
      <c r="E114" s="4" t="s">
        <v>262</v>
      </c>
      <c r="F114" s="3">
        <v>6</v>
      </c>
      <c r="G114" s="3">
        <v>0</v>
      </c>
      <c r="H114" s="3">
        <v>0</v>
      </c>
      <c r="I114" s="3">
        <v>0</v>
      </c>
      <c r="J114" s="3">
        <v>0</v>
      </c>
      <c r="K114" s="6">
        <v>0</v>
      </c>
      <c r="L114" s="2"/>
    </row>
    <row r="115" spans="1:12" x14ac:dyDescent="0.35">
      <c r="A115" s="41">
        <v>113</v>
      </c>
      <c r="B115" s="2" t="s">
        <v>263</v>
      </c>
      <c r="C115" s="2" t="s">
        <v>264</v>
      </c>
      <c r="D115" s="3">
        <v>154213</v>
      </c>
      <c r="E115" s="4" t="s">
        <v>50</v>
      </c>
      <c r="F115" s="3">
        <v>6</v>
      </c>
      <c r="G115" s="3">
        <v>0</v>
      </c>
      <c r="H115" s="3">
        <v>0</v>
      </c>
      <c r="I115" s="3">
        <v>0</v>
      </c>
      <c r="J115" s="3">
        <v>0</v>
      </c>
      <c r="K115" s="6">
        <v>0</v>
      </c>
      <c r="L115" s="2"/>
    </row>
    <row r="116" spans="1:12" ht="15" thickBot="1" x14ac:dyDescent="0.4">
      <c r="A116" s="41">
        <v>114</v>
      </c>
      <c r="B116" s="2" t="s">
        <v>265</v>
      </c>
      <c r="C116" s="2" t="s">
        <v>266</v>
      </c>
      <c r="D116" s="3">
        <v>199011</v>
      </c>
      <c r="E116" s="4" t="s">
        <v>267</v>
      </c>
      <c r="F116" s="3">
        <v>5</v>
      </c>
      <c r="G116" s="3">
        <v>0</v>
      </c>
      <c r="H116" s="3">
        <v>0</v>
      </c>
      <c r="I116" s="3">
        <v>0</v>
      </c>
      <c r="J116" s="3">
        <v>0</v>
      </c>
      <c r="K116" s="6">
        <v>0</v>
      </c>
      <c r="L116" s="2"/>
    </row>
    <row r="117" spans="1:12" x14ac:dyDescent="0.35">
      <c r="A117" s="55">
        <v>115</v>
      </c>
      <c r="B117" s="2" t="s">
        <v>268</v>
      </c>
      <c r="C117" s="2" t="s">
        <v>269</v>
      </c>
      <c r="D117" s="3">
        <v>206434</v>
      </c>
      <c r="E117" s="4" t="s">
        <v>120</v>
      </c>
      <c r="F117" s="3">
        <v>6</v>
      </c>
      <c r="G117" s="3">
        <v>0</v>
      </c>
      <c r="H117" s="3">
        <v>0</v>
      </c>
      <c r="I117" s="3">
        <v>0</v>
      </c>
      <c r="J117" s="3">
        <v>0</v>
      </c>
      <c r="K117" s="6">
        <v>0</v>
      </c>
      <c r="L117" s="2"/>
    </row>
    <row r="118" spans="1:12" x14ac:dyDescent="0.35">
      <c r="A118" s="41">
        <v>116</v>
      </c>
      <c r="B118" s="2" t="s">
        <v>270</v>
      </c>
      <c r="C118" s="2" t="s">
        <v>271</v>
      </c>
      <c r="D118" s="3">
        <v>201340</v>
      </c>
      <c r="E118" s="4" t="s">
        <v>100</v>
      </c>
      <c r="F118" s="3">
        <v>6</v>
      </c>
      <c r="G118" s="3">
        <v>0</v>
      </c>
      <c r="H118" s="3">
        <v>0</v>
      </c>
      <c r="I118" s="3">
        <v>0</v>
      </c>
      <c r="J118" s="3">
        <v>0</v>
      </c>
      <c r="K118" s="6">
        <v>0</v>
      </c>
      <c r="L118" s="2"/>
    </row>
    <row r="119" spans="1:12" ht="15" thickBot="1" x14ac:dyDescent="0.4">
      <c r="A119" s="41">
        <v>117</v>
      </c>
      <c r="B119" s="2" t="s">
        <v>242</v>
      </c>
      <c r="C119" s="2" t="s">
        <v>272</v>
      </c>
      <c r="D119" s="3">
        <v>209909</v>
      </c>
      <c r="E119" s="4" t="s">
        <v>152</v>
      </c>
      <c r="F119" s="3">
        <v>6</v>
      </c>
      <c r="G119" s="3">
        <v>0</v>
      </c>
      <c r="H119" s="3">
        <v>0</v>
      </c>
      <c r="I119" s="3">
        <v>0</v>
      </c>
      <c r="J119" s="3">
        <v>0</v>
      </c>
      <c r="K119" s="6">
        <v>0</v>
      </c>
      <c r="L119" s="2"/>
    </row>
    <row r="120" spans="1:12" x14ac:dyDescent="0.35">
      <c r="A120" s="55">
        <v>118</v>
      </c>
      <c r="B120" s="2" t="s">
        <v>273</v>
      </c>
      <c r="C120" s="2" t="s">
        <v>203</v>
      </c>
      <c r="D120" s="3">
        <v>201683</v>
      </c>
      <c r="E120" s="4" t="s">
        <v>240</v>
      </c>
      <c r="F120" s="3">
        <v>6</v>
      </c>
      <c r="G120" s="3">
        <v>0</v>
      </c>
      <c r="H120" s="3">
        <v>0</v>
      </c>
      <c r="I120" s="3">
        <v>0</v>
      </c>
      <c r="J120" s="3">
        <v>0</v>
      </c>
      <c r="K120" s="6">
        <v>0</v>
      </c>
      <c r="L120" s="2"/>
    </row>
    <row r="121" spans="1:12" x14ac:dyDescent="0.35">
      <c r="A121" s="41">
        <v>119</v>
      </c>
      <c r="B121" s="2" t="s">
        <v>274</v>
      </c>
      <c r="C121" s="2" t="s">
        <v>275</v>
      </c>
      <c r="D121" s="3">
        <v>180673</v>
      </c>
      <c r="E121" s="4" t="s">
        <v>53</v>
      </c>
      <c r="F121" s="3" t="s">
        <v>89</v>
      </c>
      <c r="G121" s="3">
        <v>0</v>
      </c>
      <c r="H121" s="3">
        <v>0</v>
      </c>
      <c r="I121" s="3">
        <v>0</v>
      </c>
      <c r="J121" s="3">
        <v>0</v>
      </c>
      <c r="K121" s="6">
        <v>0</v>
      </c>
      <c r="L121" s="2"/>
    </row>
    <row r="122" spans="1:12" ht="15" thickBot="1" x14ac:dyDescent="0.4">
      <c r="A122" s="41">
        <v>120</v>
      </c>
      <c r="B122" s="2" t="s">
        <v>276</v>
      </c>
      <c r="C122" s="2" t="s">
        <v>277</v>
      </c>
      <c r="D122" s="3">
        <v>162664</v>
      </c>
      <c r="E122" s="4" t="s">
        <v>191</v>
      </c>
      <c r="F122" s="3">
        <v>6</v>
      </c>
      <c r="G122" s="3">
        <v>0</v>
      </c>
      <c r="H122" s="3">
        <v>0</v>
      </c>
      <c r="I122" s="3">
        <v>0</v>
      </c>
      <c r="J122" s="3">
        <v>0</v>
      </c>
      <c r="K122" s="6">
        <v>0</v>
      </c>
      <c r="L122" s="2"/>
    </row>
    <row r="123" spans="1:12" x14ac:dyDescent="0.35">
      <c r="A123" s="55">
        <v>121</v>
      </c>
      <c r="B123" s="2" t="s">
        <v>278</v>
      </c>
      <c r="C123" s="2" t="s">
        <v>212</v>
      </c>
      <c r="D123" s="3">
        <v>212801</v>
      </c>
      <c r="E123" s="4" t="s">
        <v>279</v>
      </c>
      <c r="F123" s="3">
        <v>6</v>
      </c>
      <c r="G123" s="3">
        <v>0</v>
      </c>
      <c r="H123" s="3">
        <v>0</v>
      </c>
      <c r="I123" s="3">
        <v>0</v>
      </c>
      <c r="J123" s="3">
        <v>0</v>
      </c>
      <c r="K123" s="6">
        <v>0</v>
      </c>
      <c r="L123" s="2"/>
    </row>
    <row r="124" spans="1:12" x14ac:dyDescent="0.35">
      <c r="A124" s="41">
        <v>122</v>
      </c>
      <c r="B124" s="2" t="s">
        <v>280</v>
      </c>
      <c r="C124" s="2" t="s">
        <v>281</v>
      </c>
      <c r="D124" s="3">
        <v>226206</v>
      </c>
      <c r="E124" s="4" t="s">
        <v>221</v>
      </c>
      <c r="F124" s="3" t="s">
        <v>76</v>
      </c>
      <c r="G124" s="3">
        <v>0</v>
      </c>
      <c r="H124" s="3">
        <v>0</v>
      </c>
      <c r="I124" s="3">
        <v>0</v>
      </c>
      <c r="J124" s="3">
        <v>0</v>
      </c>
      <c r="K124" s="6">
        <v>0</v>
      </c>
      <c r="L124" s="2"/>
    </row>
    <row r="125" spans="1:12" ht="15" thickBot="1" x14ac:dyDescent="0.4">
      <c r="A125" s="41">
        <v>123</v>
      </c>
      <c r="B125" s="2" t="s">
        <v>282</v>
      </c>
      <c r="C125" s="2" t="s">
        <v>283</v>
      </c>
      <c r="D125" s="3">
        <v>169554</v>
      </c>
      <c r="E125" s="4" t="s">
        <v>62</v>
      </c>
      <c r="F125" s="3" t="s">
        <v>89</v>
      </c>
      <c r="G125" s="3">
        <v>0</v>
      </c>
      <c r="H125" s="3">
        <v>0</v>
      </c>
      <c r="I125" s="3">
        <v>0</v>
      </c>
      <c r="J125" s="3">
        <v>0</v>
      </c>
      <c r="K125" s="6">
        <v>0</v>
      </c>
      <c r="L125" s="2"/>
    </row>
    <row r="126" spans="1:12" x14ac:dyDescent="0.35">
      <c r="A126" s="55">
        <v>124</v>
      </c>
      <c r="B126" s="10" t="s">
        <v>284</v>
      </c>
      <c r="C126" s="10" t="s">
        <v>285</v>
      </c>
      <c r="D126" s="11">
        <v>180687</v>
      </c>
      <c r="E126" s="9" t="s">
        <v>53</v>
      </c>
      <c r="F126" s="7"/>
      <c r="G126" s="7"/>
      <c r="H126" s="7"/>
      <c r="I126" s="7"/>
      <c r="J126" s="7"/>
      <c r="K126" s="40">
        <v>0</v>
      </c>
      <c r="L126" s="2"/>
    </row>
    <row r="127" spans="1:12" x14ac:dyDescent="0.35">
      <c r="A127" s="41">
        <v>125</v>
      </c>
      <c r="B127" s="2" t="s">
        <v>286</v>
      </c>
      <c r="C127" s="2" t="s">
        <v>287</v>
      </c>
      <c r="D127" s="3"/>
      <c r="E127" s="4" t="s">
        <v>15</v>
      </c>
      <c r="F127" s="3">
        <v>6</v>
      </c>
      <c r="G127" s="3">
        <v>0</v>
      </c>
      <c r="H127" s="3">
        <v>0</v>
      </c>
      <c r="I127" s="3">
        <v>0</v>
      </c>
      <c r="J127" s="3">
        <v>0</v>
      </c>
      <c r="K127" s="6">
        <v>0</v>
      </c>
      <c r="L127" s="2"/>
    </row>
    <row r="128" spans="1:12" ht="15" thickBot="1" x14ac:dyDescent="0.4">
      <c r="A128" s="41">
        <v>126</v>
      </c>
      <c r="B128" s="2" t="s">
        <v>288</v>
      </c>
      <c r="C128" s="2" t="s">
        <v>289</v>
      </c>
      <c r="D128" s="3">
        <v>193131</v>
      </c>
      <c r="E128" s="4" t="s">
        <v>167</v>
      </c>
      <c r="F128" s="3">
        <v>6</v>
      </c>
      <c r="G128" s="3">
        <v>0</v>
      </c>
      <c r="H128" s="3">
        <v>0</v>
      </c>
      <c r="I128" s="3">
        <v>0</v>
      </c>
      <c r="J128" s="3">
        <v>0</v>
      </c>
      <c r="K128" s="6">
        <v>0</v>
      </c>
      <c r="L128" s="2"/>
    </row>
    <row r="129" spans="1:12" x14ac:dyDescent="0.35">
      <c r="A129" s="55">
        <v>127</v>
      </c>
      <c r="B129" s="2" t="s">
        <v>256</v>
      </c>
      <c r="C129" s="2" t="s">
        <v>290</v>
      </c>
      <c r="D129" s="3">
        <v>225913</v>
      </c>
      <c r="E129" s="4" t="s">
        <v>32</v>
      </c>
      <c r="F129" s="3">
        <v>6</v>
      </c>
      <c r="G129" s="3">
        <v>0</v>
      </c>
      <c r="H129" s="3">
        <v>0</v>
      </c>
      <c r="I129" s="3">
        <v>0</v>
      </c>
      <c r="J129" s="3">
        <v>0</v>
      </c>
      <c r="K129" s="6">
        <v>0</v>
      </c>
      <c r="L129" s="2"/>
    </row>
    <row r="130" spans="1:12" x14ac:dyDescent="0.35">
      <c r="A130" s="41">
        <v>128</v>
      </c>
      <c r="B130" s="2" t="s">
        <v>291</v>
      </c>
      <c r="C130" s="2" t="s">
        <v>292</v>
      </c>
      <c r="D130" s="3">
        <v>223349</v>
      </c>
      <c r="E130" s="4" t="s">
        <v>169</v>
      </c>
      <c r="F130" s="3">
        <v>5</v>
      </c>
      <c r="G130" s="3">
        <v>0</v>
      </c>
      <c r="H130" s="3">
        <v>0</v>
      </c>
      <c r="I130" s="3">
        <v>0</v>
      </c>
      <c r="J130" s="3">
        <v>0</v>
      </c>
      <c r="K130" s="6">
        <v>0</v>
      </c>
      <c r="L130" s="2"/>
    </row>
    <row r="131" spans="1:12" ht="15" thickBot="1" x14ac:dyDescent="0.4">
      <c r="A131" s="41">
        <v>129</v>
      </c>
      <c r="B131" s="2" t="s">
        <v>293</v>
      </c>
      <c r="C131" s="2" t="s">
        <v>294</v>
      </c>
      <c r="D131" s="3">
        <v>124520</v>
      </c>
      <c r="E131" s="4" t="s">
        <v>172</v>
      </c>
      <c r="F131" s="3">
        <v>6</v>
      </c>
      <c r="G131" s="3">
        <v>0</v>
      </c>
      <c r="H131" s="3">
        <v>0</v>
      </c>
      <c r="I131" s="3">
        <v>0</v>
      </c>
      <c r="J131" s="3">
        <v>0</v>
      </c>
      <c r="K131" s="6">
        <v>0</v>
      </c>
      <c r="L131" s="2"/>
    </row>
    <row r="132" spans="1:12" x14ac:dyDescent="0.35">
      <c r="A132" s="55">
        <v>130</v>
      </c>
      <c r="B132" s="2" t="s">
        <v>295</v>
      </c>
      <c r="C132" s="2" t="s">
        <v>268</v>
      </c>
      <c r="D132" s="3">
        <v>201834</v>
      </c>
      <c r="E132" s="4" t="s">
        <v>240</v>
      </c>
      <c r="F132" s="3">
        <v>6</v>
      </c>
      <c r="G132" s="3">
        <v>0</v>
      </c>
      <c r="H132" s="3">
        <v>0</v>
      </c>
      <c r="I132" s="3">
        <v>0</v>
      </c>
      <c r="J132" s="3">
        <v>0</v>
      </c>
      <c r="K132" s="6">
        <v>0</v>
      </c>
      <c r="L132" s="2"/>
    </row>
    <row r="133" spans="1:12" x14ac:dyDescent="0.35">
      <c r="A133" s="41">
        <v>131</v>
      </c>
      <c r="B133" s="2" t="s">
        <v>80</v>
      </c>
      <c r="C133" s="2" t="s">
        <v>296</v>
      </c>
      <c r="D133" s="3">
        <v>187403</v>
      </c>
      <c r="E133" s="4" t="s">
        <v>88</v>
      </c>
      <c r="F133" s="3" t="s">
        <v>76</v>
      </c>
      <c r="G133" s="3">
        <v>0</v>
      </c>
      <c r="H133" s="3">
        <v>0</v>
      </c>
      <c r="I133" s="3">
        <v>0</v>
      </c>
      <c r="J133" s="3">
        <v>0</v>
      </c>
      <c r="K133" s="6">
        <v>0</v>
      </c>
      <c r="L133" s="2"/>
    </row>
    <row r="134" spans="1:12" ht="15" thickBot="1" x14ac:dyDescent="0.4">
      <c r="A134" s="41">
        <v>132</v>
      </c>
      <c r="B134" s="2" t="s">
        <v>297</v>
      </c>
      <c r="C134" s="2" t="s">
        <v>298</v>
      </c>
      <c r="D134" s="5">
        <v>212803</v>
      </c>
      <c r="E134" s="4">
        <v>111</v>
      </c>
      <c r="F134" s="3" t="s">
        <v>299</v>
      </c>
      <c r="G134" s="3">
        <v>0</v>
      </c>
      <c r="H134" s="3">
        <v>0</v>
      </c>
      <c r="I134" s="3">
        <v>0</v>
      </c>
      <c r="J134" s="3">
        <v>0</v>
      </c>
      <c r="K134" s="6">
        <v>0</v>
      </c>
      <c r="L134" s="2"/>
    </row>
    <row r="135" spans="1:12" x14ac:dyDescent="0.35">
      <c r="A135" s="55">
        <v>133</v>
      </c>
      <c r="B135" s="2" t="s">
        <v>300</v>
      </c>
      <c r="C135" s="2" t="s">
        <v>301</v>
      </c>
      <c r="D135" s="5">
        <v>230952</v>
      </c>
      <c r="E135" s="4" t="s">
        <v>302</v>
      </c>
      <c r="F135" s="3">
        <v>6</v>
      </c>
      <c r="G135" s="3">
        <v>0</v>
      </c>
      <c r="H135" s="3">
        <v>0</v>
      </c>
      <c r="I135" s="3">
        <v>0</v>
      </c>
      <c r="J135" s="3">
        <v>0</v>
      </c>
      <c r="K135" s="6">
        <v>0</v>
      </c>
      <c r="L135" s="2"/>
    </row>
    <row r="136" spans="1:12" x14ac:dyDescent="0.35">
      <c r="A136" s="41">
        <v>134</v>
      </c>
      <c r="B136" s="2" t="s">
        <v>303</v>
      </c>
      <c r="C136" s="2" t="s">
        <v>304</v>
      </c>
      <c r="D136" s="3">
        <v>184721</v>
      </c>
      <c r="E136" s="4" t="s">
        <v>193</v>
      </c>
      <c r="F136" s="3">
        <v>5</v>
      </c>
      <c r="G136" s="3">
        <v>0</v>
      </c>
      <c r="H136" s="3">
        <v>0</v>
      </c>
      <c r="I136" s="3">
        <v>0</v>
      </c>
      <c r="J136" s="3">
        <v>0</v>
      </c>
      <c r="K136" s="6">
        <v>0</v>
      </c>
      <c r="L136" s="2"/>
    </row>
    <row r="137" spans="1:12" ht="15" thickBot="1" x14ac:dyDescent="0.4">
      <c r="A137" s="41">
        <v>135</v>
      </c>
      <c r="B137" s="2" t="s">
        <v>305</v>
      </c>
      <c r="C137" s="2" t="s">
        <v>306</v>
      </c>
      <c r="D137" s="3">
        <v>184721</v>
      </c>
      <c r="E137" s="4" t="s">
        <v>193</v>
      </c>
      <c r="F137" s="3">
        <v>6</v>
      </c>
      <c r="G137" s="3">
        <v>0</v>
      </c>
      <c r="H137" s="3">
        <v>0</v>
      </c>
      <c r="I137" s="3">
        <v>0</v>
      </c>
      <c r="J137" s="3">
        <v>0</v>
      </c>
      <c r="K137" s="6">
        <v>0</v>
      </c>
      <c r="L137" s="2"/>
    </row>
    <row r="138" spans="1:12" x14ac:dyDescent="0.35">
      <c r="A138" s="55">
        <v>136</v>
      </c>
      <c r="B138" s="2" t="s">
        <v>307</v>
      </c>
      <c r="C138" s="2" t="s">
        <v>308</v>
      </c>
      <c r="D138" s="3">
        <v>207784</v>
      </c>
      <c r="E138" s="4" t="s">
        <v>105</v>
      </c>
      <c r="F138" s="3">
        <v>5</v>
      </c>
      <c r="G138" s="3">
        <v>0</v>
      </c>
      <c r="H138" s="3">
        <v>0</v>
      </c>
      <c r="I138" s="3">
        <v>0</v>
      </c>
      <c r="J138" s="3">
        <v>0</v>
      </c>
      <c r="K138" s="6">
        <v>0</v>
      </c>
      <c r="L138" s="2"/>
    </row>
    <row r="139" spans="1:12" x14ac:dyDescent="0.35">
      <c r="A139" s="41">
        <v>137</v>
      </c>
      <c r="B139" s="2" t="s">
        <v>217</v>
      </c>
      <c r="C139" s="2" t="s">
        <v>309</v>
      </c>
      <c r="D139" s="3">
        <v>222435</v>
      </c>
      <c r="E139" s="4" t="s">
        <v>310</v>
      </c>
      <c r="F139" s="3">
        <v>6</v>
      </c>
      <c r="G139" s="3">
        <v>0</v>
      </c>
      <c r="H139" s="3">
        <v>0</v>
      </c>
      <c r="I139" s="3">
        <v>0</v>
      </c>
      <c r="J139" s="3">
        <v>0</v>
      </c>
      <c r="K139" s="6">
        <v>0</v>
      </c>
      <c r="L139" s="2"/>
    </row>
    <row r="140" spans="1:12" ht="15" thickBot="1" x14ac:dyDescent="0.4">
      <c r="A140" s="41">
        <v>138</v>
      </c>
      <c r="B140" s="2" t="s">
        <v>311</v>
      </c>
      <c r="C140" s="2" t="s">
        <v>312</v>
      </c>
      <c r="D140" s="3">
        <v>215971</v>
      </c>
      <c r="E140" s="4" t="s">
        <v>181</v>
      </c>
      <c r="F140" s="3">
        <v>6</v>
      </c>
      <c r="G140" s="3">
        <v>0</v>
      </c>
      <c r="H140" s="3">
        <v>0</v>
      </c>
      <c r="I140" s="3">
        <v>0</v>
      </c>
      <c r="J140" s="3">
        <v>0</v>
      </c>
      <c r="K140" s="6">
        <v>0</v>
      </c>
      <c r="L140" s="2"/>
    </row>
    <row r="141" spans="1:12" x14ac:dyDescent="0.35">
      <c r="A141" s="55">
        <v>139</v>
      </c>
      <c r="B141" s="2" t="s">
        <v>313</v>
      </c>
      <c r="C141" s="2" t="s">
        <v>314</v>
      </c>
      <c r="D141" s="3">
        <v>154269</v>
      </c>
      <c r="E141" s="4" t="s">
        <v>50</v>
      </c>
      <c r="F141" s="3">
        <v>6</v>
      </c>
      <c r="G141" s="3">
        <v>0</v>
      </c>
      <c r="H141" s="3">
        <v>0</v>
      </c>
      <c r="I141" s="3">
        <v>0</v>
      </c>
      <c r="J141" s="3">
        <v>0</v>
      </c>
      <c r="K141" s="6">
        <v>0</v>
      </c>
      <c r="L141" s="2"/>
    </row>
    <row r="142" spans="1:12" x14ac:dyDescent="0.35">
      <c r="A142" s="41">
        <v>140</v>
      </c>
      <c r="B142" s="2" t="s">
        <v>315</v>
      </c>
      <c r="C142" s="2" t="s">
        <v>316</v>
      </c>
      <c r="D142" s="3">
        <v>197883</v>
      </c>
      <c r="E142" s="4" t="s">
        <v>243</v>
      </c>
      <c r="F142" s="3">
        <v>6</v>
      </c>
      <c r="G142" s="3">
        <v>0</v>
      </c>
      <c r="H142" s="3">
        <v>0</v>
      </c>
      <c r="I142" s="3">
        <v>0</v>
      </c>
      <c r="J142" s="3">
        <v>0</v>
      </c>
      <c r="K142" s="6">
        <v>0</v>
      </c>
      <c r="L142" s="2"/>
    </row>
    <row r="143" spans="1:12" ht="15" thickBot="1" x14ac:dyDescent="0.4">
      <c r="A143" s="41">
        <v>141</v>
      </c>
      <c r="B143" s="8" t="s">
        <v>176</v>
      </c>
      <c r="C143" s="8" t="s">
        <v>123</v>
      </c>
      <c r="D143" s="7">
        <v>226679</v>
      </c>
      <c r="E143" s="14" t="s">
        <v>317</v>
      </c>
      <c r="F143" s="7">
        <v>5</v>
      </c>
      <c r="G143" s="7"/>
      <c r="H143" s="7"/>
      <c r="I143" s="7"/>
      <c r="J143" s="7"/>
      <c r="K143" s="40">
        <v>0</v>
      </c>
      <c r="L143" s="2"/>
    </row>
    <row r="144" spans="1:12" x14ac:dyDescent="0.35">
      <c r="A144" s="55">
        <v>142</v>
      </c>
      <c r="B144" s="2" t="s">
        <v>318</v>
      </c>
      <c r="C144" s="2" t="s">
        <v>56</v>
      </c>
      <c r="D144" s="3">
        <v>224347</v>
      </c>
      <c r="E144" s="4" t="s">
        <v>53</v>
      </c>
      <c r="F144" s="3">
        <v>5</v>
      </c>
      <c r="G144" s="3">
        <v>0</v>
      </c>
      <c r="H144" s="3">
        <v>0</v>
      </c>
      <c r="I144" s="3">
        <v>0</v>
      </c>
      <c r="J144" s="3">
        <v>0</v>
      </c>
      <c r="K144" s="6">
        <v>0</v>
      </c>
      <c r="L144" s="2"/>
    </row>
    <row r="145" spans="1:12" x14ac:dyDescent="0.35">
      <c r="A145" s="41">
        <v>143</v>
      </c>
      <c r="B145" s="2" t="s">
        <v>192</v>
      </c>
      <c r="C145" s="2" t="s">
        <v>261</v>
      </c>
      <c r="D145" s="3">
        <v>186371</v>
      </c>
      <c r="E145" s="4" t="s">
        <v>175</v>
      </c>
      <c r="F145" s="3">
        <v>6</v>
      </c>
      <c r="G145" s="3">
        <v>0</v>
      </c>
      <c r="H145" s="3">
        <v>0</v>
      </c>
      <c r="I145" s="3">
        <v>0</v>
      </c>
      <c r="J145" s="3">
        <v>0</v>
      </c>
      <c r="K145" s="6">
        <v>0</v>
      </c>
      <c r="L145" s="2"/>
    </row>
    <row r="146" spans="1:12" ht="15" thickBot="1" x14ac:dyDescent="0.4">
      <c r="A146" s="41">
        <v>144</v>
      </c>
      <c r="B146" s="2" t="s">
        <v>319</v>
      </c>
      <c r="C146" s="2" t="s">
        <v>320</v>
      </c>
      <c r="D146" s="3">
        <v>208617</v>
      </c>
      <c r="E146" s="4" t="s">
        <v>218</v>
      </c>
      <c r="F146" s="3">
        <v>5</v>
      </c>
      <c r="G146" s="3">
        <v>0</v>
      </c>
      <c r="H146" s="3">
        <v>0</v>
      </c>
      <c r="I146" s="3">
        <v>0</v>
      </c>
      <c r="J146" s="3">
        <v>0</v>
      </c>
      <c r="K146" s="6">
        <v>0</v>
      </c>
      <c r="L146" s="2"/>
    </row>
    <row r="147" spans="1:12" x14ac:dyDescent="0.35">
      <c r="A147" s="55">
        <v>145</v>
      </c>
      <c r="B147" s="2" t="s">
        <v>321</v>
      </c>
      <c r="C147" s="2" t="s">
        <v>322</v>
      </c>
      <c r="D147" s="3">
        <v>224990</v>
      </c>
      <c r="E147" s="4" t="s">
        <v>221</v>
      </c>
      <c r="F147" s="3">
        <v>6</v>
      </c>
      <c r="G147" s="3">
        <v>0</v>
      </c>
      <c r="H147" s="3">
        <v>0</v>
      </c>
      <c r="I147" s="3">
        <v>0</v>
      </c>
      <c r="J147" s="3">
        <v>0</v>
      </c>
      <c r="K147" s="6">
        <v>0</v>
      </c>
      <c r="L147" s="2"/>
    </row>
    <row r="148" spans="1:12" x14ac:dyDescent="0.35">
      <c r="A148" s="41">
        <v>146</v>
      </c>
      <c r="B148" s="2" t="s">
        <v>323</v>
      </c>
      <c r="C148" s="2" t="s">
        <v>324</v>
      </c>
      <c r="D148" s="3">
        <v>226446</v>
      </c>
      <c r="E148" s="4" t="s">
        <v>141</v>
      </c>
      <c r="F148" s="3">
        <v>5</v>
      </c>
      <c r="G148" s="3">
        <v>0</v>
      </c>
      <c r="H148" s="3">
        <v>0</v>
      </c>
      <c r="I148" s="3">
        <v>0</v>
      </c>
      <c r="J148" s="3">
        <v>0</v>
      </c>
      <c r="K148" s="6">
        <v>0</v>
      </c>
      <c r="L148" s="2"/>
    </row>
  </sheetData>
  <mergeCells count="1"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C4B46-68D0-457B-9B36-EEE2203E586F}">
  <dimension ref="A1:L173"/>
  <sheetViews>
    <sheetView workbookViewId="0">
      <selection activeCell="O162" sqref="O162"/>
    </sheetView>
  </sheetViews>
  <sheetFormatPr defaultRowHeight="14.5" x14ac:dyDescent="0.35"/>
  <cols>
    <col min="1" max="1" width="4.08984375" bestFit="1" customWidth="1"/>
    <col min="2" max="2" width="17.54296875" style="71" bestFit="1" customWidth="1"/>
    <col min="3" max="3" width="17.1796875" style="71" bestFit="1" customWidth="1"/>
    <col min="4" max="4" width="7.36328125" bestFit="1" customWidth="1"/>
    <col min="5" max="5" width="22.1796875" bestFit="1" customWidth="1"/>
    <col min="6" max="6" width="8.453125" bestFit="1" customWidth="1"/>
    <col min="7" max="10" width="5.81640625" customWidth="1"/>
    <col min="12" max="12" width="15.6328125" bestFit="1" customWidth="1"/>
  </cols>
  <sheetData>
    <row r="1" spans="1:12" x14ac:dyDescent="0.35">
      <c r="A1" s="57" t="s">
        <v>325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x14ac:dyDescent="0.35">
      <c r="A2" s="59" t="s">
        <v>1</v>
      </c>
      <c r="B2" s="60" t="s">
        <v>2</v>
      </c>
      <c r="C2" s="60" t="s">
        <v>3</v>
      </c>
      <c r="D2" s="59" t="s">
        <v>4</v>
      </c>
      <c r="E2" s="59" t="s">
        <v>5</v>
      </c>
      <c r="F2" s="61" t="s">
        <v>326</v>
      </c>
      <c r="G2" s="59" t="s">
        <v>327</v>
      </c>
      <c r="H2" s="59" t="s">
        <v>8</v>
      </c>
      <c r="I2" s="59" t="s">
        <v>9</v>
      </c>
      <c r="J2" s="59" t="s">
        <v>10</v>
      </c>
      <c r="K2" s="59" t="s">
        <v>328</v>
      </c>
      <c r="L2" s="58" t="s">
        <v>329</v>
      </c>
    </row>
    <row r="3" spans="1:12" x14ac:dyDescent="0.35">
      <c r="A3" s="67">
        <v>1</v>
      </c>
      <c r="B3" s="37" t="s">
        <v>330</v>
      </c>
      <c r="C3" s="37" t="s">
        <v>205</v>
      </c>
      <c r="D3" s="68">
        <v>186448</v>
      </c>
      <c r="E3" s="67" t="s">
        <v>62</v>
      </c>
      <c r="F3" s="69" t="s">
        <v>331</v>
      </c>
      <c r="G3" s="67">
        <v>1</v>
      </c>
      <c r="H3" s="67">
        <v>7</v>
      </c>
      <c r="I3" s="67">
        <v>7</v>
      </c>
      <c r="J3" s="67">
        <v>2</v>
      </c>
      <c r="K3" s="67">
        <v>17</v>
      </c>
      <c r="L3" s="67" t="s">
        <v>16</v>
      </c>
    </row>
    <row r="4" spans="1:12" x14ac:dyDescent="0.35">
      <c r="A4" s="67">
        <v>2</v>
      </c>
      <c r="B4" s="37" t="s">
        <v>332</v>
      </c>
      <c r="C4" s="37" t="s">
        <v>249</v>
      </c>
      <c r="D4" s="67">
        <v>29403</v>
      </c>
      <c r="E4" s="67" t="s">
        <v>62</v>
      </c>
      <c r="F4" s="69" t="s">
        <v>331</v>
      </c>
      <c r="G4" s="67">
        <v>2</v>
      </c>
      <c r="H4" s="67">
        <v>7</v>
      </c>
      <c r="I4" s="67">
        <v>5</v>
      </c>
      <c r="J4" s="67">
        <v>0</v>
      </c>
      <c r="K4" s="67">
        <v>14</v>
      </c>
      <c r="L4" s="67" t="s">
        <v>20</v>
      </c>
    </row>
    <row r="5" spans="1:12" x14ac:dyDescent="0.35">
      <c r="A5" s="67">
        <v>3</v>
      </c>
      <c r="B5" s="37" t="s">
        <v>333</v>
      </c>
      <c r="C5" s="37" t="s">
        <v>81</v>
      </c>
      <c r="D5" s="67">
        <v>138809</v>
      </c>
      <c r="E5" s="67" t="s">
        <v>19</v>
      </c>
      <c r="F5" s="69" t="s">
        <v>331</v>
      </c>
      <c r="G5" s="67">
        <v>0</v>
      </c>
      <c r="H5" s="67">
        <v>7</v>
      </c>
      <c r="I5" s="67">
        <v>5</v>
      </c>
      <c r="J5" s="67">
        <v>2</v>
      </c>
      <c r="K5" s="67">
        <v>14</v>
      </c>
      <c r="L5" s="67" t="s">
        <v>20</v>
      </c>
    </row>
    <row r="6" spans="1:12" x14ac:dyDescent="0.35">
      <c r="A6" s="67">
        <v>4</v>
      </c>
      <c r="B6" s="37" t="s">
        <v>334</v>
      </c>
      <c r="C6" s="37" t="s">
        <v>121</v>
      </c>
      <c r="D6" s="67">
        <v>40442</v>
      </c>
      <c r="E6" s="67" t="s">
        <v>19</v>
      </c>
      <c r="F6" s="69" t="s">
        <v>331</v>
      </c>
      <c r="G6" s="67">
        <v>7</v>
      </c>
      <c r="H6" s="67">
        <v>0</v>
      </c>
      <c r="I6" s="67">
        <v>0</v>
      </c>
      <c r="J6" s="67">
        <v>6</v>
      </c>
      <c r="K6" s="67">
        <v>13</v>
      </c>
      <c r="L6" s="67" t="s">
        <v>26</v>
      </c>
    </row>
    <row r="7" spans="1:12" x14ac:dyDescent="0.35">
      <c r="A7" s="67">
        <v>5</v>
      </c>
      <c r="B7" s="37" t="s">
        <v>335</v>
      </c>
      <c r="C7" s="37" t="s">
        <v>336</v>
      </c>
      <c r="D7" s="67">
        <v>174853</v>
      </c>
      <c r="E7" s="67" t="s">
        <v>53</v>
      </c>
      <c r="F7" s="69" t="s">
        <v>331</v>
      </c>
      <c r="G7" s="67">
        <v>4</v>
      </c>
      <c r="H7" s="67">
        <v>7</v>
      </c>
      <c r="I7" s="67">
        <v>2</v>
      </c>
      <c r="J7" s="67">
        <v>0</v>
      </c>
      <c r="K7" s="67">
        <v>13</v>
      </c>
      <c r="L7" s="67" t="s">
        <v>26</v>
      </c>
    </row>
    <row r="8" spans="1:12" x14ac:dyDescent="0.35">
      <c r="A8" s="67">
        <v>6</v>
      </c>
      <c r="B8" s="37" t="s">
        <v>337</v>
      </c>
      <c r="C8" s="37" t="s">
        <v>338</v>
      </c>
      <c r="D8" s="67">
        <v>188496</v>
      </c>
      <c r="E8" s="67" t="s">
        <v>148</v>
      </c>
      <c r="F8" s="69" t="s">
        <v>331</v>
      </c>
      <c r="G8" s="67">
        <v>2</v>
      </c>
      <c r="H8" s="67">
        <v>7</v>
      </c>
      <c r="I8" s="67">
        <v>3</v>
      </c>
      <c r="J8" s="67">
        <v>0</v>
      </c>
      <c r="K8" s="67">
        <v>12</v>
      </c>
      <c r="L8" s="67" t="s">
        <v>26</v>
      </c>
    </row>
    <row r="9" spans="1:12" x14ac:dyDescent="0.35">
      <c r="A9" s="62">
        <v>7</v>
      </c>
      <c r="B9" s="36" t="s">
        <v>339</v>
      </c>
      <c r="C9" s="36" t="s">
        <v>340</v>
      </c>
      <c r="D9" s="63">
        <v>72163</v>
      </c>
      <c r="E9" s="63" t="s">
        <v>110</v>
      </c>
      <c r="F9" s="64" t="s">
        <v>331</v>
      </c>
      <c r="G9" s="62">
        <v>2</v>
      </c>
      <c r="H9" s="62">
        <v>7</v>
      </c>
      <c r="I9" s="62">
        <v>0</v>
      </c>
      <c r="J9" s="62">
        <v>0</v>
      </c>
      <c r="K9" s="62">
        <v>9</v>
      </c>
      <c r="L9" s="58" t="s">
        <v>341</v>
      </c>
    </row>
    <row r="10" spans="1:12" x14ac:dyDescent="0.35">
      <c r="A10" s="62">
        <v>8</v>
      </c>
      <c r="B10" s="36" t="s">
        <v>342</v>
      </c>
      <c r="C10" s="36" t="s">
        <v>40</v>
      </c>
      <c r="D10" s="63">
        <v>90977</v>
      </c>
      <c r="E10" s="63" t="s">
        <v>148</v>
      </c>
      <c r="F10" s="64" t="s">
        <v>331</v>
      </c>
      <c r="G10" s="62">
        <v>4</v>
      </c>
      <c r="H10" s="62">
        <v>0</v>
      </c>
      <c r="I10" s="62">
        <v>5</v>
      </c>
      <c r="J10" s="62">
        <v>0</v>
      </c>
      <c r="K10" s="62">
        <v>9</v>
      </c>
      <c r="L10" s="58" t="s">
        <v>341</v>
      </c>
    </row>
    <row r="11" spans="1:12" x14ac:dyDescent="0.35">
      <c r="A11" s="62">
        <v>9</v>
      </c>
      <c r="B11" s="33" t="s">
        <v>343</v>
      </c>
      <c r="C11" s="33" t="s">
        <v>344</v>
      </c>
      <c r="D11" s="62">
        <v>123082</v>
      </c>
      <c r="E11" s="62" t="s">
        <v>178</v>
      </c>
      <c r="F11" s="64" t="s">
        <v>331</v>
      </c>
      <c r="G11" s="62">
        <v>2</v>
      </c>
      <c r="H11" s="62">
        <v>7</v>
      </c>
      <c r="I11" s="62">
        <v>0</v>
      </c>
      <c r="J11" s="62">
        <v>0</v>
      </c>
      <c r="K11" s="62">
        <v>9</v>
      </c>
      <c r="L11" s="58" t="s">
        <v>341</v>
      </c>
    </row>
    <row r="12" spans="1:12" x14ac:dyDescent="0.35">
      <c r="A12" s="62">
        <v>10</v>
      </c>
      <c r="B12" s="33" t="s">
        <v>345</v>
      </c>
      <c r="C12" s="33" t="s">
        <v>346</v>
      </c>
      <c r="D12" s="62">
        <v>21073</v>
      </c>
      <c r="E12" s="62" t="s">
        <v>19</v>
      </c>
      <c r="F12" s="64" t="s">
        <v>331</v>
      </c>
      <c r="G12" s="62">
        <v>4</v>
      </c>
      <c r="H12" s="62">
        <v>0</v>
      </c>
      <c r="I12" s="62">
        <v>5</v>
      </c>
      <c r="J12" s="62">
        <v>0</v>
      </c>
      <c r="K12" s="62">
        <v>9</v>
      </c>
      <c r="L12" s="58" t="s">
        <v>341</v>
      </c>
    </row>
    <row r="13" spans="1:12" x14ac:dyDescent="0.35">
      <c r="A13" s="62">
        <v>11</v>
      </c>
      <c r="B13" s="33" t="s">
        <v>347</v>
      </c>
      <c r="C13" s="33" t="s">
        <v>348</v>
      </c>
      <c r="D13" s="62">
        <v>26275</v>
      </c>
      <c r="E13" s="62" t="s">
        <v>148</v>
      </c>
      <c r="F13" s="64" t="s">
        <v>331</v>
      </c>
      <c r="G13" s="62">
        <v>2</v>
      </c>
      <c r="H13" s="62">
        <v>7</v>
      </c>
      <c r="I13" s="62">
        <v>0</v>
      </c>
      <c r="J13" s="62">
        <v>0</v>
      </c>
      <c r="K13" s="62">
        <v>9</v>
      </c>
      <c r="L13" s="58" t="s">
        <v>341</v>
      </c>
    </row>
    <row r="14" spans="1:12" x14ac:dyDescent="0.35">
      <c r="A14" s="62">
        <v>12</v>
      </c>
      <c r="B14" s="33" t="s">
        <v>349</v>
      </c>
      <c r="C14" s="33" t="s">
        <v>350</v>
      </c>
      <c r="D14" s="62">
        <v>127905</v>
      </c>
      <c r="E14" s="62" t="s">
        <v>169</v>
      </c>
      <c r="F14" s="64" t="s">
        <v>331</v>
      </c>
      <c r="G14" s="62">
        <v>2</v>
      </c>
      <c r="H14" s="62">
        <v>7</v>
      </c>
      <c r="I14" s="62">
        <v>0</v>
      </c>
      <c r="J14" s="62">
        <v>0</v>
      </c>
      <c r="K14" s="62">
        <v>9</v>
      </c>
      <c r="L14" s="58" t="s">
        <v>341</v>
      </c>
    </row>
    <row r="15" spans="1:12" x14ac:dyDescent="0.35">
      <c r="A15" s="62">
        <v>13</v>
      </c>
      <c r="B15" s="33" t="s">
        <v>351</v>
      </c>
      <c r="C15" s="33" t="s">
        <v>352</v>
      </c>
      <c r="D15" s="62">
        <v>48802</v>
      </c>
      <c r="E15" s="62" t="s">
        <v>53</v>
      </c>
      <c r="F15" s="64" t="s">
        <v>331</v>
      </c>
      <c r="G15" s="62">
        <v>0</v>
      </c>
      <c r="H15" s="62">
        <v>1</v>
      </c>
      <c r="I15" s="62">
        <v>6</v>
      </c>
      <c r="J15" s="62">
        <v>2</v>
      </c>
      <c r="K15" s="62">
        <v>9</v>
      </c>
      <c r="L15" s="58" t="s">
        <v>341</v>
      </c>
    </row>
    <row r="16" spans="1:12" x14ac:dyDescent="0.35">
      <c r="A16" s="62">
        <v>14</v>
      </c>
      <c r="B16" s="33" t="s">
        <v>353</v>
      </c>
      <c r="C16" s="33" t="s">
        <v>354</v>
      </c>
      <c r="D16" s="62">
        <v>143447</v>
      </c>
      <c r="E16" s="62" t="s">
        <v>133</v>
      </c>
      <c r="F16" s="64" t="s">
        <v>331</v>
      </c>
      <c r="G16" s="62">
        <v>2</v>
      </c>
      <c r="H16" s="62">
        <v>6</v>
      </c>
      <c r="I16" s="62">
        <v>0</v>
      </c>
      <c r="J16" s="62">
        <v>0</v>
      </c>
      <c r="K16" s="62">
        <v>8</v>
      </c>
      <c r="L16" s="58" t="s">
        <v>341</v>
      </c>
    </row>
    <row r="17" spans="1:12" x14ac:dyDescent="0.35">
      <c r="A17" s="62">
        <v>15</v>
      </c>
      <c r="B17" s="36" t="s">
        <v>333</v>
      </c>
      <c r="C17" s="36" t="s">
        <v>119</v>
      </c>
      <c r="D17" s="63">
        <v>150458</v>
      </c>
      <c r="E17" s="63" t="s">
        <v>65</v>
      </c>
      <c r="F17" s="64" t="s">
        <v>331</v>
      </c>
      <c r="G17" s="62">
        <v>0</v>
      </c>
      <c r="H17" s="62">
        <v>7</v>
      </c>
      <c r="I17" s="62">
        <v>0</v>
      </c>
      <c r="J17" s="62">
        <v>1</v>
      </c>
      <c r="K17" s="62">
        <v>8</v>
      </c>
      <c r="L17" s="58" t="s">
        <v>341</v>
      </c>
    </row>
    <row r="18" spans="1:12" x14ac:dyDescent="0.35">
      <c r="A18" s="62">
        <v>16</v>
      </c>
      <c r="B18" s="33" t="s">
        <v>355</v>
      </c>
      <c r="C18" s="33" t="s">
        <v>356</v>
      </c>
      <c r="D18" s="63">
        <v>188673</v>
      </c>
      <c r="E18" s="62" t="s">
        <v>148</v>
      </c>
      <c r="F18" s="64" t="s">
        <v>331</v>
      </c>
      <c r="G18" s="62">
        <v>3</v>
      </c>
      <c r="H18" s="62">
        <v>0</v>
      </c>
      <c r="I18" s="62">
        <v>5</v>
      </c>
      <c r="J18" s="62">
        <v>0</v>
      </c>
      <c r="K18" s="62">
        <v>8</v>
      </c>
      <c r="L18" s="58" t="s">
        <v>341</v>
      </c>
    </row>
    <row r="19" spans="1:12" x14ac:dyDescent="0.35">
      <c r="A19" s="62">
        <v>17</v>
      </c>
      <c r="B19" s="36" t="s">
        <v>357</v>
      </c>
      <c r="C19" s="36" t="s">
        <v>36</v>
      </c>
      <c r="D19" s="63">
        <v>78318</v>
      </c>
      <c r="E19" s="63" t="s">
        <v>100</v>
      </c>
      <c r="F19" s="64" t="s">
        <v>331</v>
      </c>
      <c r="G19" s="62">
        <v>0</v>
      </c>
      <c r="H19" s="62">
        <v>7</v>
      </c>
      <c r="I19" s="62">
        <v>1</v>
      </c>
      <c r="J19" s="62">
        <v>0</v>
      </c>
      <c r="K19" s="62">
        <v>8</v>
      </c>
      <c r="L19" s="58" t="s">
        <v>341</v>
      </c>
    </row>
    <row r="20" spans="1:12" x14ac:dyDescent="0.35">
      <c r="A20" s="62">
        <v>18</v>
      </c>
      <c r="B20" s="36" t="s">
        <v>153</v>
      </c>
      <c r="C20" s="36" t="s">
        <v>358</v>
      </c>
      <c r="D20" s="63">
        <v>109088</v>
      </c>
      <c r="E20" s="63" t="s">
        <v>175</v>
      </c>
      <c r="F20" s="64" t="s">
        <v>331</v>
      </c>
      <c r="G20" s="62">
        <v>0</v>
      </c>
      <c r="H20" s="62">
        <v>7</v>
      </c>
      <c r="I20" s="62">
        <v>0</v>
      </c>
      <c r="J20" s="62">
        <v>0</v>
      </c>
      <c r="K20" s="62">
        <v>7</v>
      </c>
      <c r="L20" s="58"/>
    </row>
    <row r="21" spans="1:12" x14ac:dyDescent="0.35">
      <c r="A21" s="62">
        <v>19</v>
      </c>
      <c r="B21" s="36" t="s">
        <v>359</v>
      </c>
      <c r="C21" s="36" t="s">
        <v>360</v>
      </c>
      <c r="D21" s="63">
        <v>134566</v>
      </c>
      <c r="E21" s="63" t="s">
        <v>53</v>
      </c>
      <c r="F21" s="64" t="s">
        <v>331</v>
      </c>
      <c r="G21" s="62">
        <v>0</v>
      </c>
      <c r="H21" s="62">
        <v>0</v>
      </c>
      <c r="I21" s="62">
        <v>5</v>
      </c>
      <c r="J21" s="62">
        <v>2</v>
      </c>
      <c r="K21" s="62">
        <v>7</v>
      </c>
      <c r="L21" s="58"/>
    </row>
    <row r="22" spans="1:12" x14ac:dyDescent="0.35">
      <c r="A22" s="62">
        <v>20</v>
      </c>
      <c r="B22" s="33" t="s">
        <v>361</v>
      </c>
      <c r="C22" s="33" t="s">
        <v>362</v>
      </c>
      <c r="D22" s="62">
        <v>160162</v>
      </c>
      <c r="E22" s="62" t="s">
        <v>279</v>
      </c>
      <c r="F22" s="64" t="s">
        <v>331</v>
      </c>
      <c r="G22" s="62">
        <v>0</v>
      </c>
      <c r="H22" s="62">
        <v>7</v>
      </c>
      <c r="I22" s="62">
        <v>0</v>
      </c>
      <c r="J22" s="62">
        <v>0</v>
      </c>
      <c r="K22" s="62">
        <v>7</v>
      </c>
      <c r="L22" s="58"/>
    </row>
    <row r="23" spans="1:12" x14ac:dyDescent="0.35">
      <c r="A23" s="62">
        <v>21</v>
      </c>
      <c r="B23" s="33" t="s">
        <v>363</v>
      </c>
      <c r="C23" s="33" t="s">
        <v>364</v>
      </c>
      <c r="D23" s="62">
        <v>174790</v>
      </c>
      <c r="E23" s="62" t="s">
        <v>53</v>
      </c>
      <c r="F23" s="64" t="s">
        <v>331</v>
      </c>
      <c r="G23" s="62">
        <v>0</v>
      </c>
      <c r="H23" s="62">
        <v>0</v>
      </c>
      <c r="I23" s="62">
        <v>7</v>
      </c>
      <c r="J23" s="62">
        <v>0</v>
      </c>
      <c r="K23" s="62">
        <v>7</v>
      </c>
      <c r="L23" s="58"/>
    </row>
    <row r="24" spans="1:12" x14ac:dyDescent="0.35">
      <c r="A24" s="62">
        <v>22</v>
      </c>
      <c r="B24" s="33" t="s">
        <v>365</v>
      </c>
      <c r="C24" s="33" t="s">
        <v>366</v>
      </c>
      <c r="D24" s="62">
        <v>83366</v>
      </c>
      <c r="E24" s="62" t="s">
        <v>110</v>
      </c>
      <c r="F24" s="64" t="s">
        <v>331</v>
      </c>
      <c r="G24" s="62">
        <v>0</v>
      </c>
      <c r="H24" s="62">
        <v>7</v>
      </c>
      <c r="I24" s="62">
        <v>0</v>
      </c>
      <c r="J24" s="62">
        <v>0</v>
      </c>
      <c r="K24" s="62">
        <v>7</v>
      </c>
      <c r="L24" s="58"/>
    </row>
    <row r="25" spans="1:12" x14ac:dyDescent="0.35">
      <c r="A25" s="62">
        <v>23</v>
      </c>
      <c r="B25" s="33" t="s">
        <v>367</v>
      </c>
      <c r="C25" s="33" t="s">
        <v>368</v>
      </c>
      <c r="D25" s="62">
        <v>156295</v>
      </c>
      <c r="E25" s="62" t="s">
        <v>50</v>
      </c>
      <c r="F25" s="64" t="s">
        <v>331</v>
      </c>
      <c r="G25" s="62">
        <v>0</v>
      </c>
      <c r="H25" s="62">
        <v>7</v>
      </c>
      <c r="I25" s="62">
        <v>0</v>
      </c>
      <c r="J25" s="62">
        <v>0</v>
      </c>
      <c r="K25" s="62">
        <v>7</v>
      </c>
      <c r="L25" s="58"/>
    </row>
    <row r="26" spans="1:12" x14ac:dyDescent="0.35">
      <c r="A26" s="62">
        <v>24</v>
      </c>
      <c r="B26" s="33" t="s">
        <v>369</v>
      </c>
      <c r="C26" s="33" t="s">
        <v>258</v>
      </c>
      <c r="D26" s="62">
        <v>128242</v>
      </c>
      <c r="E26" s="62" t="s">
        <v>115</v>
      </c>
      <c r="F26" s="64" t="s">
        <v>331</v>
      </c>
      <c r="G26" s="62">
        <v>2</v>
      </c>
      <c r="H26" s="62">
        <v>0</v>
      </c>
      <c r="I26" s="62">
        <v>5</v>
      </c>
      <c r="J26" s="62">
        <v>0</v>
      </c>
      <c r="K26" s="62">
        <v>7</v>
      </c>
      <c r="L26" s="58"/>
    </row>
    <row r="27" spans="1:12" x14ac:dyDescent="0.35">
      <c r="A27" s="62">
        <v>25</v>
      </c>
      <c r="B27" s="33" t="s">
        <v>321</v>
      </c>
      <c r="C27" s="33" t="s">
        <v>370</v>
      </c>
      <c r="D27" s="62">
        <v>180336</v>
      </c>
      <c r="E27" s="62" t="s">
        <v>371</v>
      </c>
      <c r="F27" s="64" t="s">
        <v>331</v>
      </c>
      <c r="G27" s="62">
        <v>0</v>
      </c>
      <c r="H27" s="62">
        <v>7</v>
      </c>
      <c r="I27" s="62">
        <v>0</v>
      </c>
      <c r="J27" s="62">
        <v>0</v>
      </c>
      <c r="K27" s="62">
        <v>7</v>
      </c>
      <c r="L27" s="58"/>
    </row>
    <row r="28" spans="1:12" x14ac:dyDescent="0.35">
      <c r="A28" s="62">
        <v>26</v>
      </c>
      <c r="B28" s="33" t="s">
        <v>372</v>
      </c>
      <c r="C28" s="33" t="s">
        <v>373</v>
      </c>
      <c r="D28" s="62">
        <v>112587</v>
      </c>
      <c r="E28" s="62" t="s">
        <v>62</v>
      </c>
      <c r="F28" s="64" t="s">
        <v>331</v>
      </c>
      <c r="G28" s="62">
        <v>2</v>
      </c>
      <c r="H28" s="62">
        <v>0</v>
      </c>
      <c r="I28" s="62">
        <v>5</v>
      </c>
      <c r="J28" s="62">
        <v>0</v>
      </c>
      <c r="K28" s="62">
        <v>7</v>
      </c>
      <c r="L28" s="58"/>
    </row>
    <row r="29" spans="1:12" x14ac:dyDescent="0.35">
      <c r="A29" s="62">
        <v>27</v>
      </c>
      <c r="B29" s="33" t="s">
        <v>374</v>
      </c>
      <c r="C29" s="33" t="s">
        <v>375</v>
      </c>
      <c r="D29" s="62">
        <v>216191</v>
      </c>
      <c r="E29" s="62" t="s">
        <v>88</v>
      </c>
      <c r="F29" s="64" t="s">
        <v>331</v>
      </c>
      <c r="G29" s="62">
        <v>0</v>
      </c>
      <c r="H29" s="62">
        <v>7</v>
      </c>
      <c r="I29" s="62">
        <v>0</v>
      </c>
      <c r="J29" s="62">
        <v>0</v>
      </c>
      <c r="K29" s="62">
        <v>7</v>
      </c>
      <c r="L29" s="58"/>
    </row>
    <row r="30" spans="1:12" x14ac:dyDescent="0.35">
      <c r="A30" s="62">
        <v>28</v>
      </c>
      <c r="B30" s="33" t="s">
        <v>376</v>
      </c>
      <c r="C30" s="33" t="s">
        <v>377</v>
      </c>
      <c r="D30" s="62">
        <v>120019</v>
      </c>
      <c r="E30" s="62" t="s">
        <v>120</v>
      </c>
      <c r="F30" s="64" t="s">
        <v>331</v>
      </c>
      <c r="G30" s="62">
        <v>0</v>
      </c>
      <c r="H30" s="62">
        <v>7</v>
      </c>
      <c r="I30" s="62">
        <v>0</v>
      </c>
      <c r="J30" s="62">
        <v>0</v>
      </c>
      <c r="K30" s="62">
        <v>7</v>
      </c>
      <c r="L30" s="58"/>
    </row>
    <row r="31" spans="1:12" x14ac:dyDescent="0.35">
      <c r="A31" s="62">
        <v>29</v>
      </c>
      <c r="B31" s="33" t="s">
        <v>378</v>
      </c>
      <c r="C31" s="33" t="s">
        <v>379</v>
      </c>
      <c r="D31" s="62">
        <v>155088</v>
      </c>
      <c r="E31" s="62" t="s">
        <v>181</v>
      </c>
      <c r="F31" s="64" t="s">
        <v>331</v>
      </c>
      <c r="G31" s="62">
        <v>0</v>
      </c>
      <c r="H31" s="62">
        <v>7</v>
      </c>
      <c r="I31" s="62">
        <v>0</v>
      </c>
      <c r="J31" s="62">
        <v>0</v>
      </c>
      <c r="K31" s="62">
        <v>7</v>
      </c>
      <c r="L31" s="58"/>
    </row>
    <row r="32" spans="1:12" x14ac:dyDescent="0.35">
      <c r="A32" s="62">
        <v>30</v>
      </c>
      <c r="B32" s="33" t="s">
        <v>380</v>
      </c>
      <c r="C32" s="33" t="s">
        <v>381</v>
      </c>
      <c r="D32" s="63">
        <v>53120</v>
      </c>
      <c r="E32" s="62">
        <v>44</v>
      </c>
      <c r="F32" s="64" t="s">
        <v>331</v>
      </c>
      <c r="G32" s="62">
        <v>0</v>
      </c>
      <c r="H32" s="62">
        <v>7</v>
      </c>
      <c r="I32" s="62">
        <v>0</v>
      </c>
      <c r="J32" s="62">
        <v>0</v>
      </c>
      <c r="K32" s="62">
        <v>7</v>
      </c>
      <c r="L32" s="58"/>
    </row>
    <row r="33" spans="1:12" x14ac:dyDescent="0.35">
      <c r="A33" s="62">
        <v>31</v>
      </c>
      <c r="B33" s="33" t="s">
        <v>382</v>
      </c>
      <c r="C33" s="33" t="s">
        <v>383</v>
      </c>
      <c r="D33" s="63">
        <v>75710</v>
      </c>
      <c r="E33" s="62">
        <v>92</v>
      </c>
      <c r="F33" s="64" t="s">
        <v>331</v>
      </c>
      <c r="G33" s="62">
        <v>0</v>
      </c>
      <c r="H33" s="62">
        <v>7</v>
      </c>
      <c r="I33" s="62">
        <v>0</v>
      </c>
      <c r="J33" s="62">
        <v>0</v>
      </c>
      <c r="K33" s="62">
        <v>7</v>
      </c>
      <c r="L33" s="58"/>
    </row>
    <row r="34" spans="1:12" x14ac:dyDescent="0.35">
      <c r="A34" s="62">
        <v>32</v>
      </c>
      <c r="B34" s="33" t="s">
        <v>384</v>
      </c>
      <c r="C34" s="33" t="s">
        <v>385</v>
      </c>
      <c r="D34" s="62">
        <v>32133</v>
      </c>
      <c r="E34" s="62" t="s">
        <v>100</v>
      </c>
      <c r="F34" s="64" t="s">
        <v>331</v>
      </c>
      <c r="G34" s="62">
        <v>0</v>
      </c>
      <c r="H34" s="62">
        <v>0</v>
      </c>
      <c r="I34" s="62">
        <v>3</v>
      </c>
      <c r="J34" s="62">
        <v>3</v>
      </c>
      <c r="K34" s="62">
        <v>6</v>
      </c>
      <c r="L34" s="58"/>
    </row>
    <row r="35" spans="1:12" x14ac:dyDescent="0.35">
      <c r="A35" s="62">
        <v>33</v>
      </c>
      <c r="B35" s="33" t="s">
        <v>386</v>
      </c>
      <c r="C35" s="33" t="s">
        <v>303</v>
      </c>
      <c r="D35" s="62">
        <v>34035</v>
      </c>
      <c r="E35" s="62" t="s">
        <v>110</v>
      </c>
      <c r="F35" s="64" t="s">
        <v>331</v>
      </c>
      <c r="G35" s="62">
        <v>0</v>
      </c>
      <c r="H35" s="62">
        <v>6</v>
      </c>
      <c r="I35" s="62">
        <v>0</v>
      </c>
      <c r="J35" s="62">
        <v>0</v>
      </c>
      <c r="K35" s="62">
        <v>6</v>
      </c>
      <c r="L35" s="58"/>
    </row>
    <row r="36" spans="1:12" x14ac:dyDescent="0.35">
      <c r="A36" s="62">
        <v>34</v>
      </c>
      <c r="B36" s="36" t="s">
        <v>256</v>
      </c>
      <c r="C36" s="36" t="s">
        <v>387</v>
      </c>
      <c r="D36" s="63">
        <v>187308</v>
      </c>
      <c r="E36" s="63" t="s">
        <v>15</v>
      </c>
      <c r="F36" s="64" t="s">
        <v>331</v>
      </c>
      <c r="G36" s="62">
        <v>0</v>
      </c>
      <c r="H36" s="62">
        <v>0</v>
      </c>
      <c r="I36" s="62">
        <v>5</v>
      </c>
      <c r="J36" s="62">
        <v>0</v>
      </c>
      <c r="K36" s="62">
        <v>5</v>
      </c>
      <c r="L36" s="58"/>
    </row>
    <row r="37" spans="1:12" x14ac:dyDescent="0.35">
      <c r="A37" s="62">
        <v>35</v>
      </c>
      <c r="B37" s="33" t="s">
        <v>129</v>
      </c>
      <c r="C37" s="33" t="s">
        <v>388</v>
      </c>
      <c r="D37" s="62">
        <v>90998</v>
      </c>
      <c r="E37" s="62" t="s">
        <v>389</v>
      </c>
      <c r="F37" s="64" t="s">
        <v>331</v>
      </c>
      <c r="G37" s="62">
        <v>0</v>
      </c>
      <c r="H37" s="62">
        <v>0</v>
      </c>
      <c r="I37" s="62">
        <v>5</v>
      </c>
      <c r="J37" s="62">
        <v>0</v>
      </c>
      <c r="K37" s="62">
        <v>5</v>
      </c>
      <c r="L37" s="58"/>
    </row>
    <row r="38" spans="1:12" x14ac:dyDescent="0.35">
      <c r="A38" s="62">
        <v>36</v>
      </c>
      <c r="B38" s="33" t="s">
        <v>390</v>
      </c>
      <c r="C38" s="33" t="s">
        <v>220</v>
      </c>
      <c r="D38" s="62">
        <v>188460</v>
      </c>
      <c r="E38" s="62" t="s">
        <v>62</v>
      </c>
      <c r="F38" s="64" t="s">
        <v>331</v>
      </c>
      <c r="G38" s="62">
        <v>0</v>
      </c>
      <c r="H38" s="62">
        <v>0</v>
      </c>
      <c r="I38" s="62">
        <v>5</v>
      </c>
      <c r="J38" s="62">
        <v>0</v>
      </c>
      <c r="K38" s="62">
        <v>5</v>
      </c>
      <c r="L38" s="58"/>
    </row>
    <row r="39" spans="1:12" x14ac:dyDescent="0.35">
      <c r="A39" s="62">
        <v>37</v>
      </c>
      <c r="B39" s="33" t="s">
        <v>391</v>
      </c>
      <c r="C39" s="33" t="s">
        <v>392</v>
      </c>
      <c r="D39" s="62">
        <v>203425</v>
      </c>
      <c r="E39" s="62">
        <v>21</v>
      </c>
      <c r="F39" s="64" t="s">
        <v>331</v>
      </c>
      <c r="G39" s="62">
        <v>0</v>
      </c>
      <c r="H39" s="62">
        <v>5</v>
      </c>
      <c r="I39" s="62">
        <v>0</v>
      </c>
      <c r="J39" s="62">
        <v>0</v>
      </c>
      <c r="K39" s="62">
        <v>5</v>
      </c>
      <c r="L39" s="58"/>
    </row>
    <row r="40" spans="1:12" x14ac:dyDescent="0.35">
      <c r="A40" s="62">
        <v>38</v>
      </c>
      <c r="B40" s="33" t="s">
        <v>393</v>
      </c>
      <c r="C40" s="33" t="s">
        <v>394</v>
      </c>
      <c r="D40" s="62">
        <v>174848</v>
      </c>
      <c r="E40" s="62" t="s">
        <v>53</v>
      </c>
      <c r="F40" s="64" t="s">
        <v>331</v>
      </c>
      <c r="G40" s="62">
        <v>0</v>
      </c>
      <c r="H40" s="62">
        <v>0</v>
      </c>
      <c r="I40" s="62">
        <v>5</v>
      </c>
      <c r="J40" s="62">
        <v>0</v>
      </c>
      <c r="K40" s="62">
        <v>5</v>
      </c>
      <c r="L40" s="58"/>
    </row>
    <row r="41" spans="1:12" x14ac:dyDescent="0.35">
      <c r="A41" s="62">
        <v>39</v>
      </c>
      <c r="B41" s="33" t="s">
        <v>395</v>
      </c>
      <c r="C41" s="33" t="s">
        <v>396</v>
      </c>
      <c r="D41" s="62">
        <v>81622</v>
      </c>
      <c r="E41" s="62" t="s">
        <v>85</v>
      </c>
      <c r="F41" s="64" t="s">
        <v>331</v>
      </c>
      <c r="G41" s="62">
        <v>4</v>
      </c>
      <c r="H41" s="62">
        <v>0</v>
      </c>
      <c r="I41" s="62">
        <v>0</v>
      </c>
      <c r="J41" s="62">
        <v>0</v>
      </c>
      <c r="K41" s="62">
        <v>4</v>
      </c>
      <c r="L41" s="58"/>
    </row>
    <row r="42" spans="1:12" x14ac:dyDescent="0.35">
      <c r="A42" s="62">
        <v>40</v>
      </c>
      <c r="B42" s="33" t="s">
        <v>397</v>
      </c>
      <c r="C42" s="33" t="s">
        <v>398</v>
      </c>
      <c r="D42" s="62">
        <v>113657</v>
      </c>
      <c r="E42" s="62" t="s">
        <v>399</v>
      </c>
      <c r="F42" s="64" t="s">
        <v>331</v>
      </c>
      <c r="G42" s="62">
        <v>4</v>
      </c>
      <c r="H42" s="62">
        <v>0</v>
      </c>
      <c r="I42" s="62">
        <v>0</v>
      </c>
      <c r="J42" s="62">
        <v>0</v>
      </c>
      <c r="K42" s="62">
        <v>4</v>
      </c>
      <c r="L42" s="58"/>
    </row>
    <row r="43" spans="1:12" x14ac:dyDescent="0.35">
      <c r="A43" s="62">
        <v>41</v>
      </c>
      <c r="B43" s="33" t="s">
        <v>400</v>
      </c>
      <c r="C43" s="33" t="s">
        <v>247</v>
      </c>
      <c r="D43" s="62">
        <v>83625</v>
      </c>
      <c r="E43" s="62" t="s">
        <v>162</v>
      </c>
      <c r="F43" s="64" t="s">
        <v>331</v>
      </c>
      <c r="G43" s="62">
        <v>4</v>
      </c>
      <c r="H43" s="62">
        <v>0</v>
      </c>
      <c r="I43" s="62">
        <v>0</v>
      </c>
      <c r="J43" s="62">
        <v>0</v>
      </c>
      <c r="K43" s="62">
        <v>4</v>
      </c>
      <c r="L43" s="58"/>
    </row>
    <row r="44" spans="1:12" x14ac:dyDescent="0.35">
      <c r="A44" s="62">
        <v>42</v>
      </c>
      <c r="B44" s="33" t="s">
        <v>401</v>
      </c>
      <c r="C44" s="33" t="s">
        <v>402</v>
      </c>
      <c r="D44" s="62"/>
      <c r="E44" s="62" t="s">
        <v>45</v>
      </c>
      <c r="F44" s="64" t="s">
        <v>331</v>
      </c>
      <c r="G44" s="62">
        <v>3</v>
      </c>
      <c r="H44" s="62">
        <v>0</v>
      </c>
      <c r="I44" s="62">
        <v>0</v>
      </c>
      <c r="J44" s="62">
        <v>0</v>
      </c>
      <c r="K44" s="62">
        <v>3</v>
      </c>
      <c r="L44" s="58"/>
    </row>
    <row r="45" spans="1:12" x14ac:dyDescent="0.35">
      <c r="A45" s="62">
        <v>43</v>
      </c>
      <c r="B45" s="33" t="s">
        <v>353</v>
      </c>
      <c r="C45" s="33" t="s">
        <v>403</v>
      </c>
      <c r="D45" s="62">
        <v>226076</v>
      </c>
      <c r="E45" s="62" t="s">
        <v>404</v>
      </c>
      <c r="F45" s="64" t="s">
        <v>331</v>
      </c>
      <c r="G45" s="62">
        <v>2</v>
      </c>
      <c r="H45" s="62">
        <v>0</v>
      </c>
      <c r="I45" s="62">
        <v>0</v>
      </c>
      <c r="J45" s="62">
        <v>1</v>
      </c>
      <c r="K45" s="62">
        <v>3</v>
      </c>
      <c r="L45" s="58"/>
    </row>
    <row r="46" spans="1:12" x14ac:dyDescent="0.35">
      <c r="A46" s="62">
        <v>44</v>
      </c>
      <c r="B46" s="33" t="s">
        <v>405</v>
      </c>
      <c r="C46" s="33" t="s">
        <v>406</v>
      </c>
      <c r="D46" s="62">
        <v>82569</v>
      </c>
      <c r="E46" s="62" t="s">
        <v>110</v>
      </c>
      <c r="F46" s="64" t="s">
        <v>331</v>
      </c>
      <c r="G46" s="62">
        <v>1</v>
      </c>
      <c r="H46" s="62">
        <v>0</v>
      </c>
      <c r="I46" s="62">
        <v>0</v>
      </c>
      <c r="J46" s="62">
        <v>2</v>
      </c>
      <c r="K46" s="62">
        <v>3</v>
      </c>
      <c r="L46" s="58"/>
    </row>
    <row r="47" spans="1:12" x14ac:dyDescent="0.35">
      <c r="A47" s="62">
        <v>45</v>
      </c>
      <c r="B47" s="33" t="s">
        <v>407</v>
      </c>
      <c r="C47" s="33" t="s">
        <v>408</v>
      </c>
      <c r="D47" s="62">
        <v>90981</v>
      </c>
      <c r="E47" s="62" t="s">
        <v>148</v>
      </c>
      <c r="F47" s="64" t="s">
        <v>331</v>
      </c>
      <c r="G47" s="62">
        <v>3</v>
      </c>
      <c r="H47" s="62">
        <v>0</v>
      </c>
      <c r="I47" s="62">
        <v>0</v>
      </c>
      <c r="J47" s="62">
        <v>0</v>
      </c>
      <c r="K47" s="62">
        <v>3</v>
      </c>
      <c r="L47" s="58"/>
    </row>
    <row r="48" spans="1:12" x14ac:dyDescent="0.35">
      <c r="A48" s="62">
        <v>46</v>
      </c>
      <c r="B48" s="33" t="s">
        <v>409</v>
      </c>
      <c r="C48" s="33" t="s">
        <v>410</v>
      </c>
      <c r="D48" s="62">
        <v>84244</v>
      </c>
      <c r="E48" s="62" t="s">
        <v>110</v>
      </c>
      <c r="F48" s="64" t="s">
        <v>331</v>
      </c>
      <c r="G48" s="62">
        <v>0</v>
      </c>
      <c r="H48" s="62">
        <v>0</v>
      </c>
      <c r="I48" s="62">
        <v>0</v>
      </c>
      <c r="J48" s="62">
        <v>2</v>
      </c>
      <c r="K48" s="62">
        <v>2</v>
      </c>
      <c r="L48" s="58"/>
    </row>
    <row r="49" spans="1:12" x14ac:dyDescent="0.35">
      <c r="A49" s="62">
        <v>47</v>
      </c>
      <c r="B49" s="33" t="s">
        <v>411</v>
      </c>
      <c r="C49" s="33" t="s">
        <v>412</v>
      </c>
      <c r="D49" s="62">
        <v>218672</v>
      </c>
      <c r="E49" s="62" t="s">
        <v>110</v>
      </c>
      <c r="F49" s="64" t="s">
        <v>331</v>
      </c>
      <c r="G49" s="62">
        <v>2</v>
      </c>
      <c r="H49" s="62">
        <v>0</v>
      </c>
      <c r="I49" s="62">
        <v>0</v>
      </c>
      <c r="J49" s="62">
        <v>0</v>
      </c>
      <c r="K49" s="62">
        <v>2</v>
      </c>
      <c r="L49" s="58"/>
    </row>
    <row r="50" spans="1:12" x14ac:dyDescent="0.35">
      <c r="A50" s="62">
        <v>48</v>
      </c>
      <c r="B50" s="33" t="s">
        <v>413</v>
      </c>
      <c r="C50" s="33" t="s">
        <v>414</v>
      </c>
      <c r="D50" s="62">
        <v>68093</v>
      </c>
      <c r="E50" s="62" t="s">
        <v>110</v>
      </c>
      <c r="F50" s="64" t="s">
        <v>331</v>
      </c>
      <c r="G50" s="62">
        <v>2</v>
      </c>
      <c r="H50" s="62">
        <v>0</v>
      </c>
      <c r="I50" s="62">
        <v>0</v>
      </c>
      <c r="J50" s="62">
        <v>0</v>
      </c>
      <c r="K50" s="62">
        <v>2</v>
      </c>
      <c r="L50" s="58"/>
    </row>
    <row r="51" spans="1:12" x14ac:dyDescent="0.35">
      <c r="A51" s="62">
        <v>49</v>
      </c>
      <c r="B51" s="33" t="s">
        <v>415</v>
      </c>
      <c r="C51" s="33" t="s">
        <v>416</v>
      </c>
      <c r="D51" s="62"/>
      <c r="E51" s="62" t="s">
        <v>417</v>
      </c>
      <c r="F51" s="64" t="s">
        <v>331</v>
      </c>
      <c r="G51" s="62">
        <v>0</v>
      </c>
      <c r="H51" s="62">
        <v>0</v>
      </c>
      <c r="I51" s="62">
        <v>0</v>
      </c>
      <c r="J51" s="62">
        <v>2</v>
      </c>
      <c r="K51" s="62">
        <v>2</v>
      </c>
      <c r="L51" s="58"/>
    </row>
    <row r="52" spans="1:12" x14ac:dyDescent="0.35">
      <c r="A52" s="62">
        <v>50</v>
      </c>
      <c r="B52" s="33" t="s">
        <v>418</v>
      </c>
      <c r="C52" s="33" t="s">
        <v>419</v>
      </c>
      <c r="D52" s="62">
        <v>83654</v>
      </c>
      <c r="E52" s="62" t="s">
        <v>110</v>
      </c>
      <c r="F52" s="64" t="s">
        <v>331</v>
      </c>
      <c r="G52" s="62">
        <v>2</v>
      </c>
      <c r="H52" s="62">
        <v>0</v>
      </c>
      <c r="I52" s="62">
        <v>0</v>
      </c>
      <c r="J52" s="62">
        <v>0</v>
      </c>
      <c r="K52" s="62">
        <v>2</v>
      </c>
      <c r="L52" s="58"/>
    </row>
    <row r="53" spans="1:12" x14ac:dyDescent="0.35">
      <c r="A53" s="62">
        <v>51</v>
      </c>
      <c r="B53" s="33" t="s">
        <v>420</v>
      </c>
      <c r="C53" s="33" t="s">
        <v>421</v>
      </c>
      <c r="D53" s="62">
        <v>123926</v>
      </c>
      <c r="E53" s="62">
        <v>133</v>
      </c>
      <c r="F53" s="64" t="s">
        <v>331</v>
      </c>
      <c r="G53" s="62">
        <v>0</v>
      </c>
      <c r="H53" s="62">
        <v>0</v>
      </c>
      <c r="I53" s="62">
        <v>0</v>
      </c>
      <c r="J53" s="62">
        <v>2</v>
      </c>
      <c r="K53" s="62">
        <v>2</v>
      </c>
      <c r="L53" s="58"/>
    </row>
    <row r="54" spans="1:12" x14ac:dyDescent="0.35">
      <c r="A54" s="62">
        <v>52</v>
      </c>
      <c r="B54" s="36" t="s">
        <v>422</v>
      </c>
      <c r="C54" s="36" t="s">
        <v>232</v>
      </c>
      <c r="D54" s="63">
        <v>124057</v>
      </c>
      <c r="E54" s="63" t="s">
        <v>59</v>
      </c>
      <c r="F54" s="64" t="s">
        <v>331</v>
      </c>
      <c r="G54" s="62">
        <v>0</v>
      </c>
      <c r="H54" s="62">
        <v>1</v>
      </c>
      <c r="I54" s="62">
        <v>0</v>
      </c>
      <c r="J54" s="62">
        <v>0</v>
      </c>
      <c r="K54" s="62">
        <v>1</v>
      </c>
      <c r="L54" s="58"/>
    </row>
    <row r="55" spans="1:12" x14ac:dyDescent="0.35">
      <c r="A55" s="62">
        <v>53</v>
      </c>
      <c r="B55" s="33" t="s">
        <v>415</v>
      </c>
      <c r="C55" s="33" t="s">
        <v>423</v>
      </c>
      <c r="D55" s="62">
        <v>220077</v>
      </c>
      <c r="E55" s="62" t="s">
        <v>79</v>
      </c>
      <c r="F55" s="64" t="s">
        <v>331</v>
      </c>
      <c r="G55" s="62">
        <v>1</v>
      </c>
      <c r="H55" s="62">
        <v>0</v>
      </c>
      <c r="I55" s="62">
        <v>0</v>
      </c>
      <c r="J55" s="62">
        <v>0</v>
      </c>
      <c r="K55" s="62">
        <v>1</v>
      </c>
      <c r="L55" s="58"/>
    </row>
    <row r="56" spans="1:12" x14ac:dyDescent="0.35">
      <c r="A56" s="62">
        <v>54</v>
      </c>
      <c r="B56" s="33" t="s">
        <v>401</v>
      </c>
      <c r="C56" s="33" t="s">
        <v>119</v>
      </c>
      <c r="D56" s="62">
        <v>135243</v>
      </c>
      <c r="E56" s="62">
        <v>97</v>
      </c>
      <c r="F56" s="64" t="s">
        <v>331</v>
      </c>
      <c r="G56" s="62">
        <v>0</v>
      </c>
      <c r="H56" s="62">
        <v>0</v>
      </c>
      <c r="I56" s="62">
        <v>0</v>
      </c>
      <c r="J56" s="62">
        <v>1</v>
      </c>
      <c r="K56" s="62">
        <v>1</v>
      </c>
      <c r="L56" s="58"/>
    </row>
    <row r="57" spans="1:12" x14ac:dyDescent="0.35">
      <c r="A57" s="62">
        <v>55</v>
      </c>
      <c r="B57" s="36" t="s">
        <v>424</v>
      </c>
      <c r="C57" s="36" t="s">
        <v>77</v>
      </c>
      <c r="D57" s="63">
        <v>212468</v>
      </c>
      <c r="E57" s="63" t="s">
        <v>425</v>
      </c>
      <c r="F57" s="64" t="s">
        <v>331</v>
      </c>
      <c r="G57" s="62"/>
      <c r="H57" s="62"/>
      <c r="I57" s="62"/>
      <c r="J57" s="62"/>
      <c r="K57" s="62">
        <v>0</v>
      </c>
      <c r="L57" s="58"/>
    </row>
    <row r="58" spans="1:12" x14ac:dyDescent="0.35">
      <c r="A58" s="62">
        <v>56</v>
      </c>
      <c r="B58" s="36" t="s">
        <v>367</v>
      </c>
      <c r="C58" s="36" t="s">
        <v>368</v>
      </c>
      <c r="D58" s="63">
        <v>156295</v>
      </c>
      <c r="E58" s="63" t="s">
        <v>50</v>
      </c>
      <c r="F58" s="64" t="s">
        <v>331</v>
      </c>
      <c r="G58" s="62"/>
      <c r="H58" s="62"/>
      <c r="I58" s="62"/>
      <c r="J58" s="62"/>
      <c r="K58" s="62">
        <v>0</v>
      </c>
      <c r="L58" s="58"/>
    </row>
    <row r="59" spans="1:12" x14ac:dyDescent="0.35">
      <c r="A59" s="62">
        <v>57</v>
      </c>
      <c r="B59" s="36" t="s">
        <v>426</v>
      </c>
      <c r="C59" s="36" t="s">
        <v>427</v>
      </c>
      <c r="D59" s="63">
        <v>90982</v>
      </c>
      <c r="E59" s="63" t="s">
        <v>148</v>
      </c>
      <c r="F59" s="64" t="s">
        <v>331</v>
      </c>
      <c r="G59" s="62">
        <v>0</v>
      </c>
      <c r="H59" s="62">
        <v>0</v>
      </c>
      <c r="I59" s="62">
        <v>0</v>
      </c>
      <c r="J59" s="62">
        <v>0</v>
      </c>
      <c r="K59" s="62">
        <v>0</v>
      </c>
      <c r="L59" s="58"/>
    </row>
    <row r="60" spans="1:12" x14ac:dyDescent="0.35">
      <c r="A60" s="62">
        <v>58</v>
      </c>
      <c r="B60" s="36" t="s">
        <v>428</v>
      </c>
      <c r="C60" s="36" t="s">
        <v>429</v>
      </c>
      <c r="D60" s="63">
        <v>111054</v>
      </c>
      <c r="E60" s="63" t="s">
        <v>110</v>
      </c>
      <c r="F60" s="64" t="s">
        <v>331</v>
      </c>
      <c r="G60" s="62">
        <v>0</v>
      </c>
      <c r="H60" s="62">
        <v>0</v>
      </c>
      <c r="I60" s="62">
        <v>0</v>
      </c>
      <c r="J60" s="62">
        <v>0</v>
      </c>
      <c r="K60" s="62">
        <v>0</v>
      </c>
      <c r="L60" s="58"/>
    </row>
    <row r="61" spans="1:12" x14ac:dyDescent="0.35">
      <c r="A61" s="62">
        <v>59</v>
      </c>
      <c r="B61" s="36" t="s">
        <v>430</v>
      </c>
      <c r="C61" s="36" t="s">
        <v>431</v>
      </c>
      <c r="D61" s="63">
        <v>224242</v>
      </c>
      <c r="E61" s="63" t="s">
        <v>133</v>
      </c>
      <c r="F61" s="64" t="s">
        <v>331</v>
      </c>
      <c r="G61" s="62">
        <v>0</v>
      </c>
      <c r="H61" s="62">
        <v>0</v>
      </c>
      <c r="I61" s="62">
        <v>0</v>
      </c>
      <c r="J61" s="62">
        <v>0</v>
      </c>
      <c r="K61" s="62">
        <v>0</v>
      </c>
      <c r="L61" s="58"/>
    </row>
    <row r="62" spans="1:12" x14ac:dyDescent="0.35">
      <c r="A62" s="62">
        <v>60</v>
      </c>
      <c r="B62" s="36" t="s">
        <v>432</v>
      </c>
      <c r="C62" s="36" t="s">
        <v>433</v>
      </c>
      <c r="D62" s="63">
        <v>129615</v>
      </c>
      <c r="E62" s="63" t="s">
        <v>162</v>
      </c>
      <c r="F62" s="64" t="s">
        <v>331</v>
      </c>
      <c r="G62" s="62">
        <v>0</v>
      </c>
      <c r="H62" s="62">
        <v>0</v>
      </c>
      <c r="I62" s="62">
        <v>0</v>
      </c>
      <c r="J62" s="62">
        <v>0</v>
      </c>
      <c r="K62" s="62">
        <v>0</v>
      </c>
      <c r="L62" s="58"/>
    </row>
    <row r="63" spans="1:12" x14ac:dyDescent="0.35">
      <c r="A63" s="62">
        <v>61</v>
      </c>
      <c r="B63" s="36" t="s">
        <v>434</v>
      </c>
      <c r="C63" s="36" t="s">
        <v>435</v>
      </c>
      <c r="D63" s="63">
        <v>135220</v>
      </c>
      <c r="E63" s="63" t="s">
        <v>69</v>
      </c>
      <c r="F63" s="64" t="s">
        <v>331</v>
      </c>
      <c r="G63" s="62">
        <v>0</v>
      </c>
      <c r="H63" s="62">
        <v>0</v>
      </c>
      <c r="I63" s="62">
        <v>0</v>
      </c>
      <c r="J63" s="62">
        <v>0</v>
      </c>
      <c r="K63" s="62">
        <v>0</v>
      </c>
      <c r="L63" s="58"/>
    </row>
    <row r="64" spans="1:12" x14ac:dyDescent="0.35">
      <c r="A64" s="62">
        <v>62</v>
      </c>
      <c r="B64" s="36" t="s">
        <v>134</v>
      </c>
      <c r="C64" s="36" t="s">
        <v>436</v>
      </c>
      <c r="D64" s="63">
        <v>135801</v>
      </c>
      <c r="E64" s="63" t="s">
        <v>167</v>
      </c>
      <c r="F64" s="64" t="s">
        <v>331</v>
      </c>
      <c r="G64" s="62">
        <v>0</v>
      </c>
      <c r="H64" s="62">
        <v>0</v>
      </c>
      <c r="I64" s="62">
        <v>0</v>
      </c>
      <c r="J64" s="62">
        <v>0</v>
      </c>
      <c r="K64" s="62">
        <v>0</v>
      </c>
      <c r="L64" s="58"/>
    </row>
    <row r="65" spans="1:12" x14ac:dyDescent="0.35">
      <c r="A65" s="62">
        <v>63</v>
      </c>
      <c r="B65" s="36" t="s">
        <v>437</v>
      </c>
      <c r="C65" s="36" t="s">
        <v>438</v>
      </c>
      <c r="D65" s="63">
        <v>208166</v>
      </c>
      <c r="E65" s="63" t="s">
        <v>152</v>
      </c>
      <c r="F65" s="64" t="s">
        <v>331</v>
      </c>
      <c r="G65" s="65">
        <v>0</v>
      </c>
      <c r="H65" s="65">
        <v>0</v>
      </c>
      <c r="I65" s="65">
        <v>0</v>
      </c>
      <c r="J65" s="65">
        <v>0</v>
      </c>
      <c r="K65" s="65">
        <v>0</v>
      </c>
      <c r="L65" s="58"/>
    </row>
    <row r="66" spans="1:12" x14ac:dyDescent="0.35">
      <c r="A66" s="62">
        <v>64</v>
      </c>
      <c r="B66" s="36" t="s">
        <v>439</v>
      </c>
      <c r="C66" s="36" t="s">
        <v>440</v>
      </c>
      <c r="D66" s="63">
        <v>198073</v>
      </c>
      <c r="E66" s="64" t="s">
        <v>243</v>
      </c>
      <c r="F66" s="64" t="s">
        <v>331</v>
      </c>
      <c r="G66" s="62">
        <v>0</v>
      </c>
      <c r="H66" s="62">
        <v>0</v>
      </c>
      <c r="I66" s="62">
        <v>0</v>
      </c>
      <c r="J66" s="62">
        <v>0</v>
      </c>
      <c r="K66" s="62">
        <v>0</v>
      </c>
      <c r="L66" s="58"/>
    </row>
    <row r="67" spans="1:12" x14ac:dyDescent="0.35">
      <c r="A67" s="62">
        <v>65</v>
      </c>
      <c r="B67" s="36" t="s">
        <v>441</v>
      </c>
      <c r="C67" s="36" t="s">
        <v>442</v>
      </c>
      <c r="D67" s="63">
        <v>226640</v>
      </c>
      <c r="E67" s="63" t="s">
        <v>178</v>
      </c>
      <c r="F67" s="64" t="s">
        <v>331</v>
      </c>
      <c r="G67" s="62">
        <v>0</v>
      </c>
      <c r="H67" s="62">
        <v>0</v>
      </c>
      <c r="I67" s="62">
        <v>0</v>
      </c>
      <c r="J67" s="62">
        <v>0</v>
      </c>
      <c r="K67" s="62">
        <v>0</v>
      </c>
      <c r="L67" s="58"/>
    </row>
    <row r="68" spans="1:12" x14ac:dyDescent="0.35">
      <c r="A68" s="62">
        <v>66</v>
      </c>
      <c r="B68" s="36" t="s">
        <v>124</v>
      </c>
      <c r="C68" s="36" t="s">
        <v>443</v>
      </c>
      <c r="D68" s="63">
        <v>161350</v>
      </c>
      <c r="E68" s="63" t="s">
        <v>82</v>
      </c>
      <c r="F68" s="64" t="s">
        <v>331</v>
      </c>
      <c r="G68" s="62"/>
      <c r="H68" s="62"/>
      <c r="I68" s="62"/>
      <c r="J68" s="62"/>
      <c r="K68" s="62">
        <v>0</v>
      </c>
      <c r="L68" s="58"/>
    </row>
    <row r="69" spans="1:12" x14ac:dyDescent="0.35">
      <c r="A69" s="62">
        <v>67</v>
      </c>
      <c r="B69" s="36" t="s">
        <v>444</v>
      </c>
      <c r="C69" s="36" t="s">
        <v>268</v>
      </c>
      <c r="D69" s="63">
        <v>161723</v>
      </c>
      <c r="E69" s="63" t="s">
        <v>141</v>
      </c>
      <c r="F69" s="64" t="s">
        <v>331</v>
      </c>
      <c r="G69" s="62">
        <v>0</v>
      </c>
      <c r="H69" s="62">
        <v>0</v>
      </c>
      <c r="I69" s="62">
        <v>0</v>
      </c>
      <c r="J69" s="62">
        <v>0</v>
      </c>
      <c r="K69" s="62">
        <v>0</v>
      </c>
      <c r="L69" s="58"/>
    </row>
    <row r="70" spans="1:12" x14ac:dyDescent="0.35">
      <c r="A70" s="62">
        <v>68</v>
      </c>
      <c r="B70" s="33" t="s">
        <v>353</v>
      </c>
      <c r="C70" s="33" t="s">
        <v>445</v>
      </c>
      <c r="D70" s="62">
        <v>197769</v>
      </c>
      <c r="E70" s="62" t="s">
        <v>162</v>
      </c>
      <c r="F70" s="64" t="s">
        <v>331</v>
      </c>
      <c r="G70" s="62">
        <v>0</v>
      </c>
      <c r="H70" s="62">
        <v>0</v>
      </c>
      <c r="I70" s="62">
        <v>0</v>
      </c>
      <c r="J70" s="62">
        <v>0</v>
      </c>
      <c r="K70" s="62">
        <v>0</v>
      </c>
      <c r="L70" s="58"/>
    </row>
    <row r="71" spans="1:12" x14ac:dyDescent="0.35">
      <c r="A71" s="62">
        <v>69</v>
      </c>
      <c r="B71" s="33" t="s">
        <v>446</v>
      </c>
      <c r="C71" s="33" t="s">
        <v>205</v>
      </c>
      <c r="D71" s="62">
        <v>82973</v>
      </c>
      <c r="E71" s="62" t="s">
        <v>110</v>
      </c>
      <c r="F71" s="64" t="s">
        <v>331</v>
      </c>
      <c r="G71" s="62">
        <v>0</v>
      </c>
      <c r="H71" s="62">
        <v>0</v>
      </c>
      <c r="I71" s="62">
        <v>0</v>
      </c>
      <c r="J71" s="62">
        <v>0</v>
      </c>
      <c r="K71" s="62">
        <v>0</v>
      </c>
      <c r="L71" s="58"/>
    </row>
    <row r="72" spans="1:12" x14ac:dyDescent="0.35">
      <c r="A72" s="62">
        <v>70</v>
      </c>
      <c r="B72" s="33" t="s">
        <v>235</v>
      </c>
      <c r="C72" s="33" t="s">
        <v>203</v>
      </c>
      <c r="D72" s="62">
        <v>215320</v>
      </c>
      <c r="E72" s="62" t="s">
        <v>59</v>
      </c>
      <c r="F72" s="64" t="s">
        <v>331</v>
      </c>
      <c r="G72" s="62"/>
      <c r="H72" s="62"/>
      <c r="I72" s="62"/>
      <c r="J72" s="62"/>
      <c r="K72" s="62">
        <v>0</v>
      </c>
      <c r="L72" s="58"/>
    </row>
    <row r="73" spans="1:12" x14ac:dyDescent="0.35">
      <c r="A73" s="62">
        <v>71</v>
      </c>
      <c r="B73" s="33" t="s">
        <v>447</v>
      </c>
      <c r="C73" s="33" t="s">
        <v>414</v>
      </c>
      <c r="D73" s="62">
        <v>174857</v>
      </c>
      <c r="E73" s="62" t="s">
        <v>53</v>
      </c>
      <c r="F73" s="64" t="s">
        <v>331</v>
      </c>
      <c r="G73" s="62">
        <v>0</v>
      </c>
      <c r="H73" s="62">
        <v>0</v>
      </c>
      <c r="I73" s="62">
        <v>0</v>
      </c>
      <c r="J73" s="62">
        <v>0</v>
      </c>
      <c r="K73" s="62">
        <v>0</v>
      </c>
      <c r="L73" s="58"/>
    </row>
    <row r="74" spans="1:12" x14ac:dyDescent="0.35">
      <c r="A74" s="62">
        <v>72</v>
      </c>
      <c r="B74" s="33" t="s">
        <v>448</v>
      </c>
      <c r="C74" s="33" t="s">
        <v>253</v>
      </c>
      <c r="D74" s="62">
        <v>208207</v>
      </c>
      <c r="E74" s="62" t="s">
        <v>120</v>
      </c>
      <c r="F74" s="64" t="s">
        <v>331</v>
      </c>
      <c r="G74" s="62">
        <v>0</v>
      </c>
      <c r="H74" s="62">
        <v>0</v>
      </c>
      <c r="I74" s="62">
        <v>0</v>
      </c>
      <c r="J74" s="62">
        <v>0</v>
      </c>
      <c r="K74" s="62">
        <v>0</v>
      </c>
      <c r="L74" s="58"/>
    </row>
    <row r="75" spans="1:12" x14ac:dyDescent="0.35">
      <c r="A75" s="62">
        <v>73</v>
      </c>
      <c r="B75" s="33" t="s">
        <v>449</v>
      </c>
      <c r="C75" s="33" t="s">
        <v>450</v>
      </c>
      <c r="D75" s="62">
        <v>154889</v>
      </c>
      <c r="E75" s="62" t="s">
        <v>181</v>
      </c>
      <c r="F75" s="64" t="s">
        <v>331</v>
      </c>
      <c r="G75" s="62">
        <v>0</v>
      </c>
      <c r="H75" s="62">
        <v>0</v>
      </c>
      <c r="I75" s="62">
        <v>0</v>
      </c>
      <c r="J75" s="62">
        <v>0</v>
      </c>
      <c r="K75" s="62">
        <v>0</v>
      </c>
      <c r="L75" s="58"/>
    </row>
    <row r="76" spans="1:12" x14ac:dyDescent="0.35">
      <c r="A76" s="62">
        <v>74</v>
      </c>
      <c r="B76" s="33" t="s">
        <v>451</v>
      </c>
      <c r="C76" s="33" t="s">
        <v>452</v>
      </c>
      <c r="D76" s="62">
        <v>124662</v>
      </c>
      <c r="E76" s="62" t="s">
        <v>453</v>
      </c>
      <c r="F76" s="64" t="s">
        <v>331</v>
      </c>
      <c r="G76" s="62">
        <v>0</v>
      </c>
      <c r="H76" s="62">
        <v>0</v>
      </c>
      <c r="I76" s="62">
        <v>0</v>
      </c>
      <c r="J76" s="62">
        <v>0</v>
      </c>
      <c r="K76" s="62">
        <v>0</v>
      </c>
      <c r="L76" s="58"/>
    </row>
    <row r="77" spans="1:12" x14ac:dyDescent="0.35">
      <c r="A77" s="62">
        <v>75</v>
      </c>
      <c r="B77" s="33" t="s">
        <v>454</v>
      </c>
      <c r="C77" s="33" t="s">
        <v>455</v>
      </c>
      <c r="D77" s="62">
        <v>123947</v>
      </c>
      <c r="E77" s="62" t="s">
        <v>59</v>
      </c>
      <c r="F77" s="64" t="s">
        <v>331</v>
      </c>
      <c r="G77" s="62">
        <v>0</v>
      </c>
      <c r="H77" s="62">
        <v>0</v>
      </c>
      <c r="I77" s="62">
        <v>0</v>
      </c>
      <c r="J77" s="62">
        <v>0</v>
      </c>
      <c r="K77" s="62">
        <v>0</v>
      </c>
      <c r="L77" s="58"/>
    </row>
    <row r="78" spans="1:12" x14ac:dyDescent="0.35">
      <c r="A78" s="62">
        <v>76</v>
      </c>
      <c r="B78" s="33" t="s">
        <v>456</v>
      </c>
      <c r="C78" s="33" t="s">
        <v>203</v>
      </c>
      <c r="D78" s="62">
        <v>186554</v>
      </c>
      <c r="E78" s="62" t="s">
        <v>130</v>
      </c>
      <c r="F78" s="64" t="s">
        <v>331</v>
      </c>
      <c r="G78" s="62">
        <v>0</v>
      </c>
      <c r="H78" s="62">
        <v>0</v>
      </c>
      <c r="I78" s="62">
        <v>0</v>
      </c>
      <c r="J78" s="62">
        <v>0</v>
      </c>
      <c r="K78" s="62">
        <v>0</v>
      </c>
      <c r="L78" s="58"/>
    </row>
    <row r="79" spans="1:12" x14ac:dyDescent="0.35">
      <c r="A79" s="62">
        <v>77</v>
      </c>
      <c r="B79" s="33" t="s">
        <v>457</v>
      </c>
      <c r="C79" s="33" t="s">
        <v>441</v>
      </c>
      <c r="D79" s="62">
        <v>127861</v>
      </c>
      <c r="E79" s="62" t="s">
        <v>240</v>
      </c>
      <c r="F79" s="64" t="s">
        <v>331</v>
      </c>
      <c r="G79" s="62">
        <v>0</v>
      </c>
      <c r="H79" s="62">
        <v>0</v>
      </c>
      <c r="I79" s="62">
        <v>0</v>
      </c>
      <c r="J79" s="62">
        <v>0</v>
      </c>
      <c r="K79" s="62">
        <v>0</v>
      </c>
      <c r="L79" s="58"/>
    </row>
    <row r="80" spans="1:12" x14ac:dyDescent="0.35">
      <c r="A80" s="62">
        <v>78</v>
      </c>
      <c r="B80" s="33" t="s">
        <v>458</v>
      </c>
      <c r="C80" s="33" t="s">
        <v>459</v>
      </c>
      <c r="D80" s="62">
        <v>216360</v>
      </c>
      <c r="E80" s="62" t="s">
        <v>157</v>
      </c>
      <c r="F80" s="64" t="s">
        <v>331</v>
      </c>
      <c r="G80" s="62">
        <v>0</v>
      </c>
      <c r="H80" s="62">
        <v>0</v>
      </c>
      <c r="I80" s="62">
        <v>0</v>
      </c>
      <c r="J80" s="62">
        <v>0</v>
      </c>
      <c r="K80" s="62">
        <v>0</v>
      </c>
      <c r="L80" s="58"/>
    </row>
    <row r="81" spans="1:12" x14ac:dyDescent="0.35">
      <c r="A81" s="62">
        <v>79</v>
      </c>
      <c r="B81" s="33" t="s">
        <v>460</v>
      </c>
      <c r="C81" s="33" t="s">
        <v>461</v>
      </c>
      <c r="D81" s="62">
        <v>139287</v>
      </c>
      <c r="E81" s="62" t="s">
        <v>243</v>
      </c>
      <c r="F81" s="64" t="s">
        <v>331</v>
      </c>
      <c r="G81" s="62">
        <v>0</v>
      </c>
      <c r="H81" s="62">
        <v>0</v>
      </c>
      <c r="I81" s="62">
        <v>0</v>
      </c>
      <c r="J81" s="62">
        <v>0</v>
      </c>
      <c r="K81" s="62">
        <v>0</v>
      </c>
      <c r="L81" s="58"/>
    </row>
    <row r="82" spans="1:12" x14ac:dyDescent="0.35">
      <c r="A82" s="62">
        <v>80</v>
      </c>
      <c r="B82" s="33" t="s">
        <v>462</v>
      </c>
      <c r="C82" s="33" t="s">
        <v>463</v>
      </c>
      <c r="D82" s="62">
        <v>212612</v>
      </c>
      <c r="E82" s="62" t="s">
        <v>425</v>
      </c>
      <c r="F82" s="64" t="s">
        <v>331</v>
      </c>
      <c r="G82" s="62">
        <v>0</v>
      </c>
      <c r="H82" s="62">
        <v>0</v>
      </c>
      <c r="I82" s="62">
        <v>0</v>
      </c>
      <c r="J82" s="62">
        <v>0</v>
      </c>
      <c r="K82" s="62">
        <v>0</v>
      </c>
      <c r="L82" s="58"/>
    </row>
    <row r="83" spans="1:12" x14ac:dyDescent="0.35">
      <c r="A83" s="62">
        <v>81</v>
      </c>
      <c r="B83" s="33" t="s">
        <v>456</v>
      </c>
      <c r="C83" s="33" t="s">
        <v>210</v>
      </c>
      <c r="D83" s="62">
        <v>109074</v>
      </c>
      <c r="E83" s="62" t="s">
        <v>175</v>
      </c>
      <c r="F83" s="64" t="s">
        <v>331</v>
      </c>
      <c r="G83" s="62">
        <v>0</v>
      </c>
      <c r="H83" s="62">
        <v>0</v>
      </c>
      <c r="I83" s="62">
        <v>0</v>
      </c>
      <c r="J83" s="62">
        <v>0</v>
      </c>
      <c r="K83" s="62">
        <v>0</v>
      </c>
      <c r="L83" s="58"/>
    </row>
    <row r="84" spans="1:12" x14ac:dyDescent="0.35">
      <c r="A84" s="62">
        <v>82</v>
      </c>
      <c r="B84" s="33" t="s">
        <v>319</v>
      </c>
      <c r="C84" s="33" t="s">
        <v>64</v>
      </c>
      <c r="D84" s="62">
        <v>147936</v>
      </c>
      <c r="E84" s="62" t="s">
        <v>218</v>
      </c>
      <c r="F84" s="64" t="s">
        <v>331</v>
      </c>
      <c r="G84" s="62">
        <v>0</v>
      </c>
      <c r="H84" s="62">
        <v>0</v>
      </c>
      <c r="I84" s="62">
        <v>0</v>
      </c>
      <c r="J84" s="62">
        <v>0</v>
      </c>
      <c r="K84" s="62">
        <v>0</v>
      </c>
      <c r="L84" s="58"/>
    </row>
    <row r="85" spans="1:12" x14ac:dyDescent="0.35">
      <c r="A85" s="62">
        <v>83</v>
      </c>
      <c r="B85" s="33" t="s">
        <v>464</v>
      </c>
      <c r="C85" s="33" t="s">
        <v>253</v>
      </c>
      <c r="D85" s="62">
        <v>158155</v>
      </c>
      <c r="E85" s="62" t="s">
        <v>141</v>
      </c>
      <c r="F85" s="64" t="s">
        <v>331</v>
      </c>
      <c r="G85" s="62">
        <v>0</v>
      </c>
      <c r="H85" s="62">
        <v>0</v>
      </c>
      <c r="I85" s="62">
        <v>0</v>
      </c>
      <c r="J85" s="62">
        <v>0</v>
      </c>
      <c r="K85" s="62">
        <v>0</v>
      </c>
      <c r="L85" s="58"/>
    </row>
    <row r="86" spans="1:12" x14ac:dyDescent="0.35">
      <c r="A86" s="62">
        <v>84</v>
      </c>
      <c r="B86" s="33" t="s">
        <v>465</v>
      </c>
      <c r="C86" s="33" t="s">
        <v>199</v>
      </c>
      <c r="D86" s="62">
        <v>161062</v>
      </c>
      <c r="E86" s="62" t="s">
        <v>466</v>
      </c>
      <c r="F86" s="64" t="s">
        <v>331</v>
      </c>
      <c r="G86" s="62"/>
      <c r="H86" s="62"/>
      <c r="I86" s="62"/>
      <c r="J86" s="62"/>
      <c r="K86" s="62">
        <v>0</v>
      </c>
      <c r="L86" s="58"/>
    </row>
    <row r="87" spans="1:12" x14ac:dyDescent="0.35">
      <c r="A87" s="62">
        <v>85</v>
      </c>
      <c r="B87" s="33" t="s">
        <v>295</v>
      </c>
      <c r="C87" s="33" t="s">
        <v>467</v>
      </c>
      <c r="D87" s="62">
        <v>206356</v>
      </c>
      <c r="E87" s="62" t="s">
        <v>59</v>
      </c>
      <c r="F87" s="64" t="s">
        <v>331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58"/>
    </row>
    <row r="88" spans="1:12" x14ac:dyDescent="0.35">
      <c r="A88" s="62">
        <v>86</v>
      </c>
      <c r="B88" s="33" t="s">
        <v>468</v>
      </c>
      <c r="C88" s="33" t="s">
        <v>469</v>
      </c>
      <c r="D88" s="62">
        <v>197768</v>
      </c>
      <c r="E88" s="62" t="s">
        <v>162</v>
      </c>
      <c r="F88" s="64" t="s">
        <v>331</v>
      </c>
      <c r="G88" s="62">
        <v>0</v>
      </c>
      <c r="H88" s="62">
        <v>0</v>
      </c>
      <c r="I88" s="62">
        <v>0</v>
      </c>
      <c r="J88" s="62">
        <v>0</v>
      </c>
      <c r="K88" s="62">
        <v>0</v>
      </c>
      <c r="L88" s="58"/>
    </row>
    <row r="89" spans="1:12" x14ac:dyDescent="0.35">
      <c r="A89" s="62">
        <v>87</v>
      </c>
      <c r="B89" s="33" t="s">
        <v>444</v>
      </c>
      <c r="C89" s="33" t="s">
        <v>470</v>
      </c>
      <c r="D89" s="62"/>
      <c r="E89" s="62" t="s">
        <v>15</v>
      </c>
      <c r="F89" s="64" t="s">
        <v>331</v>
      </c>
      <c r="G89" s="62">
        <v>0</v>
      </c>
      <c r="H89" s="62">
        <v>0</v>
      </c>
      <c r="I89" s="62">
        <v>0</v>
      </c>
      <c r="J89" s="62">
        <v>0</v>
      </c>
      <c r="K89" s="62">
        <v>0</v>
      </c>
      <c r="L89" s="58"/>
    </row>
    <row r="90" spans="1:12" x14ac:dyDescent="0.35">
      <c r="A90" s="62">
        <v>88</v>
      </c>
      <c r="B90" s="33" t="s">
        <v>471</v>
      </c>
      <c r="C90" s="33" t="s">
        <v>472</v>
      </c>
      <c r="D90" s="62">
        <v>220874</v>
      </c>
      <c r="E90" s="62">
        <v>48</v>
      </c>
      <c r="F90" s="64" t="s">
        <v>331</v>
      </c>
      <c r="G90" s="62">
        <v>0</v>
      </c>
      <c r="H90" s="62">
        <v>0</v>
      </c>
      <c r="I90" s="62">
        <v>0</v>
      </c>
      <c r="J90" s="62">
        <v>0</v>
      </c>
      <c r="K90" s="62">
        <v>0</v>
      </c>
      <c r="L90" s="58"/>
    </row>
    <row r="91" spans="1:12" x14ac:dyDescent="0.35">
      <c r="A91" s="62">
        <v>89</v>
      </c>
      <c r="B91" s="33" t="s">
        <v>405</v>
      </c>
      <c r="C91" s="33" t="s">
        <v>255</v>
      </c>
      <c r="D91" s="62">
        <v>115099</v>
      </c>
      <c r="E91" s="62" t="s">
        <v>172</v>
      </c>
      <c r="F91" s="64" t="s">
        <v>331</v>
      </c>
      <c r="G91" s="62">
        <v>0</v>
      </c>
      <c r="H91" s="62">
        <v>0</v>
      </c>
      <c r="I91" s="62">
        <v>0</v>
      </c>
      <c r="J91" s="62">
        <v>0</v>
      </c>
      <c r="K91" s="62">
        <v>0</v>
      </c>
      <c r="L91" s="58"/>
    </row>
    <row r="92" spans="1:12" x14ac:dyDescent="0.35">
      <c r="A92" s="62">
        <v>90</v>
      </c>
      <c r="B92" s="33" t="s">
        <v>473</v>
      </c>
      <c r="C92" s="33" t="s">
        <v>474</v>
      </c>
      <c r="D92" s="62"/>
      <c r="E92" s="62" t="s">
        <v>475</v>
      </c>
      <c r="F92" s="64" t="s">
        <v>331</v>
      </c>
      <c r="G92" s="62">
        <v>0</v>
      </c>
      <c r="H92" s="62">
        <v>0</v>
      </c>
      <c r="I92" s="62">
        <v>0</v>
      </c>
      <c r="J92" s="62">
        <v>0</v>
      </c>
      <c r="K92" s="62">
        <v>0</v>
      </c>
      <c r="L92" s="58"/>
    </row>
    <row r="93" spans="1:12" x14ac:dyDescent="0.35">
      <c r="A93" s="62">
        <v>91</v>
      </c>
      <c r="B93" s="33" t="s">
        <v>476</v>
      </c>
      <c r="C93" s="33" t="s">
        <v>135</v>
      </c>
      <c r="D93" s="62">
        <v>190644</v>
      </c>
      <c r="E93" s="62" t="s">
        <v>130</v>
      </c>
      <c r="F93" s="64" t="s">
        <v>331</v>
      </c>
      <c r="G93" s="62">
        <v>0</v>
      </c>
      <c r="H93" s="62">
        <v>0</v>
      </c>
      <c r="I93" s="62">
        <v>0</v>
      </c>
      <c r="J93" s="62">
        <v>0</v>
      </c>
      <c r="K93" s="62">
        <v>0</v>
      </c>
      <c r="L93" s="58"/>
    </row>
    <row r="94" spans="1:12" x14ac:dyDescent="0.35">
      <c r="A94" s="62">
        <v>92</v>
      </c>
      <c r="B94" s="33" t="s">
        <v>477</v>
      </c>
      <c r="C94" s="33" t="s">
        <v>478</v>
      </c>
      <c r="D94" s="62">
        <v>212573</v>
      </c>
      <c r="E94" s="62" t="s">
        <v>155</v>
      </c>
      <c r="F94" s="64" t="s">
        <v>331</v>
      </c>
      <c r="G94" s="62">
        <v>0</v>
      </c>
      <c r="H94" s="62">
        <v>0</v>
      </c>
      <c r="I94" s="62">
        <v>0</v>
      </c>
      <c r="J94" s="62">
        <v>0</v>
      </c>
      <c r="K94" s="62">
        <v>0</v>
      </c>
      <c r="L94" s="58"/>
    </row>
    <row r="95" spans="1:12" x14ac:dyDescent="0.35">
      <c r="A95" s="62">
        <v>93</v>
      </c>
      <c r="B95" s="33" t="s">
        <v>479</v>
      </c>
      <c r="C95" s="33" t="s">
        <v>367</v>
      </c>
      <c r="D95" s="62"/>
      <c r="E95" s="62" t="s">
        <v>371</v>
      </c>
      <c r="F95" s="64" t="s">
        <v>331</v>
      </c>
      <c r="G95" s="62">
        <v>0</v>
      </c>
      <c r="H95" s="62">
        <v>0</v>
      </c>
      <c r="I95" s="62">
        <v>0</v>
      </c>
      <c r="J95" s="62">
        <v>0</v>
      </c>
      <c r="K95" s="62">
        <v>0</v>
      </c>
      <c r="L95" s="58"/>
    </row>
    <row r="96" spans="1:12" x14ac:dyDescent="0.35">
      <c r="A96" s="62">
        <v>94</v>
      </c>
      <c r="B96" s="33" t="s">
        <v>462</v>
      </c>
      <c r="C96" s="33" t="s">
        <v>480</v>
      </c>
      <c r="D96" s="62">
        <v>150874</v>
      </c>
      <c r="E96" s="62" t="s">
        <v>193</v>
      </c>
      <c r="F96" s="64" t="s">
        <v>331</v>
      </c>
      <c r="G96" s="62">
        <v>0</v>
      </c>
      <c r="H96" s="62">
        <v>0</v>
      </c>
      <c r="I96" s="62">
        <v>0</v>
      </c>
      <c r="J96" s="62">
        <v>0</v>
      </c>
      <c r="K96" s="62">
        <v>0</v>
      </c>
      <c r="L96" s="58"/>
    </row>
    <row r="97" spans="1:12" x14ac:dyDescent="0.35">
      <c r="A97" s="62">
        <v>95</v>
      </c>
      <c r="B97" s="33" t="s">
        <v>481</v>
      </c>
      <c r="C97" s="33" t="s">
        <v>482</v>
      </c>
      <c r="D97" s="62"/>
      <c r="E97" s="62">
        <v>14</v>
      </c>
      <c r="F97" s="64" t="s">
        <v>331</v>
      </c>
      <c r="G97" s="62">
        <v>0</v>
      </c>
      <c r="H97" s="62">
        <v>0</v>
      </c>
      <c r="I97" s="62">
        <v>0</v>
      </c>
      <c r="J97" s="62">
        <v>0</v>
      </c>
      <c r="K97" s="62">
        <v>0</v>
      </c>
      <c r="L97" s="58"/>
    </row>
    <row r="98" spans="1:12" x14ac:dyDescent="0.35">
      <c r="A98" s="62">
        <v>96</v>
      </c>
      <c r="B98" s="33" t="s">
        <v>456</v>
      </c>
      <c r="C98" s="33" t="s">
        <v>203</v>
      </c>
      <c r="D98" s="62">
        <v>186554</v>
      </c>
      <c r="E98" s="62" t="s">
        <v>483</v>
      </c>
      <c r="F98" s="64" t="s">
        <v>331</v>
      </c>
      <c r="G98" s="62"/>
      <c r="H98" s="62"/>
      <c r="I98" s="62"/>
      <c r="J98" s="62"/>
      <c r="K98" s="62">
        <v>0</v>
      </c>
      <c r="L98" s="58"/>
    </row>
    <row r="99" spans="1:12" x14ac:dyDescent="0.35">
      <c r="A99" s="62">
        <v>97</v>
      </c>
      <c r="B99" s="33" t="s">
        <v>484</v>
      </c>
      <c r="C99" s="33" t="s">
        <v>485</v>
      </c>
      <c r="D99" s="62">
        <v>29234</v>
      </c>
      <c r="E99" s="62" t="s">
        <v>53</v>
      </c>
      <c r="F99" s="64" t="s">
        <v>331</v>
      </c>
      <c r="G99" s="62"/>
      <c r="H99" s="62"/>
      <c r="I99" s="62"/>
      <c r="J99" s="62"/>
      <c r="K99" s="62">
        <v>0</v>
      </c>
      <c r="L99" s="58"/>
    </row>
    <row r="100" spans="1:12" x14ac:dyDescent="0.35">
      <c r="A100" s="62">
        <v>98</v>
      </c>
      <c r="B100" s="33" t="s">
        <v>455</v>
      </c>
      <c r="C100" s="33" t="s">
        <v>486</v>
      </c>
      <c r="D100" s="62">
        <v>206331</v>
      </c>
      <c r="E100" s="62" t="s">
        <v>59</v>
      </c>
      <c r="F100" s="64" t="s">
        <v>331</v>
      </c>
      <c r="G100" s="62">
        <v>0</v>
      </c>
      <c r="H100" s="62">
        <v>0</v>
      </c>
      <c r="I100" s="62">
        <v>0</v>
      </c>
      <c r="J100" s="62">
        <v>0</v>
      </c>
      <c r="K100" s="62">
        <v>0</v>
      </c>
      <c r="L100" s="58"/>
    </row>
    <row r="101" spans="1:12" x14ac:dyDescent="0.35">
      <c r="A101" s="62">
        <v>99</v>
      </c>
      <c r="B101" s="33" t="s">
        <v>487</v>
      </c>
      <c r="C101" s="33" t="s">
        <v>488</v>
      </c>
      <c r="D101" s="62">
        <v>181064</v>
      </c>
      <c r="E101" s="62" t="s">
        <v>162</v>
      </c>
      <c r="F101" s="64" t="s">
        <v>331</v>
      </c>
      <c r="G101" s="62">
        <v>0</v>
      </c>
      <c r="H101" s="62">
        <v>0</v>
      </c>
      <c r="I101" s="62">
        <v>0</v>
      </c>
      <c r="J101" s="62">
        <v>0</v>
      </c>
      <c r="K101" s="62">
        <v>0</v>
      </c>
      <c r="L101" s="58"/>
    </row>
    <row r="102" spans="1:12" x14ac:dyDescent="0.35">
      <c r="A102" s="62">
        <v>100</v>
      </c>
      <c r="B102" s="33" t="s">
        <v>51</v>
      </c>
      <c r="C102" s="33" t="s">
        <v>489</v>
      </c>
      <c r="D102" s="62">
        <v>124042</v>
      </c>
      <c r="E102" s="62" t="s">
        <v>243</v>
      </c>
      <c r="F102" s="64" t="s">
        <v>331</v>
      </c>
      <c r="G102" s="62">
        <v>0</v>
      </c>
      <c r="H102" s="62">
        <v>0</v>
      </c>
      <c r="I102" s="62">
        <v>0</v>
      </c>
      <c r="J102" s="62">
        <v>0</v>
      </c>
      <c r="K102" s="62">
        <v>0</v>
      </c>
      <c r="L102" s="58"/>
    </row>
    <row r="103" spans="1:12" x14ac:dyDescent="0.35">
      <c r="A103" s="62">
        <v>101</v>
      </c>
      <c r="B103" s="33" t="s">
        <v>373</v>
      </c>
      <c r="C103" s="33" t="s">
        <v>319</v>
      </c>
      <c r="D103" s="62">
        <v>147062</v>
      </c>
      <c r="E103" s="62" t="s">
        <v>178</v>
      </c>
      <c r="F103" s="64" t="s">
        <v>331</v>
      </c>
      <c r="G103" s="62">
        <v>0</v>
      </c>
      <c r="H103" s="62">
        <v>0</v>
      </c>
      <c r="I103" s="62">
        <v>0</v>
      </c>
      <c r="J103" s="62">
        <v>0</v>
      </c>
      <c r="K103" s="62">
        <v>0</v>
      </c>
      <c r="L103" s="58"/>
    </row>
    <row r="104" spans="1:12" x14ac:dyDescent="0.35">
      <c r="A104" s="62">
        <v>102</v>
      </c>
      <c r="B104" s="33" t="s">
        <v>460</v>
      </c>
      <c r="C104" s="33" t="s">
        <v>490</v>
      </c>
      <c r="D104" s="62">
        <v>225174</v>
      </c>
      <c r="E104" s="62" t="s">
        <v>221</v>
      </c>
      <c r="F104" s="64" t="s">
        <v>331</v>
      </c>
      <c r="G104" s="62">
        <v>0</v>
      </c>
      <c r="H104" s="62">
        <v>0</v>
      </c>
      <c r="I104" s="62">
        <v>0</v>
      </c>
      <c r="J104" s="62">
        <v>0</v>
      </c>
      <c r="K104" s="62">
        <v>0</v>
      </c>
      <c r="L104" s="58"/>
    </row>
    <row r="105" spans="1:12" x14ac:dyDescent="0.35">
      <c r="A105" s="62">
        <v>103</v>
      </c>
      <c r="B105" s="33" t="s">
        <v>400</v>
      </c>
      <c r="C105" s="33" t="s">
        <v>488</v>
      </c>
      <c r="D105" s="62">
        <v>187337</v>
      </c>
      <c r="E105" s="62" t="s">
        <v>15</v>
      </c>
      <c r="F105" s="64" t="s">
        <v>331</v>
      </c>
      <c r="G105" s="62">
        <v>0</v>
      </c>
      <c r="H105" s="62">
        <v>0</v>
      </c>
      <c r="I105" s="62">
        <v>0</v>
      </c>
      <c r="J105" s="62">
        <v>0</v>
      </c>
      <c r="K105" s="62">
        <v>0</v>
      </c>
      <c r="L105" s="58"/>
    </row>
    <row r="106" spans="1:12" x14ac:dyDescent="0.35">
      <c r="A106" s="62">
        <v>104</v>
      </c>
      <c r="B106" s="33" t="s">
        <v>462</v>
      </c>
      <c r="C106" s="33" t="s">
        <v>463</v>
      </c>
      <c r="D106" s="62">
        <v>212612</v>
      </c>
      <c r="E106" s="62" t="s">
        <v>425</v>
      </c>
      <c r="F106" s="64" t="s">
        <v>331</v>
      </c>
      <c r="G106" s="62"/>
      <c r="H106" s="62"/>
      <c r="I106" s="62"/>
      <c r="J106" s="62"/>
      <c r="K106" s="62">
        <v>0</v>
      </c>
      <c r="L106" s="58"/>
    </row>
    <row r="107" spans="1:12" x14ac:dyDescent="0.35">
      <c r="A107" s="62">
        <v>105</v>
      </c>
      <c r="B107" s="33" t="s">
        <v>491</v>
      </c>
      <c r="C107" s="33" t="s">
        <v>129</v>
      </c>
      <c r="D107" s="62">
        <v>215366</v>
      </c>
      <c r="E107" s="62" t="s">
        <v>59</v>
      </c>
      <c r="F107" s="64" t="s">
        <v>331</v>
      </c>
      <c r="G107" s="62">
        <v>0</v>
      </c>
      <c r="H107" s="62">
        <v>0</v>
      </c>
      <c r="I107" s="62">
        <v>0</v>
      </c>
      <c r="J107" s="62">
        <v>0</v>
      </c>
      <c r="K107" s="62">
        <v>0</v>
      </c>
      <c r="L107" s="58"/>
    </row>
    <row r="108" spans="1:12" x14ac:dyDescent="0.35">
      <c r="A108" s="62">
        <v>106</v>
      </c>
      <c r="B108" s="33" t="s">
        <v>492</v>
      </c>
      <c r="C108" s="33" t="s">
        <v>493</v>
      </c>
      <c r="D108" s="62">
        <v>35363</v>
      </c>
      <c r="E108" s="62">
        <v>48</v>
      </c>
      <c r="F108" s="64" t="s">
        <v>331</v>
      </c>
      <c r="G108" s="62">
        <v>0</v>
      </c>
      <c r="H108" s="62">
        <v>0</v>
      </c>
      <c r="I108" s="62">
        <v>0</v>
      </c>
      <c r="J108" s="62">
        <v>0</v>
      </c>
      <c r="K108" s="62">
        <v>0</v>
      </c>
      <c r="L108" s="58"/>
    </row>
    <row r="109" spans="1:12" x14ac:dyDescent="0.35">
      <c r="A109" s="62">
        <v>107</v>
      </c>
      <c r="B109" s="33" t="s">
        <v>494</v>
      </c>
      <c r="C109" s="33" t="s">
        <v>495</v>
      </c>
      <c r="D109" s="62">
        <v>202071</v>
      </c>
      <c r="E109" s="62" t="s">
        <v>172</v>
      </c>
      <c r="F109" s="64" t="s">
        <v>331</v>
      </c>
      <c r="G109" s="62">
        <v>0</v>
      </c>
      <c r="H109" s="62">
        <v>0</v>
      </c>
      <c r="I109" s="62">
        <v>0</v>
      </c>
      <c r="J109" s="62">
        <v>0</v>
      </c>
      <c r="K109" s="62">
        <v>0</v>
      </c>
      <c r="L109" s="58"/>
    </row>
    <row r="110" spans="1:12" x14ac:dyDescent="0.35">
      <c r="A110" s="62">
        <v>108</v>
      </c>
      <c r="B110" s="33" t="s">
        <v>496</v>
      </c>
      <c r="C110" s="33" t="s">
        <v>40</v>
      </c>
      <c r="D110" s="62">
        <v>131578</v>
      </c>
      <c r="E110" s="62">
        <v>92</v>
      </c>
      <c r="F110" s="64" t="s">
        <v>331</v>
      </c>
      <c r="G110" s="62">
        <v>0</v>
      </c>
      <c r="H110" s="62">
        <v>0</v>
      </c>
      <c r="I110" s="62">
        <v>0</v>
      </c>
      <c r="J110" s="62">
        <v>0</v>
      </c>
      <c r="K110" s="62">
        <v>0</v>
      </c>
      <c r="L110" s="58"/>
    </row>
    <row r="111" spans="1:12" x14ac:dyDescent="0.35">
      <c r="A111" s="62">
        <v>109</v>
      </c>
      <c r="B111" s="33" t="s">
        <v>497</v>
      </c>
      <c r="C111" s="33" t="s">
        <v>498</v>
      </c>
      <c r="D111" s="62">
        <v>204423</v>
      </c>
      <c r="E111" s="62">
        <v>148</v>
      </c>
      <c r="F111" s="64" t="s">
        <v>331</v>
      </c>
      <c r="G111" s="62">
        <v>0</v>
      </c>
      <c r="H111" s="62">
        <v>0</v>
      </c>
      <c r="I111" s="62">
        <v>0</v>
      </c>
      <c r="J111" s="62">
        <v>0</v>
      </c>
      <c r="K111" s="62">
        <v>0</v>
      </c>
      <c r="L111" s="58"/>
    </row>
    <row r="112" spans="1:12" x14ac:dyDescent="0.35">
      <c r="A112" s="62">
        <v>110</v>
      </c>
      <c r="B112" s="33" t="s">
        <v>499</v>
      </c>
      <c r="C112" s="33" t="s">
        <v>182</v>
      </c>
      <c r="D112" s="62">
        <v>216629</v>
      </c>
      <c r="E112" s="62">
        <v>53</v>
      </c>
      <c r="F112" s="64" t="s">
        <v>331</v>
      </c>
      <c r="G112" s="62">
        <v>0</v>
      </c>
      <c r="H112" s="62">
        <v>0</v>
      </c>
      <c r="I112" s="62">
        <v>0</v>
      </c>
      <c r="J112" s="62">
        <v>0</v>
      </c>
      <c r="K112" s="62">
        <v>0</v>
      </c>
      <c r="L112" s="58"/>
    </row>
    <row r="113" spans="1:12" x14ac:dyDescent="0.35">
      <c r="A113" s="62">
        <v>111</v>
      </c>
      <c r="B113" s="33" t="s">
        <v>500</v>
      </c>
      <c r="C113" s="33" t="s">
        <v>501</v>
      </c>
      <c r="D113" s="62">
        <v>151925</v>
      </c>
      <c r="E113" s="62">
        <v>102</v>
      </c>
      <c r="F113" s="64" t="s">
        <v>331</v>
      </c>
      <c r="G113" s="62">
        <v>0</v>
      </c>
      <c r="H113" s="62">
        <v>0</v>
      </c>
      <c r="I113" s="62">
        <v>0</v>
      </c>
      <c r="J113" s="62">
        <v>0</v>
      </c>
      <c r="K113" s="62">
        <v>0</v>
      </c>
      <c r="L113" s="58"/>
    </row>
    <row r="114" spans="1:12" x14ac:dyDescent="0.35">
      <c r="A114" s="62">
        <v>112</v>
      </c>
      <c r="B114" s="33" t="s">
        <v>502</v>
      </c>
      <c r="C114" s="33" t="s">
        <v>503</v>
      </c>
      <c r="D114" s="62">
        <v>226056</v>
      </c>
      <c r="E114" s="62" t="s">
        <v>504</v>
      </c>
      <c r="F114" s="64" t="s">
        <v>331</v>
      </c>
      <c r="G114" s="62">
        <v>0</v>
      </c>
      <c r="H114" s="62">
        <v>0</v>
      </c>
      <c r="I114" s="62">
        <v>0</v>
      </c>
      <c r="J114" s="62">
        <v>0</v>
      </c>
      <c r="K114" s="62">
        <v>0</v>
      </c>
      <c r="L114" s="58"/>
    </row>
    <row r="115" spans="1:12" x14ac:dyDescent="0.35">
      <c r="A115" s="62">
        <v>113</v>
      </c>
      <c r="B115" s="33" t="s">
        <v>119</v>
      </c>
      <c r="C115" s="33" t="s">
        <v>505</v>
      </c>
      <c r="D115" s="62">
        <v>148444</v>
      </c>
      <c r="E115" s="62" t="s">
        <v>162</v>
      </c>
      <c r="F115" s="64" t="s">
        <v>331</v>
      </c>
      <c r="G115" s="62">
        <v>0</v>
      </c>
      <c r="H115" s="62">
        <v>0</v>
      </c>
      <c r="I115" s="62">
        <v>0</v>
      </c>
      <c r="J115" s="62">
        <v>0</v>
      </c>
      <c r="K115" s="62">
        <v>0</v>
      </c>
      <c r="L115" s="58"/>
    </row>
    <row r="116" spans="1:12" x14ac:dyDescent="0.35">
      <c r="A116" s="62">
        <v>114</v>
      </c>
      <c r="B116" s="33" t="s">
        <v>401</v>
      </c>
      <c r="C116" s="33" t="s">
        <v>292</v>
      </c>
      <c r="D116" s="62">
        <v>223813</v>
      </c>
      <c r="E116" s="62" t="s">
        <v>110</v>
      </c>
      <c r="F116" s="64" t="s">
        <v>331</v>
      </c>
      <c r="G116" s="62">
        <v>0</v>
      </c>
      <c r="H116" s="62">
        <v>0</v>
      </c>
      <c r="I116" s="62">
        <v>0</v>
      </c>
      <c r="J116" s="62">
        <v>0</v>
      </c>
      <c r="K116" s="62">
        <v>0</v>
      </c>
      <c r="L116" s="58"/>
    </row>
    <row r="117" spans="1:12" x14ac:dyDescent="0.35">
      <c r="A117" s="62">
        <v>115</v>
      </c>
      <c r="B117" s="33" t="s">
        <v>506</v>
      </c>
      <c r="C117" s="33" t="s">
        <v>70</v>
      </c>
      <c r="D117" s="62">
        <v>212616</v>
      </c>
      <c r="E117" s="62" t="s">
        <v>425</v>
      </c>
      <c r="F117" s="64" t="s">
        <v>331</v>
      </c>
      <c r="G117" s="62"/>
      <c r="H117" s="62"/>
      <c r="I117" s="62"/>
      <c r="J117" s="62"/>
      <c r="K117" s="62">
        <v>0</v>
      </c>
      <c r="L117" s="58"/>
    </row>
    <row r="118" spans="1:12" x14ac:dyDescent="0.35">
      <c r="A118" s="62">
        <v>116</v>
      </c>
      <c r="B118" s="33" t="s">
        <v>238</v>
      </c>
      <c r="C118" s="33" t="s">
        <v>507</v>
      </c>
      <c r="D118" s="62">
        <v>137176</v>
      </c>
      <c r="E118" s="62" t="s">
        <v>100</v>
      </c>
      <c r="F118" s="64" t="s">
        <v>331</v>
      </c>
      <c r="G118" s="62">
        <v>0</v>
      </c>
      <c r="H118" s="62">
        <v>0</v>
      </c>
      <c r="I118" s="62">
        <v>0</v>
      </c>
      <c r="J118" s="62">
        <v>0</v>
      </c>
      <c r="K118" s="62">
        <v>0</v>
      </c>
      <c r="L118" s="58"/>
    </row>
    <row r="119" spans="1:12" x14ac:dyDescent="0.35">
      <c r="A119" s="62">
        <v>117</v>
      </c>
      <c r="B119" s="33" t="s">
        <v>288</v>
      </c>
      <c r="C119" s="33" t="s">
        <v>238</v>
      </c>
      <c r="D119" s="62">
        <v>197736</v>
      </c>
      <c r="E119" s="62" t="s">
        <v>162</v>
      </c>
      <c r="F119" s="64" t="s">
        <v>331</v>
      </c>
      <c r="G119" s="62">
        <v>0</v>
      </c>
      <c r="H119" s="62">
        <v>0</v>
      </c>
      <c r="I119" s="62">
        <v>0</v>
      </c>
      <c r="J119" s="62">
        <v>0</v>
      </c>
      <c r="K119" s="62">
        <v>0</v>
      </c>
      <c r="L119" s="58"/>
    </row>
    <row r="120" spans="1:12" x14ac:dyDescent="0.35">
      <c r="A120" s="62">
        <v>118</v>
      </c>
      <c r="B120" s="33" t="s">
        <v>508</v>
      </c>
      <c r="C120" s="33" t="s">
        <v>155</v>
      </c>
      <c r="D120" s="62">
        <v>135793</v>
      </c>
      <c r="E120" s="62" t="s">
        <v>167</v>
      </c>
      <c r="F120" s="64" t="s">
        <v>331</v>
      </c>
      <c r="G120" s="62">
        <v>0</v>
      </c>
      <c r="H120" s="62">
        <v>0</v>
      </c>
      <c r="I120" s="62">
        <v>0</v>
      </c>
      <c r="J120" s="62">
        <v>0</v>
      </c>
      <c r="K120" s="62">
        <v>0</v>
      </c>
      <c r="L120" s="58"/>
    </row>
    <row r="121" spans="1:12" x14ac:dyDescent="0.35">
      <c r="A121" s="62">
        <v>119</v>
      </c>
      <c r="B121" s="33" t="s">
        <v>509</v>
      </c>
      <c r="C121" s="33" t="s">
        <v>510</v>
      </c>
      <c r="D121" s="62">
        <v>156149</v>
      </c>
      <c r="E121" s="62" t="s">
        <v>50</v>
      </c>
      <c r="F121" s="64" t="s">
        <v>331</v>
      </c>
      <c r="G121" s="62">
        <v>0</v>
      </c>
      <c r="H121" s="62">
        <v>0</v>
      </c>
      <c r="I121" s="62">
        <v>0</v>
      </c>
      <c r="J121" s="62">
        <v>0</v>
      </c>
      <c r="K121" s="62">
        <v>0</v>
      </c>
      <c r="L121" s="58"/>
    </row>
    <row r="122" spans="1:12" x14ac:dyDescent="0.35">
      <c r="A122" s="62">
        <v>120</v>
      </c>
      <c r="B122" s="33" t="s">
        <v>511</v>
      </c>
      <c r="C122" s="33" t="s">
        <v>512</v>
      </c>
      <c r="D122" s="62">
        <v>190365</v>
      </c>
      <c r="E122" s="62" t="s">
        <v>85</v>
      </c>
      <c r="F122" s="64" t="s">
        <v>331</v>
      </c>
      <c r="G122" s="62">
        <v>0</v>
      </c>
      <c r="H122" s="62">
        <v>0</v>
      </c>
      <c r="I122" s="62">
        <v>0</v>
      </c>
      <c r="J122" s="62">
        <v>0</v>
      </c>
      <c r="K122" s="62">
        <v>0</v>
      </c>
      <c r="L122" s="58"/>
    </row>
    <row r="123" spans="1:12" x14ac:dyDescent="0.35">
      <c r="A123" s="62">
        <v>121</v>
      </c>
      <c r="B123" s="33" t="s">
        <v>506</v>
      </c>
      <c r="C123" s="33" t="s">
        <v>70</v>
      </c>
      <c r="D123" s="62">
        <v>212616</v>
      </c>
      <c r="E123" s="62" t="s">
        <v>425</v>
      </c>
      <c r="F123" s="64" t="s">
        <v>331</v>
      </c>
      <c r="G123" s="62">
        <v>0</v>
      </c>
      <c r="H123" s="62">
        <v>0</v>
      </c>
      <c r="I123" s="62">
        <v>0</v>
      </c>
      <c r="J123" s="62">
        <v>0</v>
      </c>
      <c r="K123" s="62">
        <v>0</v>
      </c>
      <c r="L123" s="58"/>
    </row>
    <row r="124" spans="1:12" x14ac:dyDescent="0.35">
      <c r="A124" s="62">
        <v>122</v>
      </c>
      <c r="B124" s="33" t="s">
        <v>513</v>
      </c>
      <c r="C124" s="33" t="s">
        <v>514</v>
      </c>
      <c r="D124" s="62">
        <v>215150</v>
      </c>
      <c r="E124" s="62" t="s">
        <v>515</v>
      </c>
      <c r="F124" s="64" t="s">
        <v>331</v>
      </c>
      <c r="G124" s="62">
        <v>0</v>
      </c>
      <c r="H124" s="62">
        <v>0</v>
      </c>
      <c r="I124" s="62">
        <v>0</v>
      </c>
      <c r="J124" s="62">
        <v>0</v>
      </c>
      <c r="K124" s="62">
        <v>0</v>
      </c>
      <c r="L124" s="58"/>
    </row>
    <row r="125" spans="1:12" x14ac:dyDescent="0.35">
      <c r="A125" s="62">
        <v>123</v>
      </c>
      <c r="B125" s="33" t="s">
        <v>192</v>
      </c>
      <c r="C125" s="33" t="s">
        <v>516</v>
      </c>
      <c r="D125" s="62">
        <v>220810</v>
      </c>
      <c r="E125" s="62" t="s">
        <v>517</v>
      </c>
      <c r="F125" s="64" t="s">
        <v>331</v>
      </c>
      <c r="G125" s="62"/>
      <c r="H125" s="62"/>
      <c r="I125" s="62"/>
      <c r="J125" s="62"/>
      <c r="K125" s="62">
        <v>0</v>
      </c>
      <c r="L125" s="58"/>
    </row>
    <row r="126" spans="1:12" x14ac:dyDescent="0.35">
      <c r="A126" s="62">
        <v>124</v>
      </c>
      <c r="B126" s="33" t="s">
        <v>319</v>
      </c>
      <c r="C126" s="33" t="s">
        <v>518</v>
      </c>
      <c r="D126" s="62">
        <v>209225</v>
      </c>
      <c r="E126" s="62" t="s">
        <v>218</v>
      </c>
      <c r="F126" s="64" t="s">
        <v>331</v>
      </c>
      <c r="G126" s="62">
        <v>0</v>
      </c>
      <c r="H126" s="62">
        <v>0</v>
      </c>
      <c r="I126" s="62">
        <v>0</v>
      </c>
      <c r="J126" s="62">
        <v>0</v>
      </c>
      <c r="K126" s="62">
        <v>0</v>
      </c>
      <c r="L126" s="58"/>
    </row>
    <row r="127" spans="1:12" x14ac:dyDescent="0.35">
      <c r="A127" s="62">
        <v>125</v>
      </c>
      <c r="B127" s="33" t="s">
        <v>519</v>
      </c>
      <c r="C127" s="33" t="s">
        <v>520</v>
      </c>
      <c r="D127" s="62">
        <v>225262</v>
      </c>
      <c r="E127" s="62" t="s">
        <v>221</v>
      </c>
      <c r="F127" s="64" t="s">
        <v>331</v>
      </c>
      <c r="G127" s="62">
        <v>0</v>
      </c>
      <c r="H127" s="62">
        <v>0</v>
      </c>
      <c r="I127" s="62">
        <v>0</v>
      </c>
      <c r="J127" s="62">
        <v>0</v>
      </c>
      <c r="K127" s="62">
        <v>0</v>
      </c>
      <c r="L127" s="58"/>
    </row>
    <row r="128" spans="1:12" x14ac:dyDescent="0.35">
      <c r="A128" s="62">
        <v>126</v>
      </c>
      <c r="B128" s="33" t="s">
        <v>323</v>
      </c>
      <c r="C128" s="33" t="s">
        <v>339</v>
      </c>
      <c r="D128" s="62">
        <v>108075</v>
      </c>
      <c r="E128" s="62" t="s">
        <v>521</v>
      </c>
      <c r="F128" s="64" t="s">
        <v>331</v>
      </c>
      <c r="G128" s="62">
        <v>0</v>
      </c>
      <c r="H128" s="62">
        <v>0</v>
      </c>
      <c r="I128" s="62">
        <v>0</v>
      </c>
      <c r="J128" s="62">
        <v>0</v>
      </c>
      <c r="K128" s="62">
        <v>0</v>
      </c>
      <c r="L128" s="58"/>
    </row>
    <row r="129" spans="1:12" x14ac:dyDescent="0.35">
      <c r="A129" s="62">
        <v>127</v>
      </c>
      <c r="B129" s="33" t="s">
        <v>522</v>
      </c>
      <c r="C129" s="33" t="s">
        <v>523</v>
      </c>
      <c r="D129" s="62">
        <v>225277</v>
      </c>
      <c r="E129" s="62" t="s">
        <v>524</v>
      </c>
      <c r="F129" s="64" t="s">
        <v>331</v>
      </c>
      <c r="G129" s="62">
        <v>0</v>
      </c>
      <c r="H129" s="62">
        <v>0</v>
      </c>
      <c r="I129" s="62">
        <v>0</v>
      </c>
      <c r="J129" s="62">
        <v>0</v>
      </c>
      <c r="K129" s="62">
        <v>0</v>
      </c>
      <c r="L129" s="58"/>
    </row>
    <row r="130" spans="1:12" x14ac:dyDescent="0.35">
      <c r="A130" s="62">
        <v>128</v>
      </c>
      <c r="B130" s="33" t="s">
        <v>153</v>
      </c>
      <c r="C130" s="33" t="s">
        <v>332</v>
      </c>
      <c r="D130" s="62">
        <v>136864</v>
      </c>
      <c r="E130" s="62">
        <v>21</v>
      </c>
      <c r="F130" s="64" t="s">
        <v>331</v>
      </c>
      <c r="G130" s="62">
        <v>0</v>
      </c>
      <c r="H130" s="62">
        <v>0</v>
      </c>
      <c r="I130" s="62">
        <v>0</v>
      </c>
      <c r="J130" s="62">
        <v>0</v>
      </c>
      <c r="K130" s="62">
        <v>0</v>
      </c>
      <c r="L130" s="58"/>
    </row>
    <row r="131" spans="1:12" x14ac:dyDescent="0.35">
      <c r="A131" s="62">
        <v>129</v>
      </c>
      <c r="B131" s="33" t="s">
        <v>525</v>
      </c>
      <c r="C131" s="33" t="s">
        <v>18</v>
      </c>
      <c r="D131" s="62">
        <v>122643</v>
      </c>
      <c r="E131" s="62" t="s">
        <v>526</v>
      </c>
      <c r="F131" s="64" t="s">
        <v>331</v>
      </c>
      <c r="G131" s="62">
        <v>0</v>
      </c>
      <c r="H131" s="62">
        <v>0</v>
      </c>
      <c r="I131" s="62">
        <v>0</v>
      </c>
      <c r="J131" s="62">
        <v>0</v>
      </c>
      <c r="K131" s="62">
        <v>0</v>
      </c>
      <c r="L131" s="58"/>
    </row>
    <row r="132" spans="1:12" x14ac:dyDescent="0.35">
      <c r="A132" s="62">
        <v>130</v>
      </c>
      <c r="B132" s="33" t="s">
        <v>527</v>
      </c>
      <c r="C132" s="33" t="s">
        <v>528</v>
      </c>
      <c r="D132" s="62">
        <v>129369</v>
      </c>
      <c r="E132" s="62" t="s">
        <v>169</v>
      </c>
      <c r="F132" s="64" t="s">
        <v>331</v>
      </c>
      <c r="G132" s="62">
        <v>0</v>
      </c>
      <c r="H132" s="62">
        <v>0</v>
      </c>
      <c r="I132" s="62">
        <v>0</v>
      </c>
      <c r="J132" s="62">
        <v>0</v>
      </c>
      <c r="K132" s="62">
        <v>0</v>
      </c>
      <c r="L132" s="58"/>
    </row>
    <row r="133" spans="1:12" x14ac:dyDescent="0.35">
      <c r="A133" s="62">
        <v>131</v>
      </c>
      <c r="B133" s="33" t="s">
        <v>249</v>
      </c>
      <c r="C133" s="33" t="s">
        <v>529</v>
      </c>
      <c r="D133" s="62">
        <v>208168</v>
      </c>
      <c r="E133" s="62" t="s">
        <v>152</v>
      </c>
      <c r="F133" s="64" t="s">
        <v>331</v>
      </c>
      <c r="G133" s="62"/>
      <c r="H133" s="62"/>
      <c r="I133" s="62"/>
      <c r="J133" s="62"/>
      <c r="K133" s="62">
        <v>0</v>
      </c>
      <c r="L133" s="58"/>
    </row>
    <row r="134" spans="1:12" x14ac:dyDescent="0.35">
      <c r="A134" s="62">
        <v>132</v>
      </c>
      <c r="B134" s="33" t="s">
        <v>530</v>
      </c>
      <c r="C134" s="33" t="s">
        <v>531</v>
      </c>
      <c r="D134" s="62">
        <v>160730</v>
      </c>
      <c r="E134" s="62" t="s">
        <v>155</v>
      </c>
      <c r="F134" s="64" t="s">
        <v>331</v>
      </c>
      <c r="G134" s="62">
        <v>0</v>
      </c>
      <c r="H134" s="62">
        <v>0</v>
      </c>
      <c r="I134" s="62">
        <v>0</v>
      </c>
      <c r="J134" s="62">
        <v>0</v>
      </c>
      <c r="K134" s="62">
        <v>0</v>
      </c>
      <c r="L134" s="58"/>
    </row>
    <row r="135" spans="1:12" x14ac:dyDescent="0.35">
      <c r="A135" s="62">
        <v>133</v>
      </c>
      <c r="B135" s="33" t="s">
        <v>274</v>
      </c>
      <c r="C135" s="33" t="s">
        <v>159</v>
      </c>
      <c r="D135" s="62">
        <v>155185</v>
      </c>
      <c r="E135" s="62" t="s">
        <v>371</v>
      </c>
      <c r="F135" s="64" t="s">
        <v>331</v>
      </c>
      <c r="G135" s="62">
        <v>0</v>
      </c>
      <c r="H135" s="62">
        <v>0</v>
      </c>
      <c r="I135" s="62">
        <v>0</v>
      </c>
      <c r="J135" s="62">
        <v>0</v>
      </c>
      <c r="K135" s="62">
        <v>0</v>
      </c>
      <c r="L135" s="58"/>
    </row>
    <row r="136" spans="1:12" x14ac:dyDescent="0.35">
      <c r="A136" s="62">
        <v>134</v>
      </c>
      <c r="B136" s="33" t="s">
        <v>295</v>
      </c>
      <c r="C136" s="33" t="s">
        <v>532</v>
      </c>
      <c r="D136" s="62">
        <v>90980</v>
      </c>
      <c r="E136" s="62" t="s">
        <v>148</v>
      </c>
      <c r="F136" s="64" t="s">
        <v>331</v>
      </c>
      <c r="G136" s="62"/>
      <c r="H136" s="62"/>
      <c r="I136" s="62"/>
      <c r="J136" s="62"/>
      <c r="K136" s="62">
        <v>0</v>
      </c>
      <c r="L136" s="58"/>
    </row>
    <row r="137" spans="1:12" x14ac:dyDescent="0.35">
      <c r="A137" s="62">
        <v>135</v>
      </c>
      <c r="B137" s="33" t="s">
        <v>154</v>
      </c>
      <c r="C137" s="33" t="s">
        <v>467</v>
      </c>
      <c r="D137" s="62">
        <v>123975</v>
      </c>
      <c r="E137" s="62" t="s">
        <v>59</v>
      </c>
      <c r="F137" s="64" t="s">
        <v>331</v>
      </c>
      <c r="G137" s="62">
        <v>0</v>
      </c>
      <c r="H137" s="62">
        <v>0</v>
      </c>
      <c r="I137" s="62">
        <v>0</v>
      </c>
      <c r="J137" s="62">
        <v>0</v>
      </c>
      <c r="K137" s="62">
        <v>0</v>
      </c>
      <c r="L137" s="58"/>
    </row>
    <row r="138" spans="1:12" x14ac:dyDescent="0.35">
      <c r="A138" s="62">
        <v>136</v>
      </c>
      <c r="B138" s="33" t="s">
        <v>533</v>
      </c>
      <c r="C138" s="33" t="s">
        <v>534</v>
      </c>
      <c r="D138" s="62">
        <v>155185</v>
      </c>
      <c r="E138" s="62" t="s">
        <v>15</v>
      </c>
      <c r="F138" s="64" t="s">
        <v>331</v>
      </c>
      <c r="G138" s="62">
        <v>0</v>
      </c>
      <c r="H138" s="62">
        <v>0</v>
      </c>
      <c r="I138" s="62">
        <v>0</v>
      </c>
      <c r="J138" s="62">
        <v>0</v>
      </c>
      <c r="K138" s="62">
        <v>0</v>
      </c>
      <c r="L138" s="58"/>
    </row>
    <row r="139" spans="1:12" x14ac:dyDescent="0.35">
      <c r="A139" s="62">
        <v>137</v>
      </c>
      <c r="B139" s="33" t="s">
        <v>535</v>
      </c>
      <c r="C139" s="33" t="s">
        <v>199</v>
      </c>
      <c r="D139" s="62">
        <v>26571</v>
      </c>
      <c r="E139" s="62">
        <v>21</v>
      </c>
      <c r="F139" s="64" t="s">
        <v>331</v>
      </c>
      <c r="G139" s="62">
        <v>0</v>
      </c>
      <c r="H139" s="62">
        <v>0</v>
      </c>
      <c r="I139" s="62">
        <v>0</v>
      </c>
      <c r="J139" s="62">
        <v>0</v>
      </c>
      <c r="K139" s="62">
        <v>0</v>
      </c>
      <c r="L139" s="58"/>
    </row>
    <row r="140" spans="1:12" x14ac:dyDescent="0.35">
      <c r="A140" s="62">
        <v>138</v>
      </c>
      <c r="B140" s="33" t="s">
        <v>33</v>
      </c>
      <c r="C140" s="33" t="s">
        <v>414</v>
      </c>
      <c r="D140" s="62">
        <v>225424</v>
      </c>
      <c r="E140" s="62" t="s">
        <v>524</v>
      </c>
      <c r="F140" s="64" t="s">
        <v>331</v>
      </c>
      <c r="G140" s="62">
        <v>0</v>
      </c>
      <c r="H140" s="62">
        <v>0</v>
      </c>
      <c r="I140" s="62">
        <v>0</v>
      </c>
      <c r="J140" s="62">
        <v>0</v>
      </c>
      <c r="K140" s="62">
        <v>0</v>
      </c>
      <c r="L140" s="58"/>
    </row>
    <row r="141" spans="1:12" x14ac:dyDescent="0.35">
      <c r="A141" s="62">
        <v>139</v>
      </c>
      <c r="B141" s="33" t="s">
        <v>536</v>
      </c>
      <c r="C141" s="33" t="s">
        <v>537</v>
      </c>
      <c r="D141" s="62">
        <v>182232</v>
      </c>
      <c r="E141" s="62"/>
      <c r="F141" s="64" t="s">
        <v>331</v>
      </c>
      <c r="G141" s="62">
        <v>0</v>
      </c>
      <c r="H141" s="62">
        <v>0</v>
      </c>
      <c r="I141" s="62">
        <v>0</v>
      </c>
      <c r="J141" s="62">
        <v>0</v>
      </c>
      <c r="K141" s="62">
        <v>0</v>
      </c>
      <c r="L141" s="58"/>
    </row>
    <row r="142" spans="1:12" x14ac:dyDescent="0.35">
      <c r="A142" s="62">
        <v>140</v>
      </c>
      <c r="B142" s="33" t="s">
        <v>251</v>
      </c>
      <c r="C142" s="33" t="s">
        <v>538</v>
      </c>
      <c r="D142" s="62">
        <v>209900</v>
      </c>
      <c r="E142" s="62" t="s">
        <v>310</v>
      </c>
      <c r="F142" s="64" t="s">
        <v>331</v>
      </c>
      <c r="G142" s="62"/>
      <c r="H142" s="62"/>
      <c r="I142" s="62"/>
      <c r="J142" s="62"/>
      <c r="K142" s="62">
        <v>0</v>
      </c>
      <c r="L142" s="58"/>
    </row>
    <row r="143" spans="1:12" x14ac:dyDescent="0.35">
      <c r="A143" s="62">
        <v>141</v>
      </c>
      <c r="B143" s="33" t="s">
        <v>303</v>
      </c>
      <c r="C143" s="33" t="s">
        <v>123</v>
      </c>
      <c r="D143" s="62">
        <v>200640</v>
      </c>
      <c r="E143" s="62" t="s">
        <v>240</v>
      </c>
      <c r="F143" s="64" t="s">
        <v>331</v>
      </c>
      <c r="G143" s="62">
        <v>0</v>
      </c>
      <c r="H143" s="62">
        <v>0</v>
      </c>
      <c r="I143" s="62">
        <v>0</v>
      </c>
      <c r="J143" s="62">
        <v>0</v>
      </c>
      <c r="K143" s="62">
        <v>0</v>
      </c>
      <c r="L143" s="58"/>
    </row>
    <row r="144" spans="1:12" x14ac:dyDescent="0.35">
      <c r="A144" s="62">
        <v>142</v>
      </c>
      <c r="B144" s="33" t="s">
        <v>332</v>
      </c>
      <c r="C144" s="33" t="s">
        <v>539</v>
      </c>
      <c r="D144" s="62">
        <v>216687</v>
      </c>
      <c r="E144" s="62" t="s">
        <v>157</v>
      </c>
      <c r="F144" s="64" t="s">
        <v>331</v>
      </c>
      <c r="G144" s="62">
        <v>0</v>
      </c>
      <c r="H144" s="62">
        <v>0</v>
      </c>
      <c r="I144" s="62">
        <v>0</v>
      </c>
      <c r="J144" s="62">
        <v>0</v>
      </c>
      <c r="K144" s="62">
        <v>0</v>
      </c>
      <c r="L144" s="58"/>
    </row>
    <row r="145" spans="1:12" x14ac:dyDescent="0.35">
      <c r="A145" s="62">
        <v>143</v>
      </c>
      <c r="B145" s="33" t="s">
        <v>540</v>
      </c>
      <c r="C145" s="33" t="s">
        <v>541</v>
      </c>
      <c r="D145" s="62">
        <v>174761</v>
      </c>
      <c r="E145" s="62" t="s">
        <v>88</v>
      </c>
      <c r="F145" s="64" t="s">
        <v>331</v>
      </c>
      <c r="G145" s="62">
        <v>0</v>
      </c>
      <c r="H145" s="62">
        <v>0</v>
      </c>
      <c r="I145" s="62">
        <v>0</v>
      </c>
      <c r="J145" s="62">
        <v>0</v>
      </c>
      <c r="K145" s="62">
        <v>0</v>
      </c>
      <c r="L145" s="58"/>
    </row>
    <row r="146" spans="1:12" x14ac:dyDescent="0.35">
      <c r="A146" s="62">
        <v>144</v>
      </c>
      <c r="B146" s="33" t="s">
        <v>542</v>
      </c>
      <c r="C146" s="33" t="s">
        <v>543</v>
      </c>
      <c r="D146" s="62">
        <v>220571</v>
      </c>
      <c r="E146" s="62" t="s">
        <v>517</v>
      </c>
      <c r="F146" s="64" t="s">
        <v>331</v>
      </c>
      <c r="G146" s="62">
        <v>0</v>
      </c>
      <c r="H146" s="62">
        <v>0</v>
      </c>
      <c r="I146" s="62">
        <v>0</v>
      </c>
      <c r="J146" s="62">
        <v>0</v>
      </c>
      <c r="K146" s="62">
        <v>0</v>
      </c>
      <c r="L146" s="58"/>
    </row>
    <row r="147" spans="1:12" x14ac:dyDescent="0.35">
      <c r="A147" s="62">
        <v>145</v>
      </c>
      <c r="B147" s="33" t="s">
        <v>544</v>
      </c>
      <c r="C147" s="33" t="s">
        <v>545</v>
      </c>
      <c r="D147" s="62">
        <v>127374</v>
      </c>
      <c r="E147" s="62" t="s">
        <v>62</v>
      </c>
      <c r="F147" s="64" t="s">
        <v>331</v>
      </c>
      <c r="G147" s="62">
        <v>0</v>
      </c>
      <c r="H147" s="62">
        <v>0</v>
      </c>
      <c r="I147" s="62">
        <v>0</v>
      </c>
      <c r="J147" s="62">
        <v>0</v>
      </c>
      <c r="K147" s="62">
        <v>0</v>
      </c>
      <c r="L147" s="58"/>
    </row>
    <row r="148" spans="1:12" x14ac:dyDescent="0.35">
      <c r="A148" s="62">
        <v>146</v>
      </c>
      <c r="B148" s="33" t="s">
        <v>546</v>
      </c>
      <c r="C148" s="33" t="s">
        <v>516</v>
      </c>
      <c r="D148" s="62">
        <v>127375</v>
      </c>
      <c r="E148" s="62" t="s">
        <v>517</v>
      </c>
      <c r="F148" s="64" t="s">
        <v>331</v>
      </c>
      <c r="G148" s="62">
        <v>0</v>
      </c>
      <c r="H148" s="62">
        <v>0</v>
      </c>
      <c r="I148" s="62">
        <v>0</v>
      </c>
      <c r="J148" s="62">
        <v>0</v>
      </c>
      <c r="K148" s="62">
        <v>0</v>
      </c>
      <c r="L148" s="58"/>
    </row>
    <row r="149" spans="1:12" x14ac:dyDescent="0.35">
      <c r="A149" s="62">
        <v>147</v>
      </c>
      <c r="B149" s="33" t="s">
        <v>547</v>
      </c>
      <c r="C149" s="33" t="s">
        <v>548</v>
      </c>
      <c r="D149" s="62">
        <v>187283</v>
      </c>
      <c r="E149" s="62">
        <v>69</v>
      </c>
      <c r="F149" s="64" t="s">
        <v>331</v>
      </c>
      <c r="G149" s="62">
        <v>0</v>
      </c>
      <c r="H149" s="62">
        <v>0</v>
      </c>
      <c r="I149" s="62">
        <v>0</v>
      </c>
      <c r="J149" s="62">
        <v>0</v>
      </c>
      <c r="K149" s="62">
        <v>0</v>
      </c>
      <c r="L149" s="58"/>
    </row>
    <row r="150" spans="1:12" x14ac:dyDescent="0.35">
      <c r="A150" s="62">
        <v>148</v>
      </c>
      <c r="B150" s="33" t="s">
        <v>217</v>
      </c>
      <c r="C150" s="33" t="s">
        <v>549</v>
      </c>
      <c r="D150" s="62">
        <v>160228</v>
      </c>
      <c r="E150" s="62">
        <v>97</v>
      </c>
      <c r="F150" s="64" t="s">
        <v>331</v>
      </c>
      <c r="G150" s="62">
        <v>0</v>
      </c>
      <c r="H150" s="62">
        <v>0</v>
      </c>
      <c r="I150" s="62">
        <v>0</v>
      </c>
      <c r="J150" s="62">
        <v>0</v>
      </c>
      <c r="K150" s="62">
        <v>0</v>
      </c>
      <c r="L150" s="58"/>
    </row>
    <row r="151" spans="1:12" x14ac:dyDescent="0.35">
      <c r="A151" s="62">
        <v>149</v>
      </c>
      <c r="B151" s="33" t="s">
        <v>319</v>
      </c>
      <c r="C151" s="33" t="s">
        <v>550</v>
      </c>
      <c r="D151" s="62">
        <v>225381</v>
      </c>
      <c r="E151" s="62" t="s">
        <v>524</v>
      </c>
      <c r="F151" s="64" t="s">
        <v>331</v>
      </c>
      <c r="G151" s="62">
        <v>0</v>
      </c>
      <c r="H151" s="62">
        <v>0</v>
      </c>
      <c r="I151" s="62">
        <v>0</v>
      </c>
      <c r="J151" s="62">
        <v>0</v>
      </c>
      <c r="K151" s="62">
        <v>0</v>
      </c>
      <c r="L151" s="58"/>
    </row>
    <row r="152" spans="1:12" x14ac:dyDescent="0.35">
      <c r="A152" s="62">
        <v>150</v>
      </c>
      <c r="B152" s="33" t="s">
        <v>551</v>
      </c>
      <c r="C152" s="33" t="s">
        <v>350</v>
      </c>
      <c r="D152" s="62">
        <v>122490</v>
      </c>
      <c r="E152" s="62" t="s">
        <v>526</v>
      </c>
      <c r="F152" s="64" t="s">
        <v>331</v>
      </c>
      <c r="G152" s="62">
        <v>0</v>
      </c>
      <c r="H152" s="62">
        <v>0</v>
      </c>
      <c r="I152" s="62">
        <v>0</v>
      </c>
      <c r="J152" s="62">
        <v>0</v>
      </c>
      <c r="K152" s="62">
        <v>0</v>
      </c>
      <c r="L152" s="58"/>
    </row>
    <row r="153" spans="1:12" x14ac:dyDescent="0.35">
      <c r="A153" s="62">
        <v>151</v>
      </c>
      <c r="B153" s="33" t="s">
        <v>552</v>
      </c>
      <c r="C153" s="33" t="s">
        <v>203</v>
      </c>
      <c r="D153" s="62">
        <v>154872</v>
      </c>
      <c r="E153" s="62" t="s">
        <v>181</v>
      </c>
      <c r="F153" s="64" t="s">
        <v>331</v>
      </c>
      <c r="G153" s="62">
        <v>0</v>
      </c>
      <c r="H153" s="62">
        <v>0</v>
      </c>
      <c r="I153" s="62">
        <v>0</v>
      </c>
      <c r="J153" s="62">
        <v>0</v>
      </c>
      <c r="K153" s="62">
        <v>0</v>
      </c>
      <c r="L153" s="58"/>
    </row>
    <row r="154" spans="1:12" x14ac:dyDescent="0.35">
      <c r="A154" s="62">
        <v>152</v>
      </c>
      <c r="B154" s="33" t="s">
        <v>553</v>
      </c>
      <c r="C154" s="33" t="s">
        <v>554</v>
      </c>
      <c r="D154" s="62">
        <v>194240</v>
      </c>
      <c r="E154" s="62" t="s">
        <v>475</v>
      </c>
      <c r="F154" s="64" t="s">
        <v>331</v>
      </c>
      <c r="G154" s="62"/>
      <c r="H154" s="62"/>
      <c r="I154" s="62"/>
      <c r="J154" s="62"/>
      <c r="K154" s="62">
        <v>0</v>
      </c>
      <c r="L154" s="58"/>
    </row>
    <row r="155" spans="1:12" x14ac:dyDescent="0.35">
      <c r="A155" s="62">
        <v>153</v>
      </c>
      <c r="B155" s="33" t="s">
        <v>24</v>
      </c>
      <c r="C155" s="33" t="s">
        <v>555</v>
      </c>
      <c r="D155" s="62">
        <v>163966</v>
      </c>
      <c r="E155" s="62" t="s">
        <v>130</v>
      </c>
      <c r="F155" s="64" t="s">
        <v>331</v>
      </c>
      <c r="G155" s="62">
        <v>0</v>
      </c>
      <c r="H155" s="62">
        <v>0</v>
      </c>
      <c r="I155" s="62">
        <v>0</v>
      </c>
      <c r="J155" s="62">
        <v>0</v>
      </c>
      <c r="K155" s="62">
        <v>0</v>
      </c>
      <c r="L155" s="58"/>
    </row>
    <row r="156" spans="1:12" x14ac:dyDescent="0.35">
      <c r="A156" s="62">
        <v>154</v>
      </c>
      <c r="B156" s="33" t="s">
        <v>556</v>
      </c>
      <c r="C156" s="33" t="s">
        <v>77</v>
      </c>
      <c r="D156" s="62">
        <v>212299</v>
      </c>
      <c r="E156" s="62" t="s">
        <v>155</v>
      </c>
      <c r="F156" s="64" t="s">
        <v>331</v>
      </c>
      <c r="G156" s="62">
        <v>0</v>
      </c>
      <c r="H156" s="62">
        <v>0</v>
      </c>
      <c r="I156" s="62">
        <v>0</v>
      </c>
      <c r="J156" s="62">
        <v>0</v>
      </c>
      <c r="K156" s="62">
        <v>0</v>
      </c>
      <c r="L156" s="58"/>
    </row>
    <row r="157" spans="1:12" x14ac:dyDescent="0.35">
      <c r="A157" s="62">
        <v>155</v>
      </c>
      <c r="B157" s="33" t="s">
        <v>557</v>
      </c>
      <c r="C157" s="33" t="s">
        <v>295</v>
      </c>
      <c r="D157" s="62">
        <v>225250</v>
      </c>
      <c r="E157" s="62">
        <v>120</v>
      </c>
      <c r="F157" s="64" t="s">
        <v>331</v>
      </c>
      <c r="G157" s="62">
        <v>0</v>
      </c>
      <c r="H157" s="62">
        <v>0</v>
      </c>
      <c r="I157" s="62">
        <v>0</v>
      </c>
      <c r="J157" s="62">
        <v>0</v>
      </c>
      <c r="K157" s="62">
        <v>0</v>
      </c>
      <c r="L157" s="58"/>
    </row>
    <row r="158" spans="1:12" x14ac:dyDescent="0.35">
      <c r="A158" s="62">
        <v>156</v>
      </c>
      <c r="B158" s="33" t="s">
        <v>251</v>
      </c>
      <c r="C158" s="33" t="s">
        <v>558</v>
      </c>
      <c r="D158" s="62">
        <v>84189</v>
      </c>
      <c r="E158" s="62" t="s">
        <v>193</v>
      </c>
      <c r="F158" s="64" t="s">
        <v>331</v>
      </c>
      <c r="G158" s="62">
        <v>0</v>
      </c>
      <c r="H158" s="62">
        <v>0</v>
      </c>
      <c r="I158" s="62">
        <v>0</v>
      </c>
      <c r="J158" s="62">
        <v>0</v>
      </c>
      <c r="K158" s="62">
        <v>0</v>
      </c>
      <c r="L158" s="58"/>
    </row>
    <row r="159" spans="1:12" x14ac:dyDescent="0.35">
      <c r="A159" s="62">
        <v>157</v>
      </c>
      <c r="B159" s="33" t="s">
        <v>84</v>
      </c>
      <c r="C159" s="33" t="s">
        <v>253</v>
      </c>
      <c r="D159" s="63">
        <v>197715</v>
      </c>
      <c r="E159" s="62" t="s">
        <v>162</v>
      </c>
      <c r="F159" s="64" t="s">
        <v>331</v>
      </c>
      <c r="G159" s="62">
        <v>0</v>
      </c>
      <c r="H159" s="62">
        <v>0</v>
      </c>
      <c r="I159" s="62">
        <v>0</v>
      </c>
      <c r="J159" s="62">
        <v>0</v>
      </c>
      <c r="K159" s="62">
        <v>0</v>
      </c>
      <c r="L159" s="58"/>
    </row>
    <row r="160" spans="1:12" x14ac:dyDescent="0.35">
      <c r="A160" s="62">
        <v>158</v>
      </c>
      <c r="B160" s="33" t="s">
        <v>462</v>
      </c>
      <c r="C160" s="33" t="s">
        <v>559</v>
      </c>
      <c r="D160" s="63">
        <v>139766</v>
      </c>
      <c r="E160" s="62" t="s">
        <v>100</v>
      </c>
      <c r="F160" s="64" t="s">
        <v>331</v>
      </c>
      <c r="G160" s="62">
        <v>0</v>
      </c>
      <c r="H160" s="62">
        <v>0</v>
      </c>
      <c r="I160" s="62">
        <v>0</v>
      </c>
      <c r="J160" s="62">
        <v>0</v>
      </c>
      <c r="K160" s="62">
        <v>0</v>
      </c>
      <c r="L160" s="58"/>
    </row>
    <row r="161" spans="1:12" x14ac:dyDescent="0.35">
      <c r="A161" s="62">
        <v>159</v>
      </c>
      <c r="B161" s="70" t="s">
        <v>229</v>
      </c>
      <c r="C161" s="70" t="s">
        <v>560</v>
      </c>
      <c r="D161" s="66">
        <v>139477</v>
      </c>
      <c r="E161" s="65" t="s">
        <v>19</v>
      </c>
      <c r="F161" s="64" t="s">
        <v>331</v>
      </c>
      <c r="G161" s="62">
        <v>0</v>
      </c>
      <c r="H161" s="62">
        <v>0</v>
      </c>
      <c r="I161" s="62">
        <v>0</v>
      </c>
      <c r="J161" s="62">
        <v>0</v>
      </c>
      <c r="K161" s="62">
        <v>0</v>
      </c>
      <c r="L161" s="58"/>
    </row>
    <row r="162" spans="1:12" x14ac:dyDescent="0.35">
      <c r="A162" s="62">
        <v>160</v>
      </c>
      <c r="B162" s="33" t="s">
        <v>24</v>
      </c>
      <c r="C162" s="33" t="s">
        <v>561</v>
      </c>
      <c r="D162" s="63">
        <v>124055</v>
      </c>
      <c r="E162" s="62" t="s">
        <v>59</v>
      </c>
      <c r="F162" s="64" t="s">
        <v>331</v>
      </c>
      <c r="G162" s="62">
        <v>0</v>
      </c>
      <c r="H162" s="62">
        <v>0</v>
      </c>
      <c r="I162" s="62">
        <v>0</v>
      </c>
      <c r="J162" s="62">
        <v>0</v>
      </c>
      <c r="K162" s="62">
        <v>0</v>
      </c>
      <c r="L162" s="58"/>
    </row>
    <row r="163" spans="1:12" x14ac:dyDescent="0.35">
      <c r="A163" s="62">
        <v>161</v>
      </c>
      <c r="B163" s="33" t="s">
        <v>562</v>
      </c>
      <c r="C163" s="33" t="s">
        <v>563</v>
      </c>
      <c r="D163" s="63">
        <v>110960</v>
      </c>
      <c r="E163" s="62" t="s">
        <v>110</v>
      </c>
      <c r="F163" s="64" t="s">
        <v>331</v>
      </c>
      <c r="G163" s="62">
        <v>0</v>
      </c>
      <c r="H163" s="62">
        <v>0</v>
      </c>
      <c r="I163" s="62">
        <v>0</v>
      </c>
      <c r="J163" s="62">
        <v>0</v>
      </c>
      <c r="K163" s="62">
        <v>0</v>
      </c>
      <c r="L163" s="58"/>
    </row>
    <row r="164" spans="1:12" x14ac:dyDescent="0.35">
      <c r="A164" s="62">
        <v>162</v>
      </c>
      <c r="B164" s="33" t="s">
        <v>564</v>
      </c>
      <c r="C164" s="33" t="s">
        <v>565</v>
      </c>
      <c r="D164" s="63">
        <v>208201</v>
      </c>
      <c r="E164" s="62">
        <v>147</v>
      </c>
      <c r="F164" s="64" t="s">
        <v>331</v>
      </c>
      <c r="G164" s="62">
        <v>0</v>
      </c>
      <c r="H164" s="62">
        <v>0</v>
      </c>
      <c r="I164" s="62">
        <v>0</v>
      </c>
      <c r="J164" s="62">
        <v>0</v>
      </c>
      <c r="K164" s="62">
        <v>0</v>
      </c>
      <c r="L164" s="58"/>
    </row>
    <row r="165" spans="1:12" x14ac:dyDescent="0.35">
      <c r="A165" s="62">
        <v>163</v>
      </c>
      <c r="B165" s="33" t="s">
        <v>566</v>
      </c>
      <c r="C165" s="33" t="s">
        <v>567</v>
      </c>
      <c r="D165" s="63">
        <v>192231</v>
      </c>
      <c r="E165" s="62" t="s">
        <v>167</v>
      </c>
      <c r="F165" s="64" t="s">
        <v>331</v>
      </c>
      <c r="G165" s="62">
        <v>0</v>
      </c>
      <c r="H165" s="62">
        <v>0</v>
      </c>
      <c r="I165" s="62">
        <v>0</v>
      </c>
      <c r="J165" s="62">
        <v>0</v>
      </c>
      <c r="K165" s="62">
        <v>0</v>
      </c>
      <c r="L165" s="58"/>
    </row>
    <row r="166" spans="1:12" x14ac:dyDescent="0.35">
      <c r="A166" s="62">
        <v>164</v>
      </c>
      <c r="B166" s="33" t="s">
        <v>134</v>
      </c>
      <c r="C166" s="33" t="s">
        <v>568</v>
      </c>
      <c r="D166" s="63">
        <v>128177</v>
      </c>
      <c r="E166" s="62" t="s">
        <v>169</v>
      </c>
      <c r="F166" s="64" t="s">
        <v>331</v>
      </c>
      <c r="G166" s="62">
        <v>0</v>
      </c>
      <c r="H166" s="62">
        <v>0</v>
      </c>
      <c r="I166" s="62">
        <v>0</v>
      </c>
      <c r="J166" s="62">
        <v>0</v>
      </c>
      <c r="K166" s="62">
        <v>0</v>
      </c>
      <c r="L166" s="58"/>
    </row>
    <row r="167" spans="1:12" x14ac:dyDescent="0.35">
      <c r="A167" s="62">
        <v>165</v>
      </c>
      <c r="B167" s="33" t="s">
        <v>569</v>
      </c>
      <c r="C167" s="33" t="s">
        <v>570</v>
      </c>
      <c r="D167" s="63">
        <v>153576</v>
      </c>
      <c r="E167" s="62">
        <v>33</v>
      </c>
      <c r="F167" s="64" t="s">
        <v>331</v>
      </c>
      <c r="G167" s="62">
        <v>0</v>
      </c>
      <c r="H167" s="62">
        <v>0</v>
      </c>
      <c r="I167" s="62">
        <v>0</v>
      </c>
      <c r="J167" s="62">
        <v>0</v>
      </c>
      <c r="K167" s="62">
        <v>0</v>
      </c>
      <c r="L167" s="58"/>
    </row>
    <row r="168" spans="1:12" x14ac:dyDescent="0.35">
      <c r="A168" s="62">
        <v>166</v>
      </c>
      <c r="B168" s="33" t="s">
        <v>424</v>
      </c>
      <c r="C168" s="33" t="s">
        <v>77</v>
      </c>
      <c r="D168" s="63">
        <v>212468</v>
      </c>
      <c r="E168" s="62" t="s">
        <v>155</v>
      </c>
      <c r="F168" s="64" t="s">
        <v>331</v>
      </c>
      <c r="G168" s="62">
        <v>0</v>
      </c>
      <c r="H168" s="62">
        <v>0</v>
      </c>
      <c r="I168" s="62">
        <v>0</v>
      </c>
      <c r="J168" s="62">
        <v>0</v>
      </c>
      <c r="K168" s="62">
        <v>0</v>
      </c>
      <c r="L168" s="58"/>
    </row>
    <row r="169" spans="1:12" x14ac:dyDescent="0.35">
      <c r="A169" s="62">
        <v>167</v>
      </c>
      <c r="B169" s="33" t="s">
        <v>571</v>
      </c>
      <c r="C169" s="33" t="s">
        <v>572</v>
      </c>
      <c r="D169" s="63">
        <v>108381</v>
      </c>
      <c r="E169" s="62">
        <v>155</v>
      </c>
      <c r="F169" s="64" t="s">
        <v>331</v>
      </c>
      <c r="G169" s="62">
        <v>0</v>
      </c>
      <c r="H169" s="62">
        <v>0</v>
      </c>
      <c r="I169" s="62">
        <v>0</v>
      </c>
      <c r="J169" s="62">
        <v>0</v>
      </c>
      <c r="K169" s="62">
        <v>0</v>
      </c>
      <c r="L169" s="58"/>
    </row>
    <row r="170" spans="1:12" x14ac:dyDescent="0.35">
      <c r="A170" s="62">
        <v>168</v>
      </c>
      <c r="B170" s="33" t="s">
        <v>27</v>
      </c>
      <c r="C170" s="33" t="s">
        <v>573</v>
      </c>
      <c r="D170" s="63">
        <v>202972</v>
      </c>
      <c r="E170" s="62">
        <v>68</v>
      </c>
      <c r="F170" s="64" t="s">
        <v>331</v>
      </c>
      <c r="G170" s="62">
        <v>0</v>
      </c>
      <c r="H170" s="62">
        <v>0</v>
      </c>
      <c r="I170" s="62">
        <v>0</v>
      </c>
      <c r="J170" s="62">
        <v>0</v>
      </c>
      <c r="K170" s="62">
        <v>0</v>
      </c>
      <c r="L170" s="58"/>
    </row>
    <row r="171" spans="1:12" x14ac:dyDescent="0.35">
      <c r="A171" s="62">
        <v>169</v>
      </c>
      <c r="B171" s="33" t="s">
        <v>192</v>
      </c>
      <c r="C171" s="33" t="s">
        <v>574</v>
      </c>
      <c r="D171" s="63">
        <v>160982</v>
      </c>
      <c r="E171" s="62">
        <v>111</v>
      </c>
      <c r="F171" s="64" t="s">
        <v>331</v>
      </c>
      <c r="G171" s="62">
        <v>0</v>
      </c>
      <c r="H171" s="62">
        <v>0</v>
      </c>
      <c r="I171" s="62">
        <v>0</v>
      </c>
      <c r="J171" s="62">
        <v>0</v>
      </c>
      <c r="K171" s="62">
        <v>0</v>
      </c>
      <c r="L171" s="58"/>
    </row>
    <row r="172" spans="1:12" x14ac:dyDescent="0.35">
      <c r="A172" s="62">
        <v>170</v>
      </c>
      <c r="B172" s="33" t="s">
        <v>575</v>
      </c>
      <c r="C172" s="33" t="s">
        <v>576</v>
      </c>
      <c r="D172" s="63">
        <v>230956</v>
      </c>
      <c r="E172" s="62" t="s">
        <v>82</v>
      </c>
      <c r="F172" s="64" t="s">
        <v>331</v>
      </c>
      <c r="G172" s="62">
        <v>0</v>
      </c>
      <c r="H172" s="62">
        <v>0</v>
      </c>
      <c r="I172" s="62">
        <v>0</v>
      </c>
      <c r="J172" s="62">
        <v>0</v>
      </c>
      <c r="K172" s="62">
        <v>0</v>
      </c>
      <c r="L172" s="58"/>
    </row>
    <row r="173" spans="1:12" x14ac:dyDescent="0.35">
      <c r="A173" s="62">
        <v>171</v>
      </c>
      <c r="B173" s="33" t="s">
        <v>577</v>
      </c>
      <c r="C173" s="33" t="s">
        <v>461</v>
      </c>
      <c r="D173" s="63">
        <v>158051</v>
      </c>
      <c r="E173" s="62">
        <v>142</v>
      </c>
      <c r="F173" s="64" t="s">
        <v>331</v>
      </c>
      <c r="G173" s="62">
        <v>0</v>
      </c>
      <c r="H173" s="62">
        <v>0</v>
      </c>
      <c r="I173" s="62">
        <v>0</v>
      </c>
      <c r="J173" s="62">
        <v>0</v>
      </c>
      <c r="K173" s="62">
        <v>0</v>
      </c>
      <c r="L173" s="58"/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8F25-82AC-4C84-8699-B3C9C5E70636}">
  <dimension ref="A1:N154"/>
  <sheetViews>
    <sheetView workbookViewId="0">
      <selection activeCell="P4" sqref="P4"/>
    </sheetView>
  </sheetViews>
  <sheetFormatPr defaultRowHeight="14.5" x14ac:dyDescent="0.35"/>
  <cols>
    <col min="1" max="1" width="4.08984375" bestFit="1" customWidth="1"/>
    <col min="2" max="2" width="14.453125" bestFit="1" customWidth="1"/>
    <col min="3" max="3" width="15.1796875" bestFit="1" customWidth="1"/>
    <col min="4" max="4" width="27.6328125" bestFit="1" customWidth="1"/>
    <col min="5" max="12" width="5.36328125" customWidth="1"/>
  </cols>
  <sheetData>
    <row r="1" spans="1:14" ht="31" customHeight="1" x14ac:dyDescent="0.35">
      <c r="A1" s="94" t="s">
        <v>578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spans="1:14" ht="28" x14ac:dyDescent="0.35">
      <c r="A2" s="98" t="s">
        <v>579</v>
      </c>
      <c r="B2" s="99"/>
      <c r="C2" s="99"/>
      <c r="D2" s="99"/>
      <c r="E2" s="98" t="s">
        <v>580</v>
      </c>
      <c r="F2" s="99"/>
      <c r="G2" s="99"/>
      <c r="H2" s="100"/>
      <c r="I2" s="98" t="s">
        <v>581</v>
      </c>
      <c r="J2" s="99"/>
      <c r="K2" s="100"/>
      <c r="L2" s="34"/>
      <c r="M2" s="101" t="s">
        <v>582</v>
      </c>
      <c r="N2" s="92"/>
    </row>
    <row r="3" spans="1:14" x14ac:dyDescent="0.35">
      <c r="A3" s="86" t="s">
        <v>1</v>
      </c>
      <c r="B3" s="86" t="s">
        <v>2</v>
      </c>
      <c r="C3" s="86" t="s">
        <v>3</v>
      </c>
      <c r="D3" s="86" t="s">
        <v>5</v>
      </c>
      <c r="E3" s="78" t="s">
        <v>7</v>
      </c>
      <c r="F3" s="78" t="s">
        <v>8</v>
      </c>
      <c r="G3" s="78" t="s">
        <v>9</v>
      </c>
      <c r="H3" s="78" t="s">
        <v>583</v>
      </c>
      <c r="I3" s="78" t="s">
        <v>10</v>
      </c>
      <c r="J3" s="78" t="s">
        <v>584</v>
      </c>
      <c r="K3" s="78" t="s">
        <v>585</v>
      </c>
      <c r="L3" s="78" t="s">
        <v>583</v>
      </c>
      <c r="M3" s="90"/>
      <c r="N3" s="93"/>
    </row>
    <row r="4" spans="1:14" x14ac:dyDescent="0.35">
      <c r="A4" s="89">
        <v>1</v>
      </c>
      <c r="B4" s="88" t="s">
        <v>586</v>
      </c>
      <c r="C4" s="88" t="s">
        <v>587</v>
      </c>
      <c r="D4" s="88" t="s">
        <v>45</v>
      </c>
      <c r="E4" s="89">
        <v>7</v>
      </c>
      <c r="F4" s="89">
        <v>7</v>
      </c>
      <c r="G4" s="89">
        <v>6</v>
      </c>
      <c r="H4" s="89">
        <v>20</v>
      </c>
      <c r="I4" s="89">
        <v>7</v>
      </c>
      <c r="J4" s="89">
        <v>7</v>
      </c>
      <c r="K4" s="89">
        <v>2</v>
      </c>
      <c r="L4" s="89">
        <v>16</v>
      </c>
      <c r="M4" s="89">
        <v>36</v>
      </c>
      <c r="N4" s="89" t="s">
        <v>16</v>
      </c>
    </row>
    <row r="5" spans="1:14" x14ac:dyDescent="0.35">
      <c r="A5" s="89">
        <v>2</v>
      </c>
      <c r="B5" s="88" t="s">
        <v>77</v>
      </c>
      <c r="C5" s="88" t="s">
        <v>225</v>
      </c>
      <c r="D5" s="88" t="s">
        <v>45</v>
      </c>
      <c r="E5" s="89">
        <v>7</v>
      </c>
      <c r="F5" s="89">
        <v>7</v>
      </c>
      <c r="G5" s="89">
        <v>7</v>
      </c>
      <c r="H5" s="89">
        <v>21</v>
      </c>
      <c r="I5" s="89">
        <v>7</v>
      </c>
      <c r="J5" s="89">
        <v>7</v>
      </c>
      <c r="K5" s="89">
        <v>0</v>
      </c>
      <c r="L5" s="89">
        <v>14</v>
      </c>
      <c r="M5" s="89">
        <v>35</v>
      </c>
      <c r="N5" s="89" t="s">
        <v>20</v>
      </c>
    </row>
    <row r="6" spans="1:14" x14ac:dyDescent="0.35">
      <c r="A6" s="89">
        <v>3</v>
      </c>
      <c r="B6" s="88" t="s">
        <v>588</v>
      </c>
      <c r="C6" s="88" t="s">
        <v>174</v>
      </c>
      <c r="D6" s="88" t="s">
        <v>62</v>
      </c>
      <c r="E6" s="89">
        <v>7</v>
      </c>
      <c r="F6" s="89">
        <v>7</v>
      </c>
      <c r="G6" s="89">
        <v>0</v>
      </c>
      <c r="H6" s="89">
        <v>14</v>
      </c>
      <c r="I6" s="89">
        <v>7</v>
      </c>
      <c r="J6" s="89">
        <v>7</v>
      </c>
      <c r="K6" s="89">
        <v>0</v>
      </c>
      <c r="L6" s="89">
        <v>14</v>
      </c>
      <c r="M6" s="89">
        <v>28</v>
      </c>
      <c r="N6" s="89" t="s">
        <v>20</v>
      </c>
    </row>
    <row r="7" spans="1:14" x14ac:dyDescent="0.35">
      <c r="A7" s="89">
        <v>4</v>
      </c>
      <c r="B7" s="88" t="s">
        <v>444</v>
      </c>
      <c r="C7" s="88" t="s">
        <v>589</v>
      </c>
      <c r="D7" s="88" t="s">
        <v>62</v>
      </c>
      <c r="E7" s="89">
        <v>7</v>
      </c>
      <c r="F7" s="89">
        <v>7</v>
      </c>
      <c r="G7" s="89">
        <v>0</v>
      </c>
      <c r="H7" s="89">
        <v>14</v>
      </c>
      <c r="I7" s="89">
        <v>7</v>
      </c>
      <c r="J7" s="89">
        <v>7</v>
      </c>
      <c r="K7" s="89">
        <v>0</v>
      </c>
      <c r="L7" s="89">
        <v>14</v>
      </c>
      <c r="M7" s="89">
        <v>28</v>
      </c>
      <c r="N7" s="89" t="s">
        <v>20</v>
      </c>
    </row>
    <row r="8" spans="1:14" x14ac:dyDescent="0.35">
      <c r="A8" s="89">
        <v>5</v>
      </c>
      <c r="B8" s="88" t="s">
        <v>590</v>
      </c>
      <c r="C8" s="88" t="s">
        <v>253</v>
      </c>
      <c r="D8" s="88" t="s">
        <v>45</v>
      </c>
      <c r="E8" s="89">
        <v>7</v>
      </c>
      <c r="F8" s="89">
        <v>7</v>
      </c>
      <c r="G8" s="89">
        <v>0</v>
      </c>
      <c r="H8" s="89">
        <v>14</v>
      </c>
      <c r="I8" s="89">
        <v>0</v>
      </c>
      <c r="J8" s="89">
        <v>1</v>
      </c>
      <c r="K8" s="89">
        <v>7</v>
      </c>
      <c r="L8" s="89">
        <v>8</v>
      </c>
      <c r="M8" s="89">
        <v>22</v>
      </c>
      <c r="N8" s="89" t="s">
        <v>26</v>
      </c>
    </row>
    <row r="9" spans="1:14" x14ac:dyDescent="0.35">
      <c r="A9" s="89">
        <v>6</v>
      </c>
      <c r="B9" s="88" t="s">
        <v>591</v>
      </c>
      <c r="C9" s="88" t="s">
        <v>592</v>
      </c>
      <c r="D9" s="88" t="s">
        <v>148</v>
      </c>
      <c r="E9" s="89">
        <v>7</v>
      </c>
      <c r="F9" s="89">
        <v>6</v>
      </c>
      <c r="G9" s="89">
        <v>0</v>
      </c>
      <c r="H9" s="89">
        <v>13</v>
      </c>
      <c r="I9" s="89">
        <v>0</v>
      </c>
      <c r="J9" s="89">
        <v>0</v>
      </c>
      <c r="K9" s="89">
        <v>7</v>
      </c>
      <c r="L9" s="89">
        <v>7</v>
      </c>
      <c r="M9" s="89">
        <v>20</v>
      </c>
      <c r="N9" s="89" t="s">
        <v>26</v>
      </c>
    </row>
    <row r="10" spans="1:14" x14ac:dyDescent="0.35">
      <c r="A10" s="89">
        <v>7</v>
      </c>
      <c r="B10" s="88" t="s">
        <v>593</v>
      </c>
      <c r="C10" s="88" t="s">
        <v>560</v>
      </c>
      <c r="D10" s="88" t="s">
        <v>594</v>
      </c>
      <c r="E10" s="89">
        <v>7</v>
      </c>
      <c r="F10" s="89">
        <v>4</v>
      </c>
      <c r="G10" s="89">
        <v>0</v>
      </c>
      <c r="H10" s="89">
        <v>11</v>
      </c>
      <c r="I10" s="89">
        <v>7</v>
      </c>
      <c r="J10" s="89">
        <v>0</v>
      </c>
      <c r="K10" s="89">
        <v>0</v>
      </c>
      <c r="L10" s="89">
        <v>7</v>
      </c>
      <c r="M10" s="89">
        <v>18</v>
      </c>
      <c r="N10" s="89" t="s">
        <v>26</v>
      </c>
    </row>
    <row r="11" spans="1:14" x14ac:dyDescent="0.35">
      <c r="A11" s="78">
        <v>8</v>
      </c>
      <c r="B11" s="73" t="s">
        <v>215</v>
      </c>
      <c r="C11" s="73" t="s">
        <v>576</v>
      </c>
      <c r="D11" s="73" t="s">
        <v>53</v>
      </c>
      <c r="E11" s="74">
        <v>7</v>
      </c>
      <c r="F11" s="74">
        <v>4</v>
      </c>
      <c r="G11" s="74">
        <v>0</v>
      </c>
      <c r="H11" s="74">
        <v>11</v>
      </c>
      <c r="I11" s="74">
        <v>6</v>
      </c>
      <c r="J11" s="74">
        <v>0</v>
      </c>
      <c r="K11" s="74">
        <v>0</v>
      </c>
      <c r="L11" s="74">
        <v>6</v>
      </c>
      <c r="M11" s="74">
        <v>17</v>
      </c>
      <c r="N11" s="73"/>
    </row>
    <row r="12" spans="1:14" x14ac:dyDescent="0.35">
      <c r="A12" s="78">
        <v>9</v>
      </c>
      <c r="B12" s="73" t="s">
        <v>595</v>
      </c>
      <c r="C12" s="73" t="s">
        <v>596</v>
      </c>
      <c r="D12" s="73" t="s">
        <v>62</v>
      </c>
      <c r="E12" s="74">
        <v>7</v>
      </c>
      <c r="F12" s="74">
        <v>2</v>
      </c>
      <c r="G12" s="74">
        <v>0</v>
      </c>
      <c r="H12" s="74">
        <v>9</v>
      </c>
      <c r="I12" s="74">
        <v>7</v>
      </c>
      <c r="J12" s="74">
        <v>0</v>
      </c>
      <c r="K12" s="74">
        <v>0</v>
      </c>
      <c r="L12" s="74">
        <v>7</v>
      </c>
      <c r="M12" s="74">
        <v>16</v>
      </c>
      <c r="N12" s="73"/>
    </row>
    <row r="13" spans="1:14" ht="28.5" x14ac:dyDescent="0.35">
      <c r="A13" s="78">
        <v>10</v>
      </c>
      <c r="B13" s="73" t="s">
        <v>229</v>
      </c>
      <c r="C13" s="73" t="s">
        <v>597</v>
      </c>
      <c r="D13" s="87" t="s">
        <v>598</v>
      </c>
      <c r="E13" s="74">
        <v>7</v>
      </c>
      <c r="F13" s="74">
        <v>4</v>
      </c>
      <c r="G13" s="74">
        <v>0</v>
      </c>
      <c r="H13" s="74">
        <v>11</v>
      </c>
      <c r="I13" s="74">
        <v>5</v>
      </c>
      <c r="J13" s="74">
        <v>0</v>
      </c>
      <c r="K13" s="74">
        <v>0</v>
      </c>
      <c r="L13" s="74">
        <v>5</v>
      </c>
      <c r="M13" s="74">
        <v>16</v>
      </c>
      <c r="N13" s="73"/>
    </row>
    <row r="14" spans="1:14" x14ac:dyDescent="0.35">
      <c r="A14" s="78">
        <v>11</v>
      </c>
      <c r="B14" s="73" t="s">
        <v>599</v>
      </c>
      <c r="C14" s="73" t="s">
        <v>199</v>
      </c>
      <c r="D14" s="73" t="s">
        <v>19</v>
      </c>
      <c r="E14" s="74">
        <v>7</v>
      </c>
      <c r="F14" s="74">
        <v>7</v>
      </c>
      <c r="G14" s="74">
        <v>0</v>
      </c>
      <c r="H14" s="74">
        <v>14</v>
      </c>
      <c r="I14" s="74">
        <v>1</v>
      </c>
      <c r="J14" s="74">
        <v>1</v>
      </c>
      <c r="K14" s="74">
        <v>0</v>
      </c>
      <c r="L14" s="74">
        <v>2</v>
      </c>
      <c r="M14" s="74">
        <v>16</v>
      </c>
      <c r="N14" s="73"/>
    </row>
    <row r="15" spans="1:14" x14ac:dyDescent="0.35">
      <c r="A15" s="78">
        <v>12</v>
      </c>
      <c r="B15" s="73" t="s">
        <v>134</v>
      </c>
      <c r="C15" s="73" t="s">
        <v>203</v>
      </c>
      <c r="D15" s="73" t="s">
        <v>594</v>
      </c>
      <c r="E15" s="74">
        <v>7</v>
      </c>
      <c r="F15" s="74">
        <v>7</v>
      </c>
      <c r="G15" s="74">
        <v>0</v>
      </c>
      <c r="H15" s="74">
        <v>14</v>
      </c>
      <c r="I15" s="74">
        <v>2</v>
      </c>
      <c r="J15" s="74">
        <v>0</v>
      </c>
      <c r="K15" s="74">
        <v>0</v>
      </c>
      <c r="L15" s="74">
        <v>2</v>
      </c>
      <c r="M15" s="74">
        <v>16</v>
      </c>
      <c r="N15" s="73"/>
    </row>
    <row r="16" spans="1:14" x14ac:dyDescent="0.35">
      <c r="A16" s="78">
        <v>13</v>
      </c>
      <c r="B16" s="73" t="s">
        <v>600</v>
      </c>
      <c r="C16" s="73" t="s">
        <v>36</v>
      </c>
      <c r="D16" s="73" t="s">
        <v>601</v>
      </c>
      <c r="E16" s="74">
        <v>7</v>
      </c>
      <c r="F16" s="74">
        <v>6</v>
      </c>
      <c r="G16" s="74">
        <v>0</v>
      </c>
      <c r="H16" s="74">
        <v>13</v>
      </c>
      <c r="I16" s="74">
        <v>1</v>
      </c>
      <c r="J16" s="74">
        <v>1</v>
      </c>
      <c r="K16" s="74">
        <v>0</v>
      </c>
      <c r="L16" s="74">
        <v>2</v>
      </c>
      <c r="M16" s="74">
        <v>15</v>
      </c>
      <c r="N16" s="73"/>
    </row>
    <row r="17" spans="1:14" x14ac:dyDescent="0.35">
      <c r="A17" s="78">
        <v>14</v>
      </c>
      <c r="B17" s="86" t="s">
        <v>602</v>
      </c>
      <c r="C17" s="86" t="s">
        <v>603</v>
      </c>
      <c r="D17" s="86" t="s">
        <v>45</v>
      </c>
      <c r="E17" s="78">
        <v>7</v>
      </c>
      <c r="F17" s="78">
        <v>7</v>
      </c>
      <c r="G17" s="78">
        <v>0</v>
      </c>
      <c r="H17" s="78">
        <v>14</v>
      </c>
      <c r="I17" s="78">
        <v>1</v>
      </c>
      <c r="J17" s="78">
        <v>0</v>
      </c>
      <c r="K17" s="78">
        <v>0</v>
      </c>
      <c r="L17" s="78">
        <v>1</v>
      </c>
      <c r="M17" s="78">
        <v>15</v>
      </c>
      <c r="N17" s="86"/>
    </row>
    <row r="18" spans="1:14" x14ac:dyDescent="0.35">
      <c r="A18" s="78">
        <v>15</v>
      </c>
      <c r="B18" s="73" t="s">
        <v>274</v>
      </c>
      <c r="C18" s="73" t="s">
        <v>481</v>
      </c>
      <c r="D18" s="73" t="s">
        <v>85</v>
      </c>
      <c r="E18" s="74">
        <v>7</v>
      </c>
      <c r="F18" s="74">
        <v>7</v>
      </c>
      <c r="G18" s="74">
        <v>0</v>
      </c>
      <c r="H18" s="74">
        <v>14</v>
      </c>
      <c r="I18" s="74">
        <v>1</v>
      </c>
      <c r="J18" s="74">
        <v>0</v>
      </c>
      <c r="K18" s="74">
        <v>0</v>
      </c>
      <c r="L18" s="74">
        <v>1</v>
      </c>
      <c r="M18" s="74">
        <v>15</v>
      </c>
      <c r="N18" s="73"/>
    </row>
    <row r="19" spans="1:14" x14ac:dyDescent="0.35">
      <c r="A19" s="78">
        <v>16</v>
      </c>
      <c r="B19" s="73" t="s">
        <v>604</v>
      </c>
      <c r="C19" s="73" t="s">
        <v>605</v>
      </c>
      <c r="D19" s="73" t="s">
        <v>19</v>
      </c>
      <c r="E19" s="74">
        <v>7</v>
      </c>
      <c r="F19" s="74">
        <v>7</v>
      </c>
      <c r="G19" s="74">
        <v>0</v>
      </c>
      <c r="H19" s="74">
        <v>14</v>
      </c>
      <c r="I19" s="74">
        <v>1</v>
      </c>
      <c r="J19" s="74">
        <v>0</v>
      </c>
      <c r="K19" s="74">
        <v>0</v>
      </c>
      <c r="L19" s="74">
        <v>1</v>
      </c>
      <c r="M19" s="74">
        <v>15</v>
      </c>
      <c r="N19" s="73"/>
    </row>
    <row r="20" spans="1:14" x14ac:dyDescent="0.35">
      <c r="A20" s="78">
        <v>17</v>
      </c>
      <c r="B20" s="73" t="s">
        <v>195</v>
      </c>
      <c r="C20" s="73" t="s">
        <v>606</v>
      </c>
      <c r="D20" s="73" t="s">
        <v>110</v>
      </c>
      <c r="E20" s="74">
        <v>7</v>
      </c>
      <c r="F20" s="74">
        <v>0</v>
      </c>
      <c r="G20" s="74">
        <v>0</v>
      </c>
      <c r="H20" s="74">
        <v>7</v>
      </c>
      <c r="I20" s="74">
        <v>7</v>
      </c>
      <c r="J20" s="74">
        <v>0</v>
      </c>
      <c r="K20" s="74">
        <v>0</v>
      </c>
      <c r="L20" s="74">
        <v>7</v>
      </c>
      <c r="M20" s="74">
        <v>14</v>
      </c>
      <c r="N20" s="73"/>
    </row>
    <row r="21" spans="1:14" x14ac:dyDescent="0.35">
      <c r="A21" s="78">
        <v>18</v>
      </c>
      <c r="B21" s="73" t="s">
        <v>607</v>
      </c>
      <c r="C21" s="73" t="s">
        <v>608</v>
      </c>
      <c r="D21" s="73" t="s">
        <v>100</v>
      </c>
      <c r="E21" s="74">
        <v>7</v>
      </c>
      <c r="F21" s="74">
        <v>0</v>
      </c>
      <c r="G21" s="74">
        <v>0</v>
      </c>
      <c r="H21" s="74">
        <v>7</v>
      </c>
      <c r="I21" s="74">
        <v>7</v>
      </c>
      <c r="J21" s="74">
        <v>0</v>
      </c>
      <c r="K21" s="74">
        <v>0</v>
      </c>
      <c r="L21" s="74">
        <v>7</v>
      </c>
      <c r="M21" s="74">
        <v>14</v>
      </c>
      <c r="N21" s="73"/>
    </row>
    <row r="22" spans="1:14" x14ac:dyDescent="0.35">
      <c r="A22" s="78">
        <v>19</v>
      </c>
      <c r="B22" s="73" t="s">
        <v>251</v>
      </c>
      <c r="C22" s="73" t="s">
        <v>609</v>
      </c>
      <c r="D22" s="73" t="s">
        <v>148</v>
      </c>
      <c r="E22" s="74">
        <v>7</v>
      </c>
      <c r="F22" s="74">
        <v>7</v>
      </c>
      <c r="G22" s="74">
        <v>0</v>
      </c>
      <c r="H22" s="74">
        <v>14</v>
      </c>
      <c r="I22" s="74">
        <v>0</v>
      </c>
      <c r="J22" s="74">
        <v>0</v>
      </c>
      <c r="K22" s="74">
        <v>0</v>
      </c>
      <c r="L22" s="74">
        <v>0</v>
      </c>
      <c r="M22" s="74">
        <v>14</v>
      </c>
      <c r="N22" s="73"/>
    </row>
    <row r="23" spans="1:14" x14ac:dyDescent="0.35">
      <c r="A23" s="78">
        <v>20</v>
      </c>
      <c r="B23" s="73" t="s">
        <v>610</v>
      </c>
      <c r="C23" s="73" t="s">
        <v>611</v>
      </c>
      <c r="D23" s="73" t="s">
        <v>425</v>
      </c>
      <c r="E23" s="74">
        <v>4</v>
      </c>
      <c r="F23" s="74">
        <v>2</v>
      </c>
      <c r="G23" s="74">
        <v>0</v>
      </c>
      <c r="H23" s="74">
        <v>6</v>
      </c>
      <c r="I23" s="74">
        <v>7</v>
      </c>
      <c r="J23" s="74">
        <v>0</v>
      </c>
      <c r="K23" s="74">
        <v>0</v>
      </c>
      <c r="L23" s="74">
        <v>7</v>
      </c>
      <c r="M23" s="74">
        <v>13</v>
      </c>
      <c r="N23" s="73"/>
    </row>
    <row r="24" spans="1:14" x14ac:dyDescent="0.35">
      <c r="A24" s="78">
        <v>21</v>
      </c>
      <c r="B24" s="73" t="s">
        <v>612</v>
      </c>
      <c r="C24" s="73" t="s">
        <v>253</v>
      </c>
      <c r="D24" s="73" t="s">
        <v>524</v>
      </c>
      <c r="E24" s="74">
        <v>7</v>
      </c>
      <c r="F24" s="74">
        <v>4</v>
      </c>
      <c r="G24" s="74">
        <v>0</v>
      </c>
      <c r="H24" s="74">
        <v>11</v>
      </c>
      <c r="I24" s="74">
        <v>2</v>
      </c>
      <c r="J24" s="74">
        <v>0</v>
      </c>
      <c r="K24" s="74">
        <v>0</v>
      </c>
      <c r="L24" s="74">
        <v>2</v>
      </c>
      <c r="M24" s="74">
        <v>13</v>
      </c>
      <c r="N24" s="73"/>
    </row>
    <row r="25" spans="1:14" x14ac:dyDescent="0.35">
      <c r="A25" s="78">
        <v>22</v>
      </c>
      <c r="B25" s="73" t="s">
        <v>284</v>
      </c>
      <c r="C25" s="73" t="s">
        <v>36</v>
      </c>
      <c r="D25" s="73" t="s">
        <v>613</v>
      </c>
      <c r="E25" s="74">
        <v>7</v>
      </c>
      <c r="F25" s="74">
        <v>2</v>
      </c>
      <c r="G25" s="74">
        <v>0</v>
      </c>
      <c r="H25" s="74">
        <v>9</v>
      </c>
      <c r="I25" s="74">
        <v>3</v>
      </c>
      <c r="J25" s="74">
        <v>0</v>
      </c>
      <c r="K25" s="74">
        <v>0</v>
      </c>
      <c r="L25" s="74">
        <v>3</v>
      </c>
      <c r="M25" s="74">
        <v>12</v>
      </c>
      <c r="N25" s="73"/>
    </row>
    <row r="26" spans="1:14" x14ac:dyDescent="0.35">
      <c r="A26" s="78">
        <v>23</v>
      </c>
      <c r="B26" s="73" t="s">
        <v>614</v>
      </c>
      <c r="C26" s="73" t="s">
        <v>615</v>
      </c>
      <c r="D26" s="73" t="s">
        <v>85</v>
      </c>
      <c r="E26" s="74">
        <v>7</v>
      </c>
      <c r="F26" s="74">
        <v>4</v>
      </c>
      <c r="G26" s="74">
        <v>0</v>
      </c>
      <c r="H26" s="74">
        <v>11</v>
      </c>
      <c r="I26" s="74">
        <v>1</v>
      </c>
      <c r="J26" s="74">
        <v>0</v>
      </c>
      <c r="K26" s="74">
        <v>0</v>
      </c>
      <c r="L26" s="74">
        <v>1</v>
      </c>
      <c r="M26" s="74">
        <v>12</v>
      </c>
      <c r="N26" s="73"/>
    </row>
    <row r="27" spans="1:14" x14ac:dyDescent="0.35">
      <c r="A27" s="78">
        <v>24</v>
      </c>
      <c r="B27" s="73" t="s">
        <v>616</v>
      </c>
      <c r="C27" s="73" t="s">
        <v>290</v>
      </c>
      <c r="D27" s="73" t="s">
        <v>53</v>
      </c>
      <c r="E27" s="74">
        <v>5</v>
      </c>
      <c r="F27" s="74">
        <v>6</v>
      </c>
      <c r="G27" s="74">
        <v>0</v>
      </c>
      <c r="H27" s="74">
        <v>11</v>
      </c>
      <c r="I27" s="74">
        <v>1</v>
      </c>
      <c r="J27" s="74">
        <v>0</v>
      </c>
      <c r="K27" s="74">
        <v>0</v>
      </c>
      <c r="L27" s="74">
        <v>1</v>
      </c>
      <c r="M27" s="74">
        <v>12</v>
      </c>
      <c r="N27" s="73"/>
    </row>
    <row r="28" spans="1:14" x14ac:dyDescent="0.35">
      <c r="A28" s="78">
        <v>25</v>
      </c>
      <c r="B28" s="73" t="s">
        <v>444</v>
      </c>
      <c r="C28" s="73" t="s">
        <v>212</v>
      </c>
      <c r="D28" s="73" t="s">
        <v>69</v>
      </c>
      <c r="E28" s="74">
        <v>7</v>
      </c>
      <c r="F28" s="74">
        <v>4</v>
      </c>
      <c r="G28" s="74">
        <v>0</v>
      </c>
      <c r="H28" s="74">
        <v>11</v>
      </c>
      <c r="I28" s="74">
        <v>1</v>
      </c>
      <c r="J28" s="74">
        <v>0</v>
      </c>
      <c r="K28" s="74">
        <v>0</v>
      </c>
      <c r="L28" s="74">
        <v>1</v>
      </c>
      <c r="M28" s="74">
        <v>12</v>
      </c>
      <c r="N28" s="73"/>
    </row>
    <row r="29" spans="1:14" x14ac:dyDescent="0.35">
      <c r="A29" s="78">
        <v>26</v>
      </c>
      <c r="B29" s="73" t="s">
        <v>24</v>
      </c>
      <c r="C29" s="73" t="s">
        <v>56</v>
      </c>
      <c r="D29" s="73" t="s">
        <v>62</v>
      </c>
      <c r="E29" s="74">
        <v>7</v>
      </c>
      <c r="F29" s="74">
        <v>4</v>
      </c>
      <c r="G29" s="74">
        <v>0</v>
      </c>
      <c r="H29" s="74">
        <v>11</v>
      </c>
      <c r="I29" s="74">
        <v>1</v>
      </c>
      <c r="J29" s="74">
        <v>0</v>
      </c>
      <c r="K29" s="74">
        <v>0</v>
      </c>
      <c r="L29" s="74">
        <v>1</v>
      </c>
      <c r="M29" s="74">
        <v>12</v>
      </c>
      <c r="N29" s="73"/>
    </row>
    <row r="30" spans="1:14" x14ac:dyDescent="0.35">
      <c r="A30" s="78">
        <v>27</v>
      </c>
      <c r="B30" s="73" t="s">
        <v>617</v>
      </c>
      <c r="C30" s="73" t="s">
        <v>225</v>
      </c>
      <c r="D30" s="73" t="s">
        <v>169</v>
      </c>
      <c r="E30" s="74">
        <v>0</v>
      </c>
      <c r="F30" s="74">
        <v>4</v>
      </c>
      <c r="G30" s="74">
        <v>0</v>
      </c>
      <c r="H30" s="74">
        <v>4</v>
      </c>
      <c r="I30" s="74">
        <v>7</v>
      </c>
      <c r="J30" s="74">
        <v>0</v>
      </c>
      <c r="K30" s="74">
        <v>0</v>
      </c>
      <c r="L30" s="74">
        <v>7</v>
      </c>
      <c r="M30" s="74">
        <v>11</v>
      </c>
      <c r="N30" s="73"/>
    </row>
    <row r="31" spans="1:14" x14ac:dyDescent="0.35">
      <c r="A31" s="78">
        <v>28</v>
      </c>
      <c r="B31" s="73" t="s">
        <v>618</v>
      </c>
      <c r="C31" s="73" t="s">
        <v>13</v>
      </c>
      <c r="D31" s="73" t="s">
        <v>79</v>
      </c>
      <c r="E31" s="74">
        <v>7</v>
      </c>
      <c r="F31" s="74">
        <v>3</v>
      </c>
      <c r="G31" s="74">
        <v>0</v>
      </c>
      <c r="H31" s="74">
        <v>10</v>
      </c>
      <c r="I31" s="74">
        <v>1</v>
      </c>
      <c r="J31" s="74">
        <v>0</v>
      </c>
      <c r="K31" s="74">
        <v>0</v>
      </c>
      <c r="L31" s="74">
        <v>1</v>
      </c>
      <c r="M31" s="74">
        <v>11</v>
      </c>
      <c r="N31" s="73"/>
    </row>
    <row r="32" spans="1:14" x14ac:dyDescent="0.35">
      <c r="A32" s="78">
        <v>29</v>
      </c>
      <c r="B32" s="73" t="s">
        <v>424</v>
      </c>
      <c r="C32" s="73" t="s">
        <v>619</v>
      </c>
      <c r="D32" s="73" t="s">
        <v>620</v>
      </c>
      <c r="E32" s="74">
        <v>7</v>
      </c>
      <c r="F32" s="74">
        <v>3</v>
      </c>
      <c r="G32" s="74">
        <v>0</v>
      </c>
      <c r="H32" s="74">
        <v>10</v>
      </c>
      <c r="I32" s="74">
        <v>1</v>
      </c>
      <c r="J32" s="74">
        <v>0</v>
      </c>
      <c r="K32" s="74">
        <v>0</v>
      </c>
      <c r="L32" s="74">
        <v>1</v>
      </c>
      <c r="M32" s="74">
        <v>11</v>
      </c>
      <c r="N32" s="73"/>
    </row>
    <row r="33" spans="1:14" x14ac:dyDescent="0.35">
      <c r="A33" s="78">
        <v>30</v>
      </c>
      <c r="B33" s="73" t="s">
        <v>319</v>
      </c>
      <c r="C33" s="73" t="s">
        <v>199</v>
      </c>
      <c r="D33" s="73" t="s">
        <v>621</v>
      </c>
      <c r="E33" s="74">
        <v>7</v>
      </c>
      <c r="F33" s="74">
        <v>3</v>
      </c>
      <c r="G33" s="74">
        <v>0</v>
      </c>
      <c r="H33" s="74">
        <v>10</v>
      </c>
      <c r="I33" s="74">
        <v>1</v>
      </c>
      <c r="J33" s="74">
        <v>0</v>
      </c>
      <c r="K33" s="74">
        <v>0</v>
      </c>
      <c r="L33" s="74">
        <v>1</v>
      </c>
      <c r="M33" s="74">
        <v>11</v>
      </c>
      <c r="N33" s="73"/>
    </row>
    <row r="34" spans="1:14" x14ac:dyDescent="0.35">
      <c r="A34" s="95" t="s">
        <v>622</v>
      </c>
      <c r="B34" s="96"/>
      <c r="C34" s="96"/>
      <c r="D34" s="96"/>
      <c r="E34" s="95" t="s">
        <v>580</v>
      </c>
      <c r="F34" s="96"/>
      <c r="G34" s="96"/>
      <c r="H34" s="97"/>
      <c r="I34" s="95" t="s">
        <v>581</v>
      </c>
      <c r="J34" s="96"/>
      <c r="K34" s="97"/>
      <c r="L34" s="88"/>
      <c r="M34" s="91" t="s">
        <v>623</v>
      </c>
      <c r="N34" s="73"/>
    </row>
    <row r="35" spans="1:14" x14ac:dyDescent="0.35">
      <c r="A35" s="78">
        <v>31</v>
      </c>
      <c r="B35" s="73" t="s">
        <v>624</v>
      </c>
      <c r="C35" s="73" t="s">
        <v>467</v>
      </c>
      <c r="D35" s="73" t="s">
        <v>100</v>
      </c>
      <c r="E35" s="74">
        <v>7</v>
      </c>
      <c r="F35" s="74">
        <v>3</v>
      </c>
      <c r="G35" s="74">
        <v>0</v>
      </c>
      <c r="H35" s="74">
        <v>10</v>
      </c>
      <c r="I35" s="74">
        <v>1</v>
      </c>
      <c r="J35" s="74">
        <v>0</v>
      </c>
      <c r="K35" s="74">
        <v>0</v>
      </c>
      <c r="L35" s="74">
        <v>1</v>
      </c>
      <c r="M35" s="74">
        <v>11</v>
      </c>
      <c r="N35" s="73"/>
    </row>
    <row r="36" spans="1:14" x14ac:dyDescent="0.35">
      <c r="A36" s="78">
        <v>32</v>
      </c>
      <c r="B36" s="73" t="s">
        <v>625</v>
      </c>
      <c r="C36" s="73" t="s">
        <v>203</v>
      </c>
      <c r="D36" s="73" t="s">
        <v>29</v>
      </c>
      <c r="E36" s="74">
        <v>7</v>
      </c>
      <c r="F36" s="74">
        <v>3</v>
      </c>
      <c r="G36" s="74">
        <v>0</v>
      </c>
      <c r="H36" s="74">
        <v>10</v>
      </c>
      <c r="I36" s="74">
        <v>1</v>
      </c>
      <c r="J36" s="74">
        <v>0</v>
      </c>
      <c r="K36" s="74">
        <v>0</v>
      </c>
      <c r="L36" s="74">
        <v>1</v>
      </c>
      <c r="M36" s="74">
        <v>11</v>
      </c>
      <c r="N36" s="73"/>
    </row>
    <row r="37" spans="1:14" x14ac:dyDescent="0.35">
      <c r="A37" s="78">
        <v>33</v>
      </c>
      <c r="B37" s="73" t="s">
        <v>626</v>
      </c>
      <c r="C37" s="73" t="s">
        <v>247</v>
      </c>
      <c r="D37" s="73" t="s">
        <v>115</v>
      </c>
      <c r="E37" s="74">
        <v>7</v>
      </c>
      <c r="F37" s="74">
        <v>3</v>
      </c>
      <c r="G37" s="74">
        <v>0</v>
      </c>
      <c r="H37" s="74">
        <v>10</v>
      </c>
      <c r="I37" s="74">
        <v>1</v>
      </c>
      <c r="J37" s="74">
        <v>0</v>
      </c>
      <c r="K37" s="74">
        <v>0</v>
      </c>
      <c r="L37" s="74">
        <v>1</v>
      </c>
      <c r="M37" s="74">
        <v>11</v>
      </c>
      <c r="N37" s="73"/>
    </row>
    <row r="38" spans="1:14" x14ac:dyDescent="0.35">
      <c r="A38" s="78">
        <v>34</v>
      </c>
      <c r="B38" s="73" t="s">
        <v>401</v>
      </c>
      <c r="C38" s="73" t="s">
        <v>627</v>
      </c>
      <c r="D38" s="73" t="s">
        <v>50</v>
      </c>
      <c r="E38" s="74">
        <v>7</v>
      </c>
      <c r="F38" s="74">
        <v>4</v>
      </c>
      <c r="G38" s="74">
        <v>0</v>
      </c>
      <c r="H38" s="74">
        <v>11</v>
      </c>
      <c r="I38" s="74">
        <v>0</v>
      </c>
      <c r="J38" s="74">
        <v>0</v>
      </c>
      <c r="K38" s="74">
        <v>0</v>
      </c>
      <c r="L38" s="74">
        <v>0</v>
      </c>
      <c r="M38" s="74">
        <v>11</v>
      </c>
      <c r="N38" s="73"/>
    </row>
    <row r="39" spans="1:14" x14ac:dyDescent="0.35">
      <c r="A39" s="78">
        <v>35</v>
      </c>
      <c r="B39" s="73" t="s">
        <v>128</v>
      </c>
      <c r="C39" s="73" t="s">
        <v>619</v>
      </c>
      <c r="D39" s="73" t="s">
        <v>628</v>
      </c>
      <c r="E39" s="74">
        <v>7</v>
      </c>
      <c r="F39" s="74">
        <v>4</v>
      </c>
      <c r="G39" s="74">
        <v>0</v>
      </c>
      <c r="H39" s="74">
        <v>11</v>
      </c>
      <c r="I39" s="74"/>
      <c r="J39" s="74"/>
      <c r="K39" s="74"/>
      <c r="L39" s="74">
        <v>0</v>
      </c>
      <c r="M39" s="74">
        <v>11</v>
      </c>
      <c r="N39" s="73"/>
    </row>
    <row r="40" spans="1:14" x14ac:dyDescent="0.35">
      <c r="A40" s="78">
        <v>36</v>
      </c>
      <c r="B40" s="73" t="s">
        <v>629</v>
      </c>
      <c r="C40" s="73" t="s">
        <v>253</v>
      </c>
      <c r="D40" s="73" t="s">
        <v>594</v>
      </c>
      <c r="E40" s="74">
        <v>0</v>
      </c>
      <c r="F40" s="74">
        <v>3</v>
      </c>
      <c r="G40" s="74">
        <v>0</v>
      </c>
      <c r="H40" s="74">
        <v>3</v>
      </c>
      <c r="I40" s="74">
        <v>7</v>
      </c>
      <c r="J40" s="74">
        <v>0</v>
      </c>
      <c r="K40" s="74">
        <v>0</v>
      </c>
      <c r="L40" s="74">
        <v>7</v>
      </c>
      <c r="M40" s="74">
        <v>10</v>
      </c>
      <c r="N40" s="73"/>
    </row>
    <row r="41" spans="1:14" x14ac:dyDescent="0.35">
      <c r="A41" s="78">
        <v>37</v>
      </c>
      <c r="B41" s="73" t="s">
        <v>630</v>
      </c>
      <c r="C41" s="73" t="s">
        <v>631</v>
      </c>
      <c r="D41" s="73" t="s">
        <v>594</v>
      </c>
      <c r="E41" s="74">
        <v>7</v>
      </c>
      <c r="F41" s="74">
        <v>2</v>
      </c>
      <c r="G41" s="74">
        <v>0</v>
      </c>
      <c r="H41" s="74">
        <v>9</v>
      </c>
      <c r="I41" s="74">
        <v>1</v>
      </c>
      <c r="J41" s="74">
        <v>0</v>
      </c>
      <c r="K41" s="74">
        <v>0</v>
      </c>
      <c r="L41" s="74">
        <v>1</v>
      </c>
      <c r="M41" s="74">
        <v>10</v>
      </c>
      <c r="N41" s="73"/>
    </row>
    <row r="42" spans="1:14" x14ac:dyDescent="0.35">
      <c r="A42" s="78">
        <v>38</v>
      </c>
      <c r="B42" s="73" t="s">
        <v>632</v>
      </c>
      <c r="C42" s="73" t="s">
        <v>633</v>
      </c>
      <c r="D42" s="73" t="s">
        <v>15</v>
      </c>
      <c r="E42" s="74">
        <v>7</v>
      </c>
      <c r="F42" s="74">
        <v>2</v>
      </c>
      <c r="G42" s="74">
        <v>0</v>
      </c>
      <c r="H42" s="74">
        <v>9</v>
      </c>
      <c r="I42" s="74">
        <v>1</v>
      </c>
      <c r="J42" s="74">
        <v>0</v>
      </c>
      <c r="K42" s="74">
        <v>0</v>
      </c>
      <c r="L42" s="74">
        <v>1</v>
      </c>
      <c r="M42" s="74">
        <v>10</v>
      </c>
      <c r="N42" s="73"/>
    </row>
    <row r="43" spans="1:14" x14ac:dyDescent="0.35">
      <c r="A43" s="78">
        <v>39</v>
      </c>
      <c r="B43" s="73" t="s">
        <v>634</v>
      </c>
      <c r="C43" s="73" t="s">
        <v>350</v>
      </c>
      <c r="D43" s="73" t="s">
        <v>635</v>
      </c>
      <c r="E43" s="74">
        <v>7</v>
      </c>
      <c r="F43" s="74">
        <v>2</v>
      </c>
      <c r="G43" s="74">
        <v>0</v>
      </c>
      <c r="H43" s="74">
        <v>9</v>
      </c>
      <c r="I43" s="74">
        <v>1</v>
      </c>
      <c r="J43" s="74">
        <v>0</v>
      </c>
      <c r="K43" s="74">
        <v>0</v>
      </c>
      <c r="L43" s="74">
        <v>1</v>
      </c>
      <c r="M43" s="74">
        <v>10</v>
      </c>
      <c r="N43" s="73"/>
    </row>
    <row r="44" spans="1:14" x14ac:dyDescent="0.35">
      <c r="A44" s="78">
        <v>40</v>
      </c>
      <c r="B44" s="73" t="s">
        <v>636</v>
      </c>
      <c r="C44" s="73" t="s">
        <v>637</v>
      </c>
      <c r="D44" s="73" t="s">
        <v>638</v>
      </c>
      <c r="E44" s="74">
        <v>7</v>
      </c>
      <c r="F44" s="74">
        <v>2</v>
      </c>
      <c r="G44" s="74">
        <v>0</v>
      </c>
      <c r="H44" s="74">
        <v>9</v>
      </c>
      <c r="I44" s="74">
        <v>1</v>
      </c>
      <c r="J44" s="74">
        <v>0</v>
      </c>
      <c r="K44" s="74">
        <v>0</v>
      </c>
      <c r="L44" s="74">
        <v>1</v>
      </c>
      <c r="M44" s="74">
        <v>10</v>
      </c>
      <c r="N44" s="73"/>
    </row>
    <row r="45" spans="1:14" x14ac:dyDescent="0.35">
      <c r="A45" s="78">
        <v>41</v>
      </c>
      <c r="B45" s="73" t="s">
        <v>639</v>
      </c>
      <c r="C45" s="73" t="s">
        <v>640</v>
      </c>
      <c r="D45" s="73" t="s">
        <v>115</v>
      </c>
      <c r="E45" s="74">
        <v>7</v>
      </c>
      <c r="F45" s="74">
        <v>2</v>
      </c>
      <c r="G45" s="74">
        <v>0</v>
      </c>
      <c r="H45" s="74">
        <v>9</v>
      </c>
      <c r="I45" s="74">
        <v>1</v>
      </c>
      <c r="J45" s="74">
        <v>0</v>
      </c>
      <c r="K45" s="74">
        <v>0</v>
      </c>
      <c r="L45" s="74">
        <v>1</v>
      </c>
      <c r="M45" s="74">
        <v>10</v>
      </c>
      <c r="N45" s="73"/>
    </row>
    <row r="46" spans="1:14" x14ac:dyDescent="0.35">
      <c r="A46" s="78">
        <v>42</v>
      </c>
      <c r="B46" s="73" t="s">
        <v>239</v>
      </c>
      <c r="C46" s="73" t="s">
        <v>641</v>
      </c>
      <c r="D46" s="73" t="s">
        <v>642</v>
      </c>
      <c r="E46" s="74">
        <v>7</v>
      </c>
      <c r="F46" s="74">
        <v>2</v>
      </c>
      <c r="G46" s="74">
        <v>0</v>
      </c>
      <c r="H46" s="74">
        <v>9</v>
      </c>
      <c r="I46" s="74">
        <v>1</v>
      </c>
      <c r="J46" s="74">
        <v>0</v>
      </c>
      <c r="K46" s="74">
        <v>0</v>
      </c>
      <c r="L46" s="74">
        <v>1</v>
      </c>
      <c r="M46" s="74">
        <v>10</v>
      </c>
      <c r="N46" s="73"/>
    </row>
    <row r="47" spans="1:14" x14ac:dyDescent="0.35">
      <c r="A47" s="78">
        <v>43</v>
      </c>
      <c r="B47" s="73" t="s">
        <v>586</v>
      </c>
      <c r="C47" s="73" t="s">
        <v>643</v>
      </c>
      <c r="D47" s="73" t="s">
        <v>644</v>
      </c>
      <c r="E47" s="74">
        <v>7</v>
      </c>
      <c r="F47" s="74">
        <v>2</v>
      </c>
      <c r="G47" s="74">
        <v>0</v>
      </c>
      <c r="H47" s="74">
        <v>9</v>
      </c>
      <c r="I47" s="74">
        <v>1</v>
      </c>
      <c r="J47" s="74">
        <v>0</v>
      </c>
      <c r="K47" s="74">
        <v>0</v>
      </c>
      <c r="L47" s="74">
        <v>1</v>
      </c>
      <c r="M47" s="74">
        <v>10</v>
      </c>
      <c r="N47" s="73"/>
    </row>
    <row r="48" spans="1:14" x14ac:dyDescent="0.35">
      <c r="A48" s="78">
        <v>44</v>
      </c>
      <c r="B48" s="73" t="s">
        <v>192</v>
      </c>
      <c r="C48" s="73" t="s">
        <v>261</v>
      </c>
      <c r="D48" s="73" t="s">
        <v>642</v>
      </c>
      <c r="E48" s="74">
        <v>7</v>
      </c>
      <c r="F48" s="74">
        <v>2</v>
      </c>
      <c r="G48" s="74">
        <v>0</v>
      </c>
      <c r="H48" s="74">
        <v>9</v>
      </c>
      <c r="I48" s="74">
        <v>1</v>
      </c>
      <c r="J48" s="74">
        <v>0</v>
      </c>
      <c r="K48" s="74">
        <v>0</v>
      </c>
      <c r="L48" s="74">
        <v>1</v>
      </c>
      <c r="M48" s="74">
        <v>10</v>
      </c>
      <c r="N48" s="73"/>
    </row>
    <row r="49" spans="1:14" x14ac:dyDescent="0.35">
      <c r="A49" s="78">
        <v>45</v>
      </c>
      <c r="B49" s="73" t="s">
        <v>149</v>
      </c>
      <c r="C49" s="73" t="s">
        <v>645</v>
      </c>
      <c r="D49" s="73" t="s">
        <v>19</v>
      </c>
      <c r="E49" s="74">
        <v>7</v>
      </c>
      <c r="F49" s="74">
        <v>2</v>
      </c>
      <c r="G49" s="74">
        <v>0</v>
      </c>
      <c r="H49" s="74">
        <v>9</v>
      </c>
      <c r="I49" s="74">
        <v>1</v>
      </c>
      <c r="J49" s="74">
        <v>0</v>
      </c>
      <c r="K49" s="74">
        <v>0</v>
      </c>
      <c r="L49" s="74">
        <v>1</v>
      </c>
      <c r="M49" s="74">
        <v>10</v>
      </c>
      <c r="N49" s="73"/>
    </row>
    <row r="50" spans="1:14" x14ac:dyDescent="0.35">
      <c r="A50" s="78">
        <v>46</v>
      </c>
      <c r="B50" s="73" t="s">
        <v>330</v>
      </c>
      <c r="C50" s="73" t="s">
        <v>646</v>
      </c>
      <c r="D50" s="73" t="s">
        <v>621</v>
      </c>
      <c r="E50" s="74">
        <v>7</v>
      </c>
      <c r="F50" s="74">
        <v>2</v>
      </c>
      <c r="G50" s="74">
        <v>0</v>
      </c>
      <c r="H50" s="74">
        <v>9</v>
      </c>
      <c r="I50" s="74">
        <v>1</v>
      </c>
      <c r="J50" s="74">
        <v>0</v>
      </c>
      <c r="K50" s="74">
        <v>0</v>
      </c>
      <c r="L50" s="74">
        <v>1</v>
      </c>
      <c r="M50" s="74">
        <v>10</v>
      </c>
      <c r="N50" s="73"/>
    </row>
    <row r="51" spans="1:14" x14ac:dyDescent="0.35">
      <c r="A51" s="78">
        <v>47</v>
      </c>
      <c r="B51" s="73" t="s">
        <v>586</v>
      </c>
      <c r="C51" s="73" t="s">
        <v>630</v>
      </c>
      <c r="D51" s="73" t="s">
        <v>279</v>
      </c>
      <c r="E51" s="74">
        <v>7</v>
      </c>
      <c r="F51" s="74">
        <v>2</v>
      </c>
      <c r="G51" s="74">
        <v>0</v>
      </c>
      <c r="H51" s="74">
        <v>9</v>
      </c>
      <c r="I51" s="74">
        <v>1</v>
      </c>
      <c r="J51" s="74">
        <v>0</v>
      </c>
      <c r="K51" s="74">
        <v>0</v>
      </c>
      <c r="L51" s="74">
        <v>1</v>
      </c>
      <c r="M51" s="74">
        <v>10</v>
      </c>
      <c r="N51" s="73"/>
    </row>
    <row r="52" spans="1:14" x14ac:dyDescent="0.35">
      <c r="A52" s="78">
        <v>48</v>
      </c>
      <c r="B52" s="73" t="s">
        <v>393</v>
      </c>
      <c r="C52" s="73" t="s">
        <v>268</v>
      </c>
      <c r="D52" s="73" t="s">
        <v>79</v>
      </c>
      <c r="E52" s="74">
        <v>7</v>
      </c>
      <c r="F52" s="74">
        <v>2</v>
      </c>
      <c r="G52" s="74">
        <v>0</v>
      </c>
      <c r="H52" s="74">
        <v>9</v>
      </c>
      <c r="I52" s="74">
        <v>1</v>
      </c>
      <c r="J52" s="74">
        <v>0</v>
      </c>
      <c r="K52" s="74">
        <v>0</v>
      </c>
      <c r="L52" s="74">
        <v>1</v>
      </c>
      <c r="M52" s="74">
        <v>10</v>
      </c>
      <c r="N52" s="73"/>
    </row>
    <row r="53" spans="1:14" x14ac:dyDescent="0.35">
      <c r="A53" s="78">
        <v>49</v>
      </c>
      <c r="B53" s="73" t="s">
        <v>335</v>
      </c>
      <c r="C53" s="73" t="s">
        <v>213</v>
      </c>
      <c r="D53" s="73" t="s">
        <v>157</v>
      </c>
      <c r="E53" s="74">
        <v>6</v>
      </c>
      <c r="F53" s="74">
        <v>3</v>
      </c>
      <c r="G53" s="74">
        <v>0</v>
      </c>
      <c r="H53" s="74">
        <v>9</v>
      </c>
      <c r="I53" s="74">
        <v>1</v>
      </c>
      <c r="J53" s="74">
        <v>0</v>
      </c>
      <c r="K53" s="74">
        <v>0</v>
      </c>
      <c r="L53" s="74">
        <v>1</v>
      </c>
      <c r="M53" s="74">
        <v>10</v>
      </c>
      <c r="N53" s="73"/>
    </row>
    <row r="54" spans="1:14" x14ac:dyDescent="0.35">
      <c r="A54" s="78">
        <v>50</v>
      </c>
      <c r="B54" s="73" t="s">
        <v>647</v>
      </c>
      <c r="C54" s="73" t="s">
        <v>135</v>
      </c>
      <c r="D54" s="73" t="s">
        <v>162</v>
      </c>
      <c r="E54" s="74">
        <v>7</v>
      </c>
      <c r="F54" s="74">
        <v>3</v>
      </c>
      <c r="G54" s="74">
        <v>0</v>
      </c>
      <c r="H54" s="74">
        <v>10</v>
      </c>
      <c r="I54" s="74">
        <v>0</v>
      </c>
      <c r="J54" s="74">
        <v>0</v>
      </c>
      <c r="K54" s="74">
        <v>0</v>
      </c>
      <c r="L54" s="74">
        <v>0</v>
      </c>
      <c r="M54" s="74">
        <v>10</v>
      </c>
      <c r="N54" s="73"/>
    </row>
    <row r="55" spans="1:14" x14ac:dyDescent="0.35">
      <c r="A55" s="78">
        <v>51</v>
      </c>
      <c r="B55" s="73" t="s">
        <v>24</v>
      </c>
      <c r="C55" s="73" t="s">
        <v>81</v>
      </c>
      <c r="D55" s="73" t="s">
        <v>110</v>
      </c>
      <c r="E55" s="74">
        <v>7</v>
      </c>
      <c r="F55" s="74">
        <v>3</v>
      </c>
      <c r="G55" s="74">
        <v>0</v>
      </c>
      <c r="H55" s="74">
        <v>10</v>
      </c>
      <c r="I55" s="74">
        <v>0</v>
      </c>
      <c r="J55" s="74">
        <v>0</v>
      </c>
      <c r="K55" s="74">
        <v>0</v>
      </c>
      <c r="L55" s="74">
        <v>0</v>
      </c>
      <c r="M55" s="74">
        <v>10</v>
      </c>
      <c r="N55" s="73"/>
    </row>
    <row r="56" spans="1:14" x14ac:dyDescent="0.35">
      <c r="A56" s="78">
        <v>52</v>
      </c>
      <c r="B56" s="73" t="s">
        <v>513</v>
      </c>
      <c r="C56" s="73" t="s">
        <v>36</v>
      </c>
      <c r="D56" s="73" t="s">
        <v>648</v>
      </c>
      <c r="E56" s="74">
        <v>7</v>
      </c>
      <c r="F56" s="74">
        <v>3</v>
      </c>
      <c r="G56" s="74">
        <v>0</v>
      </c>
      <c r="H56" s="74">
        <v>10</v>
      </c>
      <c r="I56" s="74">
        <v>0</v>
      </c>
      <c r="J56" s="74">
        <v>0</v>
      </c>
      <c r="K56" s="74">
        <v>0</v>
      </c>
      <c r="L56" s="74">
        <v>0</v>
      </c>
      <c r="M56" s="74">
        <v>10</v>
      </c>
      <c r="N56" s="73"/>
    </row>
    <row r="57" spans="1:14" x14ac:dyDescent="0.35">
      <c r="A57" s="78">
        <v>53</v>
      </c>
      <c r="B57" s="73" t="s">
        <v>649</v>
      </c>
      <c r="C57" s="73" t="s">
        <v>650</v>
      </c>
      <c r="D57" s="73" t="s">
        <v>651</v>
      </c>
      <c r="E57" s="74">
        <v>5</v>
      </c>
      <c r="F57" s="74">
        <v>3</v>
      </c>
      <c r="G57" s="74">
        <v>0</v>
      </c>
      <c r="H57" s="74">
        <v>8</v>
      </c>
      <c r="I57" s="74">
        <v>1</v>
      </c>
      <c r="J57" s="74">
        <v>0</v>
      </c>
      <c r="K57" s="74">
        <v>0</v>
      </c>
      <c r="L57" s="74">
        <v>1</v>
      </c>
      <c r="M57" s="74">
        <v>9</v>
      </c>
      <c r="N57" s="73"/>
    </row>
    <row r="58" spans="1:14" x14ac:dyDescent="0.35">
      <c r="A58" s="78">
        <v>54</v>
      </c>
      <c r="B58" s="73" t="s">
        <v>652</v>
      </c>
      <c r="C58" s="73" t="s">
        <v>653</v>
      </c>
      <c r="D58" s="73" t="s">
        <v>654</v>
      </c>
      <c r="E58" s="74">
        <v>6</v>
      </c>
      <c r="F58" s="74">
        <v>3</v>
      </c>
      <c r="G58" s="74">
        <v>0</v>
      </c>
      <c r="H58" s="74">
        <v>9</v>
      </c>
      <c r="I58" s="74">
        <v>0</v>
      </c>
      <c r="J58" s="74">
        <v>0</v>
      </c>
      <c r="K58" s="74">
        <v>0</v>
      </c>
      <c r="L58" s="74">
        <v>0</v>
      </c>
      <c r="M58" s="74">
        <v>9</v>
      </c>
      <c r="N58" s="73"/>
    </row>
    <row r="59" spans="1:14" x14ac:dyDescent="0.35">
      <c r="A59" s="78">
        <v>55</v>
      </c>
      <c r="B59" s="73" t="s">
        <v>655</v>
      </c>
      <c r="C59" s="73" t="s">
        <v>205</v>
      </c>
      <c r="D59" s="73" t="s">
        <v>656</v>
      </c>
      <c r="E59" s="74">
        <v>7</v>
      </c>
      <c r="F59" s="74">
        <v>2</v>
      </c>
      <c r="G59" s="74">
        <v>0</v>
      </c>
      <c r="H59" s="74">
        <v>9</v>
      </c>
      <c r="I59" s="74">
        <v>0</v>
      </c>
      <c r="J59" s="74">
        <v>0</v>
      </c>
      <c r="K59" s="74">
        <v>0</v>
      </c>
      <c r="L59" s="74">
        <v>0</v>
      </c>
      <c r="M59" s="74">
        <v>9</v>
      </c>
      <c r="N59" s="73"/>
    </row>
    <row r="60" spans="1:14" x14ac:dyDescent="0.35">
      <c r="A60" s="78">
        <v>56</v>
      </c>
      <c r="B60" s="73" t="s">
        <v>542</v>
      </c>
      <c r="C60" s="73" t="s">
        <v>657</v>
      </c>
      <c r="D60" s="73" t="s">
        <v>79</v>
      </c>
      <c r="E60" s="74">
        <v>7</v>
      </c>
      <c r="F60" s="74">
        <v>2</v>
      </c>
      <c r="G60" s="74">
        <v>0</v>
      </c>
      <c r="H60" s="74">
        <v>9</v>
      </c>
      <c r="I60" s="74">
        <v>0</v>
      </c>
      <c r="J60" s="74">
        <v>0</v>
      </c>
      <c r="K60" s="74">
        <v>0</v>
      </c>
      <c r="L60" s="74">
        <v>0</v>
      </c>
      <c r="M60" s="74">
        <v>9</v>
      </c>
      <c r="N60" s="73"/>
    </row>
    <row r="61" spans="1:14" ht="70.5" x14ac:dyDescent="0.35">
      <c r="A61" s="78">
        <v>57</v>
      </c>
      <c r="B61" s="73" t="s">
        <v>658</v>
      </c>
      <c r="C61" s="73" t="s">
        <v>339</v>
      </c>
      <c r="D61" s="87" t="s">
        <v>598</v>
      </c>
      <c r="E61" s="74">
        <v>7</v>
      </c>
      <c r="F61" s="74">
        <v>2</v>
      </c>
      <c r="G61" s="74">
        <v>0</v>
      </c>
      <c r="H61" s="74">
        <v>9</v>
      </c>
      <c r="I61" s="74">
        <v>0</v>
      </c>
      <c r="J61" s="74">
        <v>0</v>
      </c>
      <c r="K61" s="74">
        <v>0</v>
      </c>
      <c r="L61" s="74">
        <v>0</v>
      </c>
      <c r="M61" s="74">
        <v>9</v>
      </c>
      <c r="N61" s="73"/>
    </row>
    <row r="62" spans="1:14" x14ac:dyDescent="0.35">
      <c r="A62" s="78">
        <v>58</v>
      </c>
      <c r="B62" s="73" t="s">
        <v>125</v>
      </c>
      <c r="C62" s="73" t="s">
        <v>295</v>
      </c>
      <c r="D62" s="73" t="s">
        <v>621</v>
      </c>
      <c r="E62" s="74">
        <v>7</v>
      </c>
      <c r="F62" s="74">
        <v>2</v>
      </c>
      <c r="G62" s="74">
        <v>0</v>
      </c>
      <c r="H62" s="74">
        <v>9</v>
      </c>
      <c r="I62" s="74">
        <v>0</v>
      </c>
      <c r="J62" s="74">
        <v>0</v>
      </c>
      <c r="K62" s="74">
        <v>0</v>
      </c>
      <c r="L62" s="74">
        <v>0</v>
      </c>
      <c r="M62" s="74">
        <v>9</v>
      </c>
      <c r="N62" s="73"/>
    </row>
    <row r="63" spans="1:14" x14ac:dyDescent="0.35">
      <c r="A63" s="78">
        <v>59</v>
      </c>
      <c r="B63" s="73" t="s">
        <v>659</v>
      </c>
      <c r="C63" s="73" t="s">
        <v>660</v>
      </c>
      <c r="D63" s="73" t="s">
        <v>521</v>
      </c>
      <c r="E63" s="74">
        <v>7</v>
      </c>
      <c r="F63" s="74">
        <v>2</v>
      </c>
      <c r="G63" s="74">
        <v>0</v>
      </c>
      <c r="H63" s="74">
        <v>9</v>
      </c>
      <c r="I63" s="74">
        <v>0</v>
      </c>
      <c r="J63" s="74">
        <v>0</v>
      </c>
      <c r="K63" s="74">
        <v>0</v>
      </c>
      <c r="L63" s="74">
        <v>0</v>
      </c>
      <c r="M63" s="74">
        <v>9</v>
      </c>
      <c r="N63" s="73"/>
    </row>
    <row r="64" spans="1:14" x14ac:dyDescent="0.35">
      <c r="A64" s="78">
        <v>60</v>
      </c>
      <c r="B64" s="73" t="s">
        <v>258</v>
      </c>
      <c r="C64" s="73" t="s">
        <v>661</v>
      </c>
      <c r="D64" s="73" t="s">
        <v>79</v>
      </c>
      <c r="E64" s="74">
        <v>7</v>
      </c>
      <c r="F64" s="74">
        <v>2</v>
      </c>
      <c r="G64" s="74">
        <v>0</v>
      </c>
      <c r="H64" s="74">
        <v>9</v>
      </c>
      <c r="I64" s="74">
        <v>0</v>
      </c>
      <c r="J64" s="74">
        <v>0</v>
      </c>
      <c r="K64" s="74">
        <v>0</v>
      </c>
      <c r="L64" s="74">
        <v>0</v>
      </c>
      <c r="M64" s="74">
        <v>9</v>
      </c>
      <c r="N64" s="73"/>
    </row>
    <row r="65" spans="1:14" x14ac:dyDescent="0.35">
      <c r="A65" s="95" t="s">
        <v>622</v>
      </c>
      <c r="B65" s="96"/>
      <c r="C65" s="96"/>
      <c r="D65" s="96"/>
      <c r="E65" s="95" t="s">
        <v>580</v>
      </c>
      <c r="F65" s="96"/>
      <c r="G65" s="96"/>
      <c r="H65" s="97"/>
      <c r="I65" s="95" t="s">
        <v>581</v>
      </c>
      <c r="J65" s="96"/>
      <c r="K65" s="97"/>
      <c r="L65" s="88"/>
      <c r="M65" s="91" t="s">
        <v>623</v>
      </c>
      <c r="N65" s="73"/>
    </row>
    <row r="66" spans="1:14" x14ac:dyDescent="0.35">
      <c r="A66" s="78">
        <v>61</v>
      </c>
      <c r="B66" s="73" t="s">
        <v>251</v>
      </c>
      <c r="C66" s="73" t="s">
        <v>567</v>
      </c>
      <c r="D66" s="80">
        <v>120</v>
      </c>
      <c r="E66" s="74">
        <v>7</v>
      </c>
      <c r="F66" s="74">
        <v>2</v>
      </c>
      <c r="G66" s="74">
        <v>0</v>
      </c>
      <c r="H66" s="74">
        <v>9</v>
      </c>
      <c r="I66" s="74">
        <v>0</v>
      </c>
      <c r="J66" s="74">
        <v>0</v>
      </c>
      <c r="K66" s="74">
        <v>0</v>
      </c>
      <c r="L66" s="74">
        <v>0</v>
      </c>
      <c r="M66" s="74">
        <v>9</v>
      </c>
      <c r="N66" s="73"/>
    </row>
    <row r="67" spans="1:14" x14ac:dyDescent="0.35">
      <c r="A67" s="78">
        <v>62</v>
      </c>
      <c r="B67" s="73" t="s">
        <v>24</v>
      </c>
      <c r="C67" s="73" t="s">
        <v>662</v>
      </c>
      <c r="D67" s="73" t="s">
        <v>79</v>
      </c>
      <c r="E67" s="74">
        <v>7</v>
      </c>
      <c r="F67" s="74">
        <v>2</v>
      </c>
      <c r="G67" s="74">
        <v>0</v>
      </c>
      <c r="H67" s="74">
        <v>9</v>
      </c>
      <c r="I67" s="74">
        <v>0</v>
      </c>
      <c r="J67" s="74">
        <v>0</v>
      </c>
      <c r="K67" s="74">
        <v>0</v>
      </c>
      <c r="L67" s="74">
        <v>0</v>
      </c>
      <c r="M67" s="74">
        <v>9</v>
      </c>
      <c r="N67" s="73"/>
    </row>
    <row r="68" spans="1:14" x14ac:dyDescent="0.35">
      <c r="A68" s="78">
        <v>63</v>
      </c>
      <c r="B68" s="73" t="s">
        <v>663</v>
      </c>
      <c r="C68" s="73" t="s">
        <v>253</v>
      </c>
      <c r="D68" s="73" t="s">
        <v>15</v>
      </c>
      <c r="E68" s="74">
        <v>7</v>
      </c>
      <c r="F68" s="74">
        <v>0</v>
      </c>
      <c r="G68" s="74">
        <v>0</v>
      </c>
      <c r="H68" s="74">
        <v>7</v>
      </c>
      <c r="I68" s="74">
        <v>1</v>
      </c>
      <c r="J68" s="74">
        <v>0</v>
      </c>
      <c r="K68" s="74">
        <v>0</v>
      </c>
      <c r="L68" s="74">
        <v>1</v>
      </c>
      <c r="M68" s="74">
        <v>8</v>
      </c>
      <c r="N68" s="73"/>
    </row>
    <row r="69" spans="1:14" x14ac:dyDescent="0.35">
      <c r="A69" s="78">
        <v>64</v>
      </c>
      <c r="B69" s="73" t="s">
        <v>160</v>
      </c>
      <c r="C69" s="73" t="s">
        <v>34</v>
      </c>
      <c r="D69" s="73" t="s">
        <v>664</v>
      </c>
      <c r="E69" s="74">
        <v>7</v>
      </c>
      <c r="F69" s="74">
        <v>0</v>
      </c>
      <c r="G69" s="74">
        <v>0</v>
      </c>
      <c r="H69" s="74">
        <v>7</v>
      </c>
      <c r="I69" s="74">
        <v>1</v>
      </c>
      <c r="J69" s="74">
        <v>0</v>
      </c>
      <c r="K69" s="74">
        <v>0</v>
      </c>
      <c r="L69" s="74">
        <v>1</v>
      </c>
      <c r="M69" s="74">
        <v>8</v>
      </c>
      <c r="N69" s="73"/>
    </row>
    <row r="70" spans="1:14" x14ac:dyDescent="0.35">
      <c r="A70" s="78">
        <v>65</v>
      </c>
      <c r="B70" s="73" t="s">
        <v>665</v>
      </c>
      <c r="C70" s="73" t="s">
        <v>319</v>
      </c>
      <c r="D70" s="73" t="s">
        <v>50</v>
      </c>
      <c r="E70" s="74">
        <v>7</v>
      </c>
      <c r="F70" s="74">
        <v>0</v>
      </c>
      <c r="G70" s="74">
        <v>0</v>
      </c>
      <c r="H70" s="74">
        <v>7</v>
      </c>
      <c r="I70" s="74">
        <v>1</v>
      </c>
      <c r="J70" s="74">
        <v>0</v>
      </c>
      <c r="K70" s="74">
        <v>0</v>
      </c>
      <c r="L70" s="74">
        <v>1</v>
      </c>
      <c r="M70" s="74">
        <v>8</v>
      </c>
      <c r="N70" s="73"/>
    </row>
    <row r="71" spans="1:14" x14ac:dyDescent="0.35">
      <c r="A71" s="78">
        <v>66</v>
      </c>
      <c r="B71" s="73" t="s">
        <v>666</v>
      </c>
      <c r="C71" s="73" t="s">
        <v>463</v>
      </c>
      <c r="D71" s="73" t="s">
        <v>664</v>
      </c>
      <c r="E71" s="74">
        <v>5</v>
      </c>
      <c r="F71" s="74">
        <v>2</v>
      </c>
      <c r="G71" s="74">
        <v>0</v>
      </c>
      <c r="H71" s="74">
        <v>7</v>
      </c>
      <c r="I71" s="74">
        <v>1</v>
      </c>
      <c r="J71" s="74">
        <v>0</v>
      </c>
      <c r="K71" s="74">
        <v>0</v>
      </c>
      <c r="L71" s="74">
        <v>1</v>
      </c>
      <c r="M71" s="74">
        <v>8</v>
      </c>
      <c r="N71" s="73"/>
    </row>
    <row r="72" spans="1:14" x14ac:dyDescent="0.35">
      <c r="A72" s="78">
        <v>67</v>
      </c>
      <c r="B72" s="73" t="s">
        <v>667</v>
      </c>
      <c r="C72" s="73" t="s">
        <v>205</v>
      </c>
      <c r="D72" s="73" t="s">
        <v>110</v>
      </c>
      <c r="E72" s="74">
        <v>7</v>
      </c>
      <c r="F72" s="74">
        <v>0</v>
      </c>
      <c r="G72" s="74">
        <v>0</v>
      </c>
      <c r="H72" s="74">
        <v>7</v>
      </c>
      <c r="I72" s="74">
        <v>1</v>
      </c>
      <c r="J72" s="74">
        <v>0</v>
      </c>
      <c r="K72" s="74">
        <v>0</v>
      </c>
      <c r="L72" s="74">
        <v>1</v>
      </c>
      <c r="M72" s="74">
        <v>8</v>
      </c>
      <c r="N72" s="73"/>
    </row>
    <row r="73" spans="1:14" x14ac:dyDescent="0.35">
      <c r="A73" s="78">
        <v>68</v>
      </c>
      <c r="B73" s="73" t="s">
        <v>284</v>
      </c>
      <c r="C73" s="73" t="s">
        <v>421</v>
      </c>
      <c r="D73" s="73" t="s">
        <v>668</v>
      </c>
      <c r="E73" s="74">
        <v>7</v>
      </c>
      <c r="F73" s="74">
        <v>0</v>
      </c>
      <c r="G73" s="74">
        <v>0</v>
      </c>
      <c r="H73" s="74">
        <v>7</v>
      </c>
      <c r="I73" s="74">
        <v>1</v>
      </c>
      <c r="J73" s="74">
        <v>0</v>
      </c>
      <c r="K73" s="74">
        <v>0</v>
      </c>
      <c r="L73" s="74">
        <v>1</v>
      </c>
      <c r="M73" s="74">
        <v>8</v>
      </c>
      <c r="N73" s="73"/>
    </row>
    <row r="74" spans="1:14" x14ac:dyDescent="0.35">
      <c r="A74" s="78">
        <v>69</v>
      </c>
      <c r="B74" s="73" t="s">
        <v>669</v>
      </c>
      <c r="C74" s="73" t="s">
        <v>670</v>
      </c>
      <c r="D74" s="73" t="s">
        <v>79</v>
      </c>
      <c r="E74" s="74">
        <v>7</v>
      </c>
      <c r="F74" s="74">
        <v>0</v>
      </c>
      <c r="G74" s="74">
        <v>0</v>
      </c>
      <c r="H74" s="74">
        <v>7</v>
      </c>
      <c r="I74" s="74">
        <v>1</v>
      </c>
      <c r="J74" s="74">
        <v>0</v>
      </c>
      <c r="K74" s="74">
        <v>0</v>
      </c>
      <c r="L74" s="74">
        <v>1</v>
      </c>
      <c r="M74" s="74">
        <v>8</v>
      </c>
      <c r="N74" s="73"/>
    </row>
    <row r="75" spans="1:14" x14ac:dyDescent="0.35">
      <c r="A75" s="78">
        <v>70</v>
      </c>
      <c r="B75" s="73" t="s">
        <v>671</v>
      </c>
      <c r="C75" s="73" t="s">
        <v>672</v>
      </c>
      <c r="D75" s="73" t="s">
        <v>69</v>
      </c>
      <c r="E75" s="74">
        <v>7</v>
      </c>
      <c r="F75" s="74">
        <v>0</v>
      </c>
      <c r="G75" s="74">
        <v>0</v>
      </c>
      <c r="H75" s="74">
        <v>7</v>
      </c>
      <c r="I75" s="74">
        <v>1</v>
      </c>
      <c r="J75" s="74">
        <v>0</v>
      </c>
      <c r="K75" s="74">
        <v>0</v>
      </c>
      <c r="L75" s="74">
        <v>1</v>
      </c>
      <c r="M75" s="74">
        <v>8</v>
      </c>
      <c r="N75" s="73"/>
    </row>
    <row r="76" spans="1:14" x14ac:dyDescent="0.35">
      <c r="A76" s="78">
        <v>71</v>
      </c>
      <c r="B76" s="73" t="s">
        <v>673</v>
      </c>
      <c r="C76" s="73" t="s">
        <v>674</v>
      </c>
      <c r="D76" s="73" t="s">
        <v>521</v>
      </c>
      <c r="E76" s="74">
        <v>0</v>
      </c>
      <c r="F76" s="74">
        <v>0</v>
      </c>
      <c r="G76" s="74">
        <v>0</v>
      </c>
      <c r="H76" s="74">
        <v>0</v>
      </c>
      <c r="I76" s="74">
        <v>7</v>
      </c>
      <c r="J76" s="74">
        <v>0</v>
      </c>
      <c r="K76" s="74">
        <v>0</v>
      </c>
      <c r="L76" s="74">
        <v>7</v>
      </c>
      <c r="M76" s="74">
        <v>7</v>
      </c>
      <c r="N76" s="73"/>
    </row>
    <row r="77" spans="1:14" x14ac:dyDescent="0.35">
      <c r="A77" s="78">
        <v>72</v>
      </c>
      <c r="B77" s="73" t="s">
        <v>675</v>
      </c>
      <c r="C77" s="73" t="s">
        <v>676</v>
      </c>
      <c r="D77" s="73" t="s">
        <v>79</v>
      </c>
      <c r="E77" s="74">
        <v>0</v>
      </c>
      <c r="F77" s="74">
        <v>7</v>
      </c>
      <c r="G77" s="74">
        <v>0</v>
      </c>
      <c r="H77" s="74">
        <v>7</v>
      </c>
      <c r="I77" s="74"/>
      <c r="J77" s="74"/>
      <c r="K77" s="74"/>
      <c r="L77" s="74">
        <v>0</v>
      </c>
      <c r="M77" s="74">
        <v>7</v>
      </c>
      <c r="N77" s="73"/>
    </row>
    <row r="78" spans="1:14" x14ac:dyDescent="0.35">
      <c r="A78" s="78">
        <v>73</v>
      </c>
      <c r="B78" s="73" t="s">
        <v>675</v>
      </c>
      <c r="C78" s="73" t="s">
        <v>676</v>
      </c>
      <c r="D78" s="73" t="s">
        <v>79</v>
      </c>
      <c r="E78" s="74">
        <v>0</v>
      </c>
      <c r="F78" s="74">
        <v>7</v>
      </c>
      <c r="G78" s="74">
        <v>0</v>
      </c>
      <c r="H78" s="74">
        <v>7</v>
      </c>
      <c r="I78" s="74"/>
      <c r="J78" s="74"/>
      <c r="K78" s="74"/>
      <c r="L78" s="74">
        <v>0</v>
      </c>
      <c r="M78" s="74">
        <v>7</v>
      </c>
      <c r="N78" s="73"/>
    </row>
    <row r="79" spans="1:14" x14ac:dyDescent="0.35">
      <c r="A79" s="78">
        <v>74</v>
      </c>
      <c r="B79" s="73" t="s">
        <v>663</v>
      </c>
      <c r="C79" s="73" t="s">
        <v>253</v>
      </c>
      <c r="D79" s="73" t="s">
        <v>15</v>
      </c>
      <c r="E79" s="74">
        <v>7</v>
      </c>
      <c r="F79" s="74">
        <v>0</v>
      </c>
      <c r="G79" s="74">
        <v>0</v>
      </c>
      <c r="H79" s="74">
        <v>7</v>
      </c>
      <c r="I79" s="74"/>
      <c r="J79" s="74"/>
      <c r="K79" s="74"/>
      <c r="L79" s="74">
        <v>0</v>
      </c>
      <c r="M79" s="74">
        <v>7</v>
      </c>
      <c r="N79" s="73"/>
    </row>
    <row r="80" spans="1:14" x14ac:dyDescent="0.35">
      <c r="A80" s="78">
        <v>75</v>
      </c>
      <c r="B80" s="73" t="s">
        <v>677</v>
      </c>
      <c r="C80" s="73" t="s">
        <v>212</v>
      </c>
      <c r="D80" s="73" t="s">
        <v>162</v>
      </c>
      <c r="E80" s="74">
        <v>7</v>
      </c>
      <c r="F80" s="74">
        <v>0</v>
      </c>
      <c r="G80" s="74">
        <v>0</v>
      </c>
      <c r="H80" s="74">
        <v>7</v>
      </c>
      <c r="I80" s="74">
        <v>0</v>
      </c>
      <c r="J80" s="74">
        <v>0</v>
      </c>
      <c r="K80" s="74">
        <v>0</v>
      </c>
      <c r="L80" s="74">
        <v>0</v>
      </c>
      <c r="M80" s="74">
        <v>7</v>
      </c>
      <c r="N80" s="73"/>
    </row>
    <row r="81" spans="1:14" ht="70.5" x14ac:dyDescent="0.35">
      <c r="A81" s="78">
        <v>76</v>
      </c>
      <c r="B81" s="73" t="s">
        <v>678</v>
      </c>
      <c r="C81" s="73" t="s">
        <v>463</v>
      </c>
      <c r="D81" s="87" t="s">
        <v>598</v>
      </c>
      <c r="E81" s="74">
        <v>7</v>
      </c>
      <c r="F81" s="74">
        <v>0</v>
      </c>
      <c r="G81" s="74">
        <v>0</v>
      </c>
      <c r="H81" s="74">
        <v>7</v>
      </c>
      <c r="I81" s="74">
        <v>0</v>
      </c>
      <c r="J81" s="74">
        <v>0</v>
      </c>
      <c r="K81" s="74">
        <v>0</v>
      </c>
      <c r="L81" s="74">
        <v>0</v>
      </c>
      <c r="M81" s="74">
        <v>7</v>
      </c>
      <c r="N81" s="73"/>
    </row>
    <row r="82" spans="1:14" x14ac:dyDescent="0.35">
      <c r="A82" s="78">
        <v>77</v>
      </c>
      <c r="B82" s="73" t="s">
        <v>679</v>
      </c>
      <c r="C82" s="73" t="s">
        <v>680</v>
      </c>
      <c r="D82" s="73" t="s">
        <v>175</v>
      </c>
      <c r="E82" s="74">
        <v>7</v>
      </c>
      <c r="F82" s="74">
        <v>0</v>
      </c>
      <c r="G82" s="74">
        <v>0</v>
      </c>
      <c r="H82" s="74">
        <v>7</v>
      </c>
      <c r="I82" s="74">
        <v>0</v>
      </c>
      <c r="J82" s="74">
        <v>0</v>
      </c>
      <c r="K82" s="74">
        <v>0</v>
      </c>
      <c r="L82" s="74">
        <v>0</v>
      </c>
      <c r="M82" s="74">
        <v>7</v>
      </c>
      <c r="N82" s="73"/>
    </row>
    <row r="83" spans="1:14" x14ac:dyDescent="0.35">
      <c r="A83" s="78">
        <v>78</v>
      </c>
      <c r="B83" s="73" t="s">
        <v>353</v>
      </c>
      <c r="C83" s="73" t="s">
        <v>225</v>
      </c>
      <c r="D83" s="73" t="s">
        <v>169</v>
      </c>
      <c r="E83" s="74">
        <v>7</v>
      </c>
      <c r="F83" s="74">
        <v>0</v>
      </c>
      <c r="G83" s="74">
        <v>0</v>
      </c>
      <c r="H83" s="74">
        <v>7</v>
      </c>
      <c r="I83" s="74">
        <v>0</v>
      </c>
      <c r="J83" s="74">
        <v>0</v>
      </c>
      <c r="K83" s="74">
        <v>0</v>
      </c>
      <c r="L83" s="74">
        <v>0</v>
      </c>
      <c r="M83" s="74">
        <v>7</v>
      </c>
      <c r="N83" s="73"/>
    </row>
    <row r="84" spans="1:14" x14ac:dyDescent="0.35">
      <c r="A84" s="78">
        <v>79</v>
      </c>
      <c r="B84" s="73" t="s">
        <v>474</v>
      </c>
      <c r="C84" s="73" t="s">
        <v>681</v>
      </c>
      <c r="D84" s="73" t="s">
        <v>483</v>
      </c>
      <c r="E84" s="74">
        <v>7</v>
      </c>
      <c r="F84" s="74">
        <v>0</v>
      </c>
      <c r="G84" s="74">
        <v>0</v>
      </c>
      <c r="H84" s="74">
        <v>7</v>
      </c>
      <c r="I84" s="74"/>
      <c r="J84" s="74"/>
      <c r="K84" s="74"/>
      <c r="L84" s="74">
        <v>0</v>
      </c>
      <c r="M84" s="74">
        <v>7</v>
      </c>
      <c r="N84" s="73"/>
    </row>
    <row r="85" spans="1:14" x14ac:dyDescent="0.35">
      <c r="A85" s="78">
        <v>80</v>
      </c>
      <c r="B85" s="73" t="s">
        <v>682</v>
      </c>
      <c r="C85" s="73" t="s">
        <v>573</v>
      </c>
      <c r="D85" s="73" t="s">
        <v>223</v>
      </c>
      <c r="E85" s="74">
        <v>0</v>
      </c>
      <c r="F85" s="74">
        <v>0</v>
      </c>
      <c r="G85" s="74">
        <v>0</v>
      </c>
      <c r="H85" s="74">
        <v>0</v>
      </c>
      <c r="I85" s="74">
        <v>6</v>
      </c>
      <c r="J85" s="74">
        <v>0</v>
      </c>
      <c r="K85" s="74">
        <v>0</v>
      </c>
      <c r="L85" s="74">
        <v>6</v>
      </c>
      <c r="M85" s="74">
        <v>6</v>
      </c>
      <c r="N85" s="73"/>
    </row>
    <row r="86" spans="1:14" x14ac:dyDescent="0.35">
      <c r="A86" s="78">
        <v>81</v>
      </c>
      <c r="B86" s="73" t="s">
        <v>213</v>
      </c>
      <c r="C86" s="73" t="s">
        <v>118</v>
      </c>
      <c r="D86" s="73" t="s">
        <v>29</v>
      </c>
      <c r="E86" s="74">
        <v>0</v>
      </c>
      <c r="F86" s="74">
        <v>4</v>
      </c>
      <c r="G86" s="74">
        <v>0</v>
      </c>
      <c r="H86" s="74">
        <v>4</v>
      </c>
      <c r="I86" s="74">
        <v>2</v>
      </c>
      <c r="J86" s="74">
        <v>0</v>
      </c>
      <c r="K86" s="74">
        <v>0</v>
      </c>
      <c r="L86" s="74">
        <v>2</v>
      </c>
      <c r="M86" s="74">
        <v>6</v>
      </c>
      <c r="N86" s="73"/>
    </row>
    <row r="87" spans="1:14" x14ac:dyDescent="0.35">
      <c r="A87" s="78">
        <v>82</v>
      </c>
      <c r="B87" s="73" t="s">
        <v>683</v>
      </c>
      <c r="C87" s="73" t="s">
        <v>684</v>
      </c>
      <c r="D87" s="73" t="s">
        <v>635</v>
      </c>
      <c r="E87" s="74">
        <v>5</v>
      </c>
      <c r="F87" s="74">
        <v>0</v>
      </c>
      <c r="G87" s="74">
        <v>0</v>
      </c>
      <c r="H87" s="74">
        <v>5</v>
      </c>
      <c r="I87" s="74">
        <v>1</v>
      </c>
      <c r="J87" s="74">
        <v>0</v>
      </c>
      <c r="K87" s="74">
        <v>0</v>
      </c>
      <c r="L87" s="74">
        <v>1</v>
      </c>
      <c r="M87" s="74">
        <v>6</v>
      </c>
      <c r="N87" s="73"/>
    </row>
    <row r="88" spans="1:14" x14ac:dyDescent="0.35">
      <c r="A88" s="78">
        <v>83</v>
      </c>
      <c r="B88" s="73" t="s">
        <v>395</v>
      </c>
      <c r="C88" s="73" t="s">
        <v>232</v>
      </c>
      <c r="D88" s="73" t="s">
        <v>243</v>
      </c>
      <c r="E88" s="74">
        <v>5</v>
      </c>
      <c r="F88" s="74">
        <v>0</v>
      </c>
      <c r="G88" s="74">
        <v>0</v>
      </c>
      <c r="H88" s="74">
        <v>5</v>
      </c>
      <c r="I88" s="74">
        <v>1</v>
      </c>
      <c r="J88" s="74">
        <v>0</v>
      </c>
      <c r="K88" s="74">
        <v>0</v>
      </c>
      <c r="L88" s="74">
        <v>1</v>
      </c>
      <c r="M88" s="74">
        <v>6</v>
      </c>
      <c r="N88" s="73"/>
    </row>
    <row r="89" spans="1:14" x14ac:dyDescent="0.35">
      <c r="A89" s="78">
        <v>84</v>
      </c>
      <c r="B89" s="73" t="s">
        <v>685</v>
      </c>
      <c r="C89" s="73" t="s">
        <v>102</v>
      </c>
      <c r="D89" s="73" t="s">
        <v>686</v>
      </c>
      <c r="E89" s="74">
        <v>5</v>
      </c>
      <c r="F89" s="74">
        <v>0</v>
      </c>
      <c r="G89" s="74">
        <v>0</v>
      </c>
      <c r="H89" s="74">
        <v>5</v>
      </c>
      <c r="I89" s="74">
        <v>1</v>
      </c>
      <c r="J89" s="74">
        <v>0</v>
      </c>
      <c r="K89" s="74">
        <v>0</v>
      </c>
      <c r="L89" s="74">
        <v>1</v>
      </c>
      <c r="M89" s="74">
        <v>6</v>
      </c>
      <c r="N89" s="73"/>
    </row>
    <row r="90" spans="1:14" x14ac:dyDescent="0.35">
      <c r="A90" s="78">
        <v>85</v>
      </c>
      <c r="B90" s="73" t="s">
        <v>687</v>
      </c>
      <c r="C90" s="73" t="s">
        <v>119</v>
      </c>
      <c r="D90" s="73" t="s">
        <v>628</v>
      </c>
      <c r="E90" s="74">
        <v>3</v>
      </c>
      <c r="F90" s="74">
        <v>2</v>
      </c>
      <c r="G90" s="74">
        <v>0</v>
      </c>
      <c r="H90" s="74">
        <v>5</v>
      </c>
      <c r="I90" s="74">
        <v>1</v>
      </c>
      <c r="J90" s="74">
        <v>0</v>
      </c>
      <c r="K90" s="74">
        <v>0</v>
      </c>
      <c r="L90" s="74">
        <v>1</v>
      </c>
      <c r="M90" s="74">
        <v>6</v>
      </c>
      <c r="N90" s="73"/>
    </row>
    <row r="91" spans="1:14" x14ac:dyDescent="0.35">
      <c r="A91" s="78">
        <v>86</v>
      </c>
      <c r="B91" s="73" t="s">
        <v>213</v>
      </c>
      <c r="C91" s="73" t="s">
        <v>688</v>
      </c>
      <c r="D91" s="73" t="s">
        <v>689</v>
      </c>
      <c r="E91" s="74">
        <v>5</v>
      </c>
      <c r="F91" s="74">
        <v>0</v>
      </c>
      <c r="G91" s="74">
        <v>0</v>
      </c>
      <c r="H91" s="74">
        <v>5</v>
      </c>
      <c r="I91" s="74">
        <v>1</v>
      </c>
      <c r="J91" s="74">
        <v>0</v>
      </c>
      <c r="K91" s="74">
        <v>0</v>
      </c>
      <c r="L91" s="74">
        <v>1</v>
      </c>
      <c r="M91" s="74">
        <v>6</v>
      </c>
      <c r="N91" s="73"/>
    </row>
    <row r="92" spans="1:14" x14ac:dyDescent="0.35">
      <c r="A92" s="78">
        <v>87</v>
      </c>
      <c r="B92" s="73" t="s">
        <v>690</v>
      </c>
      <c r="C92" s="73" t="s">
        <v>691</v>
      </c>
      <c r="D92" s="73" t="s">
        <v>120</v>
      </c>
      <c r="E92" s="74">
        <v>5</v>
      </c>
      <c r="F92" s="74">
        <v>0</v>
      </c>
      <c r="G92" s="74">
        <v>0</v>
      </c>
      <c r="H92" s="74">
        <v>5</v>
      </c>
      <c r="I92" s="74">
        <v>1</v>
      </c>
      <c r="J92" s="74">
        <v>0</v>
      </c>
      <c r="K92" s="74">
        <v>0</v>
      </c>
      <c r="L92" s="74">
        <v>1</v>
      </c>
      <c r="M92" s="74">
        <v>6</v>
      </c>
      <c r="N92" s="73"/>
    </row>
    <row r="93" spans="1:14" x14ac:dyDescent="0.35">
      <c r="A93" s="78">
        <v>88</v>
      </c>
      <c r="B93" s="73" t="s">
        <v>692</v>
      </c>
      <c r="C93" s="73" t="s">
        <v>693</v>
      </c>
      <c r="D93" s="73" t="s">
        <v>115</v>
      </c>
      <c r="E93" s="74">
        <v>4</v>
      </c>
      <c r="F93" s="74">
        <v>2</v>
      </c>
      <c r="G93" s="74">
        <v>0</v>
      </c>
      <c r="H93" s="74">
        <v>6</v>
      </c>
      <c r="I93" s="74">
        <v>0</v>
      </c>
      <c r="J93" s="74">
        <v>0</v>
      </c>
      <c r="K93" s="74">
        <v>0</v>
      </c>
      <c r="L93" s="74">
        <v>0</v>
      </c>
      <c r="M93" s="74">
        <v>6</v>
      </c>
      <c r="N93" s="73"/>
    </row>
    <row r="94" spans="1:14" x14ac:dyDescent="0.35">
      <c r="A94" s="78">
        <v>89</v>
      </c>
      <c r="B94" s="73" t="s">
        <v>694</v>
      </c>
      <c r="C94" s="73" t="s">
        <v>695</v>
      </c>
      <c r="D94" s="73" t="s">
        <v>115</v>
      </c>
      <c r="E94" s="74">
        <v>4</v>
      </c>
      <c r="F94" s="74">
        <v>2</v>
      </c>
      <c r="G94" s="74">
        <v>0</v>
      </c>
      <c r="H94" s="74">
        <v>6</v>
      </c>
      <c r="I94" s="74">
        <v>0</v>
      </c>
      <c r="J94" s="74">
        <v>0</v>
      </c>
      <c r="K94" s="74">
        <v>0</v>
      </c>
      <c r="L94" s="74">
        <v>0</v>
      </c>
      <c r="M94" s="74">
        <v>6</v>
      </c>
      <c r="N94" s="73"/>
    </row>
    <row r="95" spans="1:14" x14ac:dyDescent="0.35">
      <c r="A95" s="78">
        <v>90</v>
      </c>
      <c r="B95" s="73" t="s">
        <v>696</v>
      </c>
      <c r="C95" s="73" t="s">
        <v>697</v>
      </c>
      <c r="D95" s="73" t="s">
        <v>79</v>
      </c>
      <c r="E95" s="74">
        <v>0</v>
      </c>
      <c r="F95" s="74">
        <v>4</v>
      </c>
      <c r="G95" s="74">
        <v>0</v>
      </c>
      <c r="H95" s="74">
        <v>4</v>
      </c>
      <c r="I95" s="74">
        <v>1</v>
      </c>
      <c r="J95" s="74">
        <v>0</v>
      </c>
      <c r="K95" s="74">
        <v>0</v>
      </c>
      <c r="L95" s="74">
        <v>1</v>
      </c>
      <c r="M95" s="74">
        <v>5</v>
      </c>
      <c r="N95" s="73"/>
    </row>
    <row r="96" spans="1:14" x14ac:dyDescent="0.35">
      <c r="A96" s="95" t="s">
        <v>622</v>
      </c>
      <c r="B96" s="96"/>
      <c r="C96" s="96"/>
      <c r="D96" s="96"/>
      <c r="E96" s="95" t="s">
        <v>580</v>
      </c>
      <c r="F96" s="96"/>
      <c r="G96" s="96"/>
      <c r="H96" s="97"/>
      <c r="I96" s="95" t="s">
        <v>581</v>
      </c>
      <c r="J96" s="96"/>
      <c r="K96" s="97"/>
      <c r="L96" s="88"/>
      <c r="M96" s="91" t="s">
        <v>623</v>
      </c>
      <c r="N96" s="73"/>
    </row>
    <row r="97" spans="1:14" x14ac:dyDescent="0.35">
      <c r="A97" s="78">
        <v>91</v>
      </c>
      <c r="B97" s="73" t="s">
        <v>337</v>
      </c>
      <c r="C97" s="73" t="s">
        <v>698</v>
      </c>
      <c r="D97" s="73" t="s">
        <v>699</v>
      </c>
      <c r="E97" s="74">
        <v>0</v>
      </c>
      <c r="F97" s="74">
        <v>4</v>
      </c>
      <c r="G97" s="74">
        <v>0</v>
      </c>
      <c r="H97" s="74">
        <v>4</v>
      </c>
      <c r="I97" s="74">
        <v>1</v>
      </c>
      <c r="J97" s="74">
        <v>0</v>
      </c>
      <c r="K97" s="74">
        <v>0</v>
      </c>
      <c r="L97" s="74">
        <v>1</v>
      </c>
      <c r="M97" s="74">
        <v>5</v>
      </c>
      <c r="N97" s="73"/>
    </row>
    <row r="98" spans="1:14" x14ac:dyDescent="0.35">
      <c r="A98" s="78">
        <v>92</v>
      </c>
      <c r="B98" s="73" t="s">
        <v>685</v>
      </c>
      <c r="C98" s="73" t="s">
        <v>102</v>
      </c>
      <c r="D98" s="73" t="s">
        <v>686</v>
      </c>
      <c r="E98" s="74">
        <v>5</v>
      </c>
      <c r="F98" s="74">
        <v>0</v>
      </c>
      <c r="G98" s="74">
        <v>0</v>
      </c>
      <c r="H98" s="74">
        <v>5</v>
      </c>
      <c r="I98" s="74"/>
      <c r="J98" s="74"/>
      <c r="K98" s="74"/>
      <c r="L98" s="74">
        <v>0</v>
      </c>
      <c r="M98" s="74">
        <v>5</v>
      </c>
      <c r="N98" s="73"/>
    </row>
    <row r="99" spans="1:14" x14ac:dyDescent="0.35">
      <c r="A99" s="78">
        <v>93</v>
      </c>
      <c r="B99" s="73" t="s">
        <v>683</v>
      </c>
      <c r="C99" s="73" t="s">
        <v>684</v>
      </c>
      <c r="D99" s="73" t="s">
        <v>635</v>
      </c>
      <c r="E99" s="74">
        <v>5</v>
      </c>
      <c r="F99" s="74">
        <v>0</v>
      </c>
      <c r="G99" s="74">
        <v>0</v>
      </c>
      <c r="H99" s="74">
        <v>5</v>
      </c>
      <c r="I99" s="74"/>
      <c r="J99" s="74"/>
      <c r="K99" s="74"/>
      <c r="L99" s="74">
        <v>0</v>
      </c>
      <c r="M99" s="74">
        <v>5</v>
      </c>
      <c r="N99" s="73"/>
    </row>
    <row r="100" spans="1:14" x14ac:dyDescent="0.35">
      <c r="A100" s="78">
        <v>94</v>
      </c>
      <c r="B100" s="73" t="s">
        <v>700</v>
      </c>
      <c r="C100" s="73" t="s">
        <v>151</v>
      </c>
      <c r="D100" s="73" t="s">
        <v>141</v>
      </c>
      <c r="E100" s="74">
        <v>0</v>
      </c>
      <c r="F100" s="74">
        <v>3</v>
      </c>
      <c r="G100" s="74">
        <v>0</v>
      </c>
      <c r="H100" s="74">
        <v>3</v>
      </c>
      <c r="I100" s="74">
        <v>1</v>
      </c>
      <c r="J100" s="74">
        <v>0</v>
      </c>
      <c r="K100" s="74">
        <v>0</v>
      </c>
      <c r="L100" s="74">
        <v>1</v>
      </c>
      <c r="M100" s="74">
        <v>4</v>
      </c>
      <c r="N100" s="73"/>
    </row>
    <row r="101" spans="1:14" x14ac:dyDescent="0.35">
      <c r="A101" s="78">
        <v>95</v>
      </c>
      <c r="B101" s="73" t="s">
        <v>701</v>
      </c>
      <c r="C101" s="73" t="s">
        <v>61</v>
      </c>
      <c r="D101" s="73" t="s">
        <v>517</v>
      </c>
      <c r="E101" s="74">
        <v>4</v>
      </c>
      <c r="F101" s="74">
        <v>0</v>
      </c>
      <c r="G101" s="74">
        <v>0</v>
      </c>
      <c r="H101" s="74">
        <v>4</v>
      </c>
      <c r="I101" s="74"/>
      <c r="J101" s="74"/>
      <c r="K101" s="74"/>
      <c r="L101" s="74">
        <v>0</v>
      </c>
      <c r="M101" s="74">
        <v>4</v>
      </c>
      <c r="N101" s="73"/>
    </row>
    <row r="102" spans="1:14" x14ac:dyDescent="0.35">
      <c r="A102" s="78">
        <v>96</v>
      </c>
      <c r="B102" s="73" t="s">
        <v>702</v>
      </c>
      <c r="C102" s="73" t="s">
        <v>212</v>
      </c>
      <c r="D102" s="73" t="s">
        <v>240</v>
      </c>
      <c r="E102" s="74">
        <v>4</v>
      </c>
      <c r="F102" s="74">
        <v>0</v>
      </c>
      <c r="G102" s="74">
        <v>0</v>
      </c>
      <c r="H102" s="74">
        <v>4</v>
      </c>
      <c r="I102" s="74"/>
      <c r="J102" s="74"/>
      <c r="K102" s="74"/>
      <c r="L102" s="74">
        <v>0</v>
      </c>
      <c r="M102" s="74">
        <v>4</v>
      </c>
      <c r="N102" s="73"/>
    </row>
    <row r="103" spans="1:14" x14ac:dyDescent="0.35">
      <c r="A103" s="78">
        <v>97</v>
      </c>
      <c r="B103" s="73" t="s">
        <v>703</v>
      </c>
      <c r="C103" s="73" t="s">
        <v>704</v>
      </c>
      <c r="D103" s="73" t="s">
        <v>221</v>
      </c>
      <c r="E103" s="74">
        <v>0</v>
      </c>
      <c r="F103" s="74">
        <v>4</v>
      </c>
      <c r="G103" s="74">
        <v>0</v>
      </c>
      <c r="H103" s="74">
        <v>4</v>
      </c>
      <c r="I103" s="74">
        <v>0</v>
      </c>
      <c r="J103" s="74">
        <v>0</v>
      </c>
      <c r="K103" s="74">
        <v>0</v>
      </c>
      <c r="L103" s="74">
        <v>0</v>
      </c>
      <c r="M103" s="74">
        <v>4</v>
      </c>
      <c r="N103" s="73"/>
    </row>
    <row r="104" spans="1:14" x14ac:dyDescent="0.35">
      <c r="A104" s="78">
        <v>98</v>
      </c>
      <c r="B104" s="73" t="s">
        <v>153</v>
      </c>
      <c r="C104" s="73" t="s">
        <v>605</v>
      </c>
      <c r="D104" s="73" t="s">
        <v>69</v>
      </c>
      <c r="E104" s="74">
        <v>4</v>
      </c>
      <c r="F104" s="74">
        <v>0</v>
      </c>
      <c r="G104" s="74">
        <v>0</v>
      </c>
      <c r="H104" s="74">
        <v>4</v>
      </c>
      <c r="I104" s="74"/>
      <c r="J104" s="74"/>
      <c r="K104" s="74"/>
      <c r="L104" s="74">
        <v>0</v>
      </c>
      <c r="M104" s="74">
        <v>4</v>
      </c>
      <c r="N104" s="73"/>
    </row>
    <row r="105" spans="1:14" x14ac:dyDescent="0.35">
      <c r="A105" s="78">
        <v>99</v>
      </c>
      <c r="B105" s="73" t="s">
        <v>705</v>
      </c>
      <c r="C105" s="73" t="s">
        <v>706</v>
      </c>
      <c r="D105" s="73" t="s">
        <v>120</v>
      </c>
      <c r="E105" s="74">
        <v>4</v>
      </c>
      <c r="F105" s="74">
        <v>0</v>
      </c>
      <c r="G105" s="74">
        <v>0</v>
      </c>
      <c r="H105" s="74">
        <v>4</v>
      </c>
      <c r="I105" s="74">
        <v>0</v>
      </c>
      <c r="J105" s="74">
        <v>0</v>
      </c>
      <c r="K105" s="74">
        <v>0</v>
      </c>
      <c r="L105" s="74">
        <v>0</v>
      </c>
      <c r="M105" s="74">
        <v>4</v>
      </c>
      <c r="N105" s="73"/>
    </row>
    <row r="106" spans="1:14" x14ac:dyDescent="0.35">
      <c r="A106" s="78">
        <v>100</v>
      </c>
      <c r="B106" s="73" t="s">
        <v>707</v>
      </c>
      <c r="C106" s="73" t="s">
        <v>708</v>
      </c>
      <c r="D106" s="73" t="s">
        <v>29</v>
      </c>
      <c r="E106" s="74">
        <v>0</v>
      </c>
      <c r="F106" s="74">
        <v>2</v>
      </c>
      <c r="G106" s="74">
        <v>0</v>
      </c>
      <c r="H106" s="74">
        <v>2</v>
      </c>
      <c r="I106" s="74">
        <v>1</v>
      </c>
      <c r="J106" s="74">
        <v>0</v>
      </c>
      <c r="K106" s="74">
        <v>0</v>
      </c>
      <c r="L106" s="74">
        <v>1</v>
      </c>
      <c r="M106" s="74">
        <v>3</v>
      </c>
      <c r="N106" s="73"/>
    </row>
    <row r="107" spans="1:14" x14ac:dyDescent="0.35">
      <c r="A107" s="78">
        <v>101</v>
      </c>
      <c r="B107" s="73" t="s">
        <v>709</v>
      </c>
      <c r="C107" s="73" t="s">
        <v>562</v>
      </c>
      <c r="D107" s="73" t="s">
        <v>79</v>
      </c>
      <c r="E107" s="74">
        <v>0</v>
      </c>
      <c r="F107" s="74">
        <v>2</v>
      </c>
      <c r="G107" s="74">
        <v>0</v>
      </c>
      <c r="H107" s="74">
        <v>2</v>
      </c>
      <c r="I107" s="74">
        <v>1</v>
      </c>
      <c r="J107" s="74">
        <v>0</v>
      </c>
      <c r="K107" s="74">
        <v>0</v>
      </c>
      <c r="L107" s="74">
        <v>1</v>
      </c>
      <c r="M107" s="74">
        <v>3</v>
      </c>
      <c r="N107" s="73"/>
    </row>
    <row r="108" spans="1:14" x14ac:dyDescent="0.35">
      <c r="A108" s="78">
        <v>102</v>
      </c>
      <c r="B108" s="73" t="s">
        <v>710</v>
      </c>
      <c r="C108" s="73" t="s">
        <v>350</v>
      </c>
      <c r="D108" s="73" t="s">
        <v>689</v>
      </c>
      <c r="E108" s="74">
        <v>0</v>
      </c>
      <c r="F108" s="74">
        <v>2</v>
      </c>
      <c r="G108" s="74">
        <v>0</v>
      </c>
      <c r="H108" s="74">
        <v>2</v>
      </c>
      <c r="I108" s="74">
        <v>1</v>
      </c>
      <c r="J108" s="74">
        <v>0</v>
      </c>
      <c r="K108" s="74">
        <v>0</v>
      </c>
      <c r="L108" s="74">
        <v>1</v>
      </c>
      <c r="M108" s="74">
        <v>3</v>
      </c>
      <c r="N108" s="73"/>
    </row>
    <row r="109" spans="1:14" x14ac:dyDescent="0.35">
      <c r="A109" s="78">
        <v>103</v>
      </c>
      <c r="B109" s="73" t="s">
        <v>711</v>
      </c>
      <c r="C109" s="73" t="s">
        <v>712</v>
      </c>
      <c r="D109" s="73" t="s">
        <v>524</v>
      </c>
      <c r="E109" s="74">
        <v>0</v>
      </c>
      <c r="F109" s="74">
        <v>2</v>
      </c>
      <c r="G109" s="74">
        <v>0</v>
      </c>
      <c r="H109" s="74">
        <v>2</v>
      </c>
      <c r="I109" s="74">
        <v>1</v>
      </c>
      <c r="J109" s="74">
        <v>0</v>
      </c>
      <c r="K109" s="74">
        <v>0</v>
      </c>
      <c r="L109" s="74">
        <v>1</v>
      </c>
      <c r="M109" s="74">
        <v>3</v>
      </c>
      <c r="N109" s="73"/>
    </row>
    <row r="110" spans="1:14" x14ac:dyDescent="0.35">
      <c r="A110" s="78">
        <v>104</v>
      </c>
      <c r="B110" s="73" t="s">
        <v>713</v>
      </c>
      <c r="C110" s="73" t="s">
        <v>232</v>
      </c>
      <c r="D110" s="73" t="s">
        <v>181</v>
      </c>
      <c r="E110" s="74">
        <v>0</v>
      </c>
      <c r="F110" s="74">
        <v>2</v>
      </c>
      <c r="G110" s="74">
        <v>0</v>
      </c>
      <c r="H110" s="74">
        <v>2</v>
      </c>
      <c r="I110" s="74">
        <v>1</v>
      </c>
      <c r="J110" s="74">
        <v>0</v>
      </c>
      <c r="K110" s="74">
        <v>0</v>
      </c>
      <c r="L110" s="74">
        <v>1</v>
      </c>
      <c r="M110" s="74">
        <v>3</v>
      </c>
      <c r="N110" s="73"/>
    </row>
    <row r="111" spans="1:14" x14ac:dyDescent="0.35">
      <c r="A111" s="78">
        <v>105</v>
      </c>
      <c r="B111" s="73" t="s">
        <v>149</v>
      </c>
      <c r="C111" s="73" t="s">
        <v>714</v>
      </c>
      <c r="D111" s="73" t="s">
        <v>79</v>
      </c>
      <c r="E111" s="74">
        <v>0</v>
      </c>
      <c r="F111" s="74">
        <v>2</v>
      </c>
      <c r="G111" s="74">
        <v>0</v>
      </c>
      <c r="H111" s="74">
        <v>2</v>
      </c>
      <c r="I111" s="74">
        <v>1</v>
      </c>
      <c r="J111" s="74">
        <v>0</v>
      </c>
      <c r="K111" s="74">
        <v>0</v>
      </c>
      <c r="L111" s="74">
        <v>1</v>
      </c>
      <c r="M111" s="74">
        <v>3</v>
      </c>
      <c r="N111" s="73"/>
    </row>
    <row r="112" spans="1:14" x14ac:dyDescent="0.35">
      <c r="A112" s="78">
        <v>106</v>
      </c>
      <c r="B112" s="73" t="s">
        <v>715</v>
      </c>
      <c r="C112" s="73" t="s">
        <v>232</v>
      </c>
      <c r="D112" s="73" t="s">
        <v>141</v>
      </c>
      <c r="E112" s="74">
        <v>0</v>
      </c>
      <c r="F112" s="74">
        <v>3</v>
      </c>
      <c r="G112" s="74">
        <v>0</v>
      </c>
      <c r="H112" s="74">
        <v>3</v>
      </c>
      <c r="I112" s="74"/>
      <c r="J112" s="74"/>
      <c r="K112" s="74"/>
      <c r="L112" s="74">
        <v>0</v>
      </c>
      <c r="M112" s="74">
        <v>3</v>
      </c>
      <c r="N112" s="73"/>
    </row>
    <row r="113" spans="1:14" x14ac:dyDescent="0.35">
      <c r="A113" s="78">
        <v>107</v>
      </c>
      <c r="B113" s="73" t="s">
        <v>142</v>
      </c>
      <c r="C113" s="73" t="s">
        <v>716</v>
      </c>
      <c r="D113" s="73" t="s">
        <v>517</v>
      </c>
      <c r="E113" s="74">
        <v>3</v>
      </c>
      <c r="F113" s="74">
        <v>0</v>
      </c>
      <c r="G113" s="74">
        <v>0</v>
      </c>
      <c r="H113" s="74">
        <v>3</v>
      </c>
      <c r="I113" s="74"/>
      <c r="J113" s="74"/>
      <c r="K113" s="74"/>
      <c r="L113" s="74">
        <v>0</v>
      </c>
      <c r="M113" s="74">
        <v>3</v>
      </c>
      <c r="N113" s="73"/>
    </row>
    <row r="114" spans="1:14" x14ac:dyDescent="0.35">
      <c r="A114" s="78">
        <v>108</v>
      </c>
      <c r="B114" s="73" t="s">
        <v>715</v>
      </c>
      <c r="C114" s="73" t="s">
        <v>232</v>
      </c>
      <c r="D114" s="73" t="s">
        <v>141</v>
      </c>
      <c r="E114" s="74">
        <v>0</v>
      </c>
      <c r="F114" s="74">
        <v>3</v>
      </c>
      <c r="G114" s="74">
        <v>0</v>
      </c>
      <c r="H114" s="74">
        <v>3</v>
      </c>
      <c r="I114" s="74">
        <v>0</v>
      </c>
      <c r="J114" s="74">
        <v>0</v>
      </c>
      <c r="K114" s="74">
        <v>0</v>
      </c>
      <c r="L114" s="74">
        <v>0</v>
      </c>
      <c r="M114" s="74">
        <v>3</v>
      </c>
      <c r="N114" s="73"/>
    </row>
    <row r="115" spans="1:14" x14ac:dyDescent="0.35">
      <c r="A115" s="78">
        <v>109</v>
      </c>
      <c r="B115" s="73" t="s">
        <v>685</v>
      </c>
      <c r="C115" s="73" t="s">
        <v>70</v>
      </c>
      <c r="D115" s="73" t="s">
        <v>425</v>
      </c>
      <c r="E115" s="74">
        <v>0</v>
      </c>
      <c r="F115" s="74">
        <v>2</v>
      </c>
      <c r="G115" s="74">
        <v>0</v>
      </c>
      <c r="H115" s="74">
        <v>2</v>
      </c>
      <c r="I115" s="74">
        <v>0</v>
      </c>
      <c r="J115" s="74">
        <v>0</v>
      </c>
      <c r="K115" s="74">
        <v>0</v>
      </c>
      <c r="L115" s="74">
        <v>0</v>
      </c>
      <c r="M115" s="74">
        <v>2</v>
      </c>
      <c r="N115" s="73"/>
    </row>
    <row r="116" spans="1:14" x14ac:dyDescent="0.35">
      <c r="A116" s="78">
        <v>110</v>
      </c>
      <c r="B116" s="73" t="s">
        <v>694</v>
      </c>
      <c r="C116" s="73" t="s">
        <v>695</v>
      </c>
      <c r="D116" s="73" t="s">
        <v>115</v>
      </c>
      <c r="E116" s="74">
        <v>0</v>
      </c>
      <c r="F116" s="74">
        <v>2</v>
      </c>
      <c r="G116" s="74">
        <v>0</v>
      </c>
      <c r="H116" s="74">
        <v>2</v>
      </c>
      <c r="I116" s="74"/>
      <c r="J116" s="74"/>
      <c r="K116" s="74"/>
      <c r="L116" s="74">
        <v>0</v>
      </c>
      <c r="M116" s="74">
        <v>2</v>
      </c>
      <c r="N116" s="73"/>
    </row>
    <row r="117" spans="1:14" x14ac:dyDescent="0.35">
      <c r="A117" s="78">
        <v>111</v>
      </c>
      <c r="B117" s="73" t="s">
        <v>717</v>
      </c>
      <c r="C117" s="73" t="s">
        <v>467</v>
      </c>
      <c r="D117" s="73" t="s">
        <v>686</v>
      </c>
      <c r="E117" s="74">
        <v>0</v>
      </c>
      <c r="F117" s="74">
        <v>2</v>
      </c>
      <c r="G117" s="74">
        <v>0</v>
      </c>
      <c r="H117" s="74">
        <v>2</v>
      </c>
      <c r="I117" s="74">
        <v>0</v>
      </c>
      <c r="J117" s="74">
        <v>0</v>
      </c>
      <c r="K117" s="74">
        <v>0</v>
      </c>
      <c r="L117" s="74">
        <v>0</v>
      </c>
      <c r="M117" s="74">
        <v>2</v>
      </c>
      <c r="N117" s="73"/>
    </row>
    <row r="118" spans="1:14" x14ac:dyDescent="0.35">
      <c r="A118" s="78">
        <v>112</v>
      </c>
      <c r="B118" s="73" t="s">
        <v>174</v>
      </c>
      <c r="C118" s="73" t="s">
        <v>718</v>
      </c>
      <c r="D118" s="73" t="s">
        <v>157</v>
      </c>
      <c r="E118" s="74">
        <v>0</v>
      </c>
      <c r="F118" s="74">
        <v>2</v>
      </c>
      <c r="G118" s="74">
        <v>0</v>
      </c>
      <c r="H118" s="74">
        <v>2</v>
      </c>
      <c r="I118" s="74">
        <v>0</v>
      </c>
      <c r="J118" s="74">
        <v>0</v>
      </c>
      <c r="K118" s="74">
        <v>0</v>
      </c>
      <c r="L118" s="74">
        <v>0</v>
      </c>
      <c r="M118" s="74">
        <v>2</v>
      </c>
      <c r="N118" s="73"/>
    </row>
    <row r="119" spans="1:14" x14ac:dyDescent="0.35">
      <c r="A119" s="78">
        <v>113</v>
      </c>
      <c r="B119" s="73" t="s">
        <v>719</v>
      </c>
      <c r="C119" s="73" t="s">
        <v>139</v>
      </c>
      <c r="D119" s="73" t="s">
        <v>720</v>
      </c>
      <c r="E119" s="74">
        <v>0</v>
      </c>
      <c r="F119" s="74">
        <v>2</v>
      </c>
      <c r="G119" s="74">
        <v>0</v>
      </c>
      <c r="H119" s="74">
        <v>2</v>
      </c>
      <c r="I119" s="74">
        <v>0</v>
      </c>
      <c r="J119" s="74">
        <v>0</v>
      </c>
      <c r="K119" s="74">
        <v>0</v>
      </c>
      <c r="L119" s="74">
        <v>0</v>
      </c>
      <c r="M119" s="74">
        <v>2</v>
      </c>
      <c r="N119" s="73"/>
    </row>
    <row r="120" spans="1:14" x14ac:dyDescent="0.35">
      <c r="A120" s="78">
        <v>114</v>
      </c>
      <c r="B120" s="73" t="s">
        <v>43</v>
      </c>
      <c r="C120" s="73" t="s">
        <v>305</v>
      </c>
      <c r="D120" s="73" t="s">
        <v>88</v>
      </c>
      <c r="E120" s="74">
        <v>0</v>
      </c>
      <c r="F120" s="74">
        <v>2</v>
      </c>
      <c r="G120" s="74">
        <v>0</v>
      </c>
      <c r="H120" s="74">
        <v>2</v>
      </c>
      <c r="I120" s="74"/>
      <c r="J120" s="74"/>
      <c r="K120" s="74"/>
      <c r="L120" s="74">
        <v>0</v>
      </c>
      <c r="M120" s="74">
        <v>2</v>
      </c>
      <c r="N120" s="73"/>
    </row>
    <row r="121" spans="1:14" x14ac:dyDescent="0.35">
      <c r="A121" s="78">
        <v>115</v>
      </c>
      <c r="B121" s="73" t="s">
        <v>721</v>
      </c>
      <c r="C121" s="73" t="s">
        <v>301</v>
      </c>
      <c r="D121" s="73" t="s">
        <v>722</v>
      </c>
      <c r="E121" s="74">
        <v>0</v>
      </c>
      <c r="F121" s="74">
        <v>2</v>
      </c>
      <c r="G121" s="74">
        <v>0</v>
      </c>
      <c r="H121" s="74">
        <v>2</v>
      </c>
      <c r="I121" s="74"/>
      <c r="J121" s="74"/>
      <c r="K121" s="74"/>
      <c r="L121" s="74">
        <v>0</v>
      </c>
      <c r="M121" s="74">
        <v>2</v>
      </c>
      <c r="N121" s="73"/>
    </row>
    <row r="122" spans="1:14" x14ac:dyDescent="0.35">
      <c r="A122" s="78">
        <v>116</v>
      </c>
      <c r="B122" s="73" t="s">
        <v>723</v>
      </c>
      <c r="C122" s="73" t="s">
        <v>724</v>
      </c>
      <c r="D122" s="73" t="s">
        <v>172</v>
      </c>
      <c r="E122" s="74">
        <v>0</v>
      </c>
      <c r="F122" s="74">
        <v>2</v>
      </c>
      <c r="G122" s="74">
        <v>0</v>
      </c>
      <c r="H122" s="74">
        <v>2</v>
      </c>
      <c r="I122" s="74">
        <v>0</v>
      </c>
      <c r="J122" s="74">
        <v>0</v>
      </c>
      <c r="K122" s="74">
        <v>0</v>
      </c>
      <c r="L122" s="74">
        <v>0</v>
      </c>
      <c r="M122" s="74">
        <v>2</v>
      </c>
      <c r="N122" s="73"/>
    </row>
    <row r="123" spans="1:14" x14ac:dyDescent="0.35">
      <c r="A123" s="78">
        <v>117</v>
      </c>
      <c r="B123" s="73" t="s">
        <v>513</v>
      </c>
      <c r="C123" s="73" t="s">
        <v>330</v>
      </c>
      <c r="D123" s="73" t="s">
        <v>425</v>
      </c>
      <c r="E123" s="74">
        <v>0</v>
      </c>
      <c r="F123" s="74">
        <v>2</v>
      </c>
      <c r="G123" s="74">
        <v>0</v>
      </c>
      <c r="H123" s="74">
        <v>2</v>
      </c>
      <c r="I123" s="74">
        <v>0</v>
      </c>
      <c r="J123" s="74">
        <v>0</v>
      </c>
      <c r="K123" s="74">
        <v>0</v>
      </c>
      <c r="L123" s="74">
        <v>0</v>
      </c>
      <c r="M123" s="74">
        <v>2</v>
      </c>
      <c r="N123" s="73"/>
    </row>
    <row r="124" spans="1:14" x14ac:dyDescent="0.35">
      <c r="A124" s="78">
        <v>118</v>
      </c>
      <c r="B124" s="82" t="s">
        <v>725</v>
      </c>
      <c r="C124" s="82" t="s">
        <v>726</v>
      </c>
      <c r="D124" s="82" t="s">
        <v>141</v>
      </c>
      <c r="E124" s="74">
        <v>0</v>
      </c>
      <c r="F124" s="74">
        <v>2</v>
      </c>
      <c r="G124" s="74">
        <v>0</v>
      </c>
      <c r="H124" s="74">
        <v>2</v>
      </c>
      <c r="I124" s="74">
        <v>0</v>
      </c>
      <c r="J124" s="74">
        <v>0</v>
      </c>
      <c r="K124" s="74">
        <v>0</v>
      </c>
      <c r="L124" s="74">
        <v>0</v>
      </c>
      <c r="M124" s="74">
        <v>2</v>
      </c>
      <c r="N124" s="73"/>
    </row>
    <row r="125" spans="1:14" x14ac:dyDescent="0.35">
      <c r="A125" s="78">
        <v>119</v>
      </c>
      <c r="B125" s="73" t="s">
        <v>727</v>
      </c>
      <c r="C125" s="73" t="s">
        <v>728</v>
      </c>
      <c r="D125" s="73" t="s">
        <v>240</v>
      </c>
      <c r="E125" s="74">
        <v>0</v>
      </c>
      <c r="F125" s="74">
        <v>0</v>
      </c>
      <c r="G125" s="74">
        <v>0</v>
      </c>
      <c r="H125" s="74">
        <v>0</v>
      </c>
      <c r="I125" s="74">
        <v>1</v>
      </c>
      <c r="J125" s="74">
        <v>0</v>
      </c>
      <c r="K125" s="74">
        <v>0</v>
      </c>
      <c r="L125" s="74">
        <v>1</v>
      </c>
      <c r="M125" s="74">
        <v>1</v>
      </c>
      <c r="N125" s="73"/>
    </row>
    <row r="126" spans="1:14" x14ac:dyDescent="0.35">
      <c r="A126" s="95" t="s">
        <v>622</v>
      </c>
      <c r="B126" s="96"/>
      <c r="C126" s="96"/>
      <c r="D126" s="96"/>
      <c r="E126" s="95" t="s">
        <v>580</v>
      </c>
      <c r="F126" s="96"/>
      <c r="G126" s="96"/>
      <c r="H126" s="97"/>
      <c r="I126" s="95" t="s">
        <v>581</v>
      </c>
      <c r="J126" s="96"/>
      <c r="K126" s="97"/>
      <c r="L126" s="88"/>
      <c r="M126" s="91" t="s">
        <v>623</v>
      </c>
      <c r="N126" s="73"/>
    </row>
    <row r="127" spans="1:14" x14ac:dyDescent="0.35">
      <c r="A127" s="78">
        <v>121</v>
      </c>
      <c r="B127" s="73" t="s">
        <v>729</v>
      </c>
      <c r="C127" s="73" t="s">
        <v>730</v>
      </c>
      <c r="D127" s="73" t="s">
        <v>59</v>
      </c>
      <c r="E127" s="74">
        <v>0</v>
      </c>
      <c r="F127" s="74">
        <v>0</v>
      </c>
      <c r="G127" s="74">
        <v>0</v>
      </c>
      <c r="H127" s="74">
        <v>0</v>
      </c>
      <c r="I127" s="74">
        <v>1</v>
      </c>
      <c r="J127" s="74">
        <v>0</v>
      </c>
      <c r="K127" s="74">
        <v>0</v>
      </c>
      <c r="L127" s="74">
        <v>1</v>
      </c>
      <c r="M127" s="74">
        <v>1</v>
      </c>
      <c r="N127" s="73"/>
    </row>
    <row r="128" spans="1:14" x14ac:dyDescent="0.35">
      <c r="A128" s="78">
        <v>122</v>
      </c>
      <c r="B128" s="73" t="s">
        <v>401</v>
      </c>
      <c r="C128" s="73" t="s">
        <v>603</v>
      </c>
      <c r="D128" s="73" t="s">
        <v>157</v>
      </c>
      <c r="E128" s="74">
        <v>0</v>
      </c>
      <c r="F128" s="74">
        <v>0</v>
      </c>
      <c r="G128" s="74">
        <v>0</v>
      </c>
      <c r="H128" s="74">
        <v>0</v>
      </c>
      <c r="I128" s="74">
        <v>1</v>
      </c>
      <c r="J128" s="74">
        <v>0</v>
      </c>
      <c r="K128" s="74">
        <v>0</v>
      </c>
      <c r="L128" s="74">
        <v>1</v>
      </c>
      <c r="M128" s="74">
        <v>1</v>
      </c>
      <c r="N128" s="73"/>
    </row>
    <row r="129" spans="1:14" x14ac:dyDescent="0.35">
      <c r="A129" s="78">
        <v>123</v>
      </c>
      <c r="B129" s="73" t="s">
        <v>274</v>
      </c>
      <c r="C129" s="73" t="s">
        <v>350</v>
      </c>
      <c r="D129" s="73" t="s">
        <v>120</v>
      </c>
      <c r="E129" s="74">
        <v>0</v>
      </c>
      <c r="F129" s="74">
        <v>0</v>
      </c>
      <c r="G129" s="74">
        <v>0</v>
      </c>
      <c r="H129" s="74">
        <v>0</v>
      </c>
      <c r="I129" s="74">
        <v>1</v>
      </c>
      <c r="J129" s="74">
        <v>0</v>
      </c>
      <c r="K129" s="74">
        <v>0</v>
      </c>
      <c r="L129" s="74">
        <v>1</v>
      </c>
      <c r="M129" s="74">
        <v>1</v>
      </c>
      <c r="N129" s="73"/>
    </row>
    <row r="130" spans="1:14" x14ac:dyDescent="0.35">
      <c r="A130" s="78">
        <v>124</v>
      </c>
      <c r="B130" s="82" t="s">
        <v>731</v>
      </c>
      <c r="C130" s="82" t="s">
        <v>732</v>
      </c>
      <c r="D130" s="82" t="s">
        <v>628</v>
      </c>
      <c r="E130" s="82"/>
      <c r="F130" s="82"/>
      <c r="G130" s="82"/>
      <c r="H130" s="82"/>
      <c r="I130" s="83">
        <v>1</v>
      </c>
      <c r="J130" s="83">
        <v>0</v>
      </c>
      <c r="K130" s="83">
        <v>0</v>
      </c>
      <c r="L130" s="74">
        <v>1</v>
      </c>
      <c r="M130" s="74">
        <v>1</v>
      </c>
      <c r="N130" s="73"/>
    </row>
    <row r="131" spans="1:14" x14ac:dyDescent="0.35">
      <c r="A131" s="78">
        <v>125</v>
      </c>
      <c r="B131" s="84" t="s">
        <v>733</v>
      </c>
      <c r="C131" s="84" t="s">
        <v>134</v>
      </c>
      <c r="D131" s="84" t="s">
        <v>85</v>
      </c>
      <c r="E131" s="82"/>
      <c r="F131" s="82"/>
      <c r="G131" s="82"/>
      <c r="H131" s="82"/>
      <c r="I131" s="83">
        <v>1</v>
      </c>
      <c r="J131" s="83">
        <v>0</v>
      </c>
      <c r="K131" s="83">
        <v>0</v>
      </c>
      <c r="L131" s="74">
        <v>1</v>
      </c>
      <c r="M131" s="74">
        <v>1</v>
      </c>
      <c r="N131" s="73"/>
    </row>
    <row r="132" spans="1:14" x14ac:dyDescent="0.35">
      <c r="A132" s="78">
        <v>126</v>
      </c>
      <c r="B132" s="82" t="s">
        <v>288</v>
      </c>
      <c r="C132" s="82" t="s">
        <v>734</v>
      </c>
      <c r="D132" s="82" t="s">
        <v>100</v>
      </c>
      <c r="E132" s="82"/>
      <c r="F132" s="82"/>
      <c r="G132" s="82"/>
      <c r="H132" s="82"/>
      <c r="I132" s="83">
        <v>1</v>
      </c>
      <c r="J132" s="83">
        <v>0</v>
      </c>
      <c r="K132" s="83">
        <v>0</v>
      </c>
      <c r="L132" s="74">
        <v>1</v>
      </c>
      <c r="M132" s="74">
        <v>1</v>
      </c>
      <c r="N132" s="73"/>
    </row>
    <row r="133" spans="1:14" x14ac:dyDescent="0.35">
      <c r="A133" s="78">
        <v>127</v>
      </c>
      <c r="B133" s="73" t="s">
        <v>735</v>
      </c>
      <c r="C133" s="73" t="s">
        <v>736</v>
      </c>
      <c r="D133" s="73" t="s">
        <v>240</v>
      </c>
      <c r="E133" s="74">
        <v>0</v>
      </c>
      <c r="F133" s="74">
        <v>0</v>
      </c>
      <c r="G133" s="74">
        <v>0</v>
      </c>
      <c r="H133" s="74">
        <v>0</v>
      </c>
      <c r="I133" s="74">
        <v>0</v>
      </c>
      <c r="J133" s="74">
        <v>0</v>
      </c>
      <c r="K133" s="74">
        <v>0</v>
      </c>
      <c r="L133" s="74">
        <v>0</v>
      </c>
      <c r="M133" s="74">
        <v>0</v>
      </c>
      <c r="N133" s="73"/>
    </row>
    <row r="134" spans="1:14" x14ac:dyDescent="0.35">
      <c r="A134" s="78">
        <v>128</v>
      </c>
      <c r="B134" s="73" t="s">
        <v>737</v>
      </c>
      <c r="C134" s="73" t="s">
        <v>738</v>
      </c>
      <c r="D134" s="73" t="s">
        <v>739</v>
      </c>
      <c r="E134" s="74">
        <v>0</v>
      </c>
      <c r="F134" s="74">
        <v>0</v>
      </c>
      <c r="G134" s="74">
        <v>0</v>
      </c>
      <c r="H134" s="74">
        <v>0</v>
      </c>
      <c r="I134" s="74"/>
      <c r="J134" s="74"/>
      <c r="K134" s="74"/>
      <c r="L134" s="74">
        <v>0</v>
      </c>
      <c r="M134" s="74">
        <v>0</v>
      </c>
      <c r="N134" s="73"/>
    </row>
    <row r="135" spans="1:14" x14ac:dyDescent="0.35">
      <c r="A135" s="78">
        <v>129</v>
      </c>
      <c r="B135" s="73" t="s">
        <v>740</v>
      </c>
      <c r="C135" s="73" t="s">
        <v>415</v>
      </c>
      <c r="D135" s="73" t="s">
        <v>741</v>
      </c>
      <c r="E135" s="74">
        <v>0</v>
      </c>
      <c r="F135" s="74">
        <v>0</v>
      </c>
      <c r="G135" s="74">
        <v>0</v>
      </c>
      <c r="H135" s="74">
        <v>0</v>
      </c>
      <c r="I135" s="74">
        <v>0</v>
      </c>
      <c r="J135" s="74">
        <v>0</v>
      </c>
      <c r="K135" s="74">
        <v>0</v>
      </c>
      <c r="L135" s="74">
        <v>0</v>
      </c>
      <c r="M135" s="74">
        <v>0</v>
      </c>
      <c r="N135" s="73"/>
    </row>
    <row r="136" spans="1:14" x14ac:dyDescent="0.35">
      <c r="A136" s="78">
        <v>130</v>
      </c>
      <c r="B136" s="73" t="s">
        <v>735</v>
      </c>
      <c r="C136" s="73" t="s">
        <v>736</v>
      </c>
      <c r="D136" s="73" t="s">
        <v>240</v>
      </c>
      <c r="E136" s="74">
        <v>0</v>
      </c>
      <c r="F136" s="74">
        <v>0</v>
      </c>
      <c r="G136" s="74">
        <v>0</v>
      </c>
      <c r="H136" s="74">
        <v>0</v>
      </c>
      <c r="I136" s="74"/>
      <c r="J136" s="74"/>
      <c r="K136" s="74"/>
      <c r="L136" s="74">
        <v>0</v>
      </c>
      <c r="M136" s="74">
        <v>0</v>
      </c>
      <c r="N136" s="73"/>
    </row>
    <row r="137" spans="1:14" x14ac:dyDescent="0.35">
      <c r="A137" s="78">
        <v>131</v>
      </c>
      <c r="B137" s="73" t="s">
        <v>737</v>
      </c>
      <c r="C137" s="73" t="s">
        <v>738</v>
      </c>
      <c r="D137" s="73" t="s">
        <v>739</v>
      </c>
      <c r="E137" s="74">
        <v>0</v>
      </c>
      <c r="F137" s="74">
        <v>0</v>
      </c>
      <c r="G137" s="74">
        <v>0</v>
      </c>
      <c r="H137" s="74">
        <v>0</v>
      </c>
      <c r="I137" s="74"/>
      <c r="J137" s="74"/>
      <c r="K137" s="74"/>
      <c r="L137" s="74">
        <v>0</v>
      </c>
      <c r="M137" s="74">
        <v>0</v>
      </c>
      <c r="N137" s="73"/>
    </row>
    <row r="138" spans="1:14" x14ac:dyDescent="0.35">
      <c r="A138" s="78">
        <v>132</v>
      </c>
      <c r="B138" s="73" t="s">
        <v>740</v>
      </c>
      <c r="C138" s="73" t="s">
        <v>415</v>
      </c>
      <c r="D138" s="73" t="s">
        <v>741</v>
      </c>
      <c r="E138" s="74">
        <v>0</v>
      </c>
      <c r="F138" s="74">
        <v>0</v>
      </c>
      <c r="G138" s="74">
        <v>0</v>
      </c>
      <c r="H138" s="74">
        <v>0</v>
      </c>
      <c r="I138" s="74"/>
      <c r="J138" s="74"/>
      <c r="K138" s="74"/>
      <c r="L138" s="74">
        <v>0</v>
      </c>
      <c r="M138" s="74">
        <v>0</v>
      </c>
      <c r="N138" s="73"/>
    </row>
    <row r="139" spans="1:14" x14ac:dyDescent="0.35">
      <c r="A139" s="78">
        <v>133</v>
      </c>
      <c r="B139" s="73" t="s">
        <v>251</v>
      </c>
      <c r="C139" s="73" t="s">
        <v>463</v>
      </c>
      <c r="D139" s="73" t="s">
        <v>240</v>
      </c>
      <c r="E139" s="74">
        <v>0</v>
      </c>
      <c r="F139" s="74">
        <v>0</v>
      </c>
      <c r="G139" s="74">
        <v>0</v>
      </c>
      <c r="H139" s="74">
        <v>0</v>
      </c>
      <c r="I139" s="74">
        <v>0</v>
      </c>
      <c r="J139" s="74">
        <v>0</v>
      </c>
      <c r="K139" s="74">
        <v>0</v>
      </c>
      <c r="L139" s="74">
        <v>0</v>
      </c>
      <c r="M139" s="74">
        <v>0</v>
      </c>
      <c r="N139" s="73"/>
    </row>
    <row r="140" spans="1:14" x14ac:dyDescent="0.35">
      <c r="A140" s="78">
        <v>134</v>
      </c>
      <c r="B140" s="73" t="s">
        <v>742</v>
      </c>
      <c r="C140" s="73" t="s">
        <v>743</v>
      </c>
      <c r="D140" s="73" t="s">
        <v>79</v>
      </c>
      <c r="E140" s="74">
        <v>0</v>
      </c>
      <c r="F140" s="74">
        <v>0</v>
      </c>
      <c r="G140" s="74">
        <v>0</v>
      </c>
      <c r="H140" s="74">
        <v>0</v>
      </c>
      <c r="I140" s="74">
        <v>0</v>
      </c>
      <c r="J140" s="74">
        <v>0</v>
      </c>
      <c r="K140" s="74">
        <v>0</v>
      </c>
      <c r="L140" s="74">
        <v>0</v>
      </c>
      <c r="M140" s="74">
        <v>0</v>
      </c>
      <c r="N140" s="73"/>
    </row>
    <row r="141" spans="1:14" x14ac:dyDescent="0.35">
      <c r="A141" s="78">
        <v>135</v>
      </c>
      <c r="B141" s="73" t="s">
        <v>542</v>
      </c>
      <c r="C141" s="73" t="s">
        <v>744</v>
      </c>
      <c r="D141" s="73" t="s">
        <v>745</v>
      </c>
      <c r="E141" s="74">
        <v>0</v>
      </c>
      <c r="F141" s="74">
        <v>0</v>
      </c>
      <c r="G141" s="74">
        <v>0</v>
      </c>
      <c r="H141" s="74">
        <v>0</v>
      </c>
      <c r="I141" s="74">
        <v>0</v>
      </c>
      <c r="J141" s="74">
        <v>0</v>
      </c>
      <c r="K141" s="74">
        <v>0</v>
      </c>
      <c r="L141" s="74">
        <v>0</v>
      </c>
      <c r="M141" s="74">
        <v>0</v>
      </c>
      <c r="N141" s="73"/>
    </row>
    <row r="142" spans="1:14" x14ac:dyDescent="0.35">
      <c r="A142" s="78">
        <v>136</v>
      </c>
      <c r="B142" s="73" t="s">
        <v>413</v>
      </c>
      <c r="C142" s="73" t="s">
        <v>746</v>
      </c>
      <c r="D142" s="73" t="s">
        <v>279</v>
      </c>
      <c r="E142" s="74">
        <v>0</v>
      </c>
      <c r="F142" s="74">
        <v>0</v>
      </c>
      <c r="G142" s="74">
        <v>0</v>
      </c>
      <c r="H142" s="74">
        <v>0</v>
      </c>
      <c r="I142" s="74">
        <v>0</v>
      </c>
      <c r="J142" s="74">
        <v>0</v>
      </c>
      <c r="K142" s="74">
        <v>0</v>
      </c>
      <c r="L142" s="74">
        <v>0</v>
      </c>
      <c r="M142" s="74">
        <v>0</v>
      </c>
      <c r="N142" s="73"/>
    </row>
    <row r="143" spans="1:14" x14ac:dyDescent="0.35">
      <c r="A143" s="78">
        <v>137</v>
      </c>
      <c r="B143" s="73" t="s">
        <v>471</v>
      </c>
      <c r="C143" s="73" t="s">
        <v>747</v>
      </c>
      <c r="D143" s="73" t="s">
        <v>162</v>
      </c>
      <c r="E143" s="74">
        <v>0</v>
      </c>
      <c r="F143" s="74">
        <v>0</v>
      </c>
      <c r="G143" s="74">
        <v>0</v>
      </c>
      <c r="H143" s="74">
        <v>0</v>
      </c>
      <c r="I143" s="74"/>
      <c r="J143" s="74"/>
      <c r="K143" s="74"/>
      <c r="L143" s="74">
        <v>0</v>
      </c>
      <c r="M143" s="74">
        <v>0</v>
      </c>
      <c r="N143" s="73"/>
    </row>
    <row r="144" spans="1:14" x14ac:dyDescent="0.35">
      <c r="A144" s="78">
        <v>138</v>
      </c>
      <c r="B144" s="73" t="s">
        <v>111</v>
      </c>
      <c r="C144" s="73" t="s">
        <v>748</v>
      </c>
      <c r="D144" s="73" t="s">
        <v>243</v>
      </c>
      <c r="E144" s="74">
        <v>0</v>
      </c>
      <c r="F144" s="74">
        <v>0</v>
      </c>
      <c r="G144" s="74">
        <v>0</v>
      </c>
      <c r="H144" s="74">
        <v>0</v>
      </c>
      <c r="I144" s="74">
        <v>0</v>
      </c>
      <c r="J144" s="74">
        <v>0</v>
      </c>
      <c r="K144" s="74">
        <v>0</v>
      </c>
      <c r="L144" s="74">
        <v>0</v>
      </c>
      <c r="M144" s="74">
        <v>0</v>
      </c>
      <c r="N144" s="73"/>
    </row>
    <row r="145" spans="1:14" x14ac:dyDescent="0.35">
      <c r="A145" s="78">
        <v>139</v>
      </c>
      <c r="B145" s="73" t="s">
        <v>256</v>
      </c>
      <c r="C145" s="73" t="s">
        <v>749</v>
      </c>
      <c r="D145" s="73" t="s">
        <v>115</v>
      </c>
      <c r="E145" s="74">
        <v>0</v>
      </c>
      <c r="F145" s="74">
        <v>0</v>
      </c>
      <c r="G145" s="74">
        <v>0</v>
      </c>
      <c r="H145" s="74">
        <v>0</v>
      </c>
      <c r="I145" s="74">
        <v>0</v>
      </c>
      <c r="J145" s="74">
        <v>0</v>
      </c>
      <c r="K145" s="74">
        <v>0</v>
      </c>
      <c r="L145" s="74">
        <v>0</v>
      </c>
      <c r="M145" s="74">
        <v>0</v>
      </c>
      <c r="N145" s="73"/>
    </row>
    <row r="146" spans="1:14" x14ac:dyDescent="0.35">
      <c r="A146" s="78">
        <v>140</v>
      </c>
      <c r="B146" s="73" t="s">
        <v>244</v>
      </c>
      <c r="C146" s="73" t="s">
        <v>750</v>
      </c>
      <c r="D146" s="73" t="s">
        <v>175</v>
      </c>
      <c r="E146" s="74">
        <v>0</v>
      </c>
      <c r="F146" s="74">
        <v>0</v>
      </c>
      <c r="G146" s="74">
        <v>0</v>
      </c>
      <c r="H146" s="74">
        <v>0</v>
      </c>
      <c r="I146" s="74"/>
      <c r="J146" s="74"/>
      <c r="K146" s="74"/>
      <c r="L146" s="74">
        <v>0</v>
      </c>
      <c r="M146" s="74">
        <v>0</v>
      </c>
      <c r="N146" s="73"/>
    </row>
    <row r="147" spans="1:14" x14ac:dyDescent="0.35">
      <c r="A147" s="78">
        <v>141</v>
      </c>
      <c r="B147" s="73" t="s">
        <v>751</v>
      </c>
      <c r="C147" s="73" t="s">
        <v>752</v>
      </c>
      <c r="D147" s="73" t="s">
        <v>240</v>
      </c>
      <c r="E147" s="74">
        <v>0</v>
      </c>
      <c r="F147" s="74">
        <v>0</v>
      </c>
      <c r="G147" s="74">
        <v>0</v>
      </c>
      <c r="H147" s="74">
        <v>0</v>
      </c>
      <c r="I147" s="74"/>
      <c r="J147" s="74"/>
      <c r="K147" s="74"/>
      <c r="L147" s="74">
        <v>0</v>
      </c>
      <c r="M147" s="74">
        <v>0</v>
      </c>
      <c r="N147" s="73"/>
    </row>
    <row r="148" spans="1:14" x14ac:dyDescent="0.35">
      <c r="A148" s="78">
        <v>142</v>
      </c>
      <c r="B148" s="73" t="s">
        <v>238</v>
      </c>
      <c r="C148" s="73" t="s">
        <v>753</v>
      </c>
      <c r="D148" s="73" t="s">
        <v>240</v>
      </c>
      <c r="E148" s="74">
        <v>0</v>
      </c>
      <c r="F148" s="74">
        <v>0</v>
      </c>
      <c r="G148" s="74">
        <v>0</v>
      </c>
      <c r="H148" s="74">
        <v>0</v>
      </c>
      <c r="I148" s="74">
        <v>0</v>
      </c>
      <c r="J148" s="74">
        <v>0</v>
      </c>
      <c r="K148" s="74">
        <v>0</v>
      </c>
      <c r="L148" s="74">
        <v>0</v>
      </c>
      <c r="M148" s="74">
        <v>0</v>
      </c>
      <c r="N148" s="73"/>
    </row>
    <row r="149" spans="1:14" x14ac:dyDescent="0.35">
      <c r="A149" s="78">
        <v>143</v>
      </c>
      <c r="B149" s="73" t="s">
        <v>309</v>
      </c>
      <c r="C149" s="73" t="s">
        <v>729</v>
      </c>
      <c r="D149" s="73" t="s">
        <v>115</v>
      </c>
      <c r="E149" s="74">
        <v>0</v>
      </c>
      <c r="F149" s="74">
        <v>0</v>
      </c>
      <c r="G149" s="74">
        <v>0</v>
      </c>
      <c r="H149" s="74">
        <v>0</v>
      </c>
      <c r="I149" s="74">
        <v>0</v>
      </c>
      <c r="J149" s="74">
        <v>0</v>
      </c>
      <c r="K149" s="74">
        <v>0</v>
      </c>
      <c r="L149" s="74">
        <v>0</v>
      </c>
      <c r="M149" s="74">
        <v>0</v>
      </c>
      <c r="N149" s="73"/>
    </row>
    <row r="150" spans="1:14" x14ac:dyDescent="0.35">
      <c r="A150" s="78">
        <v>144</v>
      </c>
      <c r="B150" s="73" t="s">
        <v>754</v>
      </c>
      <c r="C150" s="73" t="s">
        <v>229</v>
      </c>
      <c r="D150" s="73" t="s">
        <v>745</v>
      </c>
      <c r="E150" s="74">
        <v>0</v>
      </c>
      <c r="F150" s="74">
        <v>0</v>
      </c>
      <c r="G150" s="74">
        <v>0</v>
      </c>
      <c r="H150" s="74">
        <v>0</v>
      </c>
      <c r="I150" s="74">
        <v>0</v>
      </c>
      <c r="J150" s="74">
        <v>0</v>
      </c>
      <c r="K150" s="74">
        <v>0</v>
      </c>
      <c r="L150" s="74">
        <v>0</v>
      </c>
      <c r="M150" s="74">
        <v>0</v>
      </c>
      <c r="N150" s="73"/>
    </row>
    <row r="151" spans="1:14" x14ac:dyDescent="0.35">
      <c r="A151" s="78">
        <v>145</v>
      </c>
      <c r="B151" s="73" t="s">
        <v>254</v>
      </c>
      <c r="C151" s="73" t="s">
        <v>84</v>
      </c>
      <c r="D151" s="73" t="s">
        <v>243</v>
      </c>
      <c r="E151" s="74">
        <v>0</v>
      </c>
      <c r="F151" s="74">
        <v>0</v>
      </c>
      <c r="G151" s="74">
        <v>0</v>
      </c>
      <c r="H151" s="74">
        <v>0</v>
      </c>
      <c r="I151" s="74"/>
      <c r="J151" s="74"/>
      <c r="K151" s="74"/>
      <c r="L151" s="74">
        <v>0</v>
      </c>
      <c r="M151" s="74">
        <v>0</v>
      </c>
      <c r="N151" s="73"/>
    </row>
    <row r="152" spans="1:14" x14ac:dyDescent="0.35">
      <c r="A152" s="78">
        <v>146</v>
      </c>
      <c r="B152" s="73" t="s">
        <v>413</v>
      </c>
      <c r="C152" s="73" t="s">
        <v>81</v>
      </c>
      <c r="D152" s="73" t="s">
        <v>191</v>
      </c>
      <c r="E152" s="74">
        <v>0</v>
      </c>
      <c r="F152" s="74">
        <v>0</v>
      </c>
      <c r="G152" s="74">
        <v>0</v>
      </c>
      <c r="H152" s="74">
        <v>0</v>
      </c>
      <c r="I152" s="74"/>
      <c r="J152" s="74"/>
      <c r="K152" s="74"/>
      <c r="L152" s="74">
        <v>0</v>
      </c>
      <c r="M152" s="74">
        <v>0</v>
      </c>
      <c r="N152" s="72"/>
    </row>
    <row r="153" spans="1:14" x14ac:dyDescent="0.35">
      <c r="A153" s="78">
        <v>147</v>
      </c>
      <c r="B153" s="82" t="s">
        <v>755</v>
      </c>
      <c r="C153" s="82" t="s">
        <v>756</v>
      </c>
      <c r="D153" s="82" t="s">
        <v>521</v>
      </c>
      <c r="E153" s="82"/>
      <c r="F153" s="82"/>
      <c r="G153" s="82"/>
      <c r="H153" s="82"/>
      <c r="I153" s="83">
        <v>0</v>
      </c>
      <c r="J153" s="83">
        <v>0</v>
      </c>
      <c r="K153" s="83">
        <v>0</v>
      </c>
      <c r="L153" s="74">
        <v>0</v>
      </c>
      <c r="M153" s="74">
        <v>0</v>
      </c>
      <c r="N153" s="72"/>
    </row>
    <row r="154" spans="1:14" x14ac:dyDescent="0.35">
      <c r="A154" s="78">
        <v>148</v>
      </c>
      <c r="B154" s="82" t="s">
        <v>757</v>
      </c>
      <c r="C154" s="82" t="s">
        <v>758</v>
      </c>
      <c r="D154" s="82" t="s">
        <v>759</v>
      </c>
      <c r="E154" s="82"/>
      <c r="F154" s="82"/>
      <c r="G154" s="82"/>
      <c r="H154" s="82"/>
      <c r="I154" s="83">
        <v>0</v>
      </c>
      <c r="J154" s="83">
        <v>0</v>
      </c>
      <c r="K154" s="83">
        <v>0</v>
      </c>
      <c r="L154" s="74">
        <v>0</v>
      </c>
      <c r="M154" s="74">
        <v>0</v>
      </c>
      <c r="N154" s="72"/>
    </row>
  </sheetData>
  <mergeCells count="17">
    <mergeCell ref="A96:D96"/>
    <mergeCell ref="E96:H96"/>
    <mergeCell ref="I96:K96"/>
    <mergeCell ref="A126:D126"/>
    <mergeCell ref="E126:H126"/>
    <mergeCell ref="I126:K126"/>
    <mergeCell ref="A34:D34"/>
    <mergeCell ref="E34:H34"/>
    <mergeCell ref="I34:K34"/>
    <mergeCell ref="A65:D65"/>
    <mergeCell ref="E65:H65"/>
    <mergeCell ref="I65:K65"/>
    <mergeCell ref="E2:H2"/>
    <mergeCell ref="I2:K2"/>
    <mergeCell ref="A2:D2"/>
    <mergeCell ref="N2:N3"/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8BF8-5A71-4973-8161-367E4452CC5D}">
  <dimension ref="A1:P137"/>
  <sheetViews>
    <sheetView tabSelected="1" workbookViewId="0">
      <selection activeCell="S4" sqref="S4"/>
    </sheetView>
  </sheetViews>
  <sheetFormatPr defaultRowHeight="14.5" x14ac:dyDescent="0.35"/>
  <cols>
    <col min="1" max="1" width="4.36328125" style="72" bestFit="1" customWidth="1"/>
    <col min="2" max="2" width="7.6328125" style="72" bestFit="1" customWidth="1"/>
    <col min="3" max="3" width="15.08984375" style="72" bestFit="1" customWidth="1"/>
    <col min="4" max="4" width="14.36328125" style="72" bestFit="1" customWidth="1"/>
    <col min="5" max="5" width="25.08984375" style="72" customWidth="1"/>
    <col min="6" max="6" width="5" style="72" bestFit="1" customWidth="1"/>
    <col min="7" max="13" width="6" style="72" customWidth="1"/>
    <col min="14" max="14" width="7.6328125" style="72" customWidth="1"/>
    <col min="15" max="15" width="7.36328125" style="72" customWidth="1"/>
    <col min="16" max="16" width="16.90625" style="72" customWidth="1"/>
    <col min="17" max="16384" width="8.7265625" style="72"/>
  </cols>
  <sheetData>
    <row r="1" spans="1:16" ht="30" customHeight="1" x14ac:dyDescent="0.35">
      <c r="A1" s="136" t="s">
        <v>1038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</row>
    <row r="2" spans="1:16" ht="15.5" x14ac:dyDescent="0.35">
      <c r="A2" s="121" t="s">
        <v>848</v>
      </c>
      <c r="B2" s="121"/>
      <c r="C2" s="121"/>
      <c r="D2" s="121"/>
      <c r="E2" s="121"/>
      <c r="F2" s="121"/>
      <c r="G2" s="122" t="s">
        <v>580</v>
      </c>
      <c r="H2" s="123"/>
      <c r="I2" s="123"/>
      <c r="J2" s="124"/>
      <c r="K2" s="122" t="s">
        <v>849</v>
      </c>
      <c r="L2" s="123"/>
      <c r="M2" s="123"/>
      <c r="N2" s="124"/>
      <c r="O2" s="125" t="s">
        <v>328</v>
      </c>
      <c r="P2" s="125" t="s">
        <v>12</v>
      </c>
    </row>
    <row r="3" spans="1:16" x14ac:dyDescent="0.35">
      <c r="A3" s="77" t="s">
        <v>1</v>
      </c>
      <c r="B3" s="77" t="s">
        <v>4</v>
      </c>
      <c r="C3" s="77" t="s">
        <v>2</v>
      </c>
      <c r="D3" s="77" t="s">
        <v>3</v>
      </c>
      <c r="E3" s="77" t="s">
        <v>5</v>
      </c>
      <c r="F3" s="77" t="s">
        <v>6</v>
      </c>
      <c r="G3" s="77" t="s">
        <v>7</v>
      </c>
      <c r="H3" s="77" t="s">
        <v>8</v>
      </c>
      <c r="I3" s="77" t="s">
        <v>9</v>
      </c>
      <c r="J3" s="77" t="s">
        <v>583</v>
      </c>
      <c r="K3" s="77" t="s">
        <v>10</v>
      </c>
      <c r="L3" s="77" t="s">
        <v>584</v>
      </c>
      <c r="M3" s="77" t="s">
        <v>585</v>
      </c>
      <c r="N3" s="77" t="s">
        <v>583</v>
      </c>
      <c r="O3" s="126"/>
      <c r="P3" s="126"/>
    </row>
    <row r="4" spans="1:16" ht="15" customHeight="1" x14ac:dyDescent="0.35">
      <c r="A4" s="127">
        <v>1</v>
      </c>
      <c r="B4" s="127">
        <v>523</v>
      </c>
      <c r="C4" s="128" t="s">
        <v>850</v>
      </c>
      <c r="D4" s="128" t="s">
        <v>851</v>
      </c>
      <c r="E4" s="127" t="s">
        <v>852</v>
      </c>
      <c r="F4" s="127"/>
      <c r="G4" s="127">
        <v>7</v>
      </c>
      <c r="H4" s="127">
        <v>7</v>
      </c>
      <c r="I4" s="127">
        <v>6</v>
      </c>
      <c r="J4" s="127">
        <f t="shared" ref="J4:J35" si="0">SUM(G4:I4)</f>
        <v>20</v>
      </c>
      <c r="K4" s="127">
        <v>7</v>
      </c>
      <c r="L4" s="127">
        <v>0</v>
      </c>
      <c r="M4" s="127">
        <v>0</v>
      </c>
      <c r="N4" s="127">
        <f t="shared" ref="N4:N35" si="1">SUM(K4:M4)</f>
        <v>7</v>
      </c>
      <c r="O4" s="127">
        <f t="shared" ref="O4:O67" si="2">SUM(J4,N4)</f>
        <v>27</v>
      </c>
      <c r="P4" s="129" t="s">
        <v>764</v>
      </c>
    </row>
    <row r="5" spans="1:16" ht="15" customHeight="1" x14ac:dyDescent="0.35">
      <c r="A5" s="127">
        <v>2</v>
      </c>
      <c r="B5" s="127">
        <v>154873</v>
      </c>
      <c r="C5" s="130" t="s">
        <v>853</v>
      </c>
      <c r="D5" s="130" t="s">
        <v>254</v>
      </c>
      <c r="E5" s="127" t="s">
        <v>53</v>
      </c>
      <c r="F5" s="127" t="s">
        <v>854</v>
      </c>
      <c r="G5" s="131">
        <v>7</v>
      </c>
      <c r="H5" s="131">
        <v>3</v>
      </c>
      <c r="I5" s="131">
        <v>7</v>
      </c>
      <c r="J5" s="127">
        <f t="shared" si="0"/>
        <v>17</v>
      </c>
      <c r="K5" s="131">
        <v>5</v>
      </c>
      <c r="L5" s="131">
        <v>4</v>
      </c>
      <c r="M5" s="131">
        <v>0</v>
      </c>
      <c r="N5" s="127">
        <f t="shared" si="1"/>
        <v>9</v>
      </c>
      <c r="O5" s="127">
        <f t="shared" si="2"/>
        <v>26</v>
      </c>
      <c r="P5" s="129" t="s">
        <v>765</v>
      </c>
    </row>
    <row r="6" spans="1:16" ht="15" customHeight="1" x14ac:dyDescent="0.35">
      <c r="A6" s="127">
        <v>3</v>
      </c>
      <c r="B6" s="127">
        <v>26561</v>
      </c>
      <c r="C6" s="130" t="s">
        <v>27</v>
      </c>
      <c r="D6" s="128" t="s">
        <v>305</v>
      </c>
      <c r="E6" s="127" t="s">
        <v>45</v>
      </c>
      <c r="F6" s="127"/>
      <c r="G6" s="127">
        <v>5</v>
      </c>
      <c r="H6" s="127">
        <v>7</v>
      </c>
      <c r="I6" s="127">
        <v>7</v>
      </c>
      <c r="J6" s="127">
        <f t="shared" si="0"/>
        <v>19</v>
      </c>
      <c r="K6" s="127">
        <v>5</v>
      </c>
      <c r="L6" s="127">
        <v>0</v>
      </c>
      <c r="M6" s="127">
        <v>0</v>
      </c>
      <c r="N6" s="127">
        <f t="shared" si="1"/>
        <v>5</v>
      </c>
      <c r="O6" s="127">
        <f t="shared" si="2"/>
        <v>24</v>
      </c>
      <c r="P6" s="129" t="s">
        <v>765</v>
      </c>
    </row>
    <row r="7" spans="1:16" ht="15" customHeight="1" x14ac:dyDescent="0.35">
      <c r="A7" s="127">
        <v>4</v>
      </c>
      <c r="B7" s="127">
        <v>51187</v>
      </c>
      <c r="C7" s="128" t="s">
        <v>513</v>
      </c>
      <c r="D7" s="128" t="s">
        <v>855</v>
      </c>
      <c r="E7" s="127" t="s">
        <v>45</v>
      </c>
      <c r="F7" s="127">
        <v>12</v>
      </c>
      <c r="G7" s="127">
        <v>5</v>
      </c>
      <c r="H7" s="127">
        <v>3</v>
      </c>
      <c r="I7" s="127">
        <v>6</v>
      </c>
      <c r="J7" s="127">
        <f t="shared" si="0"/>
        <v>14</v>
      </c>
      <c r="K7" s="127">
        <v>3</v>
      </c>
      <c r="L7" s="127">
        <v>7</v>
      </c>
      <c r="M7" s="127">
        <v>0</v>
      </c>
      <c r="N7" s="127">
        <f t="shared" si="1"/>
        <v>10</v>
      </c>
      <c r="O7" s="127">
        <f t="shared" si="2"/>
        <v>24</v>
      </c>
      <c r="P7" s="129" t="s">
        <v>765</v>
      </c>
    </row>
    <row r="8" spans="1:16" ht="15" customHeight="1" x14ac:dyDescent="0.35">
      <c r="A8" s="127">
        <v>5</v>
      </c>
      <c r="B8" s="127">
        <v>146884</v>
      </c>
      <c r="C8" s="128" t="s">
        <v>856</v>
      </c>
      <c r="D8" s="128" t="s">
        <v>857</v>
      </c>
      <c r="E8" s="127">
        <v>111</v>
      </c>
      <c r="F8" s="127"/>
      <c r="G8" s="131">
        <v>7</v>
      </c>
      <c r="H8" s="131">
        <v>7</v>
      </c>
      <c r="I8" s="131">
        <v>0</v>
      </c>
      <c r="J8" s="127">
        <f t="shared" si="0"/>
        <v>14</v>
      </c>
      <c r="K8" s="131">
        <v>3</v>
      </c>
      <c r="L8" s="131">
        <v>0</v>
      </c>
      <c r="M8" s="131">
        <v>0</v>
      </c>
      <c r="N8" s="127">
        <f t="shared" si="1"/>
        <v>3</v>
      </c>
      <c r="O8" s="127">
        <f t="shared" si="2"/>
        <v>17</v>
      </c>
      <c r="P8" s="129" t="s">
        <v>766</v>
      </c>
    </row>
    <row r="9" spans="1:16" ht="15" customHeight="1" x14ac:dyDescent="0.35">
      <c r="A9" s="127">
        <v>6</v>
      </c>
      <c r="B9" s="127">
        <v>194275</v>
      </c>
      <c r="C9" s="130" t="s">
        <v>858</v>
      </c>
      <c r="D9" s="130" t="s">
        <v>859</v>
      </c>
      <c r="E9" s="127" t="s">
        <v>860</v>
      </c>
      <c r="F9" s="127" t="s">
        <v>861</v>
      </c>
      <c r="G9" s="127">
        <v>7</v>
      </c>
      <c r="H9" s="127">
        <v>7</v>
      </c>
      <c r="I9" s="127">
        <v>0</v>
      </c>
      <c r="J9" s="127">
        <f t="shared" si="0"/>
        <v>14</v>
      </c>
      <c r="K9" s="127">
        <v>1</v>
      </c>
      <c r="L9" s="127">
        <v>0</v>
      </c>
      <c r="M9" s="127">
        <v>0</v>
      </c>
      <c r="N9" s="127">
        <f t="shared" si="1"/>
        <v>1</v>
      </c>
      <c r="O9" s="127">
        <f t="shared" si="2"/>
        <v>15</v>
      </c>
      <c r="P9" s="129" t="s">
        <v>766</v>
      </c>
    </row>
    <row r="10" spans="1:16" ht="15" customHeight="1" x14ac:dyDescent="0.35">
      <c r="A10" s="127">
        <v>7</v>
      </c>
      <c r="B10" s="127">
        <v>2297</v>
      </c>
      <c r="C10" s="128" t="s">
        <v>513</v>
      </c>
      <c r="D10" s="128" t="s">
        <v>97</v>
      </c>
      <c r="E10" s="127" t="s">
        <v>45</v>
      </c>
      <c r="F10" s="127">
        <v>12</v>
      </c>
      <c r="G10" s="131">
        <v>7</v>
      </c>
      <c r="H10" s="131">
        <v>3</v>
      </c>
      <c r="I10" s="131">
        <v>0</v>
      </c>
      <c r="J10" s="127">
        <f t="shared" si="0"/>
        <v>10</v>
      </c>
      <c r="K10" s="131">
        <v>5</v>
      </c>
      <c r="L10" s="131">
        <v>0</v>
      </c>
      <c r="M10" s="131">
        <v>0</v>
      </c>
      <c r="N10" s="127">
        <f t="shared" si="1"/>
        <v>5</v>
      </c>
      <c r="O10" s="127">
        <f t="shared" si="2"/>
        <v>15</v>
      </c>
      <c r="P10" s="129" t="s">
        <v>766</v>
      </c>
    </row>
    <row r="11" spans="1:16" ht="15" customHeight="1" x14ac:dyDescent="0.35">
      <c r="A11" s="77">
        <v>8</v>
      </c>
      <c r="B11" s="77">
        <v>74912</v>
      </c>
      <c r="C11" s="132" t="s">
        <v>862</v>
      </c>
      <c r="D11" s="132" t="s">
        <v>151</v>
      </c>
      <c r="E11" s="77" t="s">
        <v>65</v>
      </c>
      <c r="F11" s="77">
        <v>12</v>
      </c>
      <c r="G11" s="133">
        <v>7</v>
      </c>
      <c r="H11" s="133">
        <v>7</v>
      </c>
      <c r="I11" s="133">
        <v>0</v>
      </c>
      <c r="J11" s="77">
        <f t="shared" si="0"/>
        <v>14</v>
      </c>
      <c r="K11" s="133">
        <v>0</v>
      </c>
      <c r="L11" s="133">
        <v>0</v>
      </c>
      <c r="M11" s="133">
        <v>0</v>
      </c>
      <c r="N11" s="77">
        <f t="shared" si="1"/>
        <v>0</v>
      </c>
      <c r="O11" s="77">
        <f t="shared" si="2"/>
        <v>14</v>
      </c>
      <c r="P11" s="77" t="s">
        <v>341</v>
      </c>
    </row>
    <row r="12" spans="1:16" ht="15" customHeight="1" x14ac:dyDescent="0.35">
      <c r="A12" s="77">
        <v>9</v>
      </c>
      <c r="B12" s="77">
        <v>73792</v>
      </c>
      <c r="C12" s="132" t="s">
        <v>863</v>
      </c>
      <c r="D12" s="132" t="s">
        <v>864</v>
      </c>
      <c r="E12" s="77">
        <v>21</v>
      </c>
      <c r="F12" s="77">
        <v>11</v>
      </c>
      <c r="G12" s="77">
        <v>5</v>
      </c>
      <c r="H12" s="77">
        <v>2</v>
      </c>
      <c r="I12" s="77">
        <v>7</v>
      </c>
      <c r="J12" s="77">
        <f t="shared" si="0"/>
        <v>14</v>
      </c>
      <c r="K12" s="77">
        <v>0</v>
      </c>
      <c r="L12" s="77">
        <v>0</v>
      </c>
      <c r="M12" s="77">
        <v>0</v>
      </c>
      <c r="N12" s="77">
        <f t="shared" si="1"/>
        <v>0</v>
      </c>
      <c r="O12" s="77">
        <f t="shared" si="2"/>
        <v>14</v>
      </c>
      <c r="P12" s="77" t="s">
        <v>341</v>
      </c>
    </row>
    <row r="13" spans="1:16" ht="15" customHeight="1" x14ac:dyDescent="0.35">
      <c r="A13" s="77">
        <v>10</v>
      </c>
      <c r="B13" s="77">
        <v>5235</v>
      </c>
      <c r="C13" s="132" t="s">
        <v>555</v>
      </c>
      <c r="D13" s="132" t="s">
        <v>865</v>
      </c>
      <c r="E13" s="77" t="s">
        <v>860</v>
      </c>
      <c r="F13" s="77">
        <v>11</v>
      </c>
      <c r="G13" s="77">
        <v>7</v>
      </c>
      <c r="H13" s="77">
        <v>2</v>
      </c>
      <c r="I13" s="77">
        <v>0</v>
      </c>
      <c r="J13" s="77">
        <f t="shared" si="0"/>
        <v>9</v>
      </c>
      <c r="K13" s="77">
        <v>5</v>
      </c>
      <c r="L13" s="77">
        <v>0</v>
      </c>
      <c r="M13" s="77">
        <v>0</v>
      </c>
      <c r="N13" s="77">
        <f t="shared" si="1"/>
        <v>5</v>
      </c>
      <c r="O13" s="77">
        <f t="shared" si="2"/>
        <v>14</v>
      </c>
      <c r="P13" s="77" t="s">
        <v>341</v>
      </c>
    </row>
    <row r="14" spans="1:16" ht="15" customHeight="1" x14ac:dyDescent="0.35">
      <c r="A14" s="77">
        <v>11</v>
      </c>
      <c r="B14" s="77">
        <v>23481</v>
      </c>
      <c r="C14" s="132" t="s">
        <v>866</v>
      </c>
      <c r="D14" s="132" t="s">
        <v>867</v>
      </c>
      <c r="E14" s="77">
        <v>92</v>
      </c>
      <c r="F14" s="77" t="s">
        <v>868</v>
      </c>
      <c r="G14" s="77">
        <v>7</v>
      </c>
      <c r="H14" s="77">
        <v>2</v>
      </c>
      <c r="I14" s="77">
        <v>0</v>
      </c>
      <c r="J14" s="77">
        <f t="shared" si="0"/>
        <v>9</v>
      </c>
      <c r="K14" s="77">
        <v>4</v>
      </c>
      <c r="L14" s="77">
        <v>0</v>
      </c>
      <c r="M14" s="77">
        <v>0</v>
      </c>
      <c r="N14" s="77">
        <f t="shared" si="1"/>
        <v>4</v>
      </c>
      <c r="O14" s="77">
        <f t="shared" si="2"/>
        <v>13</v>
      </c>
      <c r="P14" s="77" t="s">
        <v>341</v>
      </c>
    </row>
    <row r="15" spans="1:16" ht="15" customHeight="1" x14ac:dyDescent="0.35">
      <c r="A15" s="77">
        <v>12</v>
      </c>
      <c r="B15" s="77">
        <v>29456</v>
      </c>
      <c r="C15" s="132" t="s">
        <v>662</v>
      </c>
      <c r="D15" s="132" t="s">
        <v>56</v>
      </c>
      <c r="E15" s="77">
        <v>48</v>
      </c>
      <c r="F15" s="77">
        <v>11</v>
      </c>
      <c r="G15" s="77">
        <v>7</v>
      </c>
      <c r="H15" s="77">
        <v>2</v>
      </c>
      <c r="I15" s="77">
        <v>0</v>
      </c>
      <c r="J15" s="77">
        <f t="shared" si="0"/>
        <v>9</v>
      </c>
      <c r="K15" s="77">
        <v>3</v>
      </c>
      <c r="L15" s="77">
        <v>0</v>
      </c>
      <c r="M15" s="77">
        <v>0</v>
      </c>
      <c r="N15" s="77">
        <f t="shared" si="1"/>
        <v>3</v>
      </c>
      <c r="O15" s="77">
        <f t="shared" si="2"/>
        <v>12</v>
      </c>
      <c r="P15" s="77" t="s">
        <v>341</v>
      </c>
    </row>
    <row r="16" spans="1:16" ht="15" customHeight="1" x14ac:dyDescent="0.35">
      <c r="A16" s="77">
        <v>13</v>
      </c>
      <c r="B16" s="77">
        <v>567</v>
      </c>
      <c r="C16" s="132" t="s">
        <v>869</v>
      </c>
      <c r="D16" s="132" t="s">
        <v>870</v>
      </c>
      <c r="E16" s="77">
        <v>14</v>
      </c>
      <c r="F16" s="77">
        <v>11</v>
      </c>
      <c r="G16" s="77">
        <v>7</v>
      </c>
      <c r="H16" s="77">
        <v>2</v>
      </c>
      <c r="I16" s="77">
        <v>0</v>
      </c>
      <c r="J16" s="77">
        <f t="shared" si="0"/>
        <v>9</v>
      </c>
      <c r="K16" s="77">
        <v>3</v>
      </c>
      <c r="L16" s="77">
        <v>0</v>
      </c>
      <c r="M16" s="77">
        <v>0</v>
      </c>
      <c r="N16" s="77">
        <f t="shared" si="1"/>
        <v>3</v>
      </c>
      <c r="O16" s="77">
        <f t="shared" si="2"/>
        <v>12</v>
      </c>
      <c r="P16" s="77" t="s">
        <v>341</v>
      </c>
    </row>
    <row r="17" spans="1:16" ht="15" customHeight="1" x14ac:dyDescent="0.35">
      <c r="A17" s="77">
        <v>14</v>
      </c>
      <c r="B17" s="77">
        <v>1307</v>
      </c>
      <c r="C17" s="132" t="s">
        <v>871</v>
      </c>
      <c r="D17" s="132" t="s">
        <v>872</v>
      </c>
      <c r="E17" s="77" t="s">
        <v>45</v>
      </c>
      <c r="F17" s="77">
        <v>11</v>
      </c>
      <c r="G17" s="77">
        <v>7</v>
      </c>
      <c r="H17" s="77">
        <v>2</v>
      </c>
      <c r="I17" s="77">
        <v>0</v>
      </c>
      <c r="J17" s="77">
        <f t="shared" si="0"/>
        <v>9</v>
      </c>
      <c r="K17" s="77">
        <v>3</v>
      </c>
      <c r="L17" s="77">
        <v>0</v>
      </c>
      <c r="M17" s="77">
        <v>0</v>
      </c>
      <c r="N17" s="77">
        <f t="shared" si="1"/>
        <v>3</v>
      </c>
      <c r="O17" s="77">
        <f t="shared" si="2"/>
        <v>12</v>
      </c>
      <c r="P17" s="77" t="s">
        <v>341</v>
      </c>
    </row>
    <row r="18" spans="1:16" ht="15" customHeight="1" x14ac:dyDescent="0.35">
      <c r="A18" s="77">
        <v>15</v>
      </c>
      <c r="B18" s="77">
        <v>136424</v>
      </c>
      <c r="C18" s="132" t="s">
        <v>128</v>
      </c>
      <c r="D18" s="132" t="s">
        <v>873</v>
      </c>
      <c r="E18" s="77">
        <v>21</v>
      </c>
      <c r="F18" s="77">
        <v>11</v>
      </c>
      <c r="G18" s="77">
        <v>7</v>
      </c>
      <c r="H18" s="77">
        <v>2</v>
      </c>
      <c r="I18" s="77">
        <v>0</v>
      </c>
      <c r="J18" s="77">
        <f t="shared" si="0"/>
        <v>9</v>
      </c>
      <c r="K18" s="77">
        <v>3</v>
      </c>
      <c r="L18" s="77">
        <v>0</v>
      </c>
      <c r="M18" s="77">
        <v>0</v>
      </c>
      <c r="N18" s="77">
        <f t="shared" si="1"/>
        <v>3</v>
      </c>
      <c r="O18" s="77">
        <f t="shared" si="2"/>
        <v>12</v>
      </c>
      <c r="P18" s="77" t="s">
        <v>341</v>
      </c>
    </row>
    <row r="19" spans="1:16" ht="15" customHeight="1" x14ac:dyDescent="0.35">
      <c r="A19" s="77">
        <v>16</v>
      </c>
      <c r="B19" s="77">
        <v>46271</v>
      </c>
      <c r="C19" s="132" t="s">
        <v>229</v>
      </c>
      <c r="D19" s="132" t="s">
        <v>874</v>
      </c>
      <c r="E19" s="77" t="s">
        <v>53</v>
      </c>
      <c r="F19" s="77" t="s">
        <v>875</v>
      </c>
      <c r="G19" s="77">
        <v>7</v>
      </c>
      <c r="H19" s="77">
        <v>3</v>
      </c>
      <c r="I19" s="77">
        <v>0</v>
      </c>
      <c r="J19" s="77">
        <f t="shared" si="0"/>
        <v>10</v>
      </c>
      <c r="K19" s="77">
        <v>1</v>
      </c>
      <c r="L19" s="77">
        <v>0</v>
      </c>
      <c r="M19" s="77">
        <v>0</v>
      </c>
      <c r="N19" s="77">
        <f t="shared" si="1"/>
        <v>1</v>
      </c>
      <c r="O19" s="77">
        <f t="shared" si="2"/>
        <v>11</v>
      </c>
      <c r="P19" s="77" t="s">
        <v>341</v>
      </c>
    </row>
    <row r="20" spans="1:16" ht="15" customHeight="1" x14ac:dyDescent="0.35">
      <c r="A20" s="77">
        <v>17</v>
      </c>
      <c r="B20" s="77">
        <v>109194</v>
      </c>
      <c r="C20" s="132" t="s">
        <v>876</v>
      </c>
      <c r="D20" s="132" t="s">
        <v>877</v>
      </c>
      <c r="E20" s="77" t="s">
        <v>243</v>
      </c>
      <c r="F20" s="77">
        <v>12</v>
      </c>
      <c r="G20" s="77">
        <v>7</v>
      </c>
      <c r="H20" s="77">
        <v>2</v>
      </c>
      <c r="I20" s="77">
        <v>0</v>
      </c>
      <c r="J20" s="77">
        <f t="shared" si="0"/>
        <v>9</v>
      </c>
      <c r="K20" s="77">
        <v>2</v>
      </c>
      <c r="L20" s="77">
        <v>0</v>
      </c>
      <c r="M20" s="77">
        <v>0</v>
      </c>
      <c r="N20" s="77">
        <f t="shared" si="1"/>
        <v>2</v>
      </c>
      <c r="O20" s="77">
        <f t="shared" si="2"/>
        <v>11</v>
      </c>
      <c r="P20" s="77" t="s">
        <v>341</v>
      </c>
    </row>
    <row r="21" spans="1:16" ht="15" customHeight="1" x14ac:dyDescent="0.35">
      <c r="A21" s="77">
        <v>18</v>
      </c>
      <c r="B21" s="77">
        <v>30230</v>
      </c>
      <c r="C21" s="132" t="s">
        <v>878</v>
      </c>
      <c r="D21" s="132" t="s">
        <v>879</v>
      </c>
      <c r="E21" s="77">
        <v>21</v>
      </c>
      <c r="F21" s="77">
        <v>11</v>
      </c>
      <c r="G21" s="77">
        <v>5</v>
      </c>
      <c r="H21" s="77">
        <v>2</v>
      </c>
      <c r="I21" s="77">
        <v>0</v>
      </c>
      <c r="J21" s="77">
        <f t="shared" si="0"/>
        <v>7</v>
      </c>
      <c r="K21" s="77">
        <v>4</v>
      </c>
      <c r="L21" s="77">
        <v>0</v>
      </c>
      <c r="M21" s="77">
        <v>0</v>
      </c>
      <c r="N21" s="77">
        <f t="shared" si="1"/>
        <v>4</v>
      </c>
      <c r="O21" s="77">
        <f t="shared" si="2"/>
        <v>11</v>
      </c>
      <c r="P21" s="77" t="s">
        <v>341</v>
      </c>
    </row>
    <row r="22" spans="1:16" ht="15" customHeight="1" x14ac:dyDescent="0.35">
      <c r="A22" s="77">
        <v>19</v>
      </c>
      <c r="B22" s="77">
        <v>33273</v>
      </c>
      <c r="C22" s="132" t="s">
        <v>880</v>
      </c>
      <c r="D22" s="132" t="s">
        <v>197</v>
      </c>
      <c r="E22" s="77">
        <v>33</v>
      </c>
      <c r="F22" s="77">
        <v>12</v>
      </c>
      <c r="G22" s="77">
        <v>7</v>
      </c>
      <c r="H22" s="77">
        <v>2</v>
      </c>
      <c r="I22" s="77">
        <v>0</v>
      </c>
      <c r="J22" s="77">
        <f t="shared" si="0"/>
        <v>9</v>
      </c>
      <c r="K22" s="77">
        <v>2</v>
      </c>
      <c r="L22" s="77">
        <v>0</v>
      </c>
      <c r="M22" s="77">
        <v>0</v>
      </c>
      <c r="N22" s="77">
        <f t="shared" si="1"/>
        <v>2</v>
      </c>
      <c r="O22" s="77">
        <f t="shared" si="2"/>
        <v>11</v>
      </c>
      <c r="P22" s="77" t="s">
        <v>341</v>
      </c>
    </row>
    <row r="23" spans="1:16" ht="15" customHeight="1" x14ac:dyDescent="0.35">
      <c r="A23" s="77">
        <v>20</v>
      </c>
      <c r="B23" s="77">
        <v>7787</v>
      </c>
      <c r="C23" s="132" t="s">
        <v>27</v>
      </c>
      <c r="D23" s="132" t="s">
        <v>881</v>
      </c>
      <c r="E23" s="77" t="s">
        <v>882</v>
      </c>
      <c r="F23" s="77">
        <v>12</v>
      </c>
      <c r="G23" s="77">
        <v>7</v>
      </c>
      <c r="H23" s="77">
        <v>2</v>
      </c>
      <c r="I23" s="77">
        <v>0</v>
      </c>
      <c r="J23" s="77">
        <f t="shared" si="0"/>
        <v>9</v>
      </c>
      <c r="K23" s="77">
        <v>2</v>
      </c>
      <c r="L23" s="77">
        <v>0</v>
      </c>
      <c r="M23" s="77">
        <v>0</v>
      </c>
      <c r="N23" s="77">
        <f t="shared" si="1"/>
        <v>2</v>
      </c>
      <c r="O23" s="77">
        <f t="shared" si="2"/>
        <v>11</v>
      </c>
      <c r="P23" s="77" t="s">
        <v>341</v>
      </c>
    </row>
    <row r="24" spans="1:16" ht="15" customHeight="1" x14ac:dyDescent="0.35">
      <c r="A24" s="77">
        <v>21</v>
      </c>
      <c r="B24" s="77">
        <v>989</v>
      </c>
      <c r="C24" s="134" t="s">
        <v>229</v>
      </c>
      <c r="D24" s="132" t="s">
        <v>44</v>
      </c>
      <c r="E24" s="77" t="s">
        <v>53</v>
      </c>
      <c r="F24" s="77" t="s">
        <v>883</v>
      </c>
      <c r="G24" s="77">
        <v>7</v>
      </c>
      <c r="H24" s="77">
        <v>3</v>
      </c>
      <c r="I24" s="77">
        <v>0</v>
      </c>
      <c r="J24" s="77">
        <f t="shared" si="0"/>
        <v>10</v>
      </c>
      <c r="K24" s="77">
        <v>0</v>
      </c>
      <c r="L24" s="77">
        <v>0</v>
      </c>
      <c r="M24" s="77">
        <v>1</v>
      </c>
      <c r="N24" s="77">
        <f t="shared" si="1"/>
        <v>1</v>
      </c>
      <c r="O24" s="77">
        <f t="shared" si="2"/>
        <v>11</v>
      </c>
      <c r="P24" s="77" t="s">
        <v>341</v>
      </c>
    </row>
    <row r="25" spans="1:16" ht="15" customHeight="1" x14ac:dyDescent="0.35">
      <c r="A25" s="77">
        <v>22</v>
      </c>
      <c r="B25" s="77">
        <v>176524</v>
      </c>
      <c r="C25" s="132" t="s">
        <v>319</v>
      </c>
      <c r="D25" s="132" t="s">
        <v>884</v>
      </c>
      <c r="E25" s="77" t="s">
        <v>654</v>
      </c>
      <c r="F25" s="77"/>
      <c r="G25" s="77">
        <v>7</v>
      </c>
      <c r="H25" s="77">
        <v>2</v>
      </c>
      <c r="I25" s="77">
        <v>0</v>
      </c>
      <c r="J25" s="77">
        <f t="shared" si="0"/>
        <v>9</v>
      </c>
      <c r="K25" s="77">
        <v>0</v>
      </c>
      <c r="L25" s="77">
        <v>1</v>
      </c>
      <c r="M25" s="77">
        <v>0</v>
      </c>
      <c r="N25" s="77">
        <f t="shared" si="1"/>
        <v>1</v>
      </c>
      <c r="O25" s="77">
        <f t="shared" si="2"/>
        <v>10</v>
      </c>
      <c r="P25" s="77"/>
    </row>
    <row r="26" spans="1:16" ht="15" customHeight="1" x14ac:dyDescent="0.35">
      <c r="A26" s="77">
        <v>23</v>
      </c>
      <c r="B26" s="77">
        <v>30616</v>
      </c>
      <c r="C26" s="132" t="s">
        <v>885</v>
      </c>
      <c r="D26" s="132" t="s">
        <v>314</v>
      </c>
      <c r="E26" s="77">
        <v>97</v>
      </c>
      <c r="F26" s="77">
        <v>12</v>
      </c>
      <c r="G26" s="133">
        <v>7</v>
      </c>
      <c r="H26" s="133">
        <v>2</v>
      </c>
      <c r="I26" s="133">
        <v>0</v>
      </c>
      <c r="J26" s="77">
        <f t="shared" si="0"/>
        <v>9</v>
      </c>
      <c r="K26" s="133">
        <v>1</v>
      </c>
      <c r="L26" s="133">
        <v>0</v>
      </c>
      <c r="M26" s="133">
        <v>0</v>
      </c>
      <c r="N26" s="77">
        <f t="shared" si="1"/>
        <v>1</v>
      </c>
      <c r="O26" s="77">
        <f t="shared" si="2"/>
        <v>10</v>
      </c>
      <c r="P26" s="90"/>
    </row>
    <row r="27" spans="1:16" ht="15" customHeight="1" x14ac:dyDescent="0.35">
      <c r="A27" s="77">
        <v>24</v>
      </c>
      <c r="B27" s="77">
        <v>142241</v>
      </c>
      <c r="C27" s="132" t="s">
        <v>449</v>
      </c>
      <c r="D27" s="132" t="s">
        <v>339</v>
      </c>
      <c r="E27" s="77" t="s">
        <v>79</v>
      </c>
      <c r="F27" s="77">
        <v>11</v>
      </c>
      <c r="G27" s="77">
        <v>7</v>
      </c>
      <c r="H27" s="77">
        <v>2</v>
      </c>
      <c r="I27" s="77">
        <v>0</v>
      </c>
      <c r="J27" s="77">
        <f t="shared" si="0"/>
        <v>9</v>
      </c>
      <c r="K27" s="77"/>
      <c r="L27" s="77"/>
      <c r="M27" s="77"/>
      <c r="N27" s="77">
        <f t="shared" si="1"/>
        <v>0</v>
      </c>
      <c r="O27" s="77">
        <f t="shared" si="2"/>
        <v>9</v>
      </c>
      <c r="P27" s="90"/>
    </row>
    <row r="28" spans="1:16" ht="15" customHeight="1" x14ac:dyDescent="0.35">
      <c r="A28" s="77">
        <v>25</v>
      </c>
      <c r="B28" s="77">
        <v>56044</v>
      </c>
      <c r="C28" s="134" t="s">
        <v>886</v>
      </c>
      <c r="D28" s="132" t="s">
        <v>887</v>
      </c>
      <c r="E28" s="77" t="s">
        <v>888</v>
      </c>
      <c r="F28" s="77">
        <v>11</v>
      </c>
      <c r="G28" s="77">
        <v>7</v>
      </c>
      <c r="H28" s="77">
        <v>2</v>
      </c>
      <c r="I28" s="77">
        <v>0</v>
      </c>
      <c r="J28" s="77">
        <f t="shared" si="0"/>
        <v>9</v>
      </c>
      <c r="K28" s="77">
        <v>0</v>
      </c>
      <c r="L28" s="77">
        <v>0</v>
      </c>
      <c r="M28" s="77">
        <v>0</v>
      </c>
      <c r="N28" s="77">
        <f t="shared" si="1"/>
        <v>0</v>
      </c>
      <c r="O28" s="77">
        <f t="shared" si="2"/>
        <v>9</v>
      </c>
      <c r="P28" s="90"/>
    </row>
    <row r="29" spans="1:16" ht="15" customHeight="1" x14ac:dyDescent="0.35">
      <c r="A29" s="77">
        <v>26</v>
      </c>
      <c r="B29" s="77">
        <v>83840</v>
      </c>
      <c r="C29" s="132" t="s">
        <v>889</v>
      </c>
      <c r="D29" s="132" t="s">
        <v>890</v>
      </c>
      <c r="E29" s="77" t="s">
        <v>110</v>
      </c>
      <c r="F29" s="77"/>
      <c r="G29" s="77">
        <v>7</v>
      </c>
      <c r="H29" s="77">
        <v>2</v>
      </c>
      <c r="I29" s="77">
        <v>0</v>
      </c>
      <c r="J29" s="77">
        <f t="shared" si="0"/>
        <v>9</v>
      </c>
      <c r="K29" s="77">
        <v>0</v>
      </c>
      <c r="L29" s="77">
        <v>0</v>
      </c>
      <c r="M29" s="77">
        <v>0</v>
      </c>
      <c r="N29" s="77">
        <f t="shared" si="1"/>
        <v>0</v>
      </c>
      <c r="O29" s="77">
        <f t="shared" si="2"/>
        <v>9</v>
      </c>
      <c r="P29" s="90"/>
    </row>
    <row r="30" spans="1:16" ht="15" customHeight="1" x14ac:dyDescent="0.35">
      <c r="A30" s="77">
        <v>27</v>
      </c>
      <c r="B30" s="77">
        <v>225673</v>
      </c>
      <c r="C30" s="132" t="s">
        <v>163</v>
      </c>
      <c r="D30" s="132" t="s">
        <v>891</v>
      </c>
      <c r="E30" s="77">
        <v>84</v>
      </c>
      <c r="F30" s="77">
        <v>12</v>
      </c>
      <c r="G30" s="77">
        <v>7</v>
      </c>
      <c r="H30" s="77">
        <v>2</v>
      </c>
      <c r="I30" s="77">
        <v>0</v>
      </c>
      <c r="J30" s="77">
        <f t="shared" si="0"/>
        <v>9</v>
      </c>
      <c r="K30" s="77">
        <v>0</v>
      </c>
      <c r="L30" s="77">
        <v>0</v>
      </c>
      <c r="M30" s="77">
        <v>0</v>
      </c>
      <c r="N30" s="77">
        <f t="shared" si="1"/>
        <v>0</v>
      </c>
      <c r="O30" s="77">
        <f t="shared" si="2"/>
        <v>9</v>
      </c>
      <c r="P30" s="90"/>
    </row>
    <row r="31" spans="1:16" ht="15" customHeight="1" x14ac:dyDescent="0.35">
      <c r="A31" s="77">
        <v>28</v>
      </c>
      <c r="B31" s="77">
        <v>127216</v>
      </c>
      <c r="C31" s="132" t="s">
        <v>24</v>
      </c>
      <c r="D31" s="132" t="s">
        <v>174</v>
      </c>
      <c r="E31" s="77" t="s">
        <v>892</v>
      </c>
      <c r="F31" s="77">
        <v>11</v>
      </c>
      <c r="G31" s="77">
        <v>7</v>
      </c>
      <c r="H31" s="77">
        <v>2</v>
      </c>
      <c r="I31" s="77">
        <v>0</v>
      </c>
      <c r="J31" s="77">
        <f t="shared" si="0"/>
        <v>9</v>
      </c>
      <c r="K31" s="77">
        <v>0</v>
      </c>
      <c r="L31" s="77">
        <v>0</v>
      </c>
      <c r="M31" s="77">
        <v>0</v>
      </c>
      <c r="N31" s="77">
        <f t="shared" si="1"/>
        <v>0</v>
      </c>
      <c r="O31" s="77">
        <f t="shared" si="2"/>
        <v>9</v>
      </c>
      <c r="P31" s="90"/>
    </row>
    <row r="32" spans="1:16" ht="15" customHeight="1" x14ac:dyDescent="0.35">
      <c r="A32" s="77">
        <v>29</v>
      </c>
      <c r="B32" s="77">
        <v>73810</v>
      </c>
      <c r="C32" s="132" t="s">
        <v>893</v>
      </c>
      <c r="D32" s="132" t="s">
        <v>894</v>
      </c>
      <c r="E32" s="77">
        <v>14</v>
      </c>
      <c r="F32" s="77">
        <v>11</v>
      </c>
      <c r="G32" s="77">
        <v>7</v>
      </c>
      <c r="H32" s="77">
        <v>2</v>
      </c>
      <c r="I32" s="77">
        <v>0</v>
      </c>
      <c r="J32" s="77">
        <f t="shared" si="0"/>
        <v>9</v>
      </c>
      <c r="K32" s="77">
        <v>0</v>
      </c>
      <c r="L32" s="77">
        <v>0</v>
      </c>
      <c r="M32" s="77">
        <v>0</v>
      </c>
      <c r="N32" s="77">
        <f t="shared" si="1"/>
        <v>0</v>
      </c>
      <c r="O32" s="77">
        <f t="shared" si="2"/>
        <v>9</v>
      </c>
      <c r="P32" s="90"/>
    </row>
    <row r="33" spans="1:16" ht="15" customHeight="1" x14ac:dyDescent="0.35">
      <c r="A33" s="77">
        <v>30</v>
      </c>
      <c r="B33" s="77">
        <v>160674</v>
      </c>
      <c r="C33" s="132" t="s">
        <v>895</v>
      </c>
      <c r="D33" s="132" t="s">
        <v>304</v>
      </c>
      <c r="E33" s="77" t="s">
        <v>896</v>
      </c>
      <c r="F33" s="77">
        <v>11</v>
      </c>
      <c r="G33" s="77">
        <v>7</v>
      </c>
      <c r="H33" s="77">
        <v>2</v>
      </c>
      <c r="I33" s="77">
        <v>0</v>
      </c>
      <c r="J33" s="77">
        <f t="shared" si="0"/>
        <v>9</v>
      </c>
      <c r="K33" s="77">
        <v>0</v>
      </c>
      <c r="L33" s="77">
        <v>0</v>
      </c>
      <c r="M33" s="77">
        <v>0</v>
      </c>
      <c r="N33" s="77">
        <f t="shared" si="1"/>
        <v>0</v>
      </c>
      <c r="O33" s="77">
        <f t="shared" si="2"/>
        <v>9</v>
      </c>
      <c r="P33" s="90"/>
    </row>
    <row r="34" spans="1:16" ht="15" customHeight="1" x14ac:dyDescent="0.35">
      <c r="A34" s="77">
        <v>31</v>
      </c>
      <c r="B34" s="77">
        <v>174910</v>
      </c>
      <c r="C34" s="132" t="s">
        <v>513</v>
      </c>
      <c r="D34" s="132" t="s">
        <v>897</v>
      </c>
      <c r="E34" s="77" t="s">
        <v>898</v>
      </c>
      <c r="F34" s="77" t="s">
        <v>899</v>
      </c>
      <c r="G34" s="77">
        <v>7</v>
      </c>
      <c r="H34" s="77">
        <v>2</v>
      </c>
      <c r="I34" s="77">
        <v>0</v>
      </c>
      <c r="J34" s="77">
        <f t="shared" si="0"/>
        <v>9</v>
      </c>
      <c r="K34" s="77">
        <v>0</v>
      </c>
      <c r="L34" s="77">
        <v>0</v>
      </c>
      <c r="M34" s="77">
        <v>0</v>
      </c>
      <c r="N34" s="77">
        <f t="shared" si="1"/>
        <v>0</v>
      </c>
      <c r="O34" s="77">
        <f t="shared" si="2"/>
        <v>9</v>
      </c>
      <c r="P34" s="90"/>
    </row>
    <row r="35" spans="1:16" ht="15" customHeight="1" x14ac:dyDescent="0.35">
      <c r="A35" s="77">
        <v>32</v>
      </c>
      <c r="B35" s="77">
        <v>173327</v>
      </c>
      <c r="C35" s="132" t="s">
        <v>900</v>
      </c>
      <c r="D35" s="132" t="s">
        <v>901</v>
      </c>
      <c r="E35" s="77" t="s">
        <v>155</v>
      </c>
      <c r="F35" s="77" t="s">
        <v>899</v>
      </c>
      <c r="G35" s="77">
        <v>7</v>
      </c>
      <c r="H35" s="77">
        <v>2</v>
      </c>
      <c r="I35" s="77">
        <v>0</v>
      </c>
      <c r="J35" s="77">
        <f t="shared" si="0"/>
        <v>9</v>
      </c>
      <c r="K35" s="77">
        <v>0</v>
      </c>
      <c r="L35" s="77">
        <v>0</v>
      </c>
      <c r="M35" s="77">
        <v>0</v>
      </c>
      <c r="N35" s="77">
        <f t="shared" si="1"/>
        <v>0</v>
      </c>
      <c r="O35" s="77">
        <f t="shared" si="2"/>
        <v>9</v>
      </c>
      <c r="P35" s="90"/>
    </row>
    <row r="36" spans="1:16" ht="15" customHeight="1" x14ac:dyDescent="0.35">
      <c r="A36" s="77">
        <v>33</v>
      </c>
      <c r="B36" s="77">
        <v>188993</v>
      </c>
      <c r="C36" s="132" t="s">
        <v>671</v>
      </c>
      <c r="D36" s="132" t="s">
        <v>902</v>
      </c>
      <c r="E36" s="77">
        <v>14</v>
      </c>
      <c r="F36" s="77">
        <v>12</v>
      </c>
      <c r="G36" s="77">
        <v>7</v>
      </c>
      <c r="H36" s="77">
        <v>2</v>
      </c>
      <c r="I36" s="77">
        <v>0</v>
      </c>
      <c r="J36" s="77">
        <f t="shared" ref="J36:J99" si="3">SUM(G36:I36)</f>
        <v>9</v>
      </c>
      <c r="K36" s="77">
        <v>0</v>
      </c>
      <c r="L36" s="77">
        <v>0</v>
      </c>
      <c r="M36" s="77">
        <v>0</v>
      </c>
      <c r="N36" s="77">
        <f t="shared" ref="N36:N99" si="4">SUM(K36:M36)</f>
        <v>0</v>
      </c>
      <c r="O36" s="77">
        <f t="shared" si="2"/>
        <v>9</v>
      </c>
      <c r="P36" s="90"/>
    </row>
    <row r="37" spans="1:16" ht="15" customHeight="1" x14ac:dyDescent="0.35">
      <c r="A37" s="77">
        <v>34</v>
      </c>
      <c r="B37" s="77">
        <v>174910</v>
      </c>
      <c r="C37" s="132" t="s">
        <v>903</v>
      </c>
      <c r="D37" s="132" t="s">
        <v>37</v>
      </c>
      <c r="E37" s="77" t="s">
        <v>53</v>
      </c>
      <c r="F37" s="77" t="s">
        <v>883</v>
      </c>
      <c r="G37" s="133">
        <v>7</v>
      </c>
      <c r="H37" s="133">
        <v>2</v>
      </c>
      <c r="I37" s="133">
        <v>0</v>
      </c>
      <c r="J37" s="77">
        <f t="shared" si="3"/>
        <v>9</v>
      </c>
      <c r="K37" s="133">
        <v>0</v>
      </c>
      <c r="L37" s="133">
        <v>0</v>
      </c>
      <c r="M37" s="133">
        <v>0</v>
      </c>
      <c r="N37" s="77">
        <f t="shared" si="4"/>
        <v>0</v>
      </c>
      <c r="O37" s="77">
        <f t="shared" si="2"/>
        <v>9</v>
      </c>
      <c r="P37" s="90"/>
    </row>
    <row r="38" spans="1:16" ht="15" customHeight="1" x14ac:dyDescent="0.35">
      <c r="A38" s="77">
        <v>35</v>
      </c>
      <c r="B38" s="77">
        <v>187698</v>
      </c>
      <c r="C38" s="132" t="s">
        <v>533</v>
      </c>
      <c r="D38" s="132" t="s">
        <v>904</v>
      </c>
      <c r="E38" s="77" t="s">
        <v>15</v>
      </c>
      <c r="F38" s="77">
        <v>12</v>
      </c>
      <c r="G38" s="133">
        <v>7</v>
      </c>
      <c r="H38" s="133">
        <v>2</v>
      </c>
      <c r="I38" s="133">
        <v>0</v>
      </c>
      <c r="J38" s="77">
        <f t="shared" si="3"/>
        <v>9</v>
      </c>
      <c r="K38" s="133">
        <v>0</v>
      </c>
      <c r="L38" s="133">
        <v>0</v>
      </c>
      <c r="M38" s="133">
        <v>0</v>
      </c>
      <c r="N38" s="77">
        <f t="shared" si="4"/>
        <v>0</v>
      </c>
      <c r="O38" s="77">
        <f t="shared" si="2"/>
        <v>9</v>
      </c>
      <c r="P38" s="90"/>
    </row>
    <row r="39" spans="1:16" ht="15" customHeight="1" x14ac:dyDescent="0.35">
      <c r="A39" s="77">
        <v>36</v>
      </c>
      <c r="B39" s="77">
        <v>112591</v>
      </c>
      <c r="C39" s="132" t="s">
        <v>77</v>
      </c>
      <c r="D39" s="132" t="s">
        <v>232</v>
      </c>
      <c r="E39" s="77">
        <v>147</v>
      </c>
      <c r="F39" s="77">
        <v>12</v>
      </c>
      <c r="G39" s="133">
        <v>7</v>
      </c>
      <c r="H39" s="133">
        <v>2</v>
      </c>
      <c r="I39" s="133">
        <v>0</v>
      </c>
      <c r="J39" s="77">
        <f t="shared" si="3"/>
        <v>9</v>
      </c>
      <c r="K39" s="133">
        <v>0</v>
      </c>
      <c r="L39" s="133">
        <v>0</v>
      </c>
      <c r="M39" s="133">
        <v>0</v>
      </c>
      <c r="N39" s="77">
        <f t="shared" si="4"/>
        <v>0</v>
      </c>
      <c r="O39" s="77">
        <f t="shared" si="2"/>
        <v>9</v>
      </c>
      <c r="P39" s="90"/>
    </row>
    <row r="40" spans="1:16" ht="15" customHeight="1" x14ac:dyDescent="0.35">
      <c r="A40" s="77">
        <v>37</v>
      </c>
      <c r="B40" s="77">
        <v>106668</v>
      </c>
      <c r="C40" s="132" t="s">
        <v>384</v>
      </c>
      <c r="D40" s="132" t="s">
        <v>905</v>
      </c>
      <c r="E40" s="77" t="s">
        <v>453</v>
      </c>
      <c r="F40" s="77">
        <v>12</v>
      </c>
      <c r="G40" s="133">
        <v>7</v>
      </c>
      <c r="H40" s="133">
        <v>2</v>
      </c>
      <c r="I40" s="133">
        <v>0</v>
      </c>
      <c r="J40" s="77">
        <f t="shared" si="3"/>
        <v>9</v>
      </c>
      <c r="K40" s="133">
        <v>0</v>
      </c>
      <c r="L40" s="133">
        <v>0</v>
      </c>
      <c r="M40" s="133">
        <v>0</v>
      </c>
      <c r="N40" s="77">
        <f t="shared" si="4"/>
        <v>0</v>
      </c>
      <c r="O40" s="77">
        <f t="shared" si="2"/>
        <v>9</v>
      </c>
      <c r="P40" s="90"/>
    </row>
    <row r="41" spans="1:16" ht="15" customHeight="1" x14ac:dyDescent="0.35">
      <c r="A41" s="77">
        <v>38</v>
      </c>
      <c r="B41" s="77">
        <v>212677</v>
      </c>
      <c r="C41" s="132" t="s">
        <v>906</v>
      </c>
      <c r="D41" s="132" t="s">
        <v>907</v>
      </c>
      <c r="E41" s="77" t="s">
        <v>155</v>
      </c>
      <c r="F41" s="77" t="s">
        <v>908</v>
      </c>
      <c r="G41" s="133">
        <v>7</v>
      </c>
      <c r="H41" s="133">
        <v>2</v>
      </c>
      <c r="I41" s="133">
        <v>0</v>
      </c>
      <c r="J41" s="77">
        <f t="shared" si="3"/>
        <v>9</v>
      </c>
      <c r="K41" s="133">
        <v>0</v>
      </c>
      <c r="L41" s="133">
        <v>0</v>
      </c>
      <c r="M41" s="133">
        <v>0</v>
      </c>
      <c r="N41" s="77">
        <f t="shared" si="4"/>
        <v>0</v>
      </c>
      <c r="O41" s="77">
        <f t="shared" si="2"/>
        <v>9</v>
      </c>
      <c r="P41" s="90"/>
    </row>
    <row r="42" spans="1:16" ht="15" customHeight="1" x14ac:dyDescent="0.35">
      <c r="A42" s="77">
        <v>39</v>
      </c>
      <c r="B42" s="77">
        <v>86504</v>
      </c>
      <c r="C42" s="134" t="s">
        <v>909</v>
      </c>
      <c r="D42" s="134" t="s">
        <v>174</v>
      </c>
      <c r="E42" s="77" t="s">
        <v>110</v>
      </c>
      <c r="F42" s="77">
        <v>12</v>
      </c>
      <c r="G42" s="133">
        <v>7</v>
      </c>
      <c r="H42" s="133">
        <v>2</v>
      </c>
      <c r="I42" s="133">
        <v>0</v>
      </c>
      <c r="J42" s="77">
        <f t="shared" si="3"/>
        <v>9</v>
      </c>
      <c r="K42" s="133">
        <v>0</v>
      </c>
      <c r="L42" s="133">
        <v>0</v>
      </c>
      <c r="M42" s="133">
        <v>0</v>
      </c>
      <c r="N42" s="77">
        <f t="shared" si="4"/>
        <v>0</v>
      </c>
      <c r="O42" s="77">
        <f t="shared" si="2"/>
        <v>9</v>
      </c>
      <c r="P42" s="90"/>
    </row>
    <row r="43" spans="1:16" ht="15" customHeight="1" x14ac:dyDescent="0.35">
      <c r="A43" s="77">
        <v>40</v>
      </c>
      <c r="B43" s="77">
        <v>15994</v>
      </c>
      <c r="C43" s="134" t="s">
        <v>910</v>
      </c>
      <c r="D43" s="134" t="s">
        <v>911</v>
      </c>
      <c r="E43" s="77" t="s">
        <v>417</v>
      </c>
      <c r="F43" s="77">
        <v>11</v>
      </c>
      <c r="G43" s="133">
        <v>7</v>
      </c>
      <c r="H43" s="133">
        <v>2</v>
      </c>
      <c r="I43" s="133">
        <v>0</v>
      </c>
      <c r="J43" s="77">
        <f t="shared" si="3"/>
        <v>9</v>
      </c>
      <c r="K43" s="133">
        <v>0</v>
      </c>
      <c r="L43" s="133">
        <v>0</v>
      </c>
      <c r="M43" s="133">
        <v>0</v>
      </c>
      <c r="N43" s="77">
        <f t="shared" si="4"/>
        <v>0</v>
      </c>
      <c r="O43" s="77">
        <f t="shared" si="2"/>
        <v>9</v>
      </c>
      <c r="P43" s="90"/>
    </row>
    <row r="44" spans="1:16" ht="15" customHeight="1" x14ac:dyDescent="0.35">
      <c r="A44" s="77">
        <v>41</v>
      </c>
      <c r="B44" s="77">
        <v>86776</v>
      </c>
      <c r="C44" s="134" t="s">
        <v>134</v>
      </c>
      <c r="D44" s="134" t="s">
        <v>912</v>
      </c>
      <c r="E44" s="77" t="s">
        <v>167</v>
      </c>
      <c r="F44" s="77">
        <v>12</v>
      </c>
      <c r="G44" s="133">
        <v>5</v>
      </c>
      <c r="H44" s="133">
        <v>2</v>
      </c>
      <c r="I44" s="133">
        <v>0</v>
      </c>
      <c r="J44" s="77">
        <f t="shared" si="3"/>
        <v>7</v>
      </c>
      <c r="K44" s="133">
        <v>2</v>
      </c>
      <c r="L44" s="133">
        <v>0</v>
      </c>
      <c r="M44" s="133">
        <v>0</v>
      </c>
      <c r="N44" s="77">
        <f t="shared" si="4"/>
        <v>2</v>
      </c>
      <c r="O44" s="77">
        <f t="shared" si="2"/>
        <v>9</v>
      </c>
      <c r="P44" s="90"/>
    </row>
    <row r="45" spans="1:16" ht="15" customHeight="1" x14ac:dyDescent="0.35">
      <c r="A45" s="77">
        <v>42</v>
      </c>
      <c r="B45" s="77">
        <v>145541</v>
      </c>
      <c r="C45" s="132" t="s">
        <v>549</v>
      </c>
      <c r="D45" s="132" t="s">
        <v>81</v>
      </c>
      <c r="E45" s="77">
        <v>33</v>
      </c>
      <c r="F45" s="77" t="s">
        <v>913</v>
      </c>
      <c r="G45" s="77">
        <v>5</v>
      </c>
      <c r="H45" s="77">
        <v>2</v>
      </c>
      <c r="I45" s="77">
        <v>0</v>
      </c>
      <c r="J45" s="77">
        <f t="shared" si="3"/>
        <v>7</v>
      </c>
      <c r="K45" s="77">
        <v>1</v>
      </c>
      <c r="L45" s="77">
        <v>0</v>
      </c>
      <c r="M45" s="77">
        <v>0</v>
      </c>
      <c r="N45" s="77">
        <f t="shared" si="4"/>
        <v>1</v>
      </c>
      <c r="O45" s="77">
        <f t="shared" si="2"/>
        <v>8</v>
      </c>
      <c r="P45" s="90"/>
    </row>
    <row r="46" spans="1:16" ht="15" customHeight="1" x14ac:dyDescent="0.35">
      <c r="A46" s="77">
        <v>43</v>
      </c>
      <c r="B46" s="77">
        <v>29590</v>
      </c>
      <c r="C46" s="134" t="s">
        <v>914</v>
      </c>
      <c r="D46" s="132" t="s">
        <v>915</v>
      </c>
      <c r="E46" s="77">
        <v>48</v>
      </c>
      <c r="F46" s="77">
        <v>12</v>
      </c>
      <c r="G46" s="77">
        <v>7</v>
      </c>
      <c r="H46" s="77">
        <v>0</v>
      </c>
      <c r="I46" s="77">
        <v>0</v>
      </c>
      <c r="J46" s="77">
        <f t="shared" si="3"/>
        <v>7</v>
      </c>
      <c r="K46" s="77">
        <v>0</v>
      </c>
      <c r="L46" s="77">
        <v>0</v>
      </c>
      <c r="M46" s="77">
        <v>0</v>
      </c>
      <c r="N46" s="77">
        <f t="shared" si="4"/>
        <v>0</v>
      </c>
      <c r="O46" s="77">
        <f t="shared" si="2"/>
        <v>7</v>
      </c>
      <c r="P46" s="90"/>
    </row>
    <row r="47" spans="1:16" ht="15" customHeight="1" x14ac:dyDescent="0.35">
      <c r="A47" s="77">
        <v>44</v>
      </c>
      <c r="B47" s="77">
        <v>127586</v>
      </c>
      <c r="C47" s="132" t="s">
        <v>662</v>
      </c>
      <c r="D47" s="132" t="s">
        <v>916</v>
      </c>
      <c r="E47" s="77" t="s">
        <v>917</v>
      </c>
      <c r="F47" s="77">
        <v>12</v>
      </c>
      <c r="G47" s="77">
        <v>7</v>
      </c>
      <c r="H47" s="77">
        <v>0</v>
      </c>
      <c r="I47" s="77">
        <v>0</v>
      </c>
      <c r="J47" s="77">
        <f t="shared" si="3"/>
        <v>7</v>
      </c>
      <c r="K47" s="77">
        <v>0</v>
      </c>
      <c r="L47" s="77">
        <v>0</v>
      </c>
      <c r="M47" s="77">
        <v>0</v>
      </c>
      <c r="N47" s="77">
        <f t="shared" si="4"/>
        <v>0</v>
      </c>
      <c r="O47" s="77">
        <f t="shared" si="2"/>
        <v>7</v>
      </c>
      <c r="P47" s="90"/>
    </row>
    <row r="48" spans="1:16" ht="15" customHeight="1" x14ac:dyDescent="0.35">
      <c r="A48" s="77">
        <v>45</v>
      </c>
      <c r="B48" s="77">
        <v>25500</v>
      </c>
      <c r="C48" s="132" t="s">
        <v>918</v>
      </c>
      <c r="D48" s="132" t="s">
        <v>174</v>
      </c>
      <c r="E48" s="77">
        <v>84</v>
      </c>
      <c r="F48" s="77">
        <v>11</v>
      </c>
      <c r="G48" s="77">
        <v>5</v>
      </c>
      <c r="H48" s="77">
        <v>2</v>
      </c>
      <c r="I48" s="77">
        <v>0</v>
      </c>
      <c r="J48" s="77">
        <f t="shared" si="3"/>
        <v>7</v>
      </c>
      <c r="K48" s="77">
        <v>0</v>
      </c>
      <c r="L48" s="77">
        <v>0</v>
      </c>
      <c r="M48" s="77">
        <v>0</v>
      </c>
      <c r="N48" s="77">
        <f t="shared" si="4"/>
        <v>0</v>
      </c>
      <c r="O48" s="77">
        <f t="shared" si="2"/>
        <v>7</v>
      </c>
      <c r="P48" s="90"/>
    </row>
    <row r="49" spans="1:16" ht="15" customHeight="1" x14ac:dyDescent="0.35">
      <c r="A49" s="77">
        <v>46</v>
      </c>
      <c r="B49" s="77">
        <v>131063</v>
      </c>
      <c r="C49" s="132" t="s">
        <v>919</v>
      </c>
      <c r="D49" s="132" t="s">
        <v>920</v>
      </c>
      <c r="E49" s="77" t="s">
        <v>181</v>
      </c>
      <c r="F49" s="77">
        <v>11</v>
      </c>
      <c r="G49" s="77">
        <v>7</v>
      </c>
      <c r="H49" s="77">
        <v>0</v>
      </c>
      <c r="I49" s="77">
        <v>0</v>
      </c>
      <c r="J49" s="77">
        <f t="shared" si="3"/>
        <v>7</v>
      </c>
      <c r="K49" s="77">
        <v>0</v>
      </c>
      <c r="L49" s="77">
        <v>0</v>
      </c>
      <c r="M49" s="77">
        <v>0</v>
      </c>
      <c r="N49" s="77">
        <f t="shared" si="4"/>
        <v>0</v>
      </c>
      <c r="O49" s="77">
        <f t="shared" si="2"/>
        <v>7</v>
      </c>
      <c r="P49" s="90"/>
    </row>
    <row r="50" spans="1:16" ht="15" customHeight="1" x14ac:dyDescent="0.35">
      <c r="A50" s="77">
        <v>47</v>
      </c>
      <c r="B50" s="77">
        <v>152117</v>
      </c>
      <c r="C50" s="132" t="s">
        <v>921</v>
      </c>
      <c r="D50" s="132" t="s">
        <v>922</v>
      </c>
      <c r="E50" s="77">
        <v>33</v>
      </c>
      <c r="F50" s="77" t="s">
        <v>923</v>
      </c>
      <c r="G50" s="77">
        <v>5</v>
      </c>
      <c r="H50" s="77">
        <v>2</v>
      </c>
      <c r="I50" s="77">
        <v>0</v>
      </c>
      <c r="J50" s="77">
        <f t="shared" si="3"/>
        <v>7</v>
      </c>
      <c r="K50" s="77"/>
      <c r="L50" s="77"/>
      <c r="M50" s="77"/>
      <c r="N50" s="77">
        <f t="shared" si="4"/>
        <v>0</v>
      </c>
      <c r="O50" s="77">
        <f t="shared" si="2"/>
        <v>7</v>
      </c>
      <c r="P50" s="90"/>
    </row>
    <row r="51" spans="1:16" ht="15" customHeight="1" x14ac:dyDescent="0.35">
      <c r="A51" s="77">
        <v>48</v>
      </c>
      <c r="B51" s="77">
        <v>18016</v>
      </c>
      <c r="C51" s="132" t="s">
        <v>924</v>
      </c>
      <c r="D51" s="132" t="s">
        <v>123</v>
      </c>
      <c r="E51" s="77" t="s">
        <v>65</v>
      </c>
      <c r="F51" s="77">
        <v>12</v>
      </c>
      <c r="G51" s="77">
        <v>7</v>
      </c>
      <c r="H51" s="77">
        <v>0</v>
      </c>
      <c r="I51" s="77">
        <v>0</v>
      </c>
      <c r="J51" s="77">
        <f t="shared" si="3"/>
        <v>7</v>
      </c>
      <c r="K51" s="77"/>
      <c r="L51" s="77"/>
      <c r="M51" s="77"/>
      <c r="N51" s="77">
        <f t="shared" si="4"/>
        <v>0</v>
      </c>
      <c r="O51" s="77">
        <f t="shared" si="2"/>
        <v>7</v>
      </c>
      <c r="P51" s="90"/>
    </row>
    <row r="52" spans="1:16" ht="15" customHeight="1" x14ac:dyDescent="0.35">
      <c r="A52" s="77">
        <v>49</v>
      </c>
      <c r="B52" s="77">
        <v>156055</v>
      </c>
      <c r="C52" s="132" t="s">
        <v>134</v>
      </c>
      <c r="D52" s="132" t="s">
        <v>348</v>
      </c>
      <c r="E52" s="77">
        <v>157</v>
      </c>
      <c r="F52" s="77">
        <v>11</v>
      </c>
      <c r="G52" s="133">
        <v>7</v>
      </c>
      <c r="H52" s="133">
        <v>0</v>
      </c>
      <c r="I52" s="133">
        <v>0</v>
      </c>
      <c r="J52" s="77">
        <f t="shared" si="3"/>
        <v>7</v>
      </c>
      <c r="K52" s="133">
        <v>0</v>
      </c>
      <c r="L52" s="133">
        <v>0</v>
      </c>
      <c r="M52" s="133">
        <v>0</v>
      </c>
      <c r="N52" s="77">
        <f t="shared" si="4"/>
        <v>0</v>
      </c>
      <c r="O52" s="77">
        <f t="shared" si="2"/>
        <v>7</v>
      </c>
      <c r="P52" s="90"/>
    </row>
    <row r="53" spans="1:16" ht="15" customHeight="1" x14ac:dyDescent="0.35">
      <c r="A53" s="77">
        <v>50</v>
      </c>
      <c r="B53" s="77">
        <v>186580</v>
      </c>
      <c r="C53" s="132" t="s">
        <v>925</v>
      </c>
      <c r="D53" s="132" t="s">
        <v>748</v>
      </c>
      <c r="E53" s="77" t="s">
        <v>130</v>
      </c>
      <c r="F53" s="77">
        <v>11</v>
      </c>
      <c r="G53" s="133">
        <v>7</v>
      </c>
      <c r="H53" s="133">
        <v>0</v>
      </c>
      <c r="I53" s="133">
        <v>0</v>
      </c>
      <c r="J53" s="77">
        <f t="shared" si="3"/>
        <v>7</v>
      </c>
      <c r="K53" s="133">
        <v>0</v>
      </c>
      <c r="L53" s="133">
        <v>0</v>
      </c>
      <c r="M53" s="133">
        <v>0</v>
      </c>
      <c r="N53" s="77">
        <f t="shared" si="4"/>
        <v>0</v>
      </c>
      <c r="O53" s="77">
        <f t="shared" si="2"/>
        <v>7</v>
      </c>
      <c r="P53" s="90"/>
    </row>
    <row r="54" spans="1:16" ht="15" customHeight="1" x14ac:dyDescent="0.35">
      <c r="A54" s="77">
        <v>51</v>
      </c>
      <c r="B54" s="77">
        <v>170880</v>
      </c>
      <c r="C54" s="132" t="s">
        <v>926</v>
      </c>
      <c r="D54" s="132" t="s">
        <v>520</v>
      </c>
      <c r="E54" s="77" t="s">
        <v>53</v>
      </c>
      <c r="F54" s="77" t="s">
        <v>927</v>
      </c>
      <c r="G54" s="77">
        <v>5</v>
      </c>
      <c r="H54" s="77">
        <v>0</v>
      </c>
      <c r="I54" s="77">
        <v>0</v>
      </c>
      <c r="J54" s="77">
        <f t="shared" si="3"/>
        <v>5</v>
      </c>
      <c r="K54" s="77"/>
      <c r="L54" s="77"/>
      <c r="M54" s="77"/>
      <c r="N54" s="77">
        <f t="shared" si="4"/>
        <v>0</v>
      </c>
      <c r="O54" s="77">
        <f t="shared" si="2"/>
        <v>5</v>
      </c>
      <c r="P54" s="90"/>
    </row>
    <row r="55" spans="1:16" ht="15" customHeight="1" x14ac:dyDescent="0.35">
      <c r="A55" s="77">
        <v>52</v>
      </c>
      <c r="B55" s="77">
        <v>206121</v>
      </c>
      <c r="C55" s="132" t="s">
        <v>124</v>
      </c>
      <c r="D55" s="132" t="s">
        <v>192</v>
      </c>
      <c r="E55" s="77" t="s">
        <v>191</v>
      </c>
      <c r="F55" s="77">
        <v>11</v>
      </c>
      <c r="G55" s="77">
        <v>5</v>
      </c>
      <c r="H55" s="77">
        <v>0</v>
      </c>
      <c r="I55" s="77">
        <v>0</v>
      </c>
      <c r="J55" s="77">
        <f t="shared" si="3"/>
        <v>5</v>
      </c>
      <c r="K55" s="77">
        <v>0</v>
      </c>
      <c r="L55" s="77">
        <v>0</v>
      </c>
      <c r="M55" s="77">
        <v>0</v>
      </c>
      <c r="N55" s="77">
        <f t="shared" si="4"/>
        <v>0</v>
      </c>
      <c r="O55" s="77">
        <f t="shared" si="2"/>
        <v>5</v>
      </c>
      <c r="P55" s="90"/>
    </row>
    <row r="56" spans="1:16" ht="15" customHeight="1" x14ac:dyDescent="0.35">
      <c r="A56" s="77">
        <v>53</v>
      </c>
      <c r="B56" s="77">
        <v>147147</v>
      </c>
      <c r="C56" s="132" t="s">
        <v>928</v>
      </c>
      <c r="D56" s="132" t="s">
        <v>929</v>
      </c>
      <c r="E56" s="77" t="s">
        <v>930</v>
      </c>
      <c r="F56" s="77" t="s">
        <v>931</v>
      </c>
      <c r="G56" s="77">
        <v>0</v>
      </c>
      <c r="H56" s="77">
        <v>2</v>
      </c>
      <c r="I56" s="77">
        <v>0</v>
      </c>
      <c r="J56" s="77">
        <f t="shared" si="3"/>
        <v>2</v>
      </c>
      <c r="K56" s="77">
        <v>3</v>
      </c>
      <c r="L56" s="77">
        <v>0</v>
      </c>
      <c r="M56" s="77">
        <v>0</v>
      </c>
      <c r="N56" s="77">
        <f t="shared" si="4"/>
        <v>3</v>
      </c>
      <c r="O56" s="77">
        <f t="shared" si="2"/>
        <v>5</v>
      </c>
      <c r="P56" s="90"/>
    </row>
    <row r="57" spans="1:16" ht="15" customHeight="1" x14ac:dyDescent="0.35">
      <c r="A57" s="77">
        <v>54</v>
      </c>
      <c r="B57" s="77">
        <v>155195</v>
      </c>
      <c r="C57" s="132" t="s">
        <v>136</v>
      </c>
      <c r="D57" s="132" t="s">
        <v>44</v>
      </c>
      <c r="E57" s="77" t="s">
        <v>896</v>
      </c>
      <c r="F57" s="77">
        <v>12</v>
      </c>
      <c r="G57" s="77">
        <v>0</v>
      </c>
      <c r="H57" s="77">
        <v>2</v>
      </c>
      <c r="I57" s="77">
        <v>0</v>
      </c>
      <c r="J57" s="77">
        <f t="shared" si="3"/>
        <v>2</v>
      </c>
      <c r="K57" s="77">
        <v>2</v>
      </c>
      <c r="L57" s="77">
        <v>0</v>
      </c>
      <c r="M57" s="77">
        <v>0</v>
      </c>
      <c r="N57" s="77">
        <f t="shared" si="4"/>
        <v>2</v>
      </c>
      <c r="O57" s="77">
        <f t="shared" si="2"/>
        <v>4</v>
      </c>
      <c r="P57" s="90"/>
    </row>
    <row r="58" spans="1:16" ht="15" customHeight="1" x14ac:dyDescent="0.35">
      <c r="A58" s="77">
        <v>55</v>
      </c>
      <c r="B58" s="77">
        <v>225759</v>
      </c>
      <c r="C58" s="132" t="s">
        <v>932</v>
      </c>
      <c r="D58" s="132" t="s">
        <v>933</v>
      </c>
      <c r="E58" s="77" t="s">
        <v>223</v>
      </c>
      <c r="F58" s="77">
        <v>11</v>
      </c>
      <c r="G58" s="77">
        <v>0</v>
      </c>
      <c r="H58" s="77">
        <v>2</v>
      </c>
      <c r="I58" s="77">
        <v>0</v>
      </c>
      <c r="J58" s="77">
        <f t="shared" si="3"/>
        <v>2</v>
      </c>
      <c r="K58" s="77">
        <v>0</v>
      </c>
      <c r="L58" s="77">
        <v>0</v>
      </c>
      <c r="M58" s="77">
        <v>1</v>
      </c>
      <c r="N58" s="77">
        <f t="shared" si="4"/>
        <v>1</v>
      </c>
      <c r="O58" s="77">
        <f t="shared" si="2"/>
        <v>3</v>
      </c>
      <c r="P58" s="90"/>
    </row>
    <row r="59" spans="1:16" ht="15" customHeight="1" x14ac:dyDescent="0.35">
      <c r="A59" s="77">
        <v>56</v>
      </c>
      <c r="B59" s="77">
        <v>227400</v>
      </c>
      <c r="C59" s="132" t="s">
        <v>934</v>
      </c>
      <c r="D59" s="132" t="s">
        <v>935</v>
      </c>
      <c r="E59" s="77" t="s">
        <v>771</v>
      </c>
      <c r="F59" s="77">
        <v>11</v>
      </c>
      <c r="G59" s="77">
        <v>0</v>
      </c>
      <c r="H59" s="77">
        <v>2</v>
      </c>
      <c r="I59" s="77">
        <v>0</v>
      </c>
      <c r="J59" s="77">
        <f t="shared" si="3"/>
        <v>2</v>
      </c>
      <c r="K59" s="77"/>
      <c r="L59" s="77"/>
      <c r="M59" s="77"/>
      <c r="N59" s="77">
        <f t="shared" si="4"/>
        <v>0</v>
      </c>
      <c r="O59" s="77">
        <f t="shared" si="2"/>
        <v>2</v>
      </c>
      <c r="P59" s="90"/>
    </row>
    <row r="60" spans="1:16" ht="15" customHeight="1" x14ac:dyDescent="0.35">
      <c r="A60" s="77">
        <v>57</v>
      </c>
      <c r="B60" s="77">
        <v>187634</v>
      </c>
      <c r="C60" s="132" t="s">
        <v>618</v>
      </c>
      <c r="D60" s="132" t="s">
        <v>21</v>
      </c>
      <c r="E60" s="77" t="s">
        <v>15</v>
      </c>
      <c r="F60" s="77"/>
      <c r="G60" s="77">
        <v>0</v>
      </c>
      <c r="H60" s="77">
        <v>2</v>
      </c>
      <c r="I60" s="77">
        <v>0</v>
      </c>
      <c r="J60" s="77">
        <f t="shared" si="3"/>
        <v>2</v>
      </c>
      <c r="K60" s="77">
        <v>0</v>
      </c>
      <c r="L60" s="77">
        <v>0</v>
      </c>
      <c r="M60" s="77">
        <v>0</v>
      </c>
      <c r="N60" s="77">
        <f t="shared" si="4"/>
        <v>0</v>
      </c>
      <c r="O60" s="77">
        <f t="shared" si="2"/>
        <v>2</v>
      </c>
      <c r="P60" s="90"/>
    </row>
    <row r="61" spans="1:16" ht="15" customHeight="1" x14ac:dyDescent="0.35">
      <c r="A61" s="77">
        <v>58</v>
      </c>
      <c r="B61" s="77">
        <v>209246</v>
      </c>
      <c r="C61" s="132" t="s">
        <v>936</v>
      </c>
      <c r="D61" s="132" t="s">
        <v>134</v>
      </c>
      <c r="E61" s="77" t="s">
        <v>937</v>
      </c>
      <c r="F61" s="77">
        <v>12</v>
      </c>
      <c r="G61" s="77">
        <v>0</v>
      </c>
      <c r="H61" s="77">
        <v>2</v>
      </c>
      <c r="I61" s="77">
        <v>0</v>
      </c>
      <c r="J61" s="77">
        <f t="shared" si="3"/>
        <v>2</v>
      </c>
      <c r="K61" s="77">
        <v>0</v>
      </c>
      <c r="L61" s="77">
        <v>0</v>
      </c>
      <c r="M61" s="77">
        <v>0</v>
      </c>
      <c r="N61" s="77">
        <f t="shared" si="4"/>
        <v>0</v>
      </c>
      <c r="O61" s="77">
        <f t="shared" si="2"/>
        <v>2</v>
      </c>
      <c r="P61" s="90"/>
    </row>
    <row r="62" spans="1:16" ht="15" customHeight="1" x14ac:dyDescent="0.35">
      <c r="A62" s="77">
        <v>59</v>
      </c>
      <c r="B62" s="77">
        <v>202188</v>
      </c>
      <c r="C62" s="134" t="s">
        <v>566</v>
      </c>
      <c r="D62" s="132" t="s">
        <v>938</v>
      </c>
      <c r="E62" s="77" t="s">
        <v>100</v>
      </c>
      <c r="F62" s="77">
        <v>11</v>
      </c>
      <c r="G62" s="77">
        <v>0</v>
      </c>
      <c r="H62" s="77">
        <v>2</v>
      </c>
      <c r="I62" s="77">
        <v>0</v>
      </c>
      <c r="J62" s="77">
        <f t="shared" si="3"/>
        <v>2</v>
      </c>
      <c r="K62" s="77">
        <v>0</v>
      </c>
      <c r="L62" s="77">
        <v>0</v>
      </c>
      <c r="M62" s="77">
        <v>0</v>
      </c>
      <c r="N62" s="77">
        <f t="shared" si="4"/>
        <v>0</v>
      </c>
      <c r="O62" s="77">
        <f t="shared" si="2"/>
        <v>2</v>
      </c>
      <c r="P62" s="90"/>
    </row>
    <row r="63" spans="1:16" ht="15" customHeight="1" x14ac:dyDescent="0.35">
      <c r="A63" s="77">
        <v>60</v>
      </c>
      <c r="B63" s="77">
        <v>201029</v>
      </c>
      <c r="C63" s="134" t="s">
        <v>939</v>
      </c>
      <c r="D63" s="132" t="s">
        <v>940</v>
      </c>
      <c r="E63" s="77" t="s">
        <v>243</v>
      </c>
      <c r="F63" s="77" t="s">
        <v>854</v>
      </c>
      <c r="G63" s="77">
        <v>0</v>
      </c>
      <c r="H63" s="77">
        <v>2</v>
      </c>
      <c r="I63" s="77">
        <v>0</v>
      </c>
      <c r="J63" s="77">
        <f t="shared" si="3"/>
        <v>2</v>
      </c>
      <c r="K63" s="77">
        <v>0</v>
      </c>
      <c r="L63" s="77">
        <v>0</v>
      </c>
      <c r="M63" s="77">
        <v>0</v>
      </c>
      <c r="N63" s="77">
        <f t="shared" si="4"/>
        <v>0</v>
      </c>
      <c r="O63" s="77">
        <f t="shared" si="2"/>
        <v>2</v>
      </c>
      <c r="P63" s="90"/>
    </row>
    <row r="64" spans="1:16" ht="15" customHeight="1" x14ac:dyDescent="0.35">
      <c r="A64" s="77">
        <v>61</v>
      </c>
      <c r="B64" s="77">
        <v>110522</v>
      </c>
      <c r="C64" s="134" t="s">
        <v>24</v>
      </c>
      <c r="D64" s="132" t="s">
        <v>941</v>
      </c>
      <c r="E64" s="77" t="s">
        <v>110</v>
      </c>
      <c r="F64" s="77"/>
      <c r="G64" s="77">
        <v>0</v>
      </c>
      <c r="H64" s="77">
        <v>2</v>
      </c>
      <c r="I64" s="77">
        <v>0</v>
      </c>
      <c r="J64" s="77">
        <f t="shared" si="3"/>
        <v>2</v>
      </c>
      <c r="K64" s="77">
        <v>0</v>
      </c>
      <c r="L64" s="77">
        <v>0</v>
      </c>
      <c r="M64" s="77">
        <v>0</v>
      </c>
      <c r="N64" s="77">
        <f t="shared" si="4"/>
        <v>0</v>
      </c>
      <c r="O64" s="77">
        <f t="shared" si="2"/>
        <v>2</v>
      </c>
      <c r="P64" s="90"/>
    </row>
    <row r="65" spans="1:16" ht="15" customHeight="1" x14ac:dyDescent="0.35">
      <c r="A65" s="77">
        <v>62</v>
      </c>
      <c r="B65" s="77">
        <v>187581</v>
      </c>
      <c r="C65" s="134" t="s">
        <v>942</v>
      </c>
      <c r="D65" s="132" t="s">
        <v>943</v>
      </c>
      <c r="E65" s="77" t="s">
        <v>15</v>
      </c>
      <c r="F65" s="77">
        <v>11</v>
      </c>
      <c r="G65" s="77">
        <v>0</v>
      </c>
      <c r="H65" s="77">
        <v>2</v>
      </c>
      <c r="I65" s="77">
        <v>0</v>
      </c>
      <c r="J65" s="77">
        <f t="shared" si="3"/>
        <v>2</v>
      </c>
      <c r="K65" s="77"/>
      <c r="L65" s="77"/>
      <c r="M65" s="77"/>
      <c r="N65" s="77">
        <f t="shared" si="4"/>
        <v>0</v>
      </c>
      <c r="O65" s="77">
        <f t="shared" si="2"/>
        <v>2</v>
      </c>
      <c r="P65" s="90"/>
    </row>
    <row r="66" spans="1:16" ht="15" customHeight="1" x14ac:dyDescent="0.35">
      <c r="A66" s="77">
        <v>63</v>
      </c>
      <c r="B66" s="77">
        <v>15487</v>
      </c>
      <c r="C66" s="132" t="s">
        <v>662</v>
      </c>
      <c r="D66" s="132" t="s">
        <v>205</v>
      </c>
      <c r="E66" s="77" t="s">
        <v>207</v>
      </c>
      <c r="F66" s="77">
        <v>12</v>
      </c>
      <c r="G66" s="77">
        <v>0</v>
      </c>
      <c r="H66" s="77">
        <v>2</v>
      </c>
      <c r="I66" s="77">
        <v>0</v>
      </c>
      <c r="J66" s="77">
        <f t="shared" si="3"/>
        <v>2</v>
      </c>
      <c r="K66" s="77">
        <v>0</v>
      </c>
      <c r="L66" s="77">
        <v>0</v>
      </c>
      <c r="M66" s="77">
        <v>0</v>
      </c>
      <c r="N66" s="77">
        <f t="shared" si="4"/>
        <v>0</v>
      </c>
      <c r="O66" s="77">
        <f t="shared" si="2"/>
        <v>2</v>
      </c>
      <c r="P66" s="90"/>
    </row>
    <row r="67" spans="1:16" ht="15" customHeight="1" x14ac:dyDescent="0.35">
      <c r="A67" s="77">
        <v>64</v>
      </c>
      <c r="B67" s="77">
        <v>146958</v>
      </c>
      <c r="C67" s="134" t="s">
        <v>149</v>
      </c>
      <c r="D67" s="132" t="s">
        <v>944</v>
      </c>
      <c r="E67" s="77">
        <v>157</v>
      </c>
      <c r="F67" s="77">
        <v>12</v>
      </c>
      <c r="G67" s="77">
        <v>0</v>
      </c>
      <c r="H67" s="77">
        <v>2</v>
      </c>
      <c r="I67" s="77">
        <v>0</v>
      </c>
      <c r="J67" s="77">
        <f t="shared" si="3"/>
        <v>2</v>
      </c>
      <c r="K67" s="77">
        <v>0</v>
      </c>
      <c r="L67" s="77">
        <v>0</v>
      </c>
      <c r="M67" s="77">
        <v>0</v>
      </c>
      <c r="N67" s="77">
        <f t="shared" si="4"/>
        <v>0</v>
      </c>
      <c r="O67" s="77">
        <f t="shared" si="2"/>
        <v>2</v>
      </c>
      <c r="P67" s="90"/>
    </row>
    <row r="68" spans="1:16" ht="15" customHeight="1" x14ac:dyDescent="0.35">
      <c r="A68" s="77">
        <v>65</v>
      </c>
      <c r="B68" s="77">
        <v>75334</v>
      </c>
      <c r="C68" s="134" t="s">
        <v>27</v>
      </c>
      <c r="D68" s="132" t="s">
        <v>245</v>
      </c>
      <c r="E68" s="77">
        <v>44</v>
      </c>
      <c r="F68" s="77" t="s">
        <v>868</v>
      </c>
      <c r="G68" s="77">
        <v>0</v>
      </c>
      <c r="H68" s="77">
        <v>2</v>
      </c>
      <c r="I68" s="77">
        <v>0</v>
      </c>
      <c r="J68" s="77">
        <f t="shared" si="3"/>
        <v>2</v>
      </c>
      <c r="K68" s="77">
        <v>0</v>
      </c>
      <c r="L68" s="77">
        <v>0</v>
      </c>
      <c r="M68" s="77">
        <v>0</v>
      </c>
      <c r="N68" s="77">
        <f t="shared" si="4"/>
        <v>0</v>
      </c>
      <c r="O68" s="77">
        <f t="shared" ref="O68:O131" si="5">SUM(J68,N68)</f>
        <v>2</v>
      </c>
      <c r="P68" s="90"/>
    </row>
    <row r="69" spans="1:16" ht="15" customHeight="1" x14ac:dyDescent="0.35">
      <c r="A69" s="77">
        <v>66</v>
      </c>
      <c r="B69" s="77">
        <v>75759</v>
      </c>
      <c r="C69" s="134" t="s">
        <v>118</v>
      </c>
      <c r="D69" s="132" t="s">
        <v>597</v>
      </c>
      <c r="E69" s="77">
        <v>92</v>
      </c>
      <c r="F69" s="77" t="s">
        <v>868</v>
      </c>
      <c r="G69" s="77">
        <v>0</v>
      </c>
      <c r="H69" s="77">
        <v>2</v>
      </c>
      <c r="I69" s="77">
        <v>0</v>
      </c>
      <c r="J69" s="77">
        <f t="shared" si="3"/>
        <v>2</v>
      </c>
      <c r="K69" s="77">
        <v>0</v>
      </c>
      <c r="L69" s="77">
        <v>0</v>
      </c>
      <c r="M69" s="77">
        <v>0</v>
      </c>
      <c r="N69" s="77">
        <f t="shared" si="4"/>
        <v>0</v>
      </c>
      <c r="O69" s="77">
        <f t="shared" si="5"/>
        <v>2</v>
      </c>
      <c r="P69" s="90"/>
    </row>
    <row r="70" spans="1:16" ht="15" customHeight="1" x14ac:dyDescent="0.35">
      <c r="A70" s="77">
        <v>67</v>
      </c>
      <c r="B70" s="77">
        <v>195894</v>
      </c>
      <c r="C70" s="132" t="s">
        <v>590</v>
      </c>
      <c r="D70" s="132" t="s">
        <v>174</v>
      </c>
      <c r="E70" s="77">
        <v>84</v>
      </c>
      <c r="F70" s="77">
        <v>11</v>
      </c>
      <c r="G70" s="77">
        <v>0</v>
      </c>
      <c r="H70" s="77">
        <v>2</v>
      </c>
      <c r="I70" s="77">
        <v>0</v>
      </c>
      <c r="J70" s="77">
        <f t="shared" si="3"/>
        <v>2</v>
      </c>
      <c r="K70" s="77"/>
      <c r="L70" s="77"/>
      <c r="M70" s="77"/>
      <c r="N70" s="77">
        <f t="shared" si="4"/>
        <v>0</v>
      </c>
      <c r="O70" s="77">
        <f t="shared" si="5"/>
        <v>2</v>
      </c>
      <c r="P70" s="90"/>
    </row>
    <row r="71" spans="1:16" ht="15" customHeight="1" x14ac:dyDescent="0.35">
      <c r="A71" s="77">
        <v>68</v>
      </c>
      <c r="B71" s="77">
        <v>223456</v>
      </c>
      <c r="C71" s="132" t="s">
        <v>945</v>
      </c>
      <c r="D71" s="132" t="s">
        <v>946</v>
      </c>
      <c r="E71" s="77" t="s">
        <v>947</v>
      </c>
      <c r="F71" s="77">
        <v>11</v>
      </c>
      <c r="G71" s="77">
        <v>0</v>
      </c>
      <c r="H71" s="77">
        <v>2</v>
      </c>
      <c r="I71" s="77">
        <v>0</v>
      </c>
      <c r="J71" s="77">
        <f t="shared" si="3"/>
        <v>2</v>
      </c>
      <c r="K71" s="77">
        <v>0</v>
      </c>
      <c r="L71" s="77">
        <v>0</v>
      </c>
      <c r="M71" s="77">
        <v>0</v>
      </c>
      <c r="N71" s="77">
        <f t="shared" si="4"/>
        <v>0</v>
      </c>
      <c r="O71" s="77">
        <f t="shared" si="5"/>
        <v>2</v>
      </c>
      <c r="P71" s="90"/>
    </row>
    <row r="72" spans="1:16" ht="15" customHeight="1" x14ac:dyDescent="0.35">
      <c r="A72" s="77">
        <v>69</v>
      </c>
      <c r="B72" s="77">
        <v>39212</v>
      </c>
      <c r="C72" s="132" t="s">
        <v>393</v>
      </c>
      <c r="D72" s="132" t="s">
        <v>948</v>
      </c>
      <c r="E72" s="77">
        <v>92</v>
      </c>
      <c r="F72" s="77" t="s">
        <v>868</v>
      </c>
      <c r="G72" s="77">
        <v>0</v>
      </c>
      <c r="H72" s="77">
        <v>2</v>
      </c>
      <c r="I72" s="77">
        <v>0</v>
      </c>
      <c r="J72" s="77">
        <f t="shared" si="3"/>
        <v>2</v>
      </c>
      <c r="K72" s="77">
        <v>0</v>
      </c>
      <c r="L72" s="77">
        <v>0</v>
      </c>
      <c r="M72" s="77">
        <v>0</v>
      </c>
      <c r="N72" s="77">
        <f t="shared" si="4"/>
        <v>0</v>
      </c>
      <c r="O72" s="77">
        <f t="shared" si="5"/>
        <v>2</v>
      </c>
      <c r="P72" s="90"/>
    </row>
    <row r="73" spans="1:16" ht="15" customHeight="1" x14ac:dyDescent="0.35">
      <c r="A73" s="77">
        <v>70</v>
      </c>
      <c r="B73" s="77">
        <v>206274</v>
      </c>
      <c r="C73" s="132" t="s">
        <v>122</v>
      </c>
      <c r="D73" s="132" t="s">
        <v>949</v>
      </c>
      <c r="E73" s="77" t="s">
        <v>130</v>
      </c>
      <c r="F73" s="77">
        <v>12</v>
      </c>
      <c r="G73" s="77">
        <v>0</v>
      </c>
      <c r="H73" s="77">
        <v>2</v>
      </c>
      <c r="I73" s="77">
        <v>0</v>
      </c>
      <c r="J73" s="77">
        <f t="shared" si="3"/>
        <v>2</v>
      </c>
      <c r="K73" s="77">
        <v>0</v>
      </c>
      <c r="L73" s="77">
        <v>0</v>
      </c>
      <c r="M73" s="77">
        <v>0</v>
      </c>
      <c r="N73" s="77">
        <f t="shared" si="4"/>
        <v>0</v>
      </c>
      <c r="O73" s="77">
        <f t="shared" si="5"/>
        <v>2</v>
      </c>
      <c r="P73" s="90"/>
    </row>
    <row r="74" spans="1:16" ht="15" customHeight="1" x14ac:dyDescent="0.35">
      <c r="A74" s="77">
        <v>71</v>
      </c>
      <c r="B74" s="77">
        <v>225771</v>
      </c>
      <c r="C74" s="132" t="s">
        <v>950</v>
      </c>
      <c r="D74" s="132" t="s">
        <v>414</v>
      </c>
      <c r="E74" s="77" t="s">
        <v>223</v>
      </c>
      <c r="F74" s="77">
        <v>11</v>
      </c>
      <c r="G74" s="77">
        <v>0</v>
      </c>
      <c r="H74" s="77">
        <v>2</v>
      </c>
      <c r="I74" s="77">
        <v>0</v>
      </c>
      <c r="J74" s="77">
        <f t="shared" si="3"/>
        <v>2</v>
      </c>
      <c r="K74" s="77">
        <v>0</v>
      </c>
      <c r="L74" s="77">
        <v>0</v>
      </c>
      <c r="M74" s="77">
        <v>0</v>
      </c>
      <c r="N74" s="77">
        <f t="shared" si="4"/>
        <v>0</v>
      </c>
      <c r="O74" s="77">
        <f t="shared" si="5"/>
        <v>2</v>
      </c>
      <c r="P74" s="90"/>
    </row>
    <row r="75" spans="1:16" ht="15" customHeight="1" x14ac:dyDescent="0.35">
      <c r="A75" s="77">
        <v>72</v>
      </c>
      <c r="B75" s="77">
        <v>215685</v>
      </c>
      <c r="C75" s="132" t="s">
        <v>337</v>
      </c>
      <c r="D75" s="132" t="s">
        <v>951</v>
      </c>
      <c r="E75" s="77">
        <v>157</v>
      </c>
      <c r="F75" s="77">
        <v>12</v>
      </c>
      <c r="G75" s="77">
        <v>0</v>
      </c>
      <c r="H75" s="77">
        <v>2</v>
      </c>
      <c r="I75" s="77">
        <v>0</v>
      </c>
      <c r="J75" s="77">
        <f t="shared" si="3"/>
        <v>2</v>
      </c>
      <c r="K75" s="77">
        <v>0</v>
      </c>
      <c r="L75" s="77">
        <v>0</v>
      </c>
      <c r="M75" s="77">
        <v>0</v>
      </c>
      <c r="N75" s="77">
        <f t="shared" si="4"/>
        <v>0</v>
      </c>
      <c r="O75" s="77">
        <f t="shared" si="5"/>
        <v>2</v>
      </c>
      <c r="P75" s="90"/>
    </row>
    <row r="76" spans="1:16" ht="15" customHeight="1" x14ac:dyDescent="0.35">
      <c r="A76" s="77">
        <v>73</v>
      </c>
      <c r="B76" s="77">
        <v>38473</v>
      </c>
      <c r="C76" s="132" t="s">
        <v>170</v>
      </c>
      <c r="D76" s="132" t="s">
        <v>952</v>
      </c>
      <c r="E76" s="77">
        <v>44</v>
      </c>
      <c r="F76" s="77" t="s">
        <v>868</v>
      </c>
      <c r="G76" s="77">
        <v>0</v>
      </c>
      <c r="H76" s="77">
        <v>2</v>
      </c>
      <c r="I76" s="77">
        <v>0</v>
      </c>
      <c r="J76" s="77">
        <f t="shared" si="3"/>
        <v>2</v>
      </c>
      <c r="K76" s="77">
        <v>0</v>
      </c>
      <c r="L76" s="77">
        <v>0</v>
      </c>
      <c r="M76" s="77">
        <v>0</v>
      </c>
      <c r="N76" s="77">
        <f t="shared" si="4"/>
        <v>0</v>
      </c>
      <c r="O76" s="77">
        <f t="shared" si="5"/>
        <v>2</v>
      </c>
      <c r="P76" s="90"/>
    </row>
    <row r="77" spans="1:16" ht="15" customHeight="1" x14ac:dyDescent="0.35">
      <c r="A77" s="77">
        <v>74</v>
      </c>
      <c r="B77" s="77">
        <v>226728</v>
      </c>
      <c r="C77" s="132" t="s">
        <v>953</v>
      </c>
      <c r="D77" s="132" t="s">
        <v>954</v>
      </c>
      <c r="E77" s="77" t="s">
        <v>930</v>
      </c>
      <c r="F77" s="77" t="s">
        <v>955</v>
      </c>
      <c r="G77" s="77">
        <v>0</v>
      </c>
      <c r="H77" s="77">
        <v>2</v>
      </c>
      <c r="I77" s="77">
        <v>0</v>
      </c>
      <c r="J77" s="77">
        <f t="shared" si="3"/>
        <v>2</v>
      </c>
      <c r="K77" s="77"/>
      <c r="L77" s="77"/>
      <c r="M77" s="77"/>
      <c r="N77" s="77">
        <f t="shared" si="4"/>
        <v>0</v>
      </c>
      <c r="O77" s="77">
        <f t="shared" si="5"/>
        <v>2</v>
      </c>
      <c r="P77" s="90"/>
    </row>
    <row r="78" spans="1:16" ht="15" customHeight="1" x14ac:dyDescent="0.35">
      <c r="A78" s="77">
        <v>75</v>
      </c>
      <c r="B78" s="77">
        <v>225750</v>
      </c>
      <c r="C78" s="132" t="s">
        <v>956</v>
      </c>
      <c r="D78" s="132" t="s">
        <v>957</v>
      </c>
      <c r="E78" s="77" t="s">
        <v>223</v>
      </c>
      <c r="F78" s="77">
        <v>11</v>
      </c>
      <c r="G78" s="77">
        <v>0</v>
      </c>
      <c r="H78" s="77">
        <v>2</v>
      </c>
      <c r="I78" s="77">
        <v>0</v>
      </c>
      <c r="J78" s="77">
        <f t="shared" si="3"/>
        <v>2</v>
      </c>
      <c r="K78" s="77">
        <v>0</v>
      </c>
      <c r="L78" s="77">
        <v>0</v>
      </c>
      <c r="M78" s="77">
        <v>0</v>
      </c>
      <c r="N78" s="77">
        <f t="shared" si="4"/>
        <v>0</v>
      </c>
      <c r="O78" s="77">
        <f t="shared" si="5"/>
        <v>2</v>
      </c>
      <c r="P78" s="90"/>
    </row>
    <row r="79" spans="1:16" ht="15" customHeight="1" x14ac:dyDescent="0.35">
      <c r="A79" s="77">
        <v>76</v>
      </c>
      <c r="B79" s="77">
        <v>81894</v>
      </c>
      <c r="C79" s="132" t="s">
        <v>513</v>
      </c>
      <c r="D79" s="132" t="s">
        <v>958</v>
      </c>
      <c r="E79" s="77" t="s">
        <v>453</v>
      </c>
      <c r="F79" s="77">
        <v>12</v>
      </c>
      <c r="G79" s="77">
        <v>0</v>
      </c>
      <c r="H79" s="77">
        <v>2</v>
      </c>
      <c r="I79" s="77">
        <v>0</v>
      </c>
      <c r="J79" s="77">
        <f t="shared" si="3"/>
        <v>2</v>
      </c>
      <c r="K79" s="77">
        <v>0</v>
      </c>
      <c r="L79" s="77">
        <v>0</v>
      </c>
      <c r="M79" s="77">
        <v>0</v>
      </c>
      <c r="N79" s="77">
        <f t="shared" si="4"/>
        <v>0</v>
      </c>
      <c r="O79" s="77">
        <f t="shared" si="5"/>
        <v>2</v>
      </c>
      <c r="P79" s="90"/>
    </row>
    <row r="80" spans="1:16" ht="15" customHeight="1" x14ac:dyDescent="0.35">
      <c r="A80" s="77">
        <v>77</v>
      </c>
      <c r="B80" s="77">
        <v>225466</v>
      </c>
      <c r="C80" s="132" t="s">
        <v>242</v>
      </c>
      <c r="D80" s="132" t="s">
        <v>268</v>
      </c>
      <c r="E80" s="77">
        <v>120</v>
      </c>
      <c r="F80" s="77">
        <v>12</v>
      </c>
      <c r="G80" s="77">
        <v>0</v>
      </c>
      <c r="H80" s="77">
        <v>2</v>
      </c>
      <c r="I80" s="77">
        <v>0</v>
      </c>
      <c r="J80" s="77">
        <f t="shared" si="3"/>
        <v>2</v>
      </c>
      <c r="K80" s="77"/>
      <c r="L80" s="77"/>
      <c r="M80" s="77"/>
      <c r="N80" s="77">
        <f t="shared" si="4"/>
        <v>0</v>
      </c>
      <c r="O80" s="77">
        <f t="shared" si="5"/>
        <v>2</v>
      </c>
      <c r="P80" s="90"/>
    </row>
    <row r="81" spans="1:16" ht="15" customHeight="1" x14ac:dyDescent="0.35">
      <c r="A81" s="77">
        <v>78</v>
      </c>
      <c r="B81" s="77">
        <v>143423</v>
      </c>
      <c r="C81" s="132" t="s">
        <v>959</v>
      </c>
      <c r="D81" s="132" t="s">
        <v>960</v>
      </c>
      <c r="E81" s="77" t="s">
        <v>961</v>
      </c>
      <c r="F81" s="77">
        <v>11</v>
      </c>
      <c r="G81" s="133">
        <v>0</v>
      </c>
      <c r="H81" s="133">
        <v>2</v>
      </c>
      <c r="I81" s="133">
        <v>0</v>
      </c>
      <c r="J81" s="77">
        <f t="shared" si="3"/>
        <v>2</v>
      </c>
      <c r="K81" s="133"/>
      <c r="L81" s="133"/>
      <c r="M81" s="133"/>
      <c r="N81" s="77">
        <f t="shared" si="4"/>
        <v>0</v>
      </c>
      <c r="O81" s="77">
        <f t="shared" si="5"/>
        <v>2</v>
      </c>
      <c r="P81" s="90"/>
    </row>
    <row r="82" spans="1:16" ht="15" customHeight="1" x14ac:dyDescent="0.35">
      <c r="A82" s="77">
        <v>79</v>
      </c>
      <c r="B82" s="77">
        <v>207095</v>
      </c>
      <c r="C82" s="132" t="s">
        <v>275</v>
      </c>
      <c r="D82" s="132" t="s">
        <v>962</v>
      </c>
      <c r="E82" s="77" t="s">
        <v>167</v>
      </c>
      <c r="F82" s="77">
        <v>11</v>
      </c>
      <c r="G82" s="133">
        <v>0</v>
      </c>
      <c r="H82" s="133">
        <v>2</v>
      </c>
      <c r="I82" s="133">
        <v>0</v>
      </c>
      <c r="J82" s="77">
        <f t="shared" si="3"/>
        <v>2</v>
      </c>
      <c r="K82" s="133">
        <v>0</v>
      </c>
      <c r="L82" s="133">
        <v>0</v>
      </c>
      <c r="M82" s="133">
        <v>0</v>
      </c>
      <c r="N82" s="77">
        <f t="shared" si="4"/>
        <v>0</v>
      </c>
      <c r="O82" s="77">
        <f t="shared" si="5"/>
        <v>2</v>
      </c>
      <c r="P82" s="90"/>
    </row>
    <row r="83" spans="1:16" ht="15" customHeight="1" x14ac:dyDescent="0.35">
      <c r="A83" s="77">
        <v>80</v>
      </c>
      <c r="B83" s="77">
        <v>82123</v>
      </c>
      <c r="C83" s="132" t="s">
        <v>963</v>
      </c>
      <c r="D83" s="132" t="s">
        <v>247</v>
      </c>
      <c r="E83" s="77" t="s">
        <v>917</v>
      </c>
      <c r="F83" s="77">
        <v>12</v>
      </c>
      <c r="G83" s="133">
        <v>0</v>
      </c>
      <c r="H83" s="133">
        <v>2</v>
      </c>
      <c r="I83" s="133">
        <v>0</v>
      </c>
      <c r="J83" s="77">
        <f t="shared" si="3"/>
        <v>2</v>
      </c>
      <c r="K83" s="133"/>
      <c r="L83" s="133"/>
      <c r="M83" s="133"/>
      <c r="N83" s="77">
        <f t="shared" si="4"/>
        <v>0</v>
      </c>
      <c r="O83" s="77">
        <f t="shared" si="5"/>
        <v>2</v>
      </c>
      <c r="P83" s="90"/>
    </row>
    <row r="84" spans="1:16" ht="15" customHeight="1" x14ac:dyDescent="0.35">
      <c r="A84" s="77">
        <v>81</v>
      </c>
      <c r="B84" s="77">
        <v>29017</v>
      </c>
      <c r="C84" s="132" t="s">
        <v>918</v>
      </c>
      <c r="D84" s="132" t="s">
        <v>704</v>
      </c>
      <c r="E84" s="77">
        <v>48</v>
      </c>
      <c r="F84" s="77">
        <v>11</v>
      </c>
      <c r="G84" s="133">
        <v>0</v>
      </c>
      <c r="H84" s="133">
        <v>2</v>
      </c>
      <c r="I84" s="133">
        <v>0</v>
      </c>
      <c r="J84" s="77">
        <f t="shared" si="3"/>
        <v>2</v>
      </c>
      <c r="K84" s="133">
        <v>0</v>
      </c>
      <c r="L84" s="133">
        <v>0</v>
      </c>
      <c r="M84" s="133">
        <v>0</v>
      </c>
      <c r="N84" s="77">
        <f t="shared" si="4"/>
        <v>0</v>
      </c>
      <c r="O84" s="77">
        <f t="shared" si="5"/>
        <v>2</v>
      </c>
      <c r="P84" s="90"/>
    </row>
    <row r="85" spans="1:16" ht="15" customHeight="1" x14ac:dyDescent="0.35">
      <c r="A85" s="77">
        <v>82</v>
      </c>
      <c r="B85" s="77">
        <v>123831</v>
      </c>
      <c r="C85" s="132" t="s">
        <v>784</v>
      </c>
      <c r="D85" s="132" t="s">
        <v>964</v>
      </c>
      <c r="E85" s="77">
        <v>133</v>
      </c>
      <c r="F85" s="77" t="s">
        <v>931</v>
      </c>
      <c r="G85" s="133">
        <v>0</v>
      </c>
      <c r="H85" s="133">
        <v>2</v>
      </c>
      <c r="I85" s="133">
        <v>0</v>
      </c>
      <c r="J85" s="77">
        <f t="shared" si="3"/>
        <v>2</v>
      </c>
      <c r="K85" s="133">
        <v>0</v>
      </c>
      <c r="L85" s="133">
        <v>0</v>
      </c>
      <c r="M85" s="133">
        <v>0</v>
      </c>
      <c r="N85" s="77">
        <f t="shared" si="4"/>
        <v>0</v>
      </c>
      <c r="O85" s="77">
        <f t="shared" si="5"/>
        <v>2</v>
      </c>
      <c r="P85" s="90"/>
    </row>
    <row r="86" spans="1:16" ht="15" customHeight="1" x14ac:dyDescent="0.35">
      <c r="A86" s="77">
        <v>83</v>
      </c>
      <c r="B86" s="77">
        <v>158724</v>
      </c>
      <c r="C86" s="132" t="s">
        <v>139</v>
      </c>
      <c r="D86" s="132" t="s">
        <v>24</v>
      </c>
      <c r="E86" s="77">
        <v>53</v>
      </c>
      <c r="F86" s="77">
        <v>11</v>
      </c>
      <c r="G86" s="133">
        <v>0</v>
      </c>
      <c r="H86" s="133">
        <v>2</v>
      </c>
      <c r="I86" s="133">
        <v>0</v>
      </c>
      <c r="J86" s="77">
        <f t="shared" si="3"/>
        <v>2</v>
      </c>
      <c r="K86" s="133">
        <v>0</v>
      </c>
      <c r="L86" s="133">
        <v>0</v>
      </c>
      <c r="M86" s="133">
        <v>0</v>
      </c>
      <c r="N86" s="77">
        <f t="shared" si="4"/>
        <v>0</v>
      </c>
      <c r="O86" s="77">
        <f t="shared" si="5"/>
        <v>2</v>
      </c>
      <c r="P86" s="90"/>
    </row>
    <row r="87" spans="1:16" ht="15" customHeight="1" x14ac:dyDescent="0.35">
      <c r="A87" s="77">
        <v>84</v>
      </c>
      <c r="B87" s="77">
        <v>201000</v>
      </c>
      <c r="C87" s="132" t="s">
        <v>81</v>
      </c>
      <c r="D87" s="132" t="s">
        <v>965</v>
      </c>
      <c r="E87" s="77">
        <v>79</v>
      </c>
      <c r="F87" s="77">
        <v>11</v>
      </c>
      <c r="G87" s="133">
        <v>0</v>
      </c>
      <c r="H87" s="133">
        <v>2</v>
      </c>
      <c r="I87" s="133">
        <v>0</v>
      </c>
      <c r="J87" s="77">
        <f t="shared" si="3"/>
        <v>2</v>
      </c>
      <c r="K87" s="133">
        <v>0</v>
      </c>
      <c r="L87" s="133">
        <v>0</v>
      </c>
      <c r="M87" s="133">
        <v>0</v>
      </c>
      <c r="N87" s="77">
        <f t="shared" si="4"/>
        <v>0</v>
      </c>
      <c r="O87" s="77">
        <f t="shared" si="5"/>
        <v>2</v>
      </c>
      <c r="P87" s="90"/>
    </row>
    <row r="88" spans="1:16" ht="15" customHeight="1" x14ac:dyDescent="0.35">
      <c r="A88" s="77">
        <v>85</v>
      </c>
      <c r="B88" s="77">
        <v>148989</v>
      </c>
      <c r="C88" s="132" t="s">
        <v>966</v>
      </c>
      <c r="D88" s="132" t="s">
        <v>967</v>
      </c>
      <c r="E88" s="77">
        <v>102</v>
      </c>
      <c r="F88" s="77" t="s">
        <v>899</v>
      </c>
      <c r="G88" s="133">
        <v>0</v>
      </c>
      <c r="H88" s="133">
        <v>2</v>
      </c>
      <c r="I88" s="133">
        <v>0</v>
      </c>
      <c r="J88" s="77">
        <f t="shared" si="3"/>
        <v>2</v>
      </c>
      <c r="K88" s="133">
        <v>0</v>
      </c>
      <c r="L88" s="133">
        <v>0</v>
      </c>
      <c r="M88" s="133">
        <v>0</v>
      </c>
      <c r="N88" s="77">
        <f t="shared" si="4"/>
        <v>0</v>
      </c>
      <c r="O88" s="77">
        <f t="shared" si="5"/>
        <v>2</v>
      </c>
      <c r="P88" s="90"/>
    </row>
    <row r="89" spans="1:16" ht="15" customHeight="1" x14ac:dyDescent="0.35">
      <c r="A89" s="77">
        <v>86</v>
      </c>
      <c r="B89" s="77">
        <v>127385</v>
      </c>
      <c r="C89" s="134" t="s">
        <v>968</v>
      </c>
      <c r="D89" s="134" t="s">
        <v>205</v>
      </c>
      <c r="E89" s="77" t="s">
        <v>969</v>
      </c>
      <c r="F89" s="77">
        <v>11</v>
      </c>
      <c r="G89" s="133">
        <v>0</v>
      </c>
      <c r="H89" s="133">
        <v>2</v>
      </c>
      <c r="I89" s="133">
        <v>0</v>
      </c>
      <c r="J89" s="77">
        <f t="shared" si="3"/>
        <v>2</v>
      </c>
      <c r="K89" s="133"/>
      <c r="L89" s="133"/>
      <c r="M89" s="133"/>
      <c r="N89" s="77">
        <f t="shared" si="4"/>
        <v>0</v>
      </c>
      <c r="O89" s="77">
        <f t="shared" si="5"/>
        <v>2</v>
      </c>
      <c r="P89" s="90"/>
    </row>
    <row r="90" spans="1:16" ht="15" customHeight="1" x14ac:dyDescent="0.35">
      <c r="A90" s="77">
        <v>87</v>
      </c>
      <c r="B90" s="77">
        <v>15483</v>
      </c>
      <c r="C90" s="134" t="s">
        <v>295</v>
      </c>
      <c r="D90" s="134" t="s">
        <v>952</v>
      </c>
      <c r="E90" s="77" t="s">
        <v>45</v>
      </c>
      <c r="F90" s="77"/>
      <c r="G90" s="133">
        <v>0</v>
      </c>
      <c r="H90" s="133">
        <v>2</v>
      </c>
      <c r="I90" s="133">
        <v>0</v>
      </c>
      <c r="J90" s="77">
        <f t="shared" si="3"/>
        <v>2</v>
      </c>
      <c r="K90" s="133"/>
      <c r="L90" s="133"/>
      <c r="M90" s="133"/>
      <c r="N90" s="77">
        <f t="shared" si="4"/>
        <v>0</v>
      </c>
      <c r="O90" s="77">
        <f t="shared" si="5"/>
        <v>2</v>
      </c>
      <c r="P90" s="90"/>
    </row>
    <row r="91" spans="1:16" ht="15" customHeight="1" x14ac:dyDescent="0.35">
      <c r="A91" s="77">
        <v>88</v>
      </c>
      <c r="B91" s="77">
        <v>159997</v>
      </c>
      <c r="C91" s="134" t="s">
        <v>542</v>
      </c>
      <c r="D91" s="134" t="s">
        <v>970</v>
      </c>
      <c r="E91" s="77" t="s">
        <v>69</v>
      </c>
      <c r="F91" s="77" t="s">
        <v>931</v>
      </c>
      <c r="G91" s="133">
        <v>0</v>
      </c>
      <c r="H91" s="133">
        <v>2</v>
      </c>
      <c r="I91" s="133">
        <v>0</v>
      </c>
      <c r="J91" s="77">
        <f t="shared" si="3"/>
        <v>2</v>
      </c>
      <c r="K91" s="133"/>
      <c r="L91" s="133"/>
      <c r="M91" s="133"/>
      <c r="N91" s="77">
        <f t="shared" si="4"/>
        <v>0</v>
      </c>
      <c r="O91" s="77">
        <f t="shared" si="5"/>
        <v>2</v>
      </c>
      <c r="P91" s="90"/>
    </row>
    <row r="92" spans="1:16" ht="15" customHeight="1" x14ac:dyDescent="0.35">
      <c r="A92" s="77">
        <v>89</v>
      </c>
      <c r="B92" s="77">
        <v>187689</v>
      </c>
      <c r="C92" s="134" t="s">
        <v>971</v>
      </c>
      <c r="D92" s="134" t="s">
        <v>972</v>
      </c>
      <c r="E92" s="77" t="s">
        <v>15</v>
      </c>
      <c r="F92" s="77">
        <v>12</v>
      </c>
      <c r="G92" s="133">
        <v>0</v>
      </c>
      <c r="H92" s="133">
        <v>2</v>
      </c>
      <c r="I92" s="133">
        <v>0</v>
      </c>
      <c r="J92" s="77">
        <f t="shared" si="3"/>
        <v>2</v>
      </c>
      <c r="K92" s="133">
        <v>0</v>
      </c>
      <c r="L92" s="133">
        <v>0</v>
      </c>
      <c r="M92" s="133">
        <v>0</v>
      </c>
      <c r="N92" s="77">
        <f t="shared" si="4"/>
        <v>0</v>
      </c>
      <c r="O92" s="77">
        <f t="shared" si="5"/>
        <v>2</v>
      </c>
      <c r="P92" s="90"/>
    </row>
    <row r="93" spans="1:16" ht="15" customHeight="1" x14ac:dyDescent="0.35">
      <c r="A93" s="77">
        <v>90</v>
      </c>
      <c r="B93" s="77">
        <v>87837</v>
      </c>
      <c r="C93" s="134" t="s">
        <v>973</v>
      </c>
      <c r="D93" s="134" t="s">
        <v>881</v>
      </c>
      <c r="E93" s="77" t="s">
        <v>974</v>
      </c>
      <c r="F93" s="77">
        <v>11</v>
      </c>
      <c r="G93" s="133">
        <v>0</v>
      </c>
      <c r="H93" s="133">
        <v>2</v>
      </c>
      <c r="I93" s="133">
        <v>0</v>
      </c>
      <c r="J93" s="77">
        <f t="shared" si="3"/>
        <v>2</v>
      </c>
      <c r="K93" s="133">
        <v>0</v>
      </c>
      <c r="L93" s="133">
        <v>0</v>
      </c>
      <c r="M93" s="133">
        <v>0</v>
      </c>
      <c r="N93" s="77">
        <f t="shared" si="4"/>
        <v>0</v>
      </c>
      <c r="O93" s="77">
        <f t="shared" si="5"/>
        <v>2</v>
      </c>
      <c r="P93" s="90"/>
    </row>
    <row r="94" spans="1:16" ht="15" customHeight="1" x14ac:dyDescent="0.35">
      <c r="A94" s="77">
        <v>91</v>
      </c>
      <c r="B94" s="77">
        <v>219305</v>
      </c>
      <c r="C94" s="134" t="s">
        <v>975</v>
      </c>
      <c r="D94" s="134" t="s">
        <v>119</v>
      </c>
      <c r="E94" s="77" t="s">
        <v>181</v>
      </c>
      <c r="F94" s="77">
        <v>12</v>
      </c>
      <c r="G94" s="133">
        <v>0</v>
      </c>
      <c r="H94" s="133">
        <v>2</v>
      </c>
      <c r="I94" s="133">
        <v>0</v>
      </c>
      <c r="J94" s="77">
        <f t="shared" si="3"/>
        <v>2</v>
      </c>
      <c r="K94" s="133">
        <v>0</v>
      </c>
      <c r="L94" s="133">
        <v>0</v>
      </c>
      <c r="M94" s="133">
        <v>0</v>
      </c>
      <c r="N94" s="77">
        <f t="shared" si="4"/>
        <v>0</v>
      </c>
      <c r="O94" s="77">
        <f t="shared" si="5"/>
        <v>2</v>
      </c>
      <c r="P94" s="90"/>
    </row>
    <row r="95" spans="1:16" ht="15" customHeight="1" x14ac:dyDescent="0.35">
      <c r="A95" s="77">
        <v>92</v>
      </c>
      <c r="B95" s="77">
        <v>117432</v>
      </c>
      <c r="C95" s="134" t="s">
        <v>397</v>
      </c>
      <c r="D95" s="134" t="s">
        <v>205</v>
      </c>
      <c r="E95" s="77" t="s">
        <v>453</v>
      </c>
      <c r="F95" s="77">
        <v>12</v>
      </c>
      <c r="G95" s="133">
        <v>0</v>
      </c>
      <c r="H95" s="133">
        <v>2</v>
      </c>
      <c r="I95" s="133">
        <v>0</v>
      </c>
      <c r="J95" s="77">
        <f t="shared" si="3"/>
        <v>2</v>
      </c>
      <c r="K95" s="133">
        <v>0</v>
      </c>
      <c r="L95" s="133">
        <v>0</v>
      </c>
      <c r="M95" s="133">
        <v>0</v>
      </c>
      <c r="N95" s="77">
        <f t="shared" si="4"/>
        <v>0</v>
      </c>
      <c r="O95" s="77">
        <f t="shared" si="5"/>
        <v>2</v>
      </c>
      <c r="P95" s="90"/>
    </row>
    <row r="96" spans="1:16" ht="15" customHeight="1" x14ac:dyDescent="0.35">
      <c r="A96" s="77">
        <v>93</v>
      </c>
      <c r="B96" s="77">
        <v>85911</v>
      </c>
      <c r="C96" s="132" t="s">
        <v>976</v>
      </c>
      <c r="D96" s="134" t="s">
        <v>977</v>
      </c>
      <c r="E96" s="77" t="s">
        <v>598</v>
      </c>
      <c r="F96" s="77">
        <v>12</v>
      </c>
      <c r="G96" s="133">
        <v>0</v>
      </c>
      <c r="H96" s="133">
        <v>2</v>
      </c>
      <c r="I96" s="133">
        <v>0</v>
      </c>
      <c r="J96" s="77">
        <f t="shared" si="3"/>
        <v>2</v>
      </c>
      <c r="K96" s="133">
        <v>0</v>
      </c>
      <c r="L96" s="133">
        <v>0</v>
      </c>
      <c r="M96" s="133">
        <v>0</v>
      </c>
      <c r="N96" s="77">
        <f t="shared" si="4"/>
        <v>0</v>
      </c>
      <c r="O96" s="77">
        <f t="shared" si="5"/>
        <v>2</v>
      </c>
      <c r="P96" s="90"/>
    </row>
    <row r="97" spans="1:16" ht="15" customHeight="1" x14ac:dyDescent="0.35">
      <c r="A97" s="77">
        <v>94</v>
      </c>
      <c r="B97" s="77">
        <v>212391</v>
      </c>
      <c r="C97" s="134" t="s">
        <v>978</v>
      </c>
      <c r="D97" s="134" t="s">
        <v>881</v>
      </c>
      <c r="E97" s="77">
        <v>53</v>
      </c>
      <c r="F97" s="77">
        <v>12</v>
      </c>
      <c r="G97" s="133">
        <v>0</v>
      </c>
      <c r="H97" s="133">
        <v>2</v>
      </c>
      <c r="I97" s="133">
        <v>0</v>
      </c>
      <c r="J97" s="77">
        <f t="shared" si="3"/>
        <v>2</v>
      </c>
      <c r="K97" s="133"/>
      <c r="L97" s="133"/>
      <c r="M97" s="133"/>
      <c r="N97" s="77">
        <f t="shared" si="4"/>
        <v>0</v>
      </c>
      <c r="O97" s="77">
        <f t="shared" si="5"/>
        <v>2</v>
      </c>
      <c r="P97" s="90"/>
    </row>
    <row r="98" spans="1:16" ht="15" customHeight="1" x14ac:dyDescent="0.35">
      <c r="A98" s="77">
        <v>95</v>
      </c>
      <c r="B98" s="77">
        <v>226726</v>
      </c>
      <c r="C98" s="134" t="s">
        <v>979</v>
      </c>
      <c r="D98" s="134" t="s">
        <v>980</v>
      </c>
      <c r="E98" s="77" t="s">
        <v>930</v>
      </c>
      <c r="F98" s="77">
        <v>11</v>
      </c>
      <c r="G98" s="133">
        <v>0</v>
      </c>
      <c r="H98" s="133">
        <v>2</v>
      </c>
      <c r="I98" s="133">
        <v>0</v>
      </c>
      <c r="J98" s="77">
        <f t="shared" si="3"/>
        <v>2</v>
      </c>
      <c r="K98" s="133"/>
      <c r="L98" s="133"/>
      <c r="M98" s="133"/>
      <c r="N98" s="77">
        <f t="shared" si="4"/>
        <v>0</v>
      </c>
      <c r="O98" s="77">
        <f t="shared" si="5"/>
        <v>2</v>
      </c>
      <c r="P98" s="90"/>
    </row>
    <row r="99" spans="1:16" ht="15" customHeight="1" x14ac:dyDescent="0.35">
      <c r="A99" s="77">
        <v>96</v>
      </c>
      <c r="B99" s="77">
        <v>206364</v>
      </c>
      <c r="C99" s="134" t="s">
        <v>981</v>
      </c>
      <c r="D99" s="134" t="s">
        <v>982</v>
      </c>
      <c r="E99" s="77">
        <v>111</v>
      </c>
      <c r="F99" s="77" t="s">
        <v>955</v>
      </c>
      <c r="G99" s="133">
        <v>0</v>
      </c>
      <c r="H99" s="133">
        <v>2</v>
      </c>
      <c r="I99" s="133">
        <v>0</v>
      </c>
      <c r="J99" s="77">
        <f t="shared" si="3"/>
        <v>2</v>
      </c>
      <c r="K99" s="133">
        <v>0</v>
      </c>
      <c r="L99" s="133">
        <v>0</v>
      </c>
      <c r="M99" s="133">
        <v>0</v>
      </c>
      <c r="N99" s="77">
        <f t="shared" si="4"/>
        <v>0</v>
      </c>
      <c r="O99" s="77">
        <f t="shared" si="5"/>
        <v>2</v>
      </c>
      <c r="P99" s="90"/>
    </row>
    <row r="100" spans="1:16" ht="15" customHeight="1" x14ac:dyDescent="0.35">
      <c r="A100" s="77">
        <v>97</v>
      </c>
      <c r="B100" s="77">
        <v>161919</v>
      </c>
      <c r="C100" s="134" t="s">
        <v>24</v>
      </c>
      <c r="D100" s="134" t="s">
        <v>983</v>
      </c>
      <c r="E100" s="77">
        <v>142</v>
      </c>
      <c r="F100" s="77">
        <v>11</v>
      </c>
      <c r="G100" s="133">
        <v>0</v>
      </c>
      <c r="H100" s="133">
        <v>2</v>
      </c>
      <c r="I100" s="133">
        <v>0</v>
      </c>
      <c r="J100" s="77">
        <f t="shared" ref="J100:J137" si="6">SUM(G100:I100)</f>
        <v>2</v>
      </c>
      <c r="K100" s="133"/>
      <c r="L100" s="133"/>
      <c r="M100" s="133"/>
      <c r="N100" s="77">
        <f t="shared" ref="N100:N137" si="7">SUM(K100:M100)</f>
        <v>0</v>
      </c>
      <c r="O100" s="77">
        <f t="shared" si="5"/>
        <v>2</v>
      </c>
      <c r="P100" s="90"/>
    </row>
    <row r="101" spans="1:16" ht="15" customHeight="1" x14ac:dyDescent="0.35">
      <c r="A101" s="77">
        <v>98</v>
      </c>
      <c r="B101" s="77">
        <v>28648</v>
      </c>
      <c r="C101" s="132" t="s">
        <v>384</v>
      </c>
      <c r="D101" s="132" t="s">
        <v>984</v>
      </c>
      <c r="E101" s="77" t="s">
        <v>79</v>
      </c>
      <c r="F101" s="77">
        <v>11</v>
      </c>
      <c r="G101" s="77">
        <v>0</v>
      </c>
      <c r="H101" s="77">
        <v>0</v>
      </c>
      <c r="I101" s="77">
        <v>0</v>
      </c>
      <c r="J101" s="77">
        <f t="shared" si="6"/>
        <v>0</v>
      </c>
      <c r="K101" s="77">
        <v>2</v>
      </c>
      <c r="L101" s="77">
        <v>0</v>
      </c>
      <c r="M101" s="77">
        <v>0</v>
      </c>
      <c r="N101" s="77">
        <f t="shared" si="7"/>
        <v>2</v>
      </c>
      <c r="O101" s="77">
        <f t="shared" si="5"/>
        <v>2</v>
      </c>
      <c r="P101" s="90"/>
    </row>
    <row r="102" spans="1:16" ht="15" customHeight="1" x14ac:dyDescent="0.35">
      <c r="A102" s="77">
        <v>99</v>
      </c>
      <c r="B102" s="77">
        <v>129876</v>
      </c>
      <c r="C102" s="132" t="s">
        <v>985</v>
      </c>
      <c r="D102" s="132" t="s">
        <v>986</v>
      </c>
      <c r="E102" s="77">
        <v>111</v>
      </c>
      <c r="F102" s="77" t="s">
        <v>955</v>
      </c>
      <c r="G102" s="77">
        <v>0</v>
      </c>
      <c r="H102" s="77">
        <v>0</v>
      </c>
      <c r="I102" s="77">
        <v>0</v>
      </c>
      <c r="J102" s="77">
        <f t="shared" si="6"/>
        <v>0</v>
      </c>
      <c r="K102" s="77">
        <v>2</v>
      </c>
      <c r="L102" s="77">
        <v>0</v>
      </c>
      <c r="M102" s="77">
        <v>0</v>
      </c>
      <c r="N102" s="77">
        <f t="shared" si="7"/>
        <v>2</v>
      </c>
      <c r="O102" s="77">
        <f t="shared" si="5"/>
        <v>2</v>
      </c>
      <c r="P102" s="90"/>
    </row>
    <row r="103" spans="1:16" ht="15" customHeight="1" x14ac:dyDescent="0.35">
      <c r="A103" s="77">
        <v>100</v>
      </c>
      <c r="B103" s="77">
        <v>127396</v>
      </c>
      <c r="C103" s="132" t="s">
        <v>987</v>
      </c>
      <c r="D103" s="132" t="s">
        <v>988</v>
      </c>
      <c r="E103" s="77" t="s">
        <v>240</v>
      </c>
      <c r="F103" s="77">
        <v>11</v>
      </c>
      <c r="G103" s="77">
        <v>0</v>
      </c>
      <c r="H103" s="77">
        <v>0</v>
      </c>
      <c r="I103" s="77">
        <v>0</v>
      </c>
      <c r="J103" s="77">
        <f t="shared" si="6"/>
        <v>0</v>
      </c>
      <c r="K103" s="77"/>
      <c r="L103" s="77"/>
      <c r="M103" s="77"/>
      <c r="N103" s="77">
        <f t="shared" si="7"/>
        <v>0</v>
      </c>
      <c r="O103" s="77">
        <f t="shared" si="5"/>
        <v>0</v>
      </c>
      <c r="P103" s="90"/>
    </row>
    <row r="104" spans="1:16" ht="15" customHeight="1" x14ac:dyDescent="0.35">
      <c r="A104" s="77">
        <v>101</v>
      </c>
      <c r="B104" s="77">
        <v>174094</v>
      </c>
      <c r="C104" s="132" t="s">
        <v>989</v>
      </c>
      <c r="D104" s="132" t="s">
        <v>192</v>
      </c>
      <c r="E104" s="77" t="s">
        <v>990</v>
      </c>
      <c r="F104" s="77">
        <v>12</v>
      </c>
      <c r="G104" s="77">
        <v>0</v>
      </c>
      <c r="H104" s="77">
        <v>0</v>
      </c>
      <c r="I104" s="77">
        <v>0</v>
      </c>
      <c r="J104" s="77">
        <f t="shared" si="6"/>
        <v>0</v>
      </c>
      <c r="K104" s="77"/>
      <c r="L104" s="77"/>
      <c r="M104" s="77"/>
      <c r="N104" s="77">
        <f t="shared" si="7"/>
        <v>0</v>
      </c>
      <c r="O104" s="77">
        <f t="shared" si="5"/>
        <v>0</v>
      </c>
      <c r="P104" s="90"/>
    </row>
    <row r="105" spans="1:16" ht="15" customHeight="1" x14ac:dyDescent="0.35">
      <c r="A105" s="77">
        <v>102</v>
      </c>
      <c r="B105" s="77">
        <v>200621</v>
      </c>
      <c r="C105" s="132" t="s">
        <v>991</v>
      </c>
      <c r="D105" s="132" t="s">
        <v>922</v>
      </c>
      <c r="E105" s="77" t="s">
        <v>992</v>
      </c>
      <c r="F105" s="77">
        <v>12</v>
      </c>
      <c r="G105" s="77">
        <v>0</v>
      </c>
      <c r="H105" s="77">
        <v>0</v>
      </c>
      <c r="I105" s="77">
        <v>0</v>
      </c>
      <c r="J105" s="77">
        <f t="shared" si="6"/>
        <v>0</v>
      </c>
      <c r="K105" s="77"/>
      <c r="L105" s="77"/>
      <c r="M105" s="77"/>
      <c r="N105" s="77">
        <f t="shared" si="7"/>
        <v>0</v>
      </c>
      <c r="O105" s="77">
        <f t="shared" si="5"/>
        <v>0</v>
      </c>
      <c r="P105" s="90"/>
    </row>
    <row r="106" spans="1:16" ht="15" customHeight="1" x14ac:dyDescent="0.35">
      <c r="A106" s="77">
        <v>103</v>
      </c>
      <c r="B106" s="77">
        <v>161943</v>
      </c>
      <c r="C106" s="132" t="s">
        <v>993</v>
      </c>
      <c r="D106" s="132" t="s">
        <v>161</v>
      </c>
      <c r="E106" s="77" t="s">
        <v>141</v>
      </c>
      <c r="F106" s="77">
        <v>11</v>
      </c>
      <c r="G106" s="77">
        <v>0</v>
      </c>
      <c r="H106" s="77">
        <v>0</v>
      </c>
      <c r="I106" s="77">
        <v>0</v>
      </c>
      <c r="J106" s="77">
        <f t="shared" si="6"/>
        <v>0</v>
      </c>
      <c r="K106" s="77">
        <v>0</v>
      </c>
      <c r="L106" s="77">
        <v>0</v>
      </c>
      <c r="M106" s="77">
        <v>0</v>
      </c>
      <c r="N106" s="77">
        <f t="shared" si="7"/>
        <v>0</v>
      </c>
      <c r="O106" s="77">
        <f t="shared" si="5"/>
        <v>0</v>
      </c>
      <c r="P106" s="90"/>
    </row>
    <row r="107" spans="1:16" ht="15" customHeight="1" x14ac:dyDescent="0.35">
      <c r="A107" s="77">
        <v>104</v>
      </c>
      <c r="B107" s="77">
        <v>204711</v>
      </c>
      <c r="C107" s="134" t="s">
        <v>830</v>
      </c>
      <c r="D107" s="132" t="s">
        <v>994</v>
      </c>
      <c r="E107" s="77" t="s">
        <v>240</v>
      </c>
      <c r="F107" s="77">
        <v>12</v>
      </c>
      <c r="G107" s="77">
        <v>0</v>
      </c>
      <c r="H107" s="77">
        <v>0</v>
      </c>
      <c r="I107" s="77">
        <v>0</v>
      </c>
      <c r="J107" s="77">
        <f t="shared" si="6"/>
        <v>0</v>
      </c>
      <c r="K107" s="77">
        <v>0</v>
      </c>
      <c r="L107" s="77">
        <v>0</v>
      </c>
      <c r="M107" s="77">
        <v>0</v>
      </c>
      <c r="N107" s="77">
        <f t="shared" si="7"/>
        <v>0</v>
      </c>
      <c r="O107" s="77">
        <f t="shared" si="5"/>
        <v>0</v>
      </c>
      <c r="P107" s="90"/>
    </row>
    <row r="108" spans="1:16" ht="15" customHeight="1" x14ac:dyDescent="0.35">
      <c r="A108" s="77">
        <v>105</v>
      </c>
      <c r="B108" s="77">
        <v>199060</v>
      </c>
      <c r="C108" s="134" t="s">
        <v>995</v>
      </c>
      <c r="D108" s="132" t="s">
        <v>996</v>
      </c>
      <c r="E108" s="77" t="s">
        <v>69</v>
      </c>
      <c r="F108" s="77">
        <v>12</v>
      </c>
      <c r="G108" s="77">
        <v>0</v>
      </c>
      <c r="H108" s="77">
        <v>0</v>
      </c>
      <c r="I108" s="77">
        <v>0</v>
      </c>
      <c r="J108" s="77">
        <f t="shared" si="6"/>
        <v>0</v>
      </c>
      <c r="K108" s="77"/>
      <c r="L108" s="77"/>
      <c r="M108" s="77"/>
      <c r="N108" s="77">
        <f t="shared" si="7"/>
        <v>0</v>
      </c>
      <c r="O108" s="77">
        <f t="shared" si="5"/>
        <v>0</v>
      </c>
      <c r="P108" s="90"/>
    </row>
    <row r="109" spans="1:16" ht="15" customHeight="1" x14ac:dyDescent="0.35">
      <c r="A109" s="77">
        <v>106</v>
      </c>
      <c r="B109" s="77">
        <v>209238</v>
      </c>
      <c r="C109" s="134" t="s">
        <v>997</v>
      </c>
      <c r="D109" s="132" t="s">
        <v>998</v>
      </c>
      <c r="E109" s="77">
        <v>147</v>
      </c>
      <c r="F109" s="77">
        <v>12</v>
      </c>
      <c r="G109" s="77">
        <v>0</v>
      </c>
      <c r="H109" s="77">
        <v>0</v>
      </c>
      <c r="I109" s="77">
        <v>0</v>
      </c>
      <c r="J109" s="77">
        <f t="shared" si="6"/>
        <v>0</v>
      </c>
      <c r="K109" s="77"/>
      <c r="L109" s="77"/>
      <c r="M109" s="77"/>
      <c r="N109" s="77">
        <f t="shared" si="7"/>
        <v>0</v>
      </c>
      <c r="O109" s="77">
        <f t="shared" si="5"/>
        <v>0</v>
      </c>
      <c r="P109" s="90"/>
    </row>
    <row r="110" spans="1:16" ht="15" customHeight="1" x14ac:dyDescent="0.35">
      <c r="A110" s="77">
        <v>107</v>
      </c>
      <c r="B110" s="77">
        <v>123835</v>
      </c>
      <c r="C110" s="134" t="s">
        <v>999</v>
      </c>
      <c r="D110" s="132" t="s">
        <v>129</v>
      </c>
      <c r="E110" s="77">
        <v>133</v>
      </c>
      <c r="F110" s="77" t="s">
        <v>899</v>
      </c>
      <c r="G110" s="77">
        <v>0</v>
      </c>
      <c r="H110" s="77">
        <v>0</v>
      </c>
      <c r="I110" s="77">
        <v>0</v>
      </c>
      <c r="J110" s="77">
        <f t="shared" si="6"/>
        <v>0</v>
      </c>
      <c r="K110" s="77">
        <v>0</v>
      </c>
      <c r="L110" s="77">
        <v>0</v>
      </c>
      <c r="M110" s="77">
        <v>0</v>
      </c>
      <c r="N110" s="77">
        <f t="shared" si="7"/>
        <v>0</v>
      </c>
      <c r="O110" s="77">
        <f t="shared" si="5"/>
        <v>0</v>
      </c>
      <c r="P110" s="90"/>
    </row>
    <row r="111" spans="1:16" ht="15" customHeight="1" x14ac:dyDescent="0.35">
      <c r="A111" s="77">
        <v>108</v>
      </c>
      <c r="B111" s="77">
        <v>146715</v>
      </c>
      <c r="C111" s="134" t="s">
        <v>229</v>
      </c>
      <c r="D111" s="132" t="s">
        <v>1000</v>
      </c>
      <c r="E111" s="77" t="s">
        <v>1001</v>
      </c>
      <c r="F111" s="77">
        <v>12</v>
      </c>
      <c r="G111" s="77">
        <v>0</v>
      </c>
      <c r="H111" s="77">
        <v>0</v>
      </c>
      <c r="I111" s="77">
        <v>0</v>
      </c>
      <c r="J111" s="77">
        <f t="shared" si="6"/>
        <v>0</v>
      </c>
      <c r="K111" s="77">
        <v>0</v>
      </c>
      <c r="L111" s="77">
        <v>0</v>
      </c>
      <c r="M111" s="77">
        <v>0</v>
      </c>
      <c r="N111" s="77">
        <f t="shared" si="7"/>
        <v>0</v>
      </c>
      <c r="O111" s="77">
        <f t="shared" si="5"/>
        <v>0</v>
      </c>
      <c r="P111" s="90"/>
    </row>
    <row r="112" spans="1:16" ht="15" customHeight="1" x14ac:dyDescent="0.35">
      <c r="A112" s="77">
        <v>109</v>
      </c>
      <c r="B112" s="77">
        <v>186430</v>
      </c>
      <c r="C112" s="132" t="s">
        <v>553</v>
      </c>
      <c r="D112" s="132" t="s">
        <v>258</v>
      </c>
      <c r="E112" s="77" t="s">
        <v>1002</v>
      </c>
      <c r="F112" s="81">
        <v>12</v>
      </c>
      <c r="G112" s="77">
        <v>0</v>
      </c>
      <c r="H112" s="77">
        <v>0</v>
      </c>
      <c r="I112" s="77">
        <v>0</v>
      </c>
      <c r="J112" s="77">
        <f t="shared" si="6"/>
        <v>0</v>
      </c>
      <c r="K112" s="77">
        <v>0</v>
      </c>
      <c r="L112" s="77">
        <v>0</v>
      </c>
      <c r="M112" s="77">
        <v>0</v>
      </c>
      <c r="N112" s="77">
        <f t="shared" si="7"/>
        <v>0</v>
      </c>
      <c r="O112" s="77">
        <f t="shared" si="5"/>
        <v>0</v>
      </c>
      <c r="P112" s="90"/>
    </row>
    <row r="113" spans="1:16" ht="15" customHeight="1" x14ac:dyDescent="0.35">
      <c r="A113" s="77">
        <v>110</v>
      </c>
      <c r="B113" s="77">
        <v>127412</v>
      </c>
      <c r="C113" s="132" t="s">
        <v>1003</v>
      </c>
      <c r="D113" s="132" t="s">
        <v>748</v>
      </c>
      <c r="E113" s="77" t="s">
        <v>240</v>
      </c>
      <c r="F113" s="81">
        <v>11</v>
      </c>
      <c r="G113" s="77">
        <v>0</v>
      </c>
      <c r="H113" s="77">
        <v>0</v>
      </c>
      <c r="I113" s="77">
        <v>0</v>
      </c>
      <c r="J113" s="77">
        <f t="shared" si="6"/>
        <v>0</v>
      </c>
      <c r="K113" s="77"/>
      <c r="L113" s="77"/>
      <c r="M113" s="77"/>
      <c r="N113" s="77">
        <f t="shared" si="7"/>
        <v>0</v>
      </c>
      <c r="O113" s="77">
        <f t="shared" si="5"/>
        <v>0</v>
      </c>
      <c r="P113" s="90"/>
    </row>
    <row r="114" spans="1:16" ht="15" customHeight="1" x14ac:dyDescent="0.35">
      <c r="A114" s="77">
        <v>111</v>
      </c>
      <c r="B114" s="77">
        <v>192688</v>
      </c>
      <c r="C114" s="132" t="s">
        <v>1004</v>
      </c>
      <c r="D114" s="132" t="s">
        <v>1005</v>
      </c>
      <c r="E114" s="77">
        <v>69</v>
      </c>
      <c r="F114" s="81">
        <v>11</v>
      </c>
      <c r="G114" s="77">
        <v>0</v>
      </c>
      <c r="H114" s="77">
        <v>0</v>
      </c>
      <c r="I114" s="77">
        <v>0</v>
      </c>
      <c r="J114" s="77">
        <f t="shared" si="6"/>
        <v>0</v>
      </c>
      <c r="K114" s="77">
        <v>0</v>
      </c>
      <c r="L114" s="77">
        <v>0</v>
      </c>
      <c r="M114" s="77">
        <v>0</v>
      </c>
      <c r="N114" s="77">
        <f t="shared" si="7"/>
        <v>0</v>
      </c>
      <c r="O114" s="77">
        <f t="shared" si="5"/>
        <v>0</v>
      </c>
      <c r="P114" s="90"/>
    </row>
    <row r="115" spans="1:16" ht="15" customHeight="1" x14ac:dyDescent="0.35">
      <c r="A115" s="77">
        <v>112</v>
      </c>
      <c r="B115" s="77">
        <v>207058</v>
      </c>
      <c r="C115" s="132" t="s">
        <v>1006</v>
      </c>
      <c r="D115" s="132" t="s">
        <v>1007</v>
      </c>
      <c r="E115" s="77" t="s">
        <v>1008</v>
      </c>
      <c r="F115" s="81">
        <v>11</v>
      </c>
      <c r="G115" s="77">
        <v>0</v>
      </c>
      <c r="H115" s="77">
        <v>0</v>
      </c>
      <c r="I115" s="77">
        <v>0</v>
      </c>
      <c r="J115" s="77">
        <f t="shared" si="6"/>
        <v>0</v>
      </c>
      <c r="K115" s="77">
        <v>0</v>
      </c>
      <c r="L115" s="77">
        <v>0</v>
      </c>
      <c r="M115" s="77">
        <v>0</v>
      </c>
      <c r="N115" s="77">
        <f t="shared" si="7"/>
        <v>0</v>
      </c>
      <c r="O115" s="77">
        <f t="shared" si="5"/>
        <v>0</v>
      </c>
      <c r="P115" s="90"/>
    </row>
    <row r="116" spans="1:16" ht="15" customHeight="1" x14ac:dyDescent="0.35">
      <c r="A116" s="77">
        <v>113</v>
      </c>
      <c r="B116" s="77">
        <v>217056</v>
      </c>
      <c r="C116" s="132" t="s">
        <v>134</v>
      </c>
      <c r="D116" s="132" t="s">
        <v>1009</v>
      </c>
      <c r="E116" s="77">
        <v>53</v>
      </c>
      <c r="F116" s="81">
        <v>11</v>
      </c>
      <c r="G116" s="77">
        <v>0</v>
      </c>
      <c r="H116" s="77">
        <v>0</v>
      </c>
      <c r="I116" s="77">
        <v>0</v>
      </c>
      <c r="J116" s="77">
        <f t="shared" si="6"/>
        <v>0</v>
      </c>
      <c r="K116" s="77">
        <v>0</v>
      </c>
      <c r="L116" s="77">
        <v>0</v>
      </c>
      <c r="M116" s="77">
        <v>0</v>
      </c>
      <c r="N116" s="77">
        <f t="shared" si="7"/>
        <v>0</v>
      </c>
      <c r="O116" s="77">
        <f t="shared" si="5"/>
        <v>0</v>
      </c>
      <c r="P116" s="90"/>
    </row>
    <row r="117" spans="1:16" ht="15" customHeight="1" x14ac:dyDescent="0.35">
      <c r="A117" s="77">
        <v>114</v>
      </c>
      <c r="B117" s="77">
        <v>32373</v>
      </c>
      <c r="C117" s="132" t="s">
        <v>51</v>
      </c>
      <c r="D117" s="132" t="s">
        <v>1010</v>
      </c>
      <c r="E117" s="77">
        <v>79</v>
      </c>
      <c r="F117" s="81">
        <v>11</v>
      </c>
      <c r="G117" s="77">
        <v>0</v>
      </c>
      <c r="H117" s="77">
        <v>0</v>
      </c>
      <c r="I117" s="77">
        <v>0</v>
      </c>
      <c r="J117" s="77">
        <f t="shared" si="6"/>
        <v>0</v>
      </c>
      <c r="K117" s="77">
        <v>0</v>
      </c>
      <c r="L117" s="77">
        <v>0</v>
      </c>
      <c r="M117" s="77">
        <v>0</v>
      </c>
      <c r="N117" s="77">
        <f t="shared" si="7"/>
        <v>0</v>
      </c>
      <c r="O117" s="77">
        <f t="shared" si="5"/>
        <v>0</v>
      </c>
      <c r="P117" s="90"/>
    </row>
    <row r="118" spans="1:16" ht="15" customHeight="1" x14ac:dyDescent="0.35">
      <c r="A118" s="77">
        <v>115</v>
      </c>
      <c r="B118" s="77">
        <v>206129</v>
      </c>
      <c r="C118" s="132" t="s">
        <v>1011</v>
      </c>
      <c r="D118" s="132" t="s">
        <v>1012</v>
      </c>
      <c r="E118" s="77" t="s">
        <v>191</v>
      </c>
      <c r="F118" s="81">
        <v>11</v>
      </c>
      <c r="G118" s="77">
        <v>0</v>
      </c>
      <c r="H118" s="77">
        <v>0</v>
      </c>
      <c r="I118" s="77">
        <v>0</v>
      </c>
      <c r="J118" s="77">
        <f t="shared" si="6"/>
        <v>0</v>
      </c>
      <c r="K118" s="77"/>
      <c r="L118" s="77"/>
      <c r="M118" s="77"/>
      <c r="N118" s="77">
        <f t="shared" si="7"/>
        <v>0</v>
      </c>
      <c r="O118" s="77">
        <f t="shared" si="5"/>
        <v>0</v>
      </c>
      <c r="P118" s="90"/>
    </row>
    <row r="119" spans="1:16" ht="15" customHeight="1" x14ac:dyDescent="0.35">
      <c r="A119" s="77">
        <v>116</v>
      </c>
      <c r="B119" s="77">
        <v>209500</v>
      </c>
      <c r="C119" s="132" t="s">
        <v>1013</v>
      </c>
      <c r="D119" s="132" t="s">
        <v>1014</v>
      </c>
      <c r="E119" s="77" t="s">
        <v>1015</v>
      </c>
      <c r="F119" s="81">
        <v>12</v>
      </c>
      <c r="G119" s="77">
        <v>0</v>
      </c>
      <c r="H119" s="77">
        <v>0</v>
      </c>
      <c r="I119" s="77">
        <v>0</v>
      </c>
      <c r="J119" s="77">
        <f t="shared" si="6"/>
        <v>0</v>
      </c>
      <c r="K119" s="77">
        <v>0</v>
      </c>
      <c r="L119" s="77">
        <v>0</v>
      </c>
      <c r="M119" s="77">
        <v>0</v>
      </c>
      <c r="N119" s="77">
        <f t="shared" si="7"/>
        <v>0</v>
      </c>
      <c r="O119" s="77">
        <f t="shared" si="5"/>
        <v>0</v>
      </c>
      <c r="P119" s="90"/>
    </row>
    <row r="120" spans="1:16" ht="15" customHeight="1" x14ac:dyDescent="0.35">
      <c r="A120" s="77">
        <v>117</v>
      </c>
      <c r="B120" s="77">
        <v>208107</v>
      </c>
      <c r="C120" s="132" t="s">
        <v>489</v>
      </c>
      <c r="D120" s="132" t="s">
        <v>1016</v>
      </c>
      <c r="E120" s="77" t="s">
        <v>310</v>
      </c>
      <c r="F120" s="81">
        <v>11</v>
      </c>
      <c r="G120" s="77">
        <v>0</v>
      </c>
      <c r="H120" s="77">
        <v>0</v>
      </c>
      <c r="I120" s="77">
        <v>0</v>
      </c>
      <c r="J120" s="77">
        <f t="shared" si="6"/>
        <v>0</v>
      </c>
      <c r="K120" s="77">
        <v>0</v>
      </c>
      <c r="L120" s="77">
        <v>0</v>
      </c>
      <c r="M120" s="77">
        <v>0</v>
      </c>
      <c r="N120" s="77">
        <f t="shared" si="7"/>
        <v>0</v>
      </c>
      <c r="O120" s="77">
        <f t="shared" si="5"/>
        <v>0</v>
      </c>
      <c r="P120" s="90"/>
    </row>
    <row r="121" spans="1:16" ht="15" customHeight="1" x14ac:dyDescent="0.35">
      <c r="A121" s="77">
        <v>118</v>
      </c>
      <c r="B121" s="77">
        <v>186434</v>
      </c>
      <c r="C121" s="132" t="s">
        <v>1017</v>
      </c>
      <c r="D121" s="132" t="s">
        <v>61</v>
      </c>
      <c r="E121" s="77" t="s">
        <v>130</v>
      </c>
      <c r="F121" s="81">
        <v>12</v>
      </c>
      <c r="G121" s="77">
        <v>0</v>
      </c>
      <c r="H121" s="77">
        <v>0</v>
      </c>
      <c r="I121" s="77">
        <v>0</v>
      </c>
      <c r="J121" s="77">
        <f t="shared" si="6"/>
        <v>0</v>
      </c>
      <c r="K121" s="77">
        <v>0</v>
      </c>
      <c r="L121" s="77">
        <v>0</v>
      </c>
      <c r="M121" s="77">
        <v>0</v>
      </c>
      <c r="N121" s="77">
        <f t="shared" si="7"/>
        <v>0</v>
      </c>
      <c r="O121" s="77">
        <f t="shared" si="5"/>
        <v>0</v>
      </c>
      <c r="P121" s="90"/>
    </row>
    <row r="122" spans="1:16" ht="15" customHeight="1" x14ac:dyDescent="0.35">
      <c r="A122" s="77">
        <v>119</v>
      </c>
      <c r="B122" s="77">
        <v>163467</v>
      </c>
      <c r="C122" s="132" t="s">
        <v>1018</v>
      </c>
      <c r="D122" s="132" t="s">
        <v>619</v>
      </c>
      <c r="E122" s="77" t="s">
        <v>82</v>
      </c>
      <c r="F122" s="81">
        <v>12</v>
      </c>
      <c r="G122" s="77">
        <v>0</v>
      </c>
      <c r="H122" s="77">
        <v>0</v>
      </c>
      <c r="I122" s="77">
        <v>0</v>
      </c>
      <c r="J122" s="77">
        <f t="shared" si="6"/>
        <v>0</v>
      </c>
      <c r="K122" s="77">
        <v>0</v>
      </c>
      <c r="L122" s="77">
        <v>0</v>
      </c>
      <c r="M122" s="77">
        <v>0</v>
      </c>
      <c r="N122" s="77">
        <f t="shared" si="7"/>
        <v>0</v>
      </c>
      <c r="O122" s="77">
        <f t="shared" si="5"/>
        <v>0</v>
      </c>
      <c r="P122" s="90"/>
    </row>
    <row r="123" spans="1:16" ht="15" customHeight="1" x14ac:dyDescent="0.35">
      <c r="A123" s="77">
        <v>120</v>
      </c>
      <c r="B123" s="77">
        <v>224578</v>
      </c>
      <c r="C123" s="132" t="s">
        <v>1019</v>
      </c>
      <c r="D123" s="132" t="s">
        <v>203</v>
      </c>
      <c r="E123" s="77">
        <v>120</v>
      </c>
      <c r="F123" s="81">
        <v>11</v>
      </c>
      <c r="G123" s="77">
        <v>0</v>
      </c>
      <c r="H123" s="77">
        <v>0</v>
      </c>
      <c r="I123" s="77">
        <v>0</v>
      </c>
      <c r="J123" s="77">
        <f t="shared" si="6"/>
        <v>0</v>
      </c>
      <c r="K123" s="77"/>
      <c r="L123" s="77"/>
      <c r="M123" s="77"/>
      <c r="N123" s="77">
        <f t="shared" si="7"/>
        <v>0</v>
      </c>
      <c r="O123" s="77">
        <f t="shared" si="5"/>
        <v>0</v>
      </c>
      <c r="P123" s="90"/>
    </row>
    <row r="124" spans="1:16" ht="15" customHeight="1" x14ac:dyDescent="0.35">
      <c r="A124" s="77">
        <v>121</v>
      </c>
      <c r="B124" s="77">
        <v>111041</v>
      </c>
      <c r="C124" s="132" t="s">
        <v>513</v>
      </c>
      <c r="D124" s="132" t="s">
        <v>1020</v>
      </c>
      <c r="E124" s="77" t="s">
        <v>1021</v>
      </c>
      <c r="F124" s="81">
        <v>12</v>
      </c>
      <c r="G124" s="77">
        <v>0</v>
      </c>
      <c r="H124" s="77">
        <v>0</v>
      </c>
      <c r="I124" s="77">
        <v>0</v>
      </c>
      <c r="J124" s="77">
        <f t="shared" si="6"/>
        <v>0</v>
      </c>
      <c r="K124" s="77">
        <v>0</v>
      </c>
      <c r="L124" s="77">
        <v>0</v>
      </c>
      <c r="M124" s="77">
        <v>0</v>
      </c>
      <c r="N124" s="77">
        <f t="shared" si="7"/>
        <v>0</v>
      </c>
      <c r="O124" s="77">
        <f t="shared" si="5"/>
        <v>0</v>
      </c>
      <c r="P124" s="90"/>
    </row>
    <row r="125" spans="1:16" ht="15" customHeight="1" x14ac:dyDescent="0.35">
      <c r="A125" s="77">
        <v>122</v>
      </c>
      <c r="B125" s="77">
        <v>154227</v>
      </c>
      <c r="C125" s="132" t="s">
        <v>384</v>
      </c>
      <c r="D125" s="132" t="s">
        <v>952</v>
      </c>
      <c r="E125" s="77">
        <v>102</v>
      </c>
      <c r="F125" s="81" t="s">
        <v>927</v>
      </c>
      <c r="G125" s="77">
        <v>0</v>
      </c>
      <c r="H125" s="77">
        <v>0</v>
      </c>
      <c r="I125" s="77">
        <v>0</v>
      </c>
      <c r="J125" s="77">
        <f t="shared" si="6"/>
        <v>0</v>
      </c>
      <c r="K125" s="77">
        <v>0</v>
      </c>
      <c r="L125" s="77">
        <v>0</v>
      </c>
      <c r="M125" s="77">
        <v>0</v>
      </c>
      <c r="N125" s="77">
        <f t="shared" si="7"/>
        <v>0</v>
      </c>
      <c r="O125" s="77">
        <f t="shared" si="5"/>
        <v>0</v>
      </c>
      <c r="P125" s="90"/>
    </row>
    <row r="126" spans="1:16" ht="15" customHeight="1" x14ac:dyDescent="0.35">
      <c r="A126" s="77">
        <v>123</v>
      </c>
      <c r="B126" s="77">
        <v>173189</v>
      </c>
      <c r="C126" s="132" t="s">
        <v>342</v>
      </c>
      <c r="D126" s="132" t="s">
        <v>1022</v>
      </c>
      <c r="E126" s="77" t="s">
        <v>82</v>
      </c>
      <c r="F126" s="81">
        <v>11</v>
      </c>
      <c r="G126" s="77">
        <v>0</v>
      </c>
      <c r="H126" s="77">
        <v>0</v>
      </c>
      <c r="I126" s="77">
        <v>0</v>
      </c>
      <c r="J126" s="77">
        <f t="shared" si="6"/>
        <v>0</v>
      </c>
      <c r="K126" s="77"/>
      <c r="L126" s="77"/>
      <c r="M126" s="77"/>
      <c r="N126" s="77">
        <f t="shared" si="7"/>
        <v>0</v>
      </c>
      <c r="O126" s="77">
        <f t="shared" si="5"/>
        <v>0</v>
      </c>
      <c r="P126" s="90"/>
    </row>
    <row r="127" spans="1:16" ht="15" customHeight="1" x14ac:dyDescent="0.35">
      <c r="A127" s="77">
        <v>124</v>
      </c>
      <c r="B127" s="77">
        <v>205183</v>
      </c>
      <c r="C127" s="132" t="s">
        <v>1023</v>
      </c>
      <c r="D127" s="132" t="s">
        <v>1010</v>
      </c>
      <c r="E127" s="77" t="s">
        <v>240</v>
      </c>
      <c r="F127" s="81">
        <v>11</v>
      </c>
      <c r="G127" s="133">
        <v>0</v>
      </c>
      <c r="H127" s="133">
        <v>0</v>
      </c>
      <c r="I127" s="133">
        <v>0</v>
      </c>
      <c r="J127" s="77">
        <f t="shared" si="6"/>
        <v>0</v>
      </c>
      <c r="K127" s="133">
        <v>0</v>
      </c>
      <c r="L127" s="133">
        <v>0</v>
      </c>
      <c r="M127" s="133">
        <v>0</v>
      </c>
      <c r="N127" s="77">
        <f t="shared" si="7"/>
        <v>0</v>
      </c>
      <c r="O127" s="77">
        <f t="shared" si="5"/>
        <v>0</v>
      </c>
      <c r="P127" s="90"/>
    </row>
    <row r="128" spans="1:16" ht="15" customHeight="1" x14ac:dyDescent="0.35">
      <c r="A128" s="77">
        <v>125</v>
      </c>
      <c r="B128" s="77">
        <v>209973</v>
      </c>
      <c r="C128" s="132" t="s">
        <v>43</v>
      </c>
      <c r="D128" s="132" t="s">
        <v>748</v>
      </c>
      <c r="E128" s="77">
        <v>44</v>
      </c>
      <c r="F128" s="81" t="s">
        <v>1024</v>
      </c>
      <c r="G128" s="133">
        <v>0</v>
      </c>
      <c r="H128" s="133">
        <v>0</v>
      </c>
      <c r="I128" s="133">
        <v>0</v>
      </c>
      <c r="J128" s="77">
        <f t="shared" si="6"/>
        <v>0</v>
      </c>
      <c r="K128" s="133">
        <v>0</v>
      </c>
      <c r="L128" s="133">
        <v>0</v>
      </c>
      <c r="M128" s="133">
        <v>0</v>
      </c>
      <c r="N128" s="77">
        <f t="shared" si="7"/>
        <v>0</v>
      </c>
      <c r="O128" s="77">
        <f t="shared" si="5"/>
        <v>0</v>
      </c>
      <c r="P128" s="90"/>
    </row>
    <row r="129" spans="1:16" ht="15" customHeight="1" x14ac:dyDescent="0.35">
      <c r="A129" s="77">
        <v>126</v>
      </c>
      <c r="B129" s="77">
        <v>208113</v>
      </c>
      <c r="C129" s="134" t="s">
        <v>1025</v>
      </c>
      <c r="D129" s="134" t="s">
        <v>879</v>
      </c>
      <c r="E129" s="77" t="s">
        <v>310</v>
      </c>
      <c r="F129" s="81">
        <v>11</v>
      </c>
      <c r="G129" s="133">
        <v>0</v>
      </c>
      <c r="H129" s="133">
        <v>0</v>
      </c>
      <c r="I129" s="133">
        <v>0</v>
      </c>
      <c r="J129" s="77">
        <f t="shared" si="6"/>
        <v>0</v>
      </c>
      <c r="K129" s="133"/>
      <c r="L129" s="133"/>
      <c r="M129" s="133"/>
      <c r="N129" s="77">
        <f t="shared" si="7"/>
        <v>0</v>
      </c>
      <c r="O129" s="77">
        <f t="shared" si="5"/>
        <v>0</v>
      </c>
      <c r="P129" s="90"/>
    </row>
    <row r="130" spans="1:16" ht="15" customHeight="1" x14ac:dyDescent="0.35">
      <c r="A130" s="77">
        <v>127</v>
      </c>
      <c r="B130" s="77">
        <v>201057</v>
      </c>
      <c r="C130" s="134" t="s">
        <v>1026</v>
      </c>
      <c r="D130" s="134" t="s">
        <v>225</v>
      </c>
      <c r="E130" s="77" t="s">
        <v>1027</v>
      </c>
      <c r="F130" s="81">
        <v>12</v>
      </c>
      <c r="G130" s="133">
        <v>0</v>
      </c>
      <c r="H130" s="133">
        <v>0</v>
      </c>
      <c r="I130" s="133">
        <v>0</v>
      </c>
      <c r="J130" s="77">
        <f t="shared" si="6"/>
        <v>0</v>
      </c>
      <c r="K130" s="133"/>
      <c r="L130" s="133"/>
      <c r="M130" s="133"/>
      <c r="N130" s="77">
        <f t="shared" si="7"/>
        <v>0</v>
      </c>
      <c r="O130" s="77">
        <f t="shared" si="5"/>
        <v>0</v>
      </c>
      <c r="P130" s="90"/>
    </row>
    <row r="131" spans="1:16" ht="15" customHeight="1" x14ac:dyDescent="0.35">
      <c r="A131" s="77">
        <v>128</v>
      </c>
      <c r="B131" s="77">
        <v>173341</v>
      </c>
      <c r="C131" s="134" t="s">
        <v>1028</v>
      </c>
      <c r="D131" s="134" t="s">
        <v>77</v>
      </c>
      <c r="E131" s="77" t="s">
        <v>155</v>
      </c>
      <c r="F131" s="81" t="s">
        <v>899</v>
      </c>
      <c r="G131" s="133">
        <v>0</v>
      </c>
      <c r="H131" s="133">
        <v>0</v>
      </c>
      <c r="I131" s="133">
        <v>0</v>
      </c>
      <c r="J131" s="77">
        <f t="shared" si="6"/>
        <v>0</v>
      </c>
      <c r="K131" s="133"/>
      <c r="L131" s="133"/>
      <c r="M131" s="133"/>
      <c r="N131" s="77">
        <f t="shared" si="7"/>
        <v>0</v>
      </c>
      <c r="O131" s="77">
        <f t="shared" si="5"/>
        <v>0</v>
      </c>
      <c r="P131" s="90"/>
    </row>
    <row r="132" spans="1:16" ht="15" customHeight="1" x14ac:dyDescent="0.35">
      <c r="A132" s="77">
        <v>129</v>
      </c>
      <c r="B132" s="77">
        <v>145815</v>
      </c>
      <c r="C132" s="134" t="s">
        <v>1029</v>
      </c>
      <c r="D132" s="134" t="s">
        <v>1030</v>
      </c>
      <c r="E132" s="77">
        <v>102</v>
      </c>
      <c r="F132" s="81" t="s">
        <v>931</v>
      </c>
      <c r="G132" s="133">
        <v>0</v>
      </c>
      <c r="H132" s="133">
        <v>0</v>
      </c>
      <c r="I132" s="133">
        <v>0</v>
      </c>
      <c r="J132" s="77">
        <f t="shared" si="6"/>
        <v>0</v>
      </c>
      <c r="K132" s="133">
        <v>0</v>
      </c>
      <c r="L132" s="133">
        <v>0</v>
      </c>
      <c r="M132" s="133">
        <v>0</v>
      </c>
      <c r="N132" s="77">
        <f t="shared" si="7"/>
        <v>0</v>
      </c>
      <c r="O132" s="77">
        <f t="shared" ref="O132:O137" si="8">SUM(J132,N132)</f>
        <v>0</v>
      </c>
      <c r="P132" s="90"/>
    </row>
    <row r="133" spans="1:16" ht="15" customHeight="1" x14ac:dyDescent="0.35">
      <c r="A133" s="77">
        <v>130</v>
      </c>
      <c r="B133" s="77">
        <v>225459</v>
      </c>
      <c r="C133" s="134" t="s">
        <v>1031</v>
      </c>
      <c r="D133" s="134" t="s">
        <v>1032</v>
      </c>
      <c r="E133" s="77">
        <v>120</v>
      </c>
      <c r="F133" s="81">
        <v>12</v>
      </c>
      <c r="G133" s="133">
        <v>0</v>
      </c>
      <c r="H133" s="133">
        <v>0</v>
      </c>
      <c r="I133" s="133">
        <v>0</v>
      </c>
      <c r="J133" s="77">
        <f t="shared" si="6"/>
        <v>0</v>
      </c>
      <c r="K133" s="133"/>
      <c r="L133" s="133"/>
      <c r="M133" s="133"/>
      <c r="N133" s="77">
        <f t="shared" si="7"/>
        <v>0</v>
      </c>
      <c r="O133" s="77">
        <f t="shared" si="8"/>
        <v>0</v>
      </c>
      <c r="P133" s="90"/>
    </row>
    <row r="134" spans="1:16" ht="15" customHeight="1" x14ac:dyDescent="0.35">
      <c r="A134" s="77">
        <v>131</v>
      </c>
      <c r="B134" s="77">
        <v>47988</v>
      </c>
      <c r="C134" s="134" t="s">
        <v>1033</v>
      </c>
      <c r="D134" s="134" t="s">
        <v>660</v>
      </c>
      <c r="E134" s="77" t="s">
        <v>193</v>
      </c>
      <c r="F134" s="81" t="s">
        <v>955</v>
      </c>
      <c r="G134" s="133">
        <v>0</v>
      </c>
      <c r="H134" s="133">
        <v>0</v>
      </c>
      <c r="I134" s="133">
        <v>0</v>
      </c>
      <c r="J134" s="77">
        <f t="shared" si="6"/>
        <v>0</v>
      </c>
      <c r="K134" s="133">
        <v>0</v>
      </c>
      <c r="L134" s="133">
        <v>0</v>
      </c>
      <c r="M134" s="133">
        <v>0</v>
      </c>
      <c r="N134" s="77">
        <f t="shared" si="7"/>
        <v>0</v>
      </c>
      <c r="O134" s="77">
        <f t="shared" si="8"/>
        <v>0</v>
      </c>
      <c r="P134" s="90"/>
    </row>
    <row r="135" spans="1:16" ht="15" customHeight="1" x14ac:dyDescent="0.35">
      <c r="A135" s="77">
        <v>132</v>
      </c>
      <c r="B135" s="133"/>
      <c r="C135" s="135" t="s">
        <v>332</v>
      </c>
      <c r="D135" s="135" t="s">
        <v>1034</v>
      </c>
      <c r="E135" s="77">
        <v>133</v>
      </c>
      <c r="F135" s="77" t="s">
        <v>955</v>
      </c>
      <c r="G135" s="133"/>
      <c r="H135" s="133"/>
      <c r="I135" s="133"/>
      <c r="J135" s="77">
        <f t="shared" si="6"/>
        <v>0</v>
      </c>
      <c r="K135" s="133">
        <v>0</v>
      </c>
      <c r="L135" s="133">
        <v>0</v>
      </c>
      <c r="M135" s="133">
        <v>0</v>
      </c>
      <c r="N135" s="77">
        <f t="shared" si="7"/>
        <v>0</v>
      </c>
      <c r="O135" s="77">
        <f t="shared" si="8"/>
        <v>0</v>
      </c>
      <c r="P135" s="90"/>
    </row>
    <row r="136" spans="1:16" ht="15" customHeight="1" x14ac:dyDescent="0.35">
      <c r="A136" s="77">
        <v>133</v>
      </c>
      <c r="B136" s="133"/>
      <c r="C136" s="90" t="s">
        <v>1035</v>
      </c>
      <c r="D136" s="90" t="s">
        <v>1036</v>
      </c>
      <c r="E136" s="77" t="s">
        <v>53</v>
      </c>
      <c r="F136" s="77" t="s">
        <v>875</v>
      </c>
      <c r="G136" s="133"/>
      <c r="H136" s="133"/>
      <c r="I136" s="133"/>
      <c r="J136" s="77">
        <f t="shared" si="6"/>
        <v>0</v>
      </c>
      <c r="K136" s="133">
        <v>0</v>
      </c>
      <c r="L136" s="133">
        <v>0</v>
      </c>
      <c r="M136" s="133">
        <v>0</v>
      </c>
      <c r="N136" s="77">
        <f t="shared" si="7"/>
        <v>0</v>
      </c>
      <c r="O136" s="77">
        <f t="shared" si="8"/>
        <v>0</v>
      </c>
      <c r="P136" s="90"/>
    </row>
    <row r="137" spans="1:16" ht="15" customHeight="1" x14ac:dyDescent="0.35">
      <c r="A137" s="77">
        <v>134</v>
      </c>
      <c r="B137" s="133"/>
      <c r="C137" s="135" t="s">
        <v>345</v>
      </c>
      <c r="D137" s="135" t="s">
        <v>1037</v>
      </c>
      <c r="E137" s="77">
        <v>84</v>
      </c>
      <c r="F137" s="77">
        <v>12</v>
      </c>
      <c r="G137" s="133"/>
      <c r="H137" s="133"/>
      <c r="I137" s="133"/>
      <c r="J137" s="77">
        <f t="shared" si="6"/>
        <v>0</v>
      </c>
      <c r="K137" s="133">
        <v>0</v>
      </c>
      <c r="L137" s="133">
        <v>0</v>
      </c>
      <c r="M137" s="133">
        <v>0</v>
      </c>
      <c r="N137" s="77">
        <f t="shared" si="7"/>
        <v>0</v>
      </c>
      <c r="O137" s="77">
        <f t="shared" si="8"/>
        <v>0</v>
      </c>
      <c r="P137" s="90"/>
    </row>
  </sheetData>
  <mergeCells count="6">
    <mergeCell ref="A1:P1"/>
    <mergeCell ref="A2:F2"/>
    <mergeCell ref="G2:J2"/>
    <mergeCell ref="K2:N2"/>
    <mergeCell ref="O2:O3"/>
    <mergeCell ref="P2:P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0AF6F-8AAE-4049-A4EB-716D2F15629B}">
  <dimension ref="A1:K19"/>
  <sheetViews>
    <sheetView workbookViewId="0">
      <selection activeCell="F9" sqref="F9"/>
    </sheetView>
  </sheetViews>
  <sheetFormatPr defaultRowHeight="14.5" x14ac:dyDescent="0.35"/>
  <cols>
    <col min="1" max="1" width="4.54296875" style="72" customWidth="1"/>
    <col min="2" max="2" width="14.90625" style="72" customWidth="1"/>
    <col min="3" max="3" width="16" style="72" customWidth="1"/>
    <col min="4" max="4" width="18.36328125" style="72" customWidth="1"/>
    <col min="5" max="5" width="8.81640625" style="72" customWidth="1"/>
    <col min="6" max="10" width="4.90625" style="76" customWidth="1"/>
    <col min="11" max="11" width="17.7265625" style="72" customWidth="1"/>
    <col min="12" max="16384" width="8.7265625" style="72"/>
  </cols>
  <sheetData>
    <row r="1" spans="1:11" ht="34.5" customHeight="1" x14ac:dyDescent="0.35">
      <c r="A1" s="113" t="s">
        <v>822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</row>
    <row r="2" spans="1:11" x14ac:dyDescent="0.35">
      <c r="A2" s="104" t="s">
        <v>761</v>
      </c>
      <c r="B2" s="105"/>
      <c r="C2" s="105"/>
      <c r="D2" s="105"/>
      <c r="E2" s="106"/>
      <c r="F2" s="114" t="s">
        <v>823</v>
      </c>
      <c r="G2" s="115"/>
      <c r="H2" s="115"/>
      <c r="I2" s="116"/>
      <c r="J2" s="107"/>
      <c r="K2" s="117" t="s">
        <v>12</v>
      </c>
    </row>
    <row r="3" spans="1:11" x14ac:dyDescent="0.35">
      <c r="A3" s="74" t="s">
        <v>1</v>
      </c>
      <c r="B3" s="74" t="s">
        <v>2</v>
      </c>
      <c r="C3" s="74" t="s">
        <v>3</v>
      </c>
      <c r="D3" s="74" t="s">
        <v>5</v>
      </c>
      <c r="E3" s="74" t="s">
        <v>326</v>
      </c>
      <c r="F3" s="75" t="s">
        <v>764</v>
      </c>
      <c r="G3" s="75" t="s">
        <v>765</v>
      </c>
      <c r="H3" s="75" t="s">
        <v>766</v>
      </c>
      <c r="I3" s="75" t="s">
        <v>767</v>
      </c>
      <c r="J3" s="118" t="s">
        <v>770</v>
      </c>
      <c r="K3" s="119"/>
    </row>
    <row r="4" spans="1:11" x14ac:dyDescent="0.35">
      <c r="A4" s="120">
        <v>1</v>
      </c>
      <c r="B4" s="111" t="s">
        <v>824</v>
      </c>
      <c r="C4" s="111" t="s">
        <v>825</v>
      </c>
      <c r="D4" s="111" t="s">
        <v>19</v>
      </c>
      <c r="E4" s="110" t="s">
        <v>826</v>
      </c>
      <c r="F4" s="112">
        <v>7</v>
      </c>
      <c r="G4" s="112">
        <v>7</v>
      </c>
      <c r="H4" s="112">
        <v>2</v>
      </c>
      <c r="I4" s="112">
        <v>3</v>
      </c>
      <c r="J4" s="112">
        <f t="shared" ref="J4:J19" si="0">SUM(F4:I4)</f>
        <v>19</v>
      </c>
      <c r="K4" s="112" t="s">
        <v>773</v>
      </c>
    </row>
    <row r="5" spans="1:11" x14ac:dyDescent="0.35">
      <c r="A5" s="120">
        <v>2</v>
      </c>
      <c r="B5" s="111" t="s">
        <v>641</v>
      </c>
      <c r="C5" s="111" t="s">
        <v>36</v>
      </c>
      <c r="D5" s="111" t="s">
        <v>53</v>
      </c>
      <c r="E5" s="110" t="s">
        <v>826</v>
      </c>
      <c r="F5" s="112">
        <v>7</v>
      </c>
      <c r="G5" s="112">
        <v>3</v>
      </c>
      <c r="H5" s="112">
        <v>0</v>
      </c>
      <c r="I5" s="112">
        <v>7</v>
      </c>
      <c r="J5" s="112">
        <f t="shared" si="0"/>
        <v>17</v>
      </c>
      <c r="K5" s="112" t="s">
        <v>774</v>
      </c>
    </row>
    <row r="6" spans="1:11" x14ac:dyDescent="0.35">
      <c r="A6" s="120">
        <v>3</v>
      </c>
      <c r="B6" s="111" t="s">
        <v>827</v>
      </c>
      <c r="C6" s="111" t="s">
        <v>828</v>
      </c>
      <c r="D6" s="111" t="s">
        <v>53</v>
      </c>
      <c r="E6" s="110" t="s">
        <v>826</v>
      </c>
      <c r="F6" s="112">
        <v>7</v>
      </c>
      <c r="G6" s="112">
        <v>5</v>
      </c>
      <c r="H6" s="112">
        <v>0</v>
      </c>
      <c r="I6" s="112">
        <v>3</v>
      </c>
      <c r="J6" s="112">
        <f t="shared" si="0"/>
        <v>15</v>
      </c>
      <c r="K6" s="112" t="s">
        <v>775</v>
      </c>
    </row>
    <row r="7" spans="1:11" x14ac:dyDescent="0.35">
      <c r="A7" s="80">
        <v>4</v>
      </c>
      <c r="B7" s="73" t="s">
        <v>829</v>
      </c>
      <c r="C7" s="73" t="s">
        <v>830</v>
      </c>
      <c r="D7" s="73" t="s">
        <v>19</v>
      </c>
      <c r="E7" s="74" t="s">
        <v>826</v>
      </c>
      <c r="F7" s="75">
        <v>7</v>
      </c>
      <c r="G7" s="75">
        <v>0</v>
      </c>
      <c r="H7" s="75">
        <v>1</v>
      </c>
      <c r="I7" s="75">
        <v>3</v>
      </c>
      <c r="J7" s="75">
        <f t="shared" si="0"/>
        <v>11</v>
      </c>
      <c r="K7" s="75" t="s">
        <v>341</v>
      </c>
    </row>
    <row r="8" spans="1:11" x14ac:dyDescent="0.35">
      <c r="A8" s="80">
        <v>5</v>
      </c>
      <c r="B8" s="73" t="s">
        <v>337</v>
      </c>
      <c r="C8" s="73" t="s">
        <v>831</v>
      </c>
      <c r="D8" s="73" t="s">
        <v>157</v>
      </c>
      <c r="E8" s="74" t="s">
        <v>826</v>
      </c>
      <c r="F8" s="75">
        <v>7</v>
      </c>
      <c r="G8" s="75">
        <v>0</v>
      </c>
      <c r="H8" s="75">
        <v>0</v>
      </c>
      <c r="I8" s="75">
        <v>3</v>
      </c>
      <c r="J8" s="75">
        <f t="shared" si="0"/>
        <v>10</v>
      </c>
      <c r="K8" s="75" t="s">
        <v>341</v>
      </c>
    </row>
    <row r="9" spans="1:11" x14ac:dyDescent="0.35">
      <c r="A9" s="80">
        <v>6</v>
      </c>
      <c r="B9" s="73" t="s">
        <v>345</v>
      </c>
      <c r="C9" s="73" t="s">
        <v>832</v>
      </c>
      <c r="D9" s="73" t="s">
        <v>19</v>
      </c>
      <c r="E9" s="74" t="s">
        <v>826</v>
      </c>
      <c r="F9" s="75">
        <v>7</v>
      </c>
      <c r="G9" s="75">
        <v>0</v>
      </c>
      <c r="H9" s="75">
        <v>0</v>
      </c>
      <c r="I9" s="75">
        <v>3</v>
      </c>
      <c r="J9" s="75">
        <f t="shared" si="0"/>
        <v>10</v>
      </c>
      <c r="K9" s="75" t="s">
        <v>341</v>
      </c>
    </row>
    <row r="10" spans="1:11" x14ac:dyDescent="0.35">
      <c r="A10" s="80">
        <v>7</v>
      </c>
      <c r="B10" s="73" t="s">
        <v>833</v>
      </c>
      <c r="C10" s="73" t="s">
        <v>834</v>
      </c>
      <c r="D10" s="73" t="s">
        <v>771</v>
      </c>
      <c r="E10" s="74" t="s">
        <v>826</v>
      </c>
      <c r="F10" s="75">
        <v>7</v>
      </c>
      <c r="G10" s="75">
        <v>0</v>
      </c>
      <c r="H10" s="75">
        <v>0</v>
      </c>
      <c r="I10" s="75">
        <v>3</v>
      </c>
      <c r="J10" s="75">
        <f t="shared" si="0"/>
        <v>10</v>
      </c>
      <c r="K10" s="75" t="s">
        <v>341</v>
      </c>
    </row>
    <row r="11" spans="1:11" x14ac:dyDescent="0.35">
      <c r="A11" s="80">
        <v>8</v>
      </c>
      <c r="B11" s="73" t="s">
        <v>835</v>
      </c>
      <c r="C11" s="73" t="s">
        <v>836</v>
      </c>
      <c r="D11" s="73" t="s">
        <v>19</v>
      </c>
      <c r="E11" s="74" t="s">
        <v>826</v>
      </c>
      <c r="F11" s="75">
        <v>7</v>
      </c>
      <c r="G11" s="75">
        <v>0</v>
      </c>
      <c r="H11" s="75">
        <v>0</v>
      </c>
      <c r="I11" s="75">
        <v>3</v>
      </c>
      <c r="J11" s="75">
        <f t="shared" si="0"/>
        <v>10</v>
      </c>
      <c r="K11" s="75" t="s">
        <v>341</v>
      </c>
    </row>
    <row r="12" spans="1:11" x14ac:dyDescent="0.35">
      <c r="A12" s="80">
        <v>9</v>
      </c>
      <c r="B12" s="73" t="s">
        <v>837</v>
      </c>
      <c r="C12" s="73" t="s">
        <v>838</v>
      </c>
      <c r="D12" s="73" t="s">
        <v>110</v>
      </c>
      <c r="E12" s="74" t="s">
        <v>826</v>
      </c>
      <c r="F12" s="75">
        <v>7</v>
      </c>
      <c r="G12" s="75">
        <v>0</v>
      </c>
      <c r="H12" s="75">
        <v>0</v>
      </c>
      <c r="I12" s="75">
        <v>3</v>
      </c>
      <c r="J12" s="75">
        <f t="shared" si="0"/>
        <v>10</v>
      </c>
      <c r="K12" s="75" t="s">
        <v>341</v>
      </c>
    </row>
    <row r="13" spans="1:11" x14ac:dyDescent="0.35">
      <c r="A13" s="80">
        <v>10</v>
      </c>
      <c r="B13" s="73" t="s">
        <v>401</v>
      </c>
      <c r="C13" s="73" t="s">
        <v>387</v>
      </c>
      <c r="D13" s="73" t="s">
        <v>62</v>
      </c>
      <c r="E13" s="74" t="s">
        <v>826</v>
      </c>
      <c r="F13" s="75">
        <v>7</v>
      </c>
      <c r="G13" s="75">
        <v>0</v>
      </c>
      <c r="H13" s="75">
        <v>0</v>
      </c>
      <c r="I13" s="75">
        <v>3</v>
      </c>
      <c r="J13" s="75">
        <f t="shared" si="0"/>
        <v>10</v>
      </c>
      <c r="K13" s="75" t="s">
        <v>341</v>
      </c>
    </row>
    <row r="14" spans="1:11" x14ac:dyDescent="0.35">
      <c r="A14" s="80">
        <v>11</v>
      </c>
      <c r="B14" s="73" t="s">
        <v>153</v>
      </c>
      <c r="C14" s="73" t="s">
        <v>839</v>
      </c>
      <c r="D14" s="73" t="s">
        <v>62</v>
      </c>
      <c r="E14" s="74" t="s">
        <v>826</v>
      </c>
      <c r="F14" s="75">
        <v>7</v>
      </c>
      <c r="G14" s="75">
        <v>0</v>
      </c>
      <c r="H14" s="75">
        <v>0</v>
      </c>
      <c r="I14" s="75">
        <v>3</v>
      </c>
      <c r="J14" s="75">
        <f t="shared" si="0"/>
        <v>10</v>
      </c>
      <c r="K14" s="75" t="s">
        <v>341</v>
      </c>
    </row>
    <row r="15" spans="1:11" x14ac:dyDescent="0.35">
      <c r="A15" s="80">
        <v>12</v>
      </c>
      <c r="B15" s="73" t="s">
        <v>840</v>
      </c>
      <c r="C15" s="73" t="s">
        <v>151</v>
      </c>
      <c r="D15" s="73" t="s">
        <v>62</v>
      </c>
      <c r="E15" s="74" t="s">
        <v>826</v>
      </c>
      <c r="F15" s="75">
        <v>7</v>
      </c>
      <c r="G15" s="75">
        <v>0</v>
      </c>
      <c r="H15" s="75">
        <v>0</v>
      </c>
      <c r="I15" s="75">
        <v>3</v>
      </c>
      <c r="J15" s="75">
        <f t="shared" si="0"/>
        <v>10</v>
      </c>
      <c r="K15" s="75" t="s">
        <v>341</v>
      </c>
    </row>
    <row r="16" spans="1:11" x14ac:dyDescent="0.35">
      <c r="A16" s="80">
        <v>13</v>
      </c>
      <c r="B16" s="73" t="s">
        <v>841</v>
      </c>
      <c r="C16" s="73" t="s">
        <v>842</v>
      </c>
      <c r="D16" s="73" t="s">
        <v>62</v>
      </c>
      <c r="E16" s="74" t="s">
        <v>826</v>
      </c>
      <c r="F16" s="75">
        <v>7</v>
      </c>
      <c r="G16" s="75">
        <v>0</v>
      </c>
      <c r="H16" s="75">
        <v>0</v>
      </c>
      <c r="I16" s="75">
        <v>0</v>
      </c>
      <c r="J16" s="75">
        <f t="shared" si="0"/>
        <v>7</v>
      </c>
      <c r="K16" s="73"/>
    </row>
    <row r="17" spans="1:11" x14ac:dyDescent="0.35">
      <c r="A17" s="80">
        <v>14</v>
      </c>
      <c r="B17" s="73" t="s">
        <v>626</v>
      </c>
      <c r="C17" s="73" t="s">
        <v>843</v>
      </c>
      <c r="D17" s="73" t="s">
        <v>72</v>
      </c>
      <c r="E17" s="74" t="s">
        <v>826</v>
      </c>
      <c r="F17" s="75">
        <v>7</v>
      </c>
      <c r="G17" s="75">
        <v>0</v>
      </c>
      <c r="H17" s="75">
        <v>0</v>
      </c>
      <c r="I17" s="75">
        <v>0</v>
      </c>
      <c r="J17" s="75">
        <f t="shared" si="0"/>
        <v>7</v>
      </c>
      <c r="K17" s="73"/>
    </row>
    <row r="18" spans="1:11" x14ac:dyDescent="0.35">
      <c r="A18" s="80">
        <v>15</v>
      </c>
      <c r="B18" s="73" t="s">
        <v>844</v>
      </c>
      <c r="C18" s="73" t="s">
        <v>845</v>
      </c>
      <c r="D18" s="73" t="s">
        <v>759</v>
      </c>
      <c r="E18" s="74" t="s">
        <v>826</v>
      </c>
      <c r="F18" s="75">
        <v>7</v>
      </c>
      <c r="G18" s="75">
        <v>0</v>
      </c>
      <c r="H18" s="75">
        <v>0</v>
      </c>
      <c r="I18" s="75">
        <v>0</v>
      </c>
      <c r="J18" s="75">
        <f t="shared" si="0"/>
        <v>7</v>
      </c>
      <c r="K18" s="73"/>
    </row>
    <row r="19" spans="1:11" x14ac:dyDescent="0.35">
      <c r="A19" s="80">
        <v>16</v>
      </c>
      <c r="B19" s="73" t="s">
        <v>846</v>
      </c>
      <c r="C19" s="73" t="s">
        <v>847</v>
      </c>
      <c r="D19" s="73" t="s">
        <v>806</v>
      </c>
      <c r="E19" s="74" t="s">
        <v>826</v>
      </c>
      <c r="F19" s="75">
        <v>4</v>
      </c>
      <c r="G19" s="75">
        <v>0</v>
      </c>
      <c r="H19" s="75">
        <v>0</v>
      </c>
      <c r="I19" s="75">
        <v>3</v>
      </c>
      <c r="J19" s="75">
        <f t="shared" si="0"/>
        <v>7</v>
      </c>
      <c r="K19" s="73"/>
    </row>
  </sheetData>
  <mergeCells count="4">
    <mergeCell ref="A1:K1"/>
    <mergeCell ref="A2:E2"/>
    <mergeCell ref="F2:I2"/>
    <mergeCell ref="K2:K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D777-A06E-4BC0-A95C-BFB86910892F}">
  <dimension ref="A1:N45"/>
  <sheetViews>
    <sheetView workbookViewId="0">
      <selection activeCell="K16" sqref="K16"/>
    </sheetView>
  </sheetViews>
  <sheetFormatPr defaultRowHeight="14" x14ac:dyDescent="0.3"/>
  <cols>
    <col min="1" max="1" width="4.26953125" style="79" customWidth="1"/>
    <col min="2" max="2" width="15.1796875" style="85" customWidth="1"/>
    <col min="3" max="3" width="16" style="85" customWidth="1"/>
    <col min="4" max="4" width="10.90625" style="79" customWidth="1"/>
    <col min="5" max="5" width="20.6328125" style="85" customWidth="1"/>
    <col min="6" max="6" width="7.81640625" style="85" customWidth="1"/>
    <col min="7" max="12" width="5.6328125" style="79" customWidth="1"/>
    <col min="13" max="13" width="7.08984375" style="79" customWidth="1"/>
    <col min="14" max="14" width="16.453125" style="85" bestFit="1" customWidth="1"/>
    <col min="15" max="16384" width="8.7265625" style="85"/>
  </cols>
  <sheetData>
    <row r="1" spans="1:14" ht="31" customHeight="1" x14ac:dyDescent="0.3">
      <c r="A1" s="102" t="s">
        <v>760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spans="1:14" ht="14.5" customHeight="1" x14ac:dyDescent="0.3">
      <c r="A2" s="103" t="s">
        <v>761</v>
      </c>
      <c r="B2" s="103"/>
      <c r="C2" s="103"/>
      <c r="D2" s="103"/>
      <c r="E2" s="103"/>
      <c r="F2" s="103"/>
      <c r="G2" s="104" t="s">
        <v>762</v>
      </c>
      <c r="H2" s="105"/>
      <c r="I2" s="106"/>
      <c r="J2" s="104" t="s">
        <v>763</v>
      </c>
      <c r="K2" s="105"/>
      <c r="L2" s="106"/>
      <c r="M2" s="107"/>
      <c r="N2" s="108" t="s">
        <v>12</v>
      </c>
    </row>
    <row r="3" spans="1:14" x14ac:dyDescent="0.3">
      <c r="A3" s="74" t="s">
        <v>1</v>
      </c>
      <c r="B3" s="74" t="s">
        <v>2</v>
      </c>
      <c r="C3" s="74" t="s">
        <v>3</v>
      </c>
      <c r="D3" s="74" t="s">
        <v>4</v>
      </c>
      <c r="E3" s="74" t="s">
        <v>5</v>
      </c>
      <c r="F3" s="74" t="s">
        <v>326</v>
      </c>
      <c r="G3" s="74" t="s">
        <v>764</v>
      </c>
      <c r="H3" s="74" t="s">
        <v>765</v>
      </c>
      <c r="I3" s="74" t="s">
        <v>766</v>
      </c>
      <c r="J3" s="74" t="s">
        <v>767</v>
      </c>
      <c r="K3" s="74" t="s">
        <v>768</v>
      </c>
      <c r="L3" s="74" t="s">
        <v>769</v>
      </c>
      <c r="M3" s="107" t="s">
        <v>770</v>
      </c>
      <c r="N3" s="109"/>
    </row>
    <row r="4" spans="1:14" ht="12.5" customHeight="1" x14ac:dyDescent="0.3">
      <c r="A4" s="110">
        <v>1</v>
      </c>
      <c r="B4" s="111" t="s">
        <v>295</v>
      </c>
      <c r="C4" s="111" t="s">
        <v>592</v>
      </c>
      <c r="D4" s="110">
        <v>70780</v>
      </c>
      <c r="E4" s="111" t="s">
        <v>771</v>
      </c>
      <c r="F4" s="112" t="s">
        <v>772</v>
      </c>
      <c r="G4" s="110">
        <v>7</v>
      </c>
      <c r="H4" s="110">
        <v>7</v>
      </c>
      <c r="I4" s="110">
        <v>7</v>
      </c>
      <c r="J4" s="110">
        <v>7</v>
      </c>
      <c r="K4" s="110">
        <v>7</v>
      </c>
      <c r="L4" s="110">
        <v>0</v>
      </c>
      <c r="M4" s="110">
        <f t="shared" ref="M4:M37" si="0">SUM(G4:L4)</f>
        <v>35</v>
      </c>
      <c r="N4" s="112" t="s">
        <v>773</v>
      </c>
    </row>
    <row r="5" spans="1:14" ht="12.5" customHeight="1" x14ac:dyDescent="0.3">
      <c r="A5" s="110">
        <v>2</v>
      </c>
      <c r="B5" s="111" t="s">
        <v>409</v>
      </c>
      <c r="C5" s="111" t="s">
        <v>213</v>
      </c>
      <c r="D5" s="110">
        <v>12481</v>
      </c>
      <c r="E5" s="111" t="s">
        <v>759</v>
      </c>
      <c r="F5" s="112" t="s">
        <v>772</v>
      </c>
      <c r="G5" s="110">
        <v>7</v>
      </c>
      <c r="H5" s="110">
        <v>7</v>
      </c>
      <c r="I5" s="110">
        <v>7</v>
      </c>
      <c r="J5" s="110">
        <v>7</v>
      </c>
      <c r="K5" s="110">
        <v>2</v>
      </c>
      <c r="L5" s="110">
        <v>1</v>
      </c>
      <c r="M5" s="110">
        <f t="shared" si="0"/>
        <v>31</v>
      </c>
      <c r="N5" s="112" t="s">
        <v>774</v>
      </c>
    </row>
    <row r="6" spans="1:14" ht="12.5" customHeight="1" x14ac:dyDescent="0.3">
      <c r="A6" s="110">
        <v>3</v>
      </c>
      <c r="B6" s="111" t="s">
        <v>667</v>
      </c>
      <c r="C6" s="111" t="s">
        <v>251</v>
      </c>
      <c r="D6" s="110">
        <v>15907</v>
      </c>
      <c r="E6" s="111" t="s">
        <v>19</v>
      </c>
      <c r="F6" s="112" t="s">
        <v>772</v>
      </c>
      <c r="G6" s="110">
        <v>7</v>
      </c>
      <c r="H6" s="110">
        <v>7</v>
      </c>
      <c r="I6" s="110">
        <v>1</v>
      </c>
      <c r="J6" s="110">
        <v>7</v>
      </c>
      <c r="K6" s="110">
        <v>7</v>
      </c>
      <c r="L6" s="110">
        <v>1</v>
      </c>
      <c r="M6" s="110">
        <f t="shared" si="0"/>
        <v>30</v>
      </c>
      <c r="N6" s="112" t="s">
        <v>775</v>
      </c>
    </row>
    <row r="7" spans="1:14" ht="12.5" customHeight="1" x14ac:dyDescent="0.3">
      <c r="A7" s="110">
        <v>4</v>
      </c>
      <c r="B7" s="111" t="s">
        <v>776</v>
      </c>
      <c r="C7" s="111" t="s">
        <v>777</v>
      </c>
      <c r="D7" s="110"/>
      <c r="E7" s="111" t="s">
        <v>53</v>
      </c>
      <c r="F7" s="112" t="s">
        <v>772</v>
      </c>
      <c r="G7" s="110">
        <v>7</v>
      </c>
      <c r="H7" s="110">
        <v>7</v>
      </c>
      <c r="I7" s="110">
        <v>7</v>
      </c>
      <c r="J7" s="110">
        <v>7</v>
      </c>
      <c r="K7" s="110">
        <v>2</v>
      </c>
      <c r="L7" s="110">
        <v>0</v>
      </c>
      <c r="M7" s="110">
        <f t="shared" si="0"/>
        <v>30</v>
      </c>
      <c r="N7" s="112" t="s">
        <v>775</v>
      </c>
    </row>
    <row r="8" spans="1:14" ht="12.5" customHeight="1" x14ac:dyDescent="0.3">
      <c r="A8" s="110">
        <v>5</v>
      </c>
      <c r="B8" s="73" t="s">
        <v>778</v>
      </c>
      <c r="C8" s="73" t="s">
        <v>230</v>
      </c>
      <c r="D8" s="74"/>
      <c r="E8" s="73" t="s">
        <v>759</v>
      </c>
      <c r="F8" s="75" t="s">
        <v>772</v>
      </c>
      <c r="G8" s="74">
        <v>7</v>
      </c>
      <c r="H8" s="74">
        <v>7</v>
      </c>
      <c r="I8" s="74">
        <v>2</v>
      </c>
      <c r="J8" s="74">
        <v>7</v>
      </c>
      <c r="K8" s="74">
        <v>4</v>
      </c>
      <c r="L8" s="74">
        <v>2</v>
      </c>
      <c r="M8" s="74">
        <f t="shared" si="0"/>
        <v>29</v>
      </c>
      <c r="N8" s="73" t="s">
        <v>341</v>
      </c>
    </row>
    <row r="9" spans="1:14" ht="12.5" customHeight="1" x14ac:dyDescent="0.3">
      <c r="A9" s="110">
        <v>6</v>
      </c>
      <c r="B9" s="73" t="s">
        <v>422</v>
      </c>
      <c r="C9" s="73" t="s">
        <v>779</v>
      </c>
      <c r="D9" s="74">
        <v>20432</v>
      </c>
      <c r="E9" s="73" t="s">
        <v>759</v>
      </c>
      <c r="F9" s="75" t="s">
        <v>772</v>
      </c>
      <c r="G9" s="74">
        <v>7</v>
      </c>
      <c r="H9" s="74">
        <v>6</v>
      </c>
      <c r="I9" s="74">
        <v>0</v>
      </c>
      <c r="J9" s="74">
        <v>7</v>
      </c>
      <c r="K9" s="74">
        <v>7</v>
      </c>
      <c r="L9" s="74">
        <v>0</v>
      </c>
      <c r="M9" s="74">
        <f t="shared" si="0"/>
        <v>27</v>
      </c>
      <c r="N9" s="73" t="s">
        <v>341</v>
      </c>
    </row>
    <row r="10" spans="1:14" ht="12.5" customHeight="1" x14ac:dyDescent="0.3">
      <c r="A10" s="110">
        <v>7</v>
      </c>
      <c r="B10" s="73" t="s">
        <v>780</v>
      </c>
      <c r="C10" s="73" t="s">
        <v>566</v>
      </c>
      <c r="D10" s="74">
        <v>20439</v>
      </c>
      <c r="E10" s="73" t="s">
        <v>781</v>
      </c>
      <c r="F10" s="75" t="s">
        <v>772</v>
      </c>
      <c r="G10" s="74">
        <v>6</v>
      </c>
      <c r="H10" s="74">
        <v>7</v>
      </c>
      <c r="I10" s="74">
        <v>2</v>
      </c>
      <c r="J10" s="74">
        <v>7</v>
      </c>
      <c r="K10" s="74">
        <v>3</v>
      </c>
      <c r="L10" s="74">
        <v>0</v>
      </c>
      <c r="M10" s="74">
        <f t="shared" si="0"/>
        <v>25</v>
      </c>
      <c r="N10" s="73" t="s">
        <v>341</v>
      </c>
    </row>
    <row r="11" spans="1:14" ht="12.5" customHeight="1" x14ac:dyDescent="0.3">
      <c r="A11" s="110">
        <v>8</v>
      </c>
      <c r="B11" s="73" t="s">
        <v>782</v>
      </c>
      <c r="C11" s="73" t="s">
        <v>118</v>
      </c>
      <c r="D11" s="74">
        <v>12480</v>
      </c>
      <c r="E11" s="73" t="s">
        <v>759</v>
      </c>
      <c r="F11" s="75" t="s">
        <v>772</v>
      </c>
      <c r="G11" s="74">
        <v>7</v>
      </c>
      <c r="H11" s="74">
        <v>7</v>
      </c>
      <c r="I11" s="74">
        <v>0</v>
      </c>
      <c r="J11" s="74">
        <v>7</v>
      </c>
      <c r="K11" s="74">
        <v>3</v>
      </c>
      <c r="L11" s="74">
        <v>0</v>
      </c>
      <c r="M11" s="74">
        <f t="shared" si="0"/>
        <v>24</v>
      </c>
      <c r="N11" s="73" t="s">
        <v>341</v>
      </c>
    </row>
    <row r="12" spans="1:14" ht="12.5" customHeight="1" x14ac:dyDescent="0.3">
      <c r="A12" s="110">
        <v>9</v>
      </c>
      <c r="B12" s="73" t="s">
        <v>122</v>
      </c>
      <c r="C12" s="73" t="s">
        <v>241</v>
      </c>
      <c r="D12" s="74">
        <v>27400</v>
      </c>
      <c r="E12" s="73" t="s">
        <v>759</v>
      </c>
      <c r="F12" s="75" t="s">
        <v>772</v>
      </c>
      <c r="G12" s="74">
        <v>7</v>
      </c>
      <c r="H12" s="74">
        <v>7</v>
      </c>
      <c r="I12" s="74">
        <v>0</v>
      </c>
      <c r="J12" s="74">
        <v>7</v>
      </c>
      <c r="K12" s="74">
        <v>2</v>
      </c>
      <c r="L12" s="74">
        <v>0</v>
      </c>
      <c r="M12" s="74">
        <f t="shared" si="0"/>
        <v>23</v>
      </c>
      <c r="N12" s="73" t="s">
        <v>341</v>
      </c>
    </row>
    <row r="13" spans="1:14" ht="12.5" customHeight="1" x14ac:dyDescent="0.3">
      <c r="A13" s="110">
        <v>10</v>
      </c>
      <c r="B13" s="73" t="s">
        <v>397</v>
      </c>
      <c r="C13" s="73" t="s">
        <v>783</v>
      </c>
      <c r="D13" s="74">
        <v>14238</v>
      </c>
      <c r="E13" s="73" t="s">
        <v>29</v>
      </c>
      <c r="F13" s="75" t="s">
        <v>772</v>
      </c>
      <c r="G13" s="74">
        <v>7</v>
      </c>
      <c r="H13" s="74">
        <v>7</v>
      </c>
      <c r="I13" s="74">
        <v>2</v>
      </c>
      <c r="J13" s="74">
        <v>6</v>
      </c>
      <c r="K13" s="74">
        <v>1</v>
      </c>
      <c r="L13" s="74">
        <v>0</v>
      </c>
      <c r="M13" s="74">
        <f t="shared" si="0"/>
        <v>23</v>
      </c>
      <c r="N13" s="73" t="s">
        <v>341</v>
      </c>
    </row>
    <row r="14" spans="1:14" ht="12.5" customHeight="1" x14ac:dyDescent="0.3">
      <c r="A14" s="110">
        <v>11</v>
      </c>
      <c r="B14" s="73" t="s">
        <v>784</v>
      </c>
      <c r="C14" s="73" t="s">
        <v>785</v>
      </c>
      <c r="D14" s="74">
        <v>13217</v>
      </c>
      <c r="E14" s="73" t="s">
        <v>19</v>
      </c>
      <c r="F14" s="75" t="s">
        <v>772</v>
      </c>
      <c r="G14" s="74">
        <v>7</v>
      </c>
      <c r="H14" s="74">
        <v>7</v>
      </c>
      <c r="I14" s="74">
        <v>0</v>
      </c>
      <c r="J14" s="74">
        <v>7</v>
      </c>
      <c r="K14" s="74">
        <v>0</v>
      </c>
      <c r="L14" s="74">
        <v>0</v>
      </c>
      <c r="M14" s="74">
        <f t="shared" si="0"/>
        <v>21</v>
      </c>
      <c r="N14" s="73"/>
    </row>
    <row r="15" spans="1:14" ht="12.5" customHeight="1" x14ac:dyDescent="0.3">
      <c r="A15" s="110">
        <v>12</v>
      </c>
      <c r="B15" s="73" t="s">
        <v>333</v>
      </c>
      <c r="C15" s="73" t="s">
        <v>688</v>
      </c>
      <c r="D15" s="74">
        <v>20262</v>
      </c>
      <c r="E15" s="73" t="s">
        <v>19</v>
      </c>
      <c r="F15" s="75" t="s">
        <v>772</v>
      </c>
      <c r="G15" s="74">
        <v>7</v>
      </c>
      <c r="H15" s="74">
        <v>1</v>
      </c>
      <c r="I15" s="74">
        <v>0</v>
      </c>
      <c r="J15" s="74">
        <v>7</v>
      </c>
      <c r="K15" s="74">
        <v>6</v>
      </c>
      <c r="L15" s="74">
        <v>0</v>
      </c>
      <c r="M15" s="74">
        <f t="shared" si="0"/>
        <v>21</v>
      </c>
      <c r="N15" s="73"/>
    </row>
    <row r="16" spans="1:14" ht="12.5" customHeight="1" x14ac:dyDescent="0.3">
      <c r="A16" s="110">
        <v>13</v>
      </c>
      <c r="B16" s="73" t="s">
        <v>786</v>
      </c>
      <c r="C16" s="73" t="s">
        <v>787</v>
      </c>
      <c r="D16" s="74">
        <v>107917</v>
      </c>
      <c r="E16" s="73" t="s">
        <v>771</v>
      </c>
      <c r="F16" s="75" t="s">
        <v>772</v>
      </c>
      <c r="G16" s="74">
        <v>6</v>
      </c>
      <c r="H16" s="74">
        <v>7</v>
      </c>
      <c r="I16" s="74">
        <v>0</v>
      </c>
      <c r="J16" s="74">
        <v>7</v>
      </c>
      <c r="K16" s="74">
        <v>0</v>
      </c>
      <c r="L16" s="74">
        <v>0</v>
      </c>
      <c r="M16" s="74">
        <f t="shared" si="0"/>
        <v>20</v>
      </c>
      <c r="N16" s="73"/>
    </row>
    <row r="17" spans="1:14" ht="12.5" customHeight="1" x14ac:dyDescent="0.3">
      <c r="A17" s="110">
        <v>14</v>
      </c>
      <c r="B17" s="73" t="s">
        <v>788</v>
      </c>
      <c r="C17" s="73" t="s">
        <v>284</v>
      </c>
      <c r="D17" s="74"/>
      <c r="E17" s="73" t="s">
        <v>15</v>
      </c>
      <c r="F17" s="75" t="s">
        <v>772</v>
      </c>
      <c r="G17" s="74">
        <v>5</v>
      </c>
      <c r="H17" s="74">
        <v>7</v>
      </c>
      <c r="I17" s="74">
        <v>0</v>
      </c>
      <c r="J17" s="74">
        <v>7</v>
      </c>
      <c r="K17" s="74">
        <v>0</v>
      </c>
      <c r="L17" s="74">
        <v>0</v>
      </c>
      <c r="M17" s="74">
        <f t="shared" si="0"/>
        <v>19</v>
      </c>
      <c r="N17" s="73"/>
    </row>
    <row r="18" spans="1:14" ht="12.5" customHeight="1" x14ac:dyDescent="0.3">
      <c r="A18" s="110">
        <v>15</v>
      </c>
      <c r="B18" s="73" t="s">
        <v>789</v>
      </c>
      <c r="C18" s="73" t="s">
        <v>647</v>
      </c>
      <c r="D18" s="74">
        <v>21403</v>
      </c>
      <c r="E18" s="73" t="s">
        <v>310</v>
      </c>
      <c r="F18" s="75" t="s">
        <v>772</v>
      </c>
      <c r="G18" s="74">
        <v>4</v>
      </c>
      <c r="H18" s="74">
        <v>1</v>
      </c>
      <c r="I18" s="74">
        <v>0</v>
      </c>
      <c r="J18" s="74">
        <v>7</v>
      </c>
      <c r="K18" s="74">
        <v>6</v>
      </c>
      <c r="L18" s="74">
        <v>0</v>
      </c>
      <c r="M18" s="74">
        <f t="shared" si="0"/>
        <v>18</v>
      </c>
      <c r="N18" s="73"/>
    </row>
    <row r="19" spans="1:14" ht="12.5" customHeight="1" x14ac:dyDescent="0.3">
      <c r="A19" s="110">
        <v>16</v>
      </c>
      <c r="B19" s="73" t="s">
        <v>790</v>
      </c>
      <c r="C19" s="73" t="s">
        <v>791</v>
      </c>
      <c r="D19" s="74">
        <v>514</v>
      </c>
      <c r="E19" s="73" t="s">
        <v>792</v>
      </c>
      <c r="F19" s="75" t="s">
        <v>772</v>
      </c>
      <c r="G19" s="74">
        <v>7</v>
      </c>
      <c r="H19" s="74">
        <v>3</v>
      </c>
      <c r="I19" s="74">
        <v>0</v>
      </c>
      <c r="J19" s="74">
        <v>7</v>
      </c>
      <c r="K19" s="74">
        <v>0</v>
      </c>
      <c r="L19" s="74">
        <v>0</v>
      </c>
      <c r="M19" s="74">
        <f t="shared" si="0"/>
        <v>17</v>
      </c>
      <c r="N19" s="73"/>
    </row>
    <row r="20" spans="1:14" ht="12.5" customHeight="1" x14ac:dyDescent="0.3">
      <c r="A20" s="110">
        <v>17</v>
      </c>
      <c r="B20" s="73" t="s">
        <v>128</v>
      </c>
      <c r="C20" s="73" t="s">
        <v>793</v>
      </c>
      <c r="D20" s="74">
        <v>107921</v>
      </c>
      <c r="E20" s="73" t="s">
        <v>53</v>
      </c>
      <c r="F20" s="75" t="s">
        <v>772</v>
      </c>
      <c r="G20" s="74">
        <v>4</v>
      </c>
      <c r="H20" s="74">
        <v>5</v>
      </c>
      <c r="I20" s="74">
        <v>0</v>
      </c>
      <c r="J20" s="74">
        <v>7</v>
      </c>
      <c r="K20" s="74">
        <v>0</v>
      </c>
      <c r="L20" s="74">
        <v>0</v>
      </c>
      <c r="M20" s="74">
        <f t="shared" si="0"/>
        <v>16</v>
      </c>
      <c r="N20" s="73"/>
    </row>
    <row r="21" spans="1:14" ht="12.5" customHeight="1" x14ac:dyDescent="0.3">
      <c r="A21" s="110">
        <v>18</v>
      </c>
      <c r="B21" s="73" t="s">
        <v>794</v>
      </c>
      <c r="C21" s="73" t="s">
        <v>795</v>
      </c>
      <c r="D21" s="74"/>
      <c r="E21" s="73" t="s">
        <v>19</v>
      </c>
      <c r="F21" s="75" t="s">
        <v>772</v>
      </c>
      <c r="G21" s="74">
        <v>7</v>
      </c>
      <c r="H21" s="74">
        <v>5</v>
      </c>
      <c r="I21" s="74">
        <v>0</v>
      </c>
      <c r="J21" s="74">
        <v>1</v>
      </c>
      <c r="K21" s="74">
        <v>0</v>
      </c>
      <c r="L21" s="74">
        <v>0</v>
      </c>
      <c r="M21" s="74">
        <f t="shared" si="0"/>
        <v>13</v>
      </c>
      <c r="N21" s="73"/>
    </row>
    <row r="22" spans="1:14" ht="12.5" customHeight="1" x14ac:dyDescent="0.3">
      <c r="A22" s="110">
        <v>19</v>
      </c>
      <c r="B22" s="73" t="s">
        <v>796</v>
      </c>
      <c r="C22" s="73" t="s">
        <v>797</v>
      </c>
      <c r="D22" s="74">
        <v>232441</v>
      </c>
      <c r="E22" s="73" t="s">
        <v>53</v>
      </c>
      <c r="F22" s="75" t="s">
        <v>772</v>
      </c>
      <c r="G22" s="74">
        <v>5</v>
      </c>
      <c r="H22" s="74">
        <v>1</v>
      </c>
      <c r="I22" s="74">
        <v>0</v>
      </c>
      <c r="J22" s="74">
        <v>7</v>
      </c>
      <c r="K22" s="74">
        <v>0</v>
      </c>
      <c r="L22" s="74">
        <v>0</v>
      </c>
      <c r="M22" s="74">
        <f t="shared" si="0"/>
        <v>13</v>
      </c>
      <c r="N22" s="73"/>
    </row>
    <row r="23" spans="1:14" ht="12.5" customHeight="1" x14ac:dyDescent="0.3">
      <c r="A23" s="110">
        <v>20</v>
      </c>
      <c r="B23" s="73" t="s">
        <v>798</v>
      </c>
      <c r="C23" s="73" t="s">
        <v>799</v>
      </c>
      <c r="D23" s="74">
        <v>185902</v>
      </c>
      <c r="E23" s="73" t="s">
        <v>759</v>
      </c>
      <c r="F23" s="75" t="s">
        <v>772</v>
      </c>
      <c r="G23" s="74">
        <v>7</v>
      </c>
      <c r="H23" s="74">
        <v>3</v>
      </c>
      <c r="I23" s="74">
        <v>0</v>
      </c>
      <c r="J23" s="74">
        <v>0</v>
      </c>
      <c r="K23" s="74">
        <v>3</v>
      </c>
      <c r="L23" s="74">
        <v>0</v>
      </c>
      <c r="M23" s="74">
        <f t="shared" si="0"/>
        <v>13</v>
      </c>
      <c r="N23" s="73"/>
    </row>
    <row r="24" spans="1:14" ht="12.5" customHeight="1" x14ac:dyDescent="0.3">
      <c r="A24" s="110">
        <v>21</v>
      </c>
      <c r="B24" s="73" t="s">
        <v>800</v>
      </c>
      <c r="C24" s="73" t="s">
        <v>776</v>
      </c>
      <c r="D24" s="74">
        <v>178268</v>
      </c>
      <c r="E24" s="73" t="s">
        <v>85</v>
      </c>
      <c r="F24" s="75" t="s">
        <v>772</v>
      </c>
      <c r="G24" s="74">
        <v>4</v>
      </c>
      <c r="H24" s="74">
        <v>1</v>
      </c>
      <c r="I24" s="74">
        <v>0</v>
      </c>
      <c r="J24" s="74">
        <v>7</v>
      </c>
      <c r="K24" s="74">
        <v>0</v>
      </c>
      <c r="L24" s="74">
        <v>0</v>
      </c>
      <c r="M24" s="74">
        <f t="shared" si="0"/>
        <v>12</v>
      </c>
      <c r="N24" s="73"/>
    </row>
    <row r="25" spans="1:14" ht="12.5" customHeight="1" x14ac:dyDescent="0.3">
      <c r="A25" s="110">
        <v>22</v>
      </c>
      <c r="B25" s="73" t="s">
        <v>801</v>
      </c>
      <c r="C25" s="73" t="s">
        <v>683</v>
      </c>
      <c r="D25" s="74">
        <v>21104</v>
      </c>
      <c r="E25" s="73" t="s">
        <v>771</v>
      </c>
      <c r="F25" s="75" t="s">
        <v>772</v>
      </c>
      <c r="G25" s="74">
        <v>4</v>
      </c>
      <c r="H25" s="74">
        <v>1</v>
      </c>
      <c r="I25" s="74">
        <v>0</v>
      </c>
      <c r="J25" s="74">
        <v>7</v>
      </c>
      <c r="K25" s="74">
        <v>0</v>
      </c>
      <c r="L25" s="74">
        <v>0</v>
      </c>
      <c r="M25" s="74">
        <f t="shared" si="0"/>
        <v>12</v>
      </c>
      <c r="N25" s="73"/>
    </row>
    <row r="26" spans="1:14" ht="12.5" customHeight="1" x14ac:dyDescent="0.3">
      <c r="A26" s="110">
        <v>23</v>
      </c>
      <c r="B26" s="73" t="s">
        <v>481</v>
      </c>
      <c r="C26" s="73" t="s">
        <v>28</v>
      </c>
      <c r="D26" s="74"/>
      <c r="E26" s="73" t="s">
        <v>19</v>
      </c>
      <c r="F26" s="75" t="s">
        <v>772</v>
      </c>
      <c r="G26" s="74">
        <v>3</v>
      </c>
      <c r="H26" s="74">
        <v>1</v>
      </c>
      <c r="I26" s="74">
        <v>0</v>
      </c>
      <c r="J26" s="74">
        <v>7</v>
      </c>
      <c r="K26" s="74">
        <v>0</v>
      </c>
      <c r="L26" s="74">
        <v>0</v>
      </c>
      <c r="M26" s="74">
        <f t="shared" si="0"/>
        <v>11</v>
      </c>
      <c r="N26" s="73"/>
    </row>
    <row r="27" spans="1:14" ht="12.5" customHeight="1" x14ac:dyDescent="0.3">
      <c r="A27" s="110">
        <v>24</v>
      </c>
      <c r="B27" s="73" t="s">
        <v>802</v>
      </c>
      <c r="C27" s="73" t="s">
        <v>803</v>
      </c>
      <c r="D27" s="74">
        <v>232417</v>
      </c>
      <c r="E27" s="73" t="s">
        <v>72</v>
      </c>
      <c r="F27" s="75" t="s">
        <v>772</v>
      </c>
      <c r="G27" s="74">
        <v>6</v>
      </c>
      <c r="H27" s="74">
        <v>3</v>
      </c>
      <c r="I27" s="74">
        <v>0</v>
      </c>
      <c r="J27" s="74">
        <v>0</v>
      </c>
      <c r="K27" s="74">
        <v>1</v>
      </c>
      <c r="L27" s="74">
        <v>0</v>
      </c>
      <c r="M27" s="74">
        <f t="shared" si="0"/>
        <v>10</v>
      </c>
      <c r="N27" s="73"/>
    </row>
    <row r="28" spans="1:14" ht="12.5" customHeight="1" x14ac:dyDescent="0.3">
      <c r="A28" s="110">
        <v>25</v>
      </c>
      <c r="B28" s="73" t="s">
        <v>603</v>
      </c>
      <c r="C28" s="73" t="s">
        <v>455</v>
      </c>
      <c r="D28" s="74">
        <v>142284</v>
      </c>
      <c r="E28" s="73" t="s">
        <v>82</v>
      </c>
      <c r="F28" s="75" t="s">
        <v>772</v>
      </c>
      <c r="G28" s="74">
        <v>7</v>
      </c>
      <c r="H28" s="74">
        <v>1</v>
      </c>
      <c r="I28" s="74">
        <v>0</v>
      </c>
      <c r="J28" s="74"/>
      <c r="K28" s="74"/>
      <c r="L28" s="74"/>
      <c r="M28" s="74">
        <f t="shared" si="0"/>
        <v>8</v>
      </c>
      <c r="N28" s="73"/>
    </row>
    <row r="29" spans="1:14" ht="12.5" customHeight="1" x14ac:dyDescent="0.3">
      <c r="A29" s="110">
        <v>26</v>
      </c>
      <c r="B29" s="73" t="s">
        <v>804</v>
      </c>
      <c r="C29" s="73" t="s">
        <v>805</v>
      </c>
      <c r="D29" s="73"/>
      <c r="E29" s="73" t="s">
        <v>806</v>
      </c>
      <c r="F29" s="74" t="s">
        <v>772</v>
      </c>
      <c r="G29" s="73"/>
      <c r="H29" s="73"/>
      <c r="I29" s="73"/>
      <c r="J29" s="73">
        <v>7</v>
      </c>
      <c r="K29" s="73">
        <v>0</v>
      </c>
      <c r="L29" s="73">
        <v>0</v>
      </c>
      <c r="M29" s="74">
        <f t="shared" si="0"/>
        <v>7</v>
      </c>
      <c r="N29" s="73"/>
    </row>
    <row r="30" spans="1:14" ht="12.5" customHeight="1" x14ac:dyDescent="0.3">
      <c r="A30" s="110">
        <v>27</v>
      </c>
      <c r="B30" s="73" t="s">
        <v>807</v>
      </c>
      <c r="C30" s="73" t="s">
        <v>213</v>
      </c>
      <c r="D30" s="74">
        <v>232429</v>
      </c>
      <c r="E30" s="73" t="s">
        <v>792</v>
      </c>
      <c r="F30" s="75" t="s">
        <v>772</v>
      </c>
      <c r="G30" s="74">
        <v>5</v>
      </c>
      <c r="H30" s="74">
        <v>1</v>
      </c>
      <c r="I30" s="74">
        <v>0</v>
      </c>
      <c r="J30" s="74">
        <v>0</v>
      </c>
      <c r="K30" s="74">
        <v>0</v>
      </c>
      <c r="L30" s="74">
        <v>0</v>
      </c>
      <c r="M30" s="74">
        <f t="shared" si="0"/>
        <v>6</v>
      </c>
      <c r="N30" s="73"/>
    </row>
    <row r="31" spans="1:14" ht="12.5" customHeight="1" x14ac:dyDescent="0.3">
      <c r="A31" s="110">
        <v>28</v>
      </c>
      <c r="B31" s="73" t="s">
        <v>808</v>
      </c>
      <c r="C31" s="73" t="s">
        <v>809</v>
      </c>
      <c r="D31" s="74">
        <v>196225</v>
      </c>
      <c r="E31" s="73" t="s">
        <v>781</v>
      </c>
      <c r="F31" s="75" t="s">
        <v>772</v>
      </c>
      <c r="G31" s="74">
        <v>3</v>
      </c>
      <c r="H31" s="74">
        <v>1</v>
      </c>
      <c r="I31" s="74">
        <v>0</v>
      </c>
      <c r="J31" s="74">
        <v>0</v>
      </c>
      <c r="K31" s="74">
        <v>1</v>
      </c>
      <c r="L31" s="74">
        <v>0</v>
      </c>
      <c r="M31" s="74">
        <f t="shared" si="0"/>
        <v>5</v>
      </c>
      <c r="N31" s="73"/>
    </row>
    <row r="32" spans="1:14" ht="12.5" customHeight="1" x14ac:dyDescent="0.3">
      <c r="A32" s="110">
        <v>29</v>
      </c>
      <c r="B32" s="73" t="s">
        <v>810</v>
      </c>
      <c r="C32" s="73" t="s">
        <v>811</v>
      </c>
      <c r="D32" s="74">
        <v>232438</v>
      </c>
      <c r="E32" s="73" t="s">
        <v>72</v>
      </c>
      <c r="F32" s="75" t="s">
        <v>772</v>
      </c>
      <c r="G32" s="74">
        <v>3</v>
      </c>
      <c r="H32" s="74">
        <v>0</v>
      </c>
      <c r="I32" s="74">
        <v>0</v>
      </c>
      <c r="J32" s="74"/>
      <c r="K32" s="74"/>
      <c r="L32" s="74"/>
      <c r="M32" s="74">
        <f t="shared" si="0"/>
        <v>3</v>
      </c>
      <c r="N32" s="73"/>
    </row>
    <row r="33" spans="1:14" ht="12.5" customHeight="1" x14ac:dyDescent="0.3">
      <c r="A33" s="110">
        <v>30</v>
      </c>
      <c r="B33" s="73" t="s">
        <v>138</v>
      </c>
      <c r="C33" s="73" t="s">
        <v>812</v>
      </c>
      <c r="D33" s="74">
        <v>93387</v>
      </c>
      <c r="E33" s="73" t="s">
        <v>813</v>
      </c>
      <c r="F33" s="75" t="s">
        <v>772</v>
      </c>
      <c r="G33" s="74">
        <v>2</v>
      </c>
      <c r="H33" s="74">
        <v>1</v>
      </c>
      <c r="I33" s="74">
        <v>0</v>
      </c>
      <c r="J33" s="74"/>
      <c r="K33" s="74"/>
      <c r="L33" s="74"/>
      <c r="M33" s="74">
        <f t="shared" si="0"/>
        <v>3</v>
      </c>
      <c r="N33" s="73"/>
    </row>
    <row r="34" spans="1:14" ht="12.5" customHeight="1" x14ac:dyDescent="0.3">
      <c r="A34" s="110">
        <v>31</v>
      </c>
      <c r="B34" s="73" t="s">
        <v>814</v>
      </c>
      <c r="C34" s="73" t="s">
        <v>815</v>
      </c>
      <c r="D34" s="74">
        <v>180545</v>
      </c>
      <c r="E34" s="73" t="s">
        <v>792</v>
      </c>
      <c r="F34" s="75" t="s">
        <v>772</v>
      </c>
      <c r="G34" s="74">
        <v>1</v>
      </c>
      <c r="H34" s="74">
        <v>1</v>
      </c>
      <c r="I34" s="74">
        <v>0</v>
      </c>
      <c r="J34" s="74"/>
      <c r="K34" s="74"/>
      <c r="L34" s="74"/>
      <c r="M34" s="74">
        <f t="shared" si="0"/>
        <v>2</v>
      </c>
      <c r="N34" s="73"/>
    </row>
    <row r="35" spans="1:14" ht="12.5" customHeight="1" x14ac:dyDescent="0.3">
      <c r="A35" s="110">
        <v>32</v>
      </c>
      <c r="B35" s="73" t="s">
        <v>816</v>
      </c>
      <c r="C35" s="73" t="s">
        <v>817</v>
      </c>
      <c r="D35" s="74">
        <v>232419</v>
      </c>
      <c r="E35" s="73" t="s">
        <v>157</v>
      </c>
      <c r="F35" s="75" t="s">
        <v>772</v>
      </c>
      <c r="G35" s="74">
        <v>1</v>
      </c>
      <c r="H35" s="74">
        <v>0</v>
      </c>
      <c r="I35" s="74">
        <v>0</v>
      </c>
      <c r="J35" s="74">
        <v>0</v>
      </c>
      <c r="K35" s="74">
        <v>1</v>
      </c>
      <c r="L35" s="74">
        <v>0</v>
      </c>
      <c r="M35" s="74">
        <f t="shared" si="0"/>
        <v>2</v>
      </c>
      <c r="N35" s="73"/>
    </row>
    <row r="36" spans="1:14" ht="12.5" customHeight="1" x14ac:dyDescent="0.3">
      <c r="A36" s="110">
        <v>33</v>
      </c>
      <c r="B36" s="73" t="s">
        <v>818</v>
      </c>
      <c r="C36" s="73" t="s">
        <v>819</v>
      </c>
      <c r="D36" s="74">
        <v>230706</v>
      </c>
      <c r="E36" s="73" t="s">
        <v>792</v>
      </c>
      <c r="F36" s="75" t="s">
        <v>772</v>
      </c>
      <c r="G36" s="74">
        <v>1</v>
      </c>
      <c r="H36" s="74">
        <v>0</v>
      </c>
      <c r="I36" s="74">
        <v>0</v>
      </c>
      <c r="J36" s="74">
        <v>0</v>
      </c>
      <c r="K36" s="74">
        <v>1</v>
      </c>
      <c r="L36" s="74">
        <v>0</v>
      </c>
      <c r="M36" s="74">
        <f t="shared" si="0"/>
        <v>2</v>
      </c>
      <c r="N36" s="73"/>
    </row>
    <row r="37" spans="1:14" ht="12.5" customHeight="1" x14ac:dyDescent="0.3">
      <c r="A37" s="110">
        <v>34</v>
      </c>
      <c r="B37" s="73" t="s">
        <v>820</v>
      </c>
      <c r="C37" s="73" t="s">
        <v>516</v>
      </c>
      <c r="D37" s="74"/>
      <c r="E37" s="73" t="s">
        <v>821</v>
      </c>
      <c r="F37" s="75" t="s">
        <v>772</v>
      </c>
      <c r="G37" s="74">
        <v>1</v>
      </c>
      <c r="H37" s="74">
        <v>0</v>
      </c>
      <c r="I37" s="74">
        <v>0</v>
      </c>
      <c r="J37" s="74"/>
      <c r="K37" s="74"/>
      <c r="L37" s="74"/>
      <c r="M37" s="74">
        <f t="shared" si="0"/>
        <v>1</v>
      </c>
      <c r="N37" s="73"/>
    </row>
    <row r="38" spans="1:14" x14ac:dyDescent="0.3">
      <c r="D38" s="85"/>
      <c r="G38" s="85"/>
      <c r="H38" s="85"/>
      <c r="I38" s="85"/>
      <c r="J38" s="85"/>
      <c r="K38" s="85"/>
      <c r="L38" s="85"/>
      <c r="M38" s="85"/>
    </row>
    <row r="39" spans="1:14" x14ac:dyDescent="0.3">
      <c r="D39" s="85"/>
      <c r="G39" s="85"/>
      <c r="H39" s="85"/>
      <c r="I39" s="85"/>
      <c r="J39" s="85"/>
      <c r="K39" s="85"/>
      <c r="L39" s="85"/>
      <c r="M39" s="85"/>
    </row>
    <row r="40" spans="1:14" x14ac:dyDescent="0.3">
      <c r="D40" s="85"/>
      <c r="G40" s="85"/>
      <c r="H40" s="85"/>
      <c r="I40" s="85"/>
      <c r="J40" s="85"/>
      <c r="K40" s="85"/>
      <c r="L40" s="85"/>
      <c r="M40" s="85"/>
    </row>
    <row r="41" spans="1:14" x14ac:dyDescent="0.3">
      <c r="D41" s="85"/>
      <c r="G41" s="85"/>
      <c r="H41" s="85"/>
      <c r="I41" s="85"/>
      <c r="J41" s="85"/>
      <c r="K41" s="85"/>
      <c r="L41" s="85"/>
      <c r="M41" s="85"/>
    </row>
    <row r="42" spans="1:14" x14ac:dyDescent="0.3">
      <c r="D42" s="85"/>
      <c r="G42" s="85"/>
      <c r="H42" s="85"/>
      <c r="I42" s="85"/>
      <c r="J42" s="85"/>
      <c r="K42" s="85"/>
      <c r="L42" s="85"/>
      <c r="M42" s="85"/>
    </row>
    <row r="43" spans="1:14" x14ac:dyDescent="0.3">
      <c r="D43" s="85"/>
      <c r="G43" s="85"/>
      <c r="H43" s="85"/>
      <c r="I43" s="85"/>
      <c r="J43" s="85"/>
      <c r="K43" s="85"/>
      <c r="L43" s="85"/>
      <c r="M43" s="85"/>
    </row>
    <row r="44" spans="1:14" x14ac:dyDescent="0.3">
      <c r="D44" s="85"/>
      <c r="G44" s="85"/>
      <c r="H44" s="85"/>
      <c r="I44" s="85"/>
      <c r="J44" s="85"/>
      <c r="K44" s="85"/>
      <c r="L44" s="85"/>
      <c r="M44" s="85"/>
    </row>
    <row r="45" spans="1:14" x14ac:dyDescent="0.3">
      <c r="D45" s="85"/>
      <c r="G45" s="85"/>
      <c r="H45" s="85"/>
      <c r="I45" s="85"/>
      <c r="J45" s="85"/>
      <c r="K45" s="85"/>
      <c r="L45" s="85"/>
      <c r="M45" s="85"/>
    </row>
  </sheetData>
  <mergeCells count="5">
    <mergeCell ref="A1:N1"/>
    <mergeCell ref="A2:F2"/>
    <mergeCell ref="G2:I2"/>
    <mergeCell ref="J2:L2"/>
    <mergeCell ref="N2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 ангилал</vt:lpstr>
      <vt:lpstr>D ангилал</vt:lpstr>
      <vt:lpstr>E ангилал</vt:lpstr>
      <vt:lpstr>F ангилал</vt:lpstr>
      <vt:lpstr>S ангилал</vt:lpstr>
      <vt:lpstr>Т ангилал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 Urantuya</dc:creator>
  <cp:lastModifiedBy>O Urantuya</cp:lastModifiedBy>
  <dcterms:created xsi:type="dcterms:W3CDTF">2025-12-18T09:07:31Z</dcterms:created>
  <dcterms:modified xsi:type="dcterms:W3CDTF">2025-12-18T09:43:48Z</dcterms:modified>
</cp:coreProperties>
</file>