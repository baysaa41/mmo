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SAIKHNAA\2025\Олимпиад\"/>
    </mc:Choice>
  </mc:AlternateContent>
  <xr:revisionPtr revIDLastSave="0" documentId="13_ncr:1_{6C320611-3148-45A2-854F-093EDC7013D6}" xr6:coauthVersionLast="47" xr6:coauthVersionMax="47" xr10:uidLastSave="{00000000-0000-0000-0000-000000000000}"/>
  <bookViews>
    <workbookView xWindow="-120" yWindow="-120" windowWidth="29040" windowHeight="15840" tabRatio="500" activeTab="4" xr2:uid="{00000000-000D-0000-FFFF-FFFF00000000}"/>
  </bookViews>
  <sheets>
    <sheet name="С ангилал" sheetId="1" r:id="rId1"/>
    <sheet name="D ангилал" sheetId="2" r:id="rId2"/>
    <sheet name="E ангилал" sheetId="3" r:id="rId3"/>
    <sheet name="F ангилал" sheetId="4" r:id="rId4"/>
    <sheet name="S ангилал" sheetId="5" r:id="rId5"/>
    <sheet name="T ангилал" sheetId="6" r:id="rId6"/>
    <sheet name="Мэдээлэл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2" i="5" l="1"/>
  <c r="I9" i="5"/>
  <c r="I26" i="5"/>
  <c r="I32" i="5"/>
  <c r="I6" i="5"/>
  <c r="I10" i="5"/>
  <c r="I21" i="5"/>
  <c r="I24" i="5"/>
  <c r="I27" i="5"/>
  <c r="I12" i="5"/>
  <c r="I43" i="5"/>
  <c r="I28" i="5"/>
  <c r="I29" i="5"/>
  <c r="I33" i="5"/>
  <c r="I7" i="5"/>
  <c r="I44" i="5"/>
  <c r="I45" i="5"/>
  <c r="I38" i="5"/>
  <c r="I13" i="5"/>
  <c r="I46" i="5"/>
  <c r="I14" i="5"/>
  <c r="I47" i="5"/>
  <c r="I48" i="5"/>
  <c r="I49" i="5"/>
  <c r="I50" i="5"/>
  <c r="I15" i="5"/>
  <c r="I35" i="5"/>
  <c r="I36" i="5"/>
  <c r="I3" i="5"/>
  <c r="I4" i="5"/>
  <c r="I8" i="5"/>
  <c r="I11" i="5"/>
  <c r="I16" i="5"/>
  <c r="I39" i="5"/>
  <c r="I30" i="5"/>
  <c r="I37" i="5"/>
  <c r="I22" i="5"/>
  <c r="I40" i="5"/>
  <c r="I17" i="5"/>
  <c r="I51" i="5"/>
  <c r="I52" i="5"/>
  <c r="I18" i="5"/>
  <c r="I41" i="5"/>
  <c r="I42" i="5"/>
  <c r="I25" i="5"/>
  <c r="I31" i="5"/>
  <c r="I23" i="5"/>
  <c r="I19" i="5"/>
  <c r="I5" i="5"/>
  <c r="I20" i="5"/>
  <c r="I34" i="5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2" i="1"/>
</calcChain>
</file>

<file path=xl/sharedStrings.xml><?xml version="1.0" encoding="utf-8"?>
<sst xmlns="http://schemas.openxmlformats.org/spreadsheetml/2006/main" count="656" uniqueCount="483">
  <si>
    <t>№</t>
  </si>
  <si>
    <t>ID</t>
  </si>
  <si>
    <t>Овог</t>
  </si>
  <si>
    <t>Нэр</t>
  </si>
  <si>
    <t xml:space="preserve"> №1</t>
  </si>
  <si>
    <t xml:space="preserve"> №2</t>
  </si>
  <si>
    <t xml:space="preserve"> №3</t>
  </si>
  <si>
    <t xml:space="preserve"> №4</t>
  </si>
  <si>
    <t>Нийт</t>
  </si>
  <si>
    <t xml:space="preserve"> №5</t>
  </si>
  <si>
    <t xml:space="preserve"> №6</t>
  </si>
  <si>
    <t>Аймгийн нэр</t>
  </si>
  <si>
    <t>Аймгийн ID</t>
  </si>
  <si>
    <t>Хэрвээ мэдэж байвал бөглөөрэй.</t>
  </si>
  <si>
    <t>Хангай</t>
  </si>
  <si>
    <t>Бат-Эрдэнэ</t>
  </si>
  <si>
    <t>Уламбаяр</t>
  </si>
  <si>
    <t>Басан</t>
  </si>
  <si>
    <t>Батсуурь</t>
  </si>
  <si>
    <t>Алтантөгс</t>
  </si>
  <si>
    <t>Азбилэг</t>
  </si>
  <si>
    <t>Билгүүндалай</t>
  </si>
  <si>
    <t>Мандахнаран</t>
  </si>
  <si>
    <t>Цагаанбаатар</t>
  </si>
  <si>
    <t>Мөнгөнцоож</t>
  </si>
  <si>
    <t>Эрхэмбаяр</t>
  </si>
  <si>
    <t>Солонго</t>
  </si>
  <si>
    <t>Бүрэнбат</t>
  </si>
  <si>
    <t>Анужин</t>
  </si>
  <si>
    <t>Амаржаргал</t>
  </si>
  <si>
    <t>Энэрэл</t>
  </si>
  <si>
    <t>Хувьзаяа</t>
  </si>
  <si>
    <t>Ану-Эрдэнэ</t>
  </si>
  <si>
    <t>Санжидзолбоо</t>
  </si>
  <si>
    <t xml:space="preserve">Цагаанбанди </t>
  </si>
  <si>
    <t>Буян-Арвижих</t>
  </si>
  <si>
    <t>Отгонтөгс</t>
  </si>
  <si>
    <t>Төгс-Эрдэнэ</t>
  </si>
  <si>
    <t>Маргад</t>
  </si>
  <si>
    <t>Энхбаясгалан</t>
  </si>
  <si>
    <t>Бурмаа</t>
  </si>
  <si>
    <t xml:space="preserve">Тамир </t>
  </si>
  <si>
    <t>Мөнхжаргалан</t>
  </si>
  <si>
    <t>Азжаргал</t>
  </si>
  <si>
    <t xml:space="preserve">Мөнх </t>
  </si>
  <si>
    <t>Нарангоо</t>
  </si>
  <si>
    <t>Номинзаяа</t>
  </si>
  <si>
    <t>Анударь</t>
  </si>
  <si>
    <t>Мөнхбат</t>
  </si>
  <si>
    <t>Түвшин</t>
  </si>
  <si>
    <t xml:space="preserve">Баттуул </t>
  </si>
  <si>
    <t>Бүрэнтөгс</t>
  </si>
  <si>
    <t>Номинзул</t>
  </si>
  <si>
    <t>Гантүшиг</t>
  </si>
  <si>
    <t>Мөнхзаяа</t>
  </si>
  <si>
    <t>Баярцогт</t>
  </si>
  <si>
    <t>Энхбат</t>
  </si>
  <si>
    <t>Мишээл</t>
  </si>
  <si>
    <t>Сүрэндорж</t>
  </si>
  <si>
    <t>Шинэбаяр</t>
  </si>
  <si>
    <t>Энххүслэн</t>
  </si>
  <si>
    <t>Мөнх-Эрдэнэ</t>
  </si>
  <si>
    <t xml:space="preserve">Ганбат </t>
  </si>
  <si>
    <t xml:space="preserve">Эрдэнтунгалаг </t>
  </si>
  <si>
    <t>Чинболор</t>
  </si>
  <si>
    <t>Эрдэнэбаяр</t>
  </si>
  <si>
    <t>Тэнгис</t>
  </si>
  <si>
    <t>Батзаяа</t>
  </si>
  <si>
    <t>Билэгсайн</t>
  </si>
  <si>
    <t>Аззаяа</t>
  </si>
  <si>
    <t>Эрдэнэхорол</t>
  </si>
  <si>
    <t>Цогбадрах</t>
  </si>
  <si>
    <t>Баттөгс</t>
  </si>
  <si>
    <t>Давааням</t>
  </si>
  <si>
    <t>Цэрэнсамбуу</t>
  </si>
  <si>
    <t>Энхбаяр</t>
  </si>
  <si>
    <t>Отгонбаяр</t>
  </si>
  <si>
    <t>Балжинням</t>
  </si>
  <si>
    <t>Тогтуур</t>
  </si>
  <si>
    <t>Энхсайхан</t>
  </si>
  <si>
    <t>Нанжид</t>
  </si>
  <si>
    <t>Мөнхжаргал</t>
  </si>
  <si>
    <t>Лхагвасүрэн</t>
  </si>
  <si>
    <t>Тэрбиш</t>
  </si>
  <si>
    <t>Магсаржав</t>
  </si>
  <si>
    <t>Бүүвэйбаатар</t>
  </si>
  <si>
    <t>Түмэнжаргал</t>
  </si>
  <si>
    <t>Отгонгэрэл</t>
  </si>
  <si>
    <t>Булган</t>
  </si>
  <si>
    <t>Эрдэнэчулуун</t>
  </si>
  <si>
    <t>Ганзориг</t>
  </si>
  <si>
    <t>Батсайхан</t>
  </si>
  <si>
    <t>Баяртогтох</t>
  </si>
  <si>
    <t>Сайханбилиг</t>
  </si>
  <si>
    <t>Наранхүү</t>
  </si>
  <si>
    <t>Гантулга</t>
  </si>
  <si>
    <t>Мөнхбаяр</t>
  </si>
  <si>
    <t>Отгонзориг</t>
  </si>
  <si>
    <t>Буянхүү</t>
  </si>
  <si>
    <t xml:space="preserve">Буяндэлгэр </t>
  </si>
  <si>
    <t>Баасандорж</t>
  </si>
  <si>
    <t>Отгонсүрэн</t>
  </si>
  <si>
    <t>Цэнд-Аюуш</t>
  </si>
  <si>
    <t>Батбаяр</t>
  </si>
  <si>
    <t>Чулуунбат</t>
  </si>
  <si>
    <t>Батдорж</t>
  </si>
  <si>
    <t xml:space="preserve">Мэндсайхан </t>
  </si>
  <si>
    <t>Цогтгэрэл</t>
  </si>
  <si>
    <t>Азбилиг</t>
  </si>
  <si>
    <t>Ганхуяг</t>
  </si>
  <si>
    <t>Дүгэрсүрэн</t>
  </si>
  <si>
    <t>Сурахбаяр</t>
  </si>
  <si>
    <t>Баттогтох</t>
  </si>
  <si>
    <t>Баттөмөр</t>
  </si>
  <si>
    <t>Авирмэд</t>
  </si>
  <si>
    <t>Батсүх</t>
  </si>
  <si>
    <t>Нэргүй</t>
  </si>
  <si>
    <t>Шагдарсүрэн</t>
  </si>
  <si>
    <t>Бадрал</t>
  </si>
  <si>
    <t>Өлзийбаяр</t>
  </si>
  <si>
    <t>Ууганбаяр</t>
  </si>
  <si>
    <t>Болд</t>
  </si>
  <si>
    <t>Байгаль</t>
  </si>
  <si>
    <t>Нямдорж</t>
  </si>
  <si>
    <t>Алтангэрэл</t>
  </si>
  <si>
    <t>Амар-Амгалан</t>
  </si>
  <si>
    <t>Отгонбат</t>
  </si>
  <si>
    <t>Дагва</t>
  </si>
  <si>
    <t>Гансүх</t>
  </si>
  <si>
    <t>Түвшинтөгс</t>
  </si>
  <si>
    <t>Мягмардорж</t>
  </si>
  <si>
    <t>Үнэнбат</t>
  </si>
  <si>
    <t>Бямбадорж</t>
  </si>
  <si>
    <t>Баярмөнх</t>
  </si>
  <si>
    <t>Батцэнгэл</t>
  </si>
  <si>
    <t>Баяраа</t>
  </si>
  <si>
    <t>Эрхбаяр</t>
  </si>
  <si>
    <t>Жагварал</t>
  </si>
  <si>
    <t>Анхбаяр</t>
  </si>
  <si>
    <t>Болдбаатар</t>
  </si>
  <si>
    <t>Батсүрэн</t>
  </si>
  <si>
    <t>Мөнхбаатар</t>
  </si>
  <si>
    <t>Баянмөнх</t>
  </si>
  <si>
    <t>Эсэнхүү</t>
  </si>
  <si>
    <t>Мягмарсүрэн</t>
  </si>
  <si>
    <t xml:space="preserve">Алтангэрэл </t>
  </si>
  <si>
    <t>Оюундарь</t>
  </si>
  <si>
    <t>Намсрай</t>
  </si>
  <si>
    <t>Эрдэнэбилэг</t>
  </si>
  <si>
    <t>Сэр - Од</t>
  </si>
  <si>
    <t>Баасанхүү</t>
  </si>
  <si>
    <t>Бөхбаатар</t>
  </si>
  <si>
    <t>Баянтөр</t>
  </si>
  <si>
    <t>Отгонхүү</t>
  </si>
  <si>
    <t>Даваажав</t>
  </si>
  <si>
    <t>Олонбаяр</t>
  </si>
  <si>
    <t>Алтанбаяр</t>
  </si>
  <si>
    <t xml:space="preserve">Батсүх </t>
  </si>
  <si>
    <t>Хүрэлбаатар</t>
  </si>
  <si>
    <t>Бямбарагчаа</t>
  </si>
  <si>
    <t xml:space="preserve">Болдхуяг </t>
  </si>
  <si>
    <t>Мөнхжин</t>
  </si>
  <si>
    <t>Сод-Эрхэс</t>
  </si>
  <si>
    <t xml:space="preserve"> Тэмүүлэн</t>
  </si>
  <si>
    <t xml:space="preserve">Цолмонхүү </t>
  </si>
  <si>
    <t xml:space="preserve"> Амина</t>
  </si>
  <si>
    <t xml:space="preserve"> Бүрэнтөгс</t>
  </si>
  <si>
    <t>Билгүүн</t>
  </si>
  <si>
    <t>Тэмүүлэн</t>
  </si>
  <si>
    <t>Тэмүүжин</t>
  </si>
  <si>
    <t xml:space="preserve"> Энхболд </t>
  </si>
  <si>
    <t xml:space="preserve"> Нандинцэцэг </t>
  </si>
  <si>
    <t>Соёмбо</t>
  </si>
  <si>
    <t>Маргад-Эрдэнэ</t>
  </si>
  <si>
    <t xml:space="preserve">Анхилуун </t>
  </si>
  <si>
    <t>Буянтогтох</t>
  </si>
  <si>
    <t>Наранзаяа</t>
  </si>
  <si>
    <t xml:space="preserve">Төгөлдөр </t>
  </si>
  <si>
    <t xml:space="preserve"> Бат-Орших</t>
  </si>
  <si>
    <t xml:space="preserve"> Буянхишиг</t>
  </si>
  <si>
    <t xml:space="preserve"> Хишигдэлгэр </t>
  </si>
  <si>
    <t xml:space="preserve">Үүрцайх </t>
  </si>
  <si>
    <t xml:space="preserve">Эрхэмбаяр </t>
  </si>
  <si>
    <t>Индра</t>
  </si>
  <si>
    <t>Сийлэгмаа</t>
  </si>
  <si>
    <t xml:space="preserve"> Баяртогтох </t>
  </si>
  <si>
    <t>Аялгуу</t>
  </si>
  <si>
    <t xml:space="preserve"> Ганбаяр</t>
  </si>
  <si>
    <t>Сарантуяа</t>
  </si>
  <si>
    <t>Шинэхүү</t>
  </si>
  <si>
    <t>Оюунсувд</t>
  </si>
  <si>
    <t xml:space="preserve"> Баатар-Эрдэнэ</t>
  </si>
  <si>
    <t xml:space="preserve">Манлай </t>
  </si>
  <si>
    <t xml:space="preserve"> Ачит </t>
  </si>
  <si>
    <t xml:space="preserve"> Солонго</t>
  </si>
  <si>
    <t xml:space="preserve">Оюундарь </t>
  </si>
  <si>
    <t xml:space="preserve">Баярсайхан </t>
  </si>
  <si>
    <t xml:space="preserve">Тодбаяр </t>
  </si>
  <si>
    <t xml:space="preserve">Уянга </t>
  </si>
  <si>
    <t>Мөнхдөл</t>
  </si>
  <si>
    <t>Гансувд</t>
  </si>
  <si>
    <t xml:space="preserve"> Маралмаа</t>
  </si>
  <si>
    <t>Алтантунгалаг</t>
  </si>
  <si>
    <t xml:space="preserve">Мөнхдөлгөөн </t>
  </si>
  <si>
    <t>Энэ-Үжин</t>
  </si>
  <si>
    <t>Энхжаргал</t>
  </si>
  <si>
    <t xml:space="preserve">Ананддарь </t>
  </si>
  <si>
    <t>Сайханбаяр</t>
  </si>
  <si>
    <t xml:space="preserve">Чинболор </t>
  </si>
  <si>
    <t>Номуунжин</t>
  </si>
  <si>
    <t>Батзул</t>
  </si>
  <si>
    <t xml:space="preserve"> Батбаатар</t>
  </si>
  <si>
    <t xml:space="preserve"> Намуунаа</t>
  </si>
  <si>
    <t>Н.Ган-Эрдэнэ</t>
  </si>
  <si>
    <t>Г.Чинхүслэн</t>
  </si>
  <si>
    <t>Б.Уранзаяа</t>
  </si>
  <si>
    <t>О.Дөлгөөн</t>
  </si>
  <si>
    <t>С.Гончигдорж</t>
  </si>
  <si>
    <t>М.Сүхбат</t>
  </si>
  <si>
    <t>Б.Тэмүүлэн</t>
  </si>
  <si>
    <t>Б.Мишээл</t>
  </si>
  <si>
    <t>Ч.Тогтохмаа</t>
  </si>
  <si>
    <t>Ч.Бат-Эрдэнэ</t>
  </si>
  <si>
    <t>Т.Наранзул</t>
  </si>
  <si>
    <t>Г.Мандахнар</t>
  </si>
  <si>
    <t>Ч.Мөнгөнчимэг</t>
  </si>
  <si>
    <t>Б.Ангараг</t>
  </si>
  <si>
    <t>Г.Далайцэрэн</t>
  </si>
  <si>
    <t>Б.Энх-Эрдэнэ</t>
  </si>
  <si>
    <t>Б.Мөнх-Оргил</t>
  </si>
  <si>
    <t>Б.Энхмаа</t>
  </si>
  <si>
    <t>З.Золбоо</t>
  </si>
  <si>
    <t>Б.Бат-Оргил</t>
  </si>
  <si>
    <t>Ч.Отгонзаяа</t>
  </si>
  <si>
    <t>Б.Түвшинтөгс</t>
  </si>
  <si>
    <t>Б.Өнөрбаян</t>
  </si>
  <si>
    <t>Т.Жинжийбадмаа</t>
  </si>
  <si>
    <t>Э.Төгөлдөр</t>
  </si>
  <si>
    <t>М.Өнөрзаяа</t>
  </si>
  <si>
    <t>М.Энх-Үжин</t>
  </si>
  <si>
    <t>С.Баясгалан</t>
  </si>
  <si>
    <t>Э.Шинэбаяр</t>
  </si>
  <si>
    <t>Н.Ариунбат</t>
  </si>
  <si>
    <t>А.Батзаяа</t>
  </si>
  <si>
    <t>Б.Мандалсүрэн</t>
  </si>
  <si>
    <t>Д.Гантамир</t>
  </si>
  <si>
    <t>Б.Уранбилэг</t>
  </si>
  <si>
    <t>А.Буянбадрах</t>
  </si>
  <si>
    <t>Б.Намхайжамц</t>
  </si>
  <si>
    <t>Г.Төгөлдөр</t>
  </si>
  <si>
    <t>Ө.Нарансайхан</t>
  </si>
  <si>
    <t>Т.Сэргэлэн</t>
  </si>
  <si>
    <t>Б.Жаргалсайхан</t>
  </si>
  <si>
    <t>Б.Бадар-Отгон</t>
  </si>
  <si>
    <t>Б.Нарванчин</t>
  </si>
  <si>
    <t>Р.Маргад</t>
  </si>
  <si>
    <t>Б.Мөнхсайхан</t>
  </si>
  <si>
    <t>Б.Булган</t>
  </si>
  <si>
    <t>Ц.Сугарбаяр</t>
  </si>
  <si>
    <t>Э.Амархүү</t>
  </si>
  <si>
    <t>Б.Азжаргал</t>
  </si>
  <si>
    <t>Э.Дөлгөөн</t>
  </si>
  <si>
    <t>Нямжав</t>
  </si>
  <si>
    <t>Одгэрэл</t>
  </si>
  <si>
    <t>Сүхбаатар</t>
  </si>
  <si>
    <t>Мөнх-очир</t>
  </si>
  <si>
    <t>Батхүү</t>
  </si>
  <si>
    <t>Баярмагнай</t>
  </si>
  <si>
    <t>Чойжил</t>
  </si>
  <si>
    <t>Төвсанаа</t>
  </si>
  <si>
    <t>Б.Сайханбилэг</t>
  </si>
  <si>
    <t>Чойжилжав</t>
  </si>
  <si>
    <t>Батболд</t>
  </si>
  <si>
    <t>Батжаргал</t>
  </si>
  <si>
    <t>Баатар</t>
  </si>
  <si>
    <t>Зоригоо</t>
  </si>
  <si>
    <t>Баттулга</t>
  </si>
  <si>
    <t>Чойнид</t>
  </si>
  <si>
    <t>Бямбацогт</t>
  </si>
  <si>
    <t>Бум-Эрдэнэ</t>
  </si>
  <si>
    <t>Энх-Оргил</t>
  </si>
  <si>
    <t>Мөнхзориг</t>
  </si>
  <si>
    <t>Сайнбилэг</t>
  </si>
  <si>
    <t>Энэбиш</t>
  </si>
  <si>
    <t>Нямгэрэл</t>
  </si>
  <si>
    <t>Амарсанаа</t>
  </si>
  <si>
    <t>Даваасүрэн</t>
  </si>
  <si>
    <t>Ганбаатар</t>
  </si>
  <si>
    <t>Өлзийсайхан</t>
  </si>
  <si>
    <t>Төгсжаргал</t>
  </si>
  <si>
    <t>Бат - Очир</t>
  </si>
  <si>
    <t>Ринчинсамбуу</t>
  </si>
  <si>
    <t>Баясгалан</t>
  </si>
  <si>
    <t xml:space="preserve">Батсайхан </t>
  </si>
  <si>
    <t xml:space="preserve">Цэрэннадмид </t>
  </si>
  <si>
    <t>Баярлах</t>
  </si>
  <si>
    <t>Эрдэнэ</t>
  </si>
  <si>
    <t>Ядмаа</t>
  </si>
  <si>
    <t>Лхагвагэрэл</t>
  </si>
  <si>
    <t>Басанжв</t>
  </si>
  <si>
    <t>Бямбасүрэн</t>
  </si>
  <si>
    <t>Балчин</t>
  </si>
  <si>
    <t xml:space="preserve">Амарболд </t>
  </si>
  <si>
    <t>Борис</t>
  </si>
  <si>
    <t>Чимэд</t>
  </si>
  <si>
    <t>Өсөхбаяр</t>
  </si>
  <si>
    <t>Цэрэнжээ</t>
  </si>
  <si>
    <t>Цэгмэд</t>
  </si>
  <si>
    <t>Цэдэвсүрэн</t>
  </si>
  <si>
    <t>Алтанцэцэг</t>
  </si>
  <si>
    <t>Долгорсрэн</t>
  </si>
  <si>
    <t>Сүхээ</t>
  </si>
  <si>
    <t>Баяа</t>
  </si>
  <si>
    <t>Сайнбаян</t>
  </si>
  <si>
    <t>Цэрэндорж</t>
  </si>
  <si>
    <t>Сүнжидмаа</t>
  </si>
  <si>
    <t>Бямбажав</t>
  </si>
  <si>
    <t xml:space="preserve">Чинбат </t>
  </si>
  <si>
    <t>Даваацэрэн</t>
  </si>
  <si>
    <t>Буянжаргал</t>
  </si>
  <si>
    <t>Цолмонхүү</t>
  </si>
  <si>
    <t>Энхмөнх</t>
  </si>
  <si>
    <t>Батцэнд</t>
  </si>
  <si>
    <t>Данзандагва</t>
  </si>
  <si>
    <t>Цэгмид</t>
  </si>
  <si>
    <t>Наранмандах</t>
  </si>
  <si>
    <t>Болдоо</t>
  </si>
  <si>
    <t>Батхуяг</t>
  </si>
  <si>
    <t>Гаадамба</t>
  </si>
  <si>
    <t>Адьяабазар</t>
  </si>
  <si>
    <t>Цэдэнбалжир</t>
  </si>
  <si>
    <t>Шинэбат</t>
  </si>
  <si>
    <t>Жуков</t>
  </si>
  <si>
    <t>Отгонтуяа</t>
  </si>
  <si>
    <t>Эрдэнэтогтох</t>
  </si>
  <si>
    <t>Гандирмаа</t>
  </si>
  <si>
    <t>Бат-Очир</t>
  </si>
  <si>
    <t>Нэмэх</t>
  </si>
  <si>
    <t>Цэдэндорж</t>
  </si>
  <si>
    <t>Ариунаа</t>
  </si>
  <si>
    <t>Бат-Уянга</t>
  </si>
  <si>
    <t>Чулуун</t>
  </si>
  <si>
    <t>Оюунтунгалаг</t>
  </si>
  <si>
    <t>Бадарч</t>
  </si>
  <si>
    <t>Эвэлсүрэн</t>
  </si>
  <si>
    <t>Үүрийнтуяа</t>
  </si>
  <si>
    <t>Үрлээ</t>
  </si>
  <si>
    <t>Анхтамжид</t>
  </si>
  <si>
    <t>Норслой</t>
  </si>
  <si>
    <t>Номинцэцэг</t>
  </si>
  <si>
    <t>Баасанжав</t>
  </si>
  <si>
    <t>Дариймаа</t>
  </si>
  <si>
    <t>Батдэлгэр</t>
  </si>
  <si>
    <t>Батмөнх</t>
  </si>
  <si>
    <t>Увс</t>
  </si>
  <si>
    <t>Ж.Барсүрэн</t>
  </si>
  <si>
    <t>Отгонжаргал</t>
  </si>
  <si>
    <t>Цагаан</t>
  </si>
  <si>
    <t>Энхтүвшин</t>
  </si>
  <si>
    <t>Цэнгэл</t>
  </si>
  <si>
    <t>Түмэнбаяр</t>
  </si>
  <si>
    <t>Дагвадорж</t>
  </si>
  <si>
    <t>Чинбат</t>
  </si>
  <si>
    <t>Дөл</t>
  </si>
  <si>
    <t>Түвшинбат</t>
  </si>
  <si>
    <t>Коля</t>
  </si>
  <si>
    <t>Номуунгэрэл</t>
  </si>
  <si>
    <t>Ганболд</t>
  </si>
  <si>
    <t>Одонжаргал</t>
  </si>
  <si>
    <t>Батбуян</t>
  </si>
  <si>
    <t>Тулнаран</t>
  </si>
  <si>
    <t>Оюун-Эрдэнэ</t>
  </si>
  <si>
    <t>Өлзийлхам</t>
  </si>
  <si>
    <t>Буян-Орших</t>
  </si>
  <si>
    <t>Батчимэг</t>
  </si>
  <si>
    <t>Цэвээн</t>
  </si>
  <si>
    <t>Цэвээнжав</t>
  </si>
  <si>
    <t>Өнөрбаяр</t>
  </si>
  <si>
    <t>Ганхүлэг</t>
  </si>
  <si>
    <t>Өсөхжаргал</t>
  </si>
  <si>
    <t>Төмөрсүх</t>
  </si>
  <si>
    <t>Цолмон</t>
  </si>
  <si>
    <t>Ганпүрэв</t>
  </si>
  <si>
    <t>Түвшинжаргал</t>
  </si>
  <si>
    <t>Болормаа</t>
  </si>
  <si>
    <t>Төгөлдөр</t>
  </si>
  <si>
    <t>Эрдэнэбаатар</t>
  </si>
  <si>
    <t>Одончимэд</t>
  </si>
  <si>
    <t>Буянхишиг</t>
  </si>
  <si>
    <t>Наадам</t>
  </si>
  <si>
    <t>Жамсран</t>
  </si>
  <si>
    <t>Жанцансамбуу</t>
  </si>
  <si>
    <t>Пүрэвсүрэн</t>
  </si>
  <si>
    <t>Алтанмягмар</t>
  </si>
  <si>
    <t>Б</t>
  </si>
  <si>
    <t>Сайнзаяа</t>
  </si>
  <si>
    <t>Сүхбат</t>
  </si>
  <si>
    <t>Ням-Очир</t>
  </si>
  <si>
    <t>Гүрбадам</t>
  </si>
  <si>
    <t>Сувд-Эрдэнэ</t>
  </si>
  <si>
    <t>Жамьяандорж</t>
  </si>
  <si>
    <t xml:space="preserve">Жаргалсайхан </t>
  </si>
  <si>
    <t>Давагдорж</t>
  </si>
  <si>
    <t>Дашдорж</t>
  </si>
  <si>
    <t>Отгонзул</t>
  </si>
  <si>
    <t>Жамсранжав</t>
  </si>
  <si>
    <t>Мэндсайхан</t>
  </si>
  <si>
    <t>Урнаа</t>
  </si>
  <si>
    <t>Эрдэнэсүрэн</t>
  </si>
  <si>
    <t>Батчулуун</t>
  </si>
  <si>
    <t>Даваахүү</t>
  </si>
  <si>
    <t>Сэлэнгэ</t>
  </si>
  <si>
    <t>Нансал</t>
  </si>
  <si>
    <t>Оюунцэцэг</t>
  </si>
  <si>
    <t>Пүрэвсайхан</t>
  </si>
  <si>
    <t xml:space="preserve">Халиунаа </t>
  </si>
  <si>
    <t>Батнасан</t>
  </si>
  <si>
    <t>Эрдэнэочир</t>
  </si>
  <si>
    <t xml:space="preserve">Дуламжав </t>
  </si>
  <si>
    <t>Ядамсүрэн</t>
  </si>
  <si>
    <t>Цэрэнханд</t>
  </si>
  <si>
    <t>Самбуу</t>
  </si>
  <si>
    <t>Марта</t>
  </si>
  <si>
    <t>Будханд</t>
  </si>
  <si>
    <t>Төгсзаяа</t>
  </si>
  <si>
    <t>Дамдин</t>
  </si>
  <si>
    <t>Одонхүү</t>
  </si>
  <si>
    <t>Бямба</t>
  </si>
  <si>
    <t>Ичинхорлоо</t>
  </si>
  <si>
    <t>Бямбаа</t>
  </si>
  <si>
    <t>Амгалан</t>
  </si>
  <si>
    <t>Мөнхрэгзэн</t>
  </si>
  <si>
    <t>Нямдолгор</t>
  </si>
  <si>
    <t>Уртнасан</t>
  </si>
  <si>
    <t>Мөнгөнтуяа</t>
  </si>
  <si>
    <t>Өнөржаргал</t>
  </si>
  <si>
    <t xml:space="preserve">Нямцэнд </t>
  </si>
  <si>
    <t>Төмөр</t>
  </si>
  <si>
    <t>Цэндаюуш</t>
  </si>
  <si>
    <t>Эрдэнэцэцэг</t>
  </si>
  <si>
    <t>Зидаабазар</t>
  </si>
  <si>
    <t>Пүрэвжаргал</t>
  </si>
  <si>
    <t>Эрдэнэбат</t>
  </si>
  <si>
    <t>Тунгалаг</t>
  </si>
  <si>
    <t>Тайван</t>
  </si>
  <si>
    <t>Батэрдэнэ</t>
  </si>
  <si>
    <t xml:space="preserve">Бодолцолмон </t>
  </si>
  <si>
    <t>Нямсүрэн</t>
  </si>
  <si>
    <t>Насанжаргал</t>
  </si>
  <si>
    <t>Оюунгэрэл</t>
  </si>
  <si>
    <t>Дээмээ</t>
  </si>
  <si>
    <t>Цэдэнбал</t>
  </si>
  <si>
    <t>Басаадай</t>
  </si>
  <si>
    <t>Цэрэндаш</t>
  </si>
  <si>
    <t>Гантуяа</t>
  </si>
  <si>
    <t>Нарантуяа</t>
  </si>
  <si>
    <t>Мандах</t>
  </si>
  <si>
    <t>Баярцэцэг</t>
  </si>
  <si>
    <t>Даваа</t>
  </si>
  <si>
    <t>Калина</t>
  </si>
  <si>
    <t>Гүржав</t>
  </si>
  <si>
    <t>Мэндбаяр</t>
  </si>
  <si>
    <t>Отгон</t>
  </si>
  <si>
    <t>Жавзан</t>
  </si>
  <si>
    <t>Дуламжав</t>
  </si>
  <si>
    <t>Далай</t>
  </si>
  <si>
    <t>Долгорсүрэн</t>
  </si>
  <si>
    <t>Цээпэл</t>
  </si>
  <si>
    <t>Сүрэн</t>
  </si>
  <si>
    <t>Одбаяр</t>
  </si>
  <si>
    <t>Тангад</t>
  </si>
  <si>
    <t>Сайнбуян</t>
  </si>
  <si>
    <t>Өлзийхутаг</t>
  </si>
  <si>
    <t xml:space="preserve">Пүрэвдорж </t>
  </si>
  <si>
    <t>Балдансүрэн</t>
  </si>
  <si>
    <t>Туул</t>
  </si>
  <si>
    <t>Санжжав</t>
  </si>
  <si>
    <t>Пагма</t>
  </si>
  <si>
    <t>Жанчиг</t>
  </si>
  <si>
    <t>Энхцэцэг</t>
  </si>
  <si>
    <t>Өлзий</t>
  </si>
  <si>
    <t>Оюунням</t>
  </si>
  <si>
    <t>Уранчимэг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</si>
</sst>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0"/>
      <name val="Arial"/>
      <family val="2"/>
    </font>
    <font>
      <u/>
      <sz val="10"/>
      <color theme="10"/>
      <name val="Arial"/>
      <family val="2"/>
    </font>
    <font>
      <sz val="10"/>
      <color indexed="63"/>
      <name val="Arial"/>
      <family val="2"/>
    </font>
    <font>
      <sz val="11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sz val="10"/>
      <color rgb="FF212529"/>
      <name val="Arial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0"/>
      <color theme="1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11"/>
      <color rgb="FF212529"/>
      <name val="Arial"/>
      <family val="2"/>
    </font>
    <font>
      <sz val="11"/>
      <color indexed="63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0"/>
      <name val="Arial"/>
      <charset val="134"/>
    </font>
    <font>
      <sz val="10"/>
      <color indexed="8"/>
      <name val="Arial"/>
      <charset val="134"/>
    </font>
    <font>
      <sz val="10"/>
      <color indexed="63"/>
      <name val="Arial"/>
      <charset val="134"/>
    </font>
    <font>
      <b/>
      <sz val="10"/>
      <color indexed="8"/>
      <name val="Arial"/>
      <charset val="134"/>
    </font>
    <font>
      <sz val="11"/>
      <color indexed="8"/>
      <name val="Arial"/>
      <charset val="134"/>
    </font>
    <font>
      <sz val="11"/>
      <color indexed="63"/>
      <name val="Arial"/>
      <charset val="134"/>
    </font>
    <font>
      <sz val="10"/>
      <color indexed="63"/>
      <name val="Segoe UI"/>
      <charset val="134"/>
    </font>
    <font>
      <b/>
      <sz val="11"/>
      <color indexed="8"/>
      <name val="Arial"/>
      <charset val="134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8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/>
    </xf>
    <xf numFmtId="0" fontId="3" fillId="0" borderId="1" xfId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/>
    <xf numFmtId="0" fontId="3" fillId="0" borderId="0" xfId="0" applyFont="1" applyAlignment="1">
      <alignment horizontal="left"/>
    </xf>
    <xf numFmtId="0" fontId="3" fillId="0" borderId="1" xfId="0" applyFont="1" applyBorder="1" applyAlignment="1">
      <alignment wrapText="1"/>
    </xf>
    <xf numFmtId="0" fontId="0" fillId="0" borderId="0" xfId="0" applyAlignment="1">
      <alignment horizontal="left"/>
    </xf>
    <xf numFmtId="0" fontId="0" fillId="0" borderId="1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0" fillId="0" borderId="1" xfId="0" applyBorder="1"/>
    <xf numFmtId="0" fontId="14" fillId="0" borderId="1" xfId="0" applyFont="1" applyBorder="1"/>
    <xf numFmtId="0" fontId="14" fillId="0" borderId="1" xfId="0" applyFont="1" applyBorder="1" applyAlignment="1">
      <alignment horizontal="left"/>
    </xf>
    <xf numFmtId="0" fontId="9" fillId="0" borderId="0" xfId="0" applyFont="1"/>
    <xf numFmtId="0" fontId="1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5" fillId="0" borderId="1" xfId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0" borderId="0" xfId="0" applyFont="1"/>
    <xf numFmtId="0" fontId="16" fillId="0" borderId="2" xfId="0" applyFont="1" applyBorder="1"/>
    <xf numFmtId="0" fontId="17" fillId="0" borderId="2" xfId="0" applyFont="1" applyBorder="1" applyAlignment="1">
      <alignment horizontal="left" vertical="center" wrapText="1"/>
    </xf>
    <xf numFmtId="0" fontId="1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6" fillId="0" borderId="1" xfId="0" applyFont="1" applyBorder="1"/>
    <xf numFmtId="0" fontId="17" fillId="0" borderId="1" xfId="0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/>
    <xf numFmtId="0" fontId="16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 wrapText="1"/>
    </xf>
    <xf numFmtId="0" fontId="21" fillId="0" borderId="2" xfId="0" applyFont="1" applyBorder="1" applyAlignment="1">
      <alignment vertical="center" wrapText="1"/>
    </xf>
    <xf numFmtId="0" fontId="20" fillId="0" borderId="2" xfId="0" applyFont="1" applyBorder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0" fontId="20" fillId="0" borderId="2" xfId="0" applyFont="1" applyBorder="1"/>
    <xf numFmtId="0" fontId="22" fillId="0" borderId="2" xfId="0" applyFont="1" applyBorder="1"/>
    <xf numFmtId="0" fontId="20" fillId="0" borderId="2" xfId="0" applyFont="1" applyBorder="1" applyAlignment="1">
      <alignment horizontal="left"/>
    </xf>
    <xf numFmtId="0" fontId="17" fillId="2" borderId="2" xfId="0" applyFont="1" applyFill="1" applyBorder="1" applyAlignment="1">
      <alignment horizontal="left"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/>
    </xf>
    <xf numFmtId="0" fontId="16" fillId="0" borderId="5" xfId="0" applyFont="1" applyBorder="1"/>
    <xf numFmtId="0" fontId="4" fillId="0" borderId="2" xfId="0" applyFont="1" applyBorder="1" applyAlignment="1">
      <alignment horizontal="center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16" fillId="0" borderId="4" xfId="0" applyFont="1" applyBorder="1"/>
    <xf numFmtId="0" fontId="17" fillId="0" borderId="3" xfId="0" applyFont="1" applyBorder="1" applyAlignment="1">
      <alignment horizontal="center" vertical="center" wrapText="1"/>
    </xf>
    <xf numFmtId="0" fontId="15" fillId="0" borderId="7" xfId="1" applyFont="1" applyFill="1" applyBorder="1" applyAlignment="1">
      <alignment horizontal="center" vertical="center" wrapText="1"/>
    </xf>
    <xf numFmtId="0" fontId="10" fillId="0" borderId="7" xfId="0" applyFont="1" applyBorder="1" applyAlignment="1">
      <alignment vertical="center" wrapText="1"/>
    </xf>
    <xf numFmtId="0" fontId="10" fillId="3" borderId="7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24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17" fillId="2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mo.mn/olympiads/achievements/213151/" TargetMode="External"/><Relationship Id="rId13" Type="http://schemas.openxmlformats.org/officeDocument/2006/relationships/hyperlink" Target="https://mmo.mn/olympiads/achievements/213170/" TargetMode="External"/><Relationship Id="rId18" Type="http://schemas.openxmlformats.org/officeDocument/2006/relationships/hyperlink" Target="https://www.mmo.mn/olympiads/achievements/187146/" TargetMode="External"/><Relationship Id="rId26" Type="http://schemas.openxmlformats.org/officeDocument/2006/relationships/hyperlink" Target="https://www.mmo.mn/olympiads/achievements/183271/" TargetMode="External"/><Relationship Id="rId3" Type="http://schemas.openxmlformats.org/officeDocument/2006/relationships/hyperlink" Target="https://mmo.mn/olympiads/achievements/213141/" TargetMode="External"/><Relationship Id="rId21" Type="http://schemas.openxmlformats.org/officeDocument/2006/relationships/hyperlink" Target="https://mmo.mn/olympiads/achievements/182762/" TargetMode="External"/><Relationship Id="rId34" Type="http://schemas.openxmlformats.org/officeDocument/2006/relationships/hyperlink" Target="https://mmo.mn/olympiads/achievements/186777/" TargetMode="External"/><Relationship Id="rId7" Type="http://schemas.openxmlformats.org/officeDocument/2006/relationships/hyperlink" Target="https://mmo.mn/olympiads/achievements/182360/" TargetMode="External"/><Relationship Id="rId12" Type="http://schemas.openxmlformats.org/officeDocument/2006/relationships/hyperlink" Target="https://mmo.mn/olympiads/achievements/190772/" TargetMode="External"/><Relationship Id="rId17" Type="http://schemas.openxmlformats.org/officeDocument/2006/relationships/hyperlink" Target="https://mmo.mn/olympiads/achievements/213153/" TargetMode="External"/><Relationship Id="rId25" Type="http://schemas.openxmlformats.org/officeDocument/2006/relationships/hyperlink" Target="https://mmo.mn/olympiads/achievements/186777/" TargetMode="External"/><Relationship Id="rId33" Type="http://schemas.openxmlformats.org/officeDocument/2006/relationships/hyperlink" Target="https://mmo.mn/olympiads/achievements/186788/" TargetMode="External"/><Relationship Id="rId2" Type="http://schemas.openxmlformats.org/officeDocument/2006/relationships/hyperlink" Target="https://mmo.mn/olympiads/achievements/182742/" TargetMode="External"/><Relationship Id="rId16" Type="http://schemas.openxmlformats.org/officeDocument/2006/relationships/hyperlink" Target="https://mmo.mn/olympiads/achievements/213174/" TargetMode="External"/><Relationship Id="rId20" Type="http://schemas.openxmlformats.org/officeDocument/2006/relationships/hyperlink" Target="https://mmo.mn/olympiads/achievements/213171/" TargetMode="External"/><Relationship Id="rId29" Type="http://schemas.openxmlformats.org/officeDocument/2006/relationships/hyperlink" Target="https://mmo.mn/olympiads/achievements/190775/" TargetMode="External"/><Relationship Id="rId1" Type="http://schemas.openxmlformats.org/officeDocument/2006/relationships/hyperlink" Target="https://mmo.mn/olympiads/achievements/204321/" TargetMode="External"/><Relationship Id="rId6" Type="http://schemas.openxmlformats.org/officeDocument/2006/relationships/hyperlink" Target="https://mmo.mn/olympiads/achievements/137285/" TargetMode="External"/><Relationship Id="rId11" Type="http://schemas.openxmlformats.org/officeDocument/2006/relationships/hyperlink" Target="https://mmo.mn/olympiads/achievements/130433/" TargetMode="External"/><Relationship Id="rId24" Type="http://schemas.openxmlformats.org/officeDocument/2006/relationships/hyperlink" Target="https://mmo.mn/olympiads/achievements/197622/" TargetMode="External"/><Relationship Id="rId32" Type="http://schemas.openxmlformats.org/officeDocument/2006/relationships/hyperlink" Target="https://www.mmo.mn/olympiads/achievements/121645/" TargetMode="External"/><Relationship Id="rId5" Type="http://schemas.openxmlformats.org/officeDocument/2006/relationships/hyperlink" Target="https://www.mmo.mn/olympiads/achievements/188176/" TargetMode="External"/><Relationship Id="rId15" Type="http://schemas.openxmlformats.org/officeDocument/2006/relationships/hyperlink" Target="https://mmo.mn/olympiads/achievements/201627/" TargetMode="External"/><Relationship Id="rId23" Type="http://schemas.openxmlformats.org/officeDocument/2006/relationships/hyperlink" Target="https://mmo.mn/olympiads/achievements/204328/" TargetMode="External"/><Relationship Id="rId28" Type="http://schemas.openxmlformats.org/officeDocument/2006/relationships/hyperlink" Target="https://mmo.mn/olympiads/achievements/187996/" TargetMode="External"/><Relationship Id="rId36" Type="http://schemas.openxmlformats.org/officeDocument/2006/relationships/hyperlink" Target="https://mmo.mn/olympiads/achievements/187819/" TargetMode="External"/><Relationship Id="rId10" Type="http://schemas.openxmlformats.org/officeDocument/2006/relationships/hyperlink" Target="https://www.mmo.mn/olympiads/achievements/187146/" TargetMode="External"/><Relationship Id="rId19" Type="http://schemas.openxmlformats.org/officeDocument/2006/relationships/hyperlink" Target="https://www.mmo.mn/olympiads/achievements/187003/" TargetMode="External"/><Relationship Id="rId31" Type="http://schemas.openxmlformats.org/officeDocument/2006/relationships/hyperlink" Target="https://mmo.mn/olympiads/achievements/213179/" TargetMode="External"/><Relationship Id="rId4" Type="http://schemas.openxmlformats.org/officeDocument/2006/relationships/hyperlink" Target="https://mmo.mn/olympiads/achievements/190776/" TargetMode="External"/><Relationship Id="rId9" Type="http://schemas.openxmlformats.org/officeDocument/2006/relationships/hyperlink" Target="https://mmo.mn/olympiads/achievements/213143/" TargetMode="External"/><Relationship Id="rId14" Type="http://schemas.openxmlformats.org/officeDocument/2006/relationships/hyperlink" Target="https://mmo.mn/olympiads/achievements/190773/" TargetMode="External"/><Relationship Id="rId22" Type="http://schemas.openxmlformats.org/officeDocument/2006/relationships/hyperlink" Target="https://www.mmo.mn/olympiads/achievements/187170/" TargetMode="External"/><Relationship Id="rId27" Type="http://schemas.openxmlformats.org/officeDocument/2006/relationships/hyperlink" Target="https://mmo.mn/olympiads/achievements/213170/" TargetMode="External"/><Relationship Id="rId30" Type="http://schemas.openxmlformats.org/officeDocument/2006/relationships/hyperlink" Target="https://mmo.mn/olympiads/achievements/213147/" TargetMode="External"/><Relationship Id="rId35" Type="http://schemas.openxmlformats.org/officeDocument/2006/relationships/hyperlink" Target="https://mmo.mn/olympiads/achievements/181362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mo.mn/olympiads/achievements/120268/" TargetMode="External"/><Relationship Id="rId13" Type="http://schemas.openxmlformats.org/officeDocument/2006/relationships/hyperlink" Target="https://www.mmo.mn/olympiads/achievements/120661/" TargetMode="External"/><Relationship Id="rId18" Type="http://schemas.openxmlformats.org/officeDocument/2006/relationships/hyperlink" Target="https://mmo.mn/olympiads/achievements/203963/" TargetMode="External"/><Relationship Id="rId26" Type="http://schemas.openxmlformats.org/officeDocument/2006/relationships/hyperlink" Target="https://www.mmo.mn/olympiads/achievements/115600/" TargetMode="External"/><Relationship Id="rId3" Type="http://schemas.openxmlformats.org/officeDocument/2006/relationships/hyperlink" Target="https://mmo.mn/olympiads/achievements/126003/" TargetMode="External"/><Relationship Id="rId21" Type="http://schemas.openxmlformats.org/officeDocument/2006/relationships/hyperlink" Target="https://mmo.mn/olympiads/achievements/137352/" TargetMode="External"/><Relationship Id="rId7" Type="http://schemas.openxmlformats.org/officeDocument/2006/relationships/hyperlink" Target="https://mmo.mn/olympiads/achievements/136586/" TargetMode="External"/><Relationship Id="rId12" Type="http://schemas.openxmlformats.org/officeDocument/2006/relationships/hyperlink" Target="https://mmo.mn/olympiads/achievements/120384/" TargetMode="External"/><Relationship Id="rId17" Type="http://schemas.openxmlformats.org/officeDocument/2006/relationships/hyperlink" Target="https://www.mmo.mn/olympiads/achievements/120610/" TargetMode="External"/><Relationship Id="rId25" Type="http://schemas.openxmlformats.org/officeDocument/2006/relationships/hyperlink" Target="https://www.mmo.mn/olympiads/achievements/115313/" TargetMode="External"/><Relationship Id="rId33" Type="http://schemas.openxmlformats.org/officeDocument/2006/relationships/hyperlink" Target="https://www.mmo.mn/olympiads/achievements/183114/" TargetMode="External"/><Relationship Id="rId2" Type="http://schemas.openxmlformats.org/officeDocument/2006/relationships/hyperlink" Target="https://mmo.mn/olympiads/achievements/125954/" TargetMode="External"/><Relationship Id="rId16" Type="http://schemas.openxmlformats.org/officeDocument/2006/relationships/hyperlink" Target="https://mmo.mn/olympiads/achievements/121423/" TargetMode="External"/><Relationship Id="rId20" Type="http://schemas.openxmlformats.org/officeDocument/2006/relationships/hyperlink" Target="https://mmo.mn/olympiads/achievements/122228/" TargetMode="External"/><Relationship Id="rId29" Type="http://schemas.openxmlformats.org/officeDocument/2006/relationships/hyperlink" Target="https://www.mmo.mn/olympiads/achievements/120777/" TargetMode="External"/><Relationship Id="rId1" Type="http://schemas.openxmlformats.org/officeDocument/2006/relationships/hyperlink" Target="https://mmo.mn/olympiads/achievements/120102/" TargetMode="External"/><Relationship Id="rId6" Type="http://schemas.openxmlformats.org/officeDocument/2006/relationships/hyperlink" Target="https://mmo.mn/olympiads/achievements/84177/" TargetMode="External"/><Relationship Id="rId11" Type="http://schemas.openxmlformats.org/officeDocument/2006/relationships/hyperlink" Target="https://mmo.mn/olympiads/achievements/120281/" TargetMode="External"/><Relationship Id="rId24" Type="http://schemas.openxmlformats.org/officeDocument/2006/relationships/hyperlink" Target="https://mmo.mn/olympiads/achievements/137187/" TargetMode="External"/><Relationship Id="rId32" Type="http://schemas.openxmlformats.org/officeDocument/2006/relationships/hyperlink" Target="https://mmo.mn/olympiads/achievements/120767/" TargetMode="External"/><Relationship Id="rId5" Type="http://schemas.openxmlformats.org/officeDocument/2006/relationships/hyperlink" Target="https://www.mmo.mn/olympiads/achievements/84368/" TargetMode="External"/><Relationship Id="rId15" Type="http://schemas.openxmlformats.org/officeDocument/2006/relationships/hyperlink" Target="https://mmo.mn/olympiads/achievements/120251/" TargetMode="External"/><Relationship Id="rId23" Type="http://schemas.openxmlformats.org/officeDocument/2006/relationships/hyperlink" Target="https://mmo.mn/olympiads/achievements/130145/" TargetMode="External"/><Relationship Id="rId28" Type="http://schemas.openxmlformats.org/officeDocument/2006/relationships/hyperlink" Target="https://mmo.mn/olympiads/achievements/208962/" TargetMode="External"/><Relationship Id="rId10" Type="http://schemas.openxmlformats.org/officeDocument/2006/relationships/hyperlink" Target="https://mmo.mn/olympiads/achievements/88283/" TargetMode="External"/><Relationship Id="rId19" Type="http://schemas.openxmlformats.org/officeDocument/2006/relationships/hyperlink" Target="https://mmo.mn/olympiads/achievements/182873/" TargetMode="External"/><Relationship Id="rId31" Type="http://schemas.openxmlformats.org/officeDocument/2006/relationships/hyperlink" Target="https://mmo.mn/olympiads/achievements/137576/" TargetMode="External"/><Relationship Id="rId4" Type="http://schemas.openxmlformats.org/officeDocument/2006/relationships/hyperlink" Target="https://mmo.mn/olympiads/achievements/122400/" TargetMode="External"/><Relationship Id="rId9" Type="http://schemas.openxmlformats.org/officeDocument/2006/relationships/hyperlink" Target="https://mmo.mn/olympiads/achievements/75642/" TargetMode="External"/><Relationship Id="rId14" Type="http://schemas.openxmlformats.org/officeDocument/2006/relationships/hyperlink" Target="https://www.mmo.mn/olympiads/achievements/120635/" TargetMode="External"/><Relationship Id="rId22" Type="http://schemas.openxmlformats.org/officeDocument/2006/relationships/hyperlink" Target="https://www.mmo.mn/olympiads/achievements/120583/" TargetMode="External"/><Relationship Id="rId27" Type="http://schemas.openxmlformats.org/officeDocument/2006/relationships/hyperlink" Target="https://www.mmo.mn/olympiads/achievements/120726/" TargetMode="External"/><Relationship Id="rId30" Type="http://schemas.openxmlformats.org/officeDocument/2006/relationships/hyperlink" Target="https://mmo.mn/olympiads/achievements/183127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mmo.mn/olympiads/achievements/85805/" TargetMode="External"/><Relationship Id="rId13" Type="http://schemas.openxmlformats.org/officeDocument/2006/relationships/hyperlink" Target="https://mmo.mn/olympiads/achievements/186512/" TargetMode="External"/><Relationship Id="rId18" Type="http://schemas.openxmlformats.org/officeDocument/2006/relationships/hyperlink" Target="https://mmo.mn/olympiads/achievements/129691/" TargetMode="External"/><Relationship Id="rId26" Type="http://schemas.openxmlformats.org/officeDocument/2006/relationships/hyperlink" Target="https://mmo.mn/olympiads/achievements/120264/" TargetMode="External"/><Relationship Id="rId3" Type="http://schemas.openxmlformats.org/officeDocument/2006/relationships/hyperlink" Target="https://mmo.mn/olympiads/achievements/20238/" TargetMode="External"/><Relationship Id="rId21" Type="http://schemas.openxmlformats.org/officeDocument/2006/relationships/hyperlink" Target="https://mmo.mn/olympiads/achievements/86015/" TargetMode="External"/><Relationship Id="rId7" Type="http://schemas.openxmlformats.org/officeDocument/2006/relationships/hyperlink" Target="https://mmo.mn/olympiads/achievements/127609/" TargetMode="External"/><Relationship Id="rId12" Type="http://schemas.openxmlformats.org/officeDocument/2006/relationships/hyperlink" Target="https://mmo.mn/olympiads/achievements/84353/" TargetMode="External"/><Relationship Id="rId17" Type="http://schemas.openxmlformats.org/officeDocument/2006/relationships/hyperlink" Target="https://mmo.mn/olympiads/achievements/84280/" TargetMode="External"/><Relationship Id="rId25" Type="http://schemas.openxmlformats.org/officeDocument/2006/relationships/hyperlink" Target="https://mmo.mn/olympiads/achievements/127793/" TargetMode="External"/><Relationship Id="rId2" Type="http://schemas.openxmlformats.org/officeDocument/2006/relationships/hyperlink" Target="https://mmo.mn/olympiads/achievements/129754/" TargetMode="External"/><Relationship Id="rId16" Type="http://schemas.openxmlformats.org/officeDocument/2006/relationships/hyperlink" Target="https://mmo.mn/olympiads/achievements/127551/" TargetMode="External"/><Relationship Id="rId20" Type="http://schemas.openxmlformats.org/officeDocument/2006/relationships/hyperlink" Target="https://mmo.mn/olympiads/achievements/186520/" TargetMode="External"/><Relationship Id="rId29" Type="http://schemas.openxmlformats.org/officeDocument/2006/relationships/hyperlink" Target="https://mmo.mn/olympiads/achievements/159140/" TargetMode="External"/><Relationship Id="rId1" Type="http://schemas.openxmlformats.org/officeDocument/2006/relationships/hyperlink" Target="https://mmo.mn/olympiads/achievements/180132/" TargetMode="External"/><Relationship Id="rId6" Type="http://schemas.openxmlformats.org/officeDocument/2006/relationships/hyperlink" Target="https://mmo.mn/olympiads/achievements/84264/" TargetMode="External"/><Relationship Id="rId11" Type="http://schemas.openxmlformats.org/officeDocument/2006/relationships/hyperlink" Target="https://mmo.mn/olympiads/achievements/85663/" TargetMode="External"/><Relationship Id="rId24" Type="http://schemas.openxmlformats.org/officeDocument/2006/relationships/hyperlink" Target="https://mmo.mn/olympiads/achievements/127398/" TargetMode="External"/><Relationship Id="rId32" Type="http://schemas.openxmlformats.org/officeDocument/2006/relationships/hyperlink" Target="https://www.mmo.mn/olympiads/achievements/115340/" TargetMode="External"/><Relationship Id="rId5" Type="http://schemas.openxmlformats.org/officeDocument/2006/relationships/hyperlink" Target="https://mmo.mn/olympiads/achievements/129784/" TargetMode="External"/><Relationship Id="rId15" Type="http://schemas.openxmlformats.org/officeDocument/2006/relationships/hyperlink" Target="https://mmo.mn/olympiads/achievements/85036/" TargetMode="External"/><Relationship Id="rId23" Type="http://schemas.openxmlformats.org/officeDocument/2006/relationships/hyperlink" Target="https://mmo.mn/olympiads/achievements/127823/" TargetMode="External"/><Relationship Id="rId28" Type="http://schemas.openxmlformats.org/officeDocument/2006/relationships/hyperlink" Target="https://mmo.mn/olympiads/achievements/135441/" TargetMode="External"/><Relationship Id="rId10" Type="http://schemas.openxmlformats.org/officeDocument/2006/relationships/hyperlink" Target="https://mmo.mn/olympiads/achievements/88108/" TargetMode="External"/><Relationship Id="rId19" Type="http://schemas.openxmlformats.org/officeDocument/2006/relationships/hyperlink" Target="https://www.mmo.mn/olympiads/achievements/186673/" TargetMode="External"/><Relationship Id="rId31" Type="http://schemas.openxmlformats.org/officeDocument/2006/relationships/hyperlink" Target="https://www.mmo.mn/olympiads/achievements/121648/" TargetMode="External"/><Relationship Id="rId4" Type="http://schemas.openxmlformats.org/officeDocument/2006/relationships/hyperlink" Target="https://mmo.mn/olympiads/achievements/136446/" TargetMode="External"/><Relationship Id="rId9" Type="http://schemas.openxmlformats.org/officeDocument/2006/relationships/hyperlink" Target="https://mmo.mn/olympiads/achievements/78603/" TargetMode="External"/><Relationship Id="rId14" Type="http://schemas.openxmlformats.org/officeDocument/2006/relationships/hyperlink" Target="https://www.mmo.mn/olympiads/achievements/84426/" TargetMode="External"/><Relationship Id="rId22" Type="http://schemas.openxmlformats.org/officeDocument/2006/relationships/hyperlink" Target="https://www.mmo.mn/olympiads/achievements/115395/" TargetMode="External"/><Relationship Id="rId27" Type="http://schemas.openxmlformats.org/officeDocument/2006/relationships/hyperlink" Target="https://www.mmo.mn/olympiads/achievements/186665/" TargetMode="External"/><Relationship Id="rId30" Type="http://schemas.openxmlformats.org/officeDocument/2006/relationships/hyperlink" Target="https://www.mmo.mn/olympiads/achievements/187622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mmo.mn/olympiads/achievements/137222/" TargetMode="External"/><Relationship Id="rId13" Type="http://schemas.openxmlformats.org/officeDocument/2006/relationships/hyperlink" Target="https://mmo.mn/olympiads/achievements/87844/" TargetMode="External"/><Relationship Id="rId18" Type="http://schemas.openxmlformats.org/officeDocument/2006/relationships/hyperlink" Target="https://mmo.mn/olympiads/achievements/180534/" TargetMode="External"/><Relationship Id="rId3" Type="http://schemas.openxmlformats.org/officeDocument/2006/relationships/hyperlink" Target="https://www.mmo.mn/olympiads/achievements/82524/" TargetMode="External"/><Relationship Id="rId21" Type="http://schemas.openxmlformats.org/officeDocument/2006/relationships/hyperlink" Target="https://mmo.mn/olympiads/achievements/185989/" TargetMode="External"/><Relationship Id="rId7" Type="http://schemas.openxmlformats.org/officeDocument/2006/relationships/hyperlink" Target="https://mmo.mn/olympiads/achievements/14463/" TargetMode="External"/><Relationship Id="rId12" Type="http://schemas.openxmlformats.org/officeDocument/2006/relationships/hyperlink" Target="https://www.mmo.mn/olympiads/achievements/102819/" TargetMode="External"/><Relationship Id="rId17" Type="http://schemas.openxmlformats.org/officeDocument/2006/relationships/hyperlink" Target="https://mmo.mn/olympiads/achievements/139469/" TargetMode="External"/><Relationship Id="rId2" Type="http://schemas.openxmlformats.org/officeDocument/2006/relationships/hyperlink" Target="https://mmo.mn/olympiads/achievements/2205/" TargetMode="External"/><Relationship Id="rId16" Type="http://schemas.openxmlformats.org/officeDocument/2006/relationships/hyperlink" Target="https://www.mmo.mn/olympiads/achievements/181083/" TargetMode="External"/><Relationship Id="rId20" Type="http://schemas.openxmlformats.org/officeDocument/2006/relationships/hyperlink" Target="https://mmo.mn/olympiads/achievements/184826/" TargetMode="External"/><Relationship Id="rId1" Type="http://schemas.openxmlformats.org/officeDocument/2006/relationships/hyperlink" Target="https://mmo.mn/olympiads/achievements/428/" TargetMode="External"/><Relationship Id="rId6" Type="http://schemas.openxmlformats.org/officeDocument/2006/relationships/hyperlink" Target="https://www.mmo.mn/olympiads/achievements/186608/" TargetMode="External"/><Relationship Id="rId11" Type="http://schemas.openxmlformats.org/officeDocument/2006/relationships/hyperlink" Target="https://mmo.mn/olympiads/achievements/184510/" TargetMode="External"/><Relationship Id="rId24" Type="http://schemas.openxmlformats.org/officeDocument/2006/relationships/hyperlink" Target="https://mmo.mn/olympiads/achievements/115565/" TargetMode="External"/><Relationship Id="rId5" Type="http://schemas.openxmlformats.org/officeDocument/2006/relationships/hyperlink" Target="https://mmo.mn/olympiads/achievements/14205/" TargetMode="External"/><Relationship Id="rId15" Type="http://schemas.openxmlformats.org/officeDocument/2006/relationships/hyperlink" Target="https://mmo.mn/olympiads/achievements/73544/" TargetMode="External"/><Relationship Id="rId23" Type="http://schemas.openxmlformats.org/officeDocument/2006/relationships/hyperlink" Target="https://mmo.mn/olympiads/achievements/102828/" TargetMode="External"/><Relationship Id="rId10" Type="http://schemas.openxmlformats.org/officeDocument/2006/relationships/hyperlink" Target="https://mmo.mn/olympiads/achievements/183205/" TargetMode="External"/><Relationship Id="rId19" Type="http://schemas.openxmlformats.org/officeDocument/2006/relationships/hyperlink" Target="https://mmo.mn/olympiads/achievements/122552/" TargetMode="External"/><Relationship Id="rId4" Type="http://schemas.openxmlformats.org/officeDocument/2006/relationships/hyperlink" Target="https://mmo.mn/olympiads/achievements/137146/" TargetMode="External"/><Relationship Id="rId9" Type="http://schemas.openxmlformats.org/officeDocument/2006/relationships/hyperlink" Target="https://mmo.mn/olympiads/achievements/14047/" TargetMode="External"/><Relationship Id="rId14" Type="http://schemas.openxmlformats.org/officeDocument/2006/relationships/hyperlink" Target="https://mmo.mn/olympiads/achievements/73618/" TargetMode="External"/><Relationship Id="rId22" Type="http://schemas.openxmlformats.org/officeDocument/2006/relationships/hyperlink" Target="https://www.mmo.mn/olympiads/achievements/125856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mmo.mn/olympiads/achievements/21480/" TargetMode="External"/><Relationship Id="rId2" Type="http://schemas.openxmlformats.org/officeDocument/2006/relationships/hyperlink" Target="https://mmo.mn/olympiads/achievements/72323/" TargetMode="External"/><Relationship Id="rId1" Type="http://schemas.openxmlformats.org/officeDocument/2006/relationships/hyperlink" Target="https://mmo.mn/olympiads/achievements/75281/" TargetMode="External"/><Relationship Id="rId5" Type="http://schemas.openxmlformats.org/officeDocument/2006/relationships/hyperlink" Target="https://mmo.mn/olympiads/achievements/102871/" TargetMode="External"/><Relationship Id="rId4" Type="http://schemas.openxmlformats.org/officeDocument/2006/relationships/hyperlink" Target="https://mmo.mn/olympiads/achievements/10287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2"/>
  <sheetViews>
    <sheetView zoomScaleNormal="100" workbookViewId="0">
      <selection activeCell="L23" sqref="L23"/>
    </sheetView>
  </sheetViews>
  <sheetFormatPr defaultColWidth="11.5703125" defaultRowHeight="14.25"/>
  <cols>
    <col min="1" max="1" width="3.28515625" style="14" customWidth="1"/>
    <col min="2" max="2" width="14.28515625" style="13" customWidth="1"/>
    <col min="3" max="3" width="19.140625" style="14" customWidth="1"/>
    <col min="4" max="4" width="17.7109375" style="14" customWidth="1"/>
    <col min="5" max="8" width="7.28515625" style="14" customWidth="1"/>
    <col min="9" max="9" width="7.28515625" style="13" customWidth="1"/>
    <col min="10" max="16384" width="11.5703125" style="14"/>
  </cols>
  <sheetData>
    <row r="1" spans="1:9" ht="13.5" customHeight="1">
      <c r="A1" s="10" t="s">
        <v>0</v>
      </c>
      <c r="B1" s="9" t="s">
        <v>1</v>
      </c>
      <c r="C1" s="10" t="s">
        <v>2</v>
      </c>
      <c r="D1" s="10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 spans="1:9" s="18" customFormat="1" ht="14.25" customHeight="1">
      <c r="A2" s="11">
        <v>1</v>
      </c>
      <c r="B2" s="2">
        <v>188001</v>
      </c>
      <c r="C2" s="11" t="s">
        <v>15</v>
      </c>
      <c r="D2" s="16" t="s">
        <v>14</v>
      </c>
      <c r="E2" s="1">
        <v>2</v>
      </c>
      <c r="F2" s="1">
        <v>0</v>
      </c>
      <c r="G2" s="1">
        <v>5</v>
      </c>
      <c r="H2" s="1">
        <v>4</v>
      </c>
      <c r="I2" s="2">
        <f>SUM(E2:H2)</f>
        <v>11</v>
      </c>
    </row>
    <row r="3" spans="1:9" s="18" customFormat="1" ht="14.25" customHeight="1">
      <c r="A3" s="11">
        <v>2</v>
      </c>
      <c r="B3" s="12">
        <v>204321</v>
      </c>
      <c r="C3" s="11" t="s">
        <v>17</v>
      </c>
      <c r="D3" s="16" t="s">
        <v>18</v>
      </c>
      <c r="E3" s="1">
        <v>7</v>
      </c>
      <c r="F3" s="1">
        <v>0</v>
      </c>
      <c r="G3" s="1">
        <v>1</v>
      </c>
      <c r="H3" s="1">
        <v>0</v>
      </c>
      <c r="I3" s="2">
        <f t="shared" ref="I3:I62" si="0">SUM(E3:H3)</f>
        <v>8</v>
      </c>
    </row>
    <row r="4" spans="1:9" s="18" customFormat="1" ht="14.25" customHeight="1">
      <c r="A4" s="11">
        <v>3</v>
      </c>
      <c r="B4" s="12">
        <v>182742</v>
      </c>
      <c r="C4" s="15" t="s">
        <v>70</v>
      </c>
      <c r="D4" s="16" t="s">
        <v>19</v>
      </c>
      <c r="E4" s="1">
        <v>1</v>
      </c>
      <c r="F4" s="1">
        <v>0</v>
      </c>
      <c r="G4" s="1">
        <v>5</v>
      </c>
      <c r="H4" s="1">
        <v>0</v>
      </c>
      <c r="I4" s="2">
        <f t="shared" si="0"/>
        <v>6</v>
      </c>
    </row>
    <row r="5" spans="1:9" s="18" customFormat="1" ht="14.25" customHeight="1">
      <c r="A5" s="11">
        <v>4</v>
      </c>
      <c r="B5" s="1">
        <v>182752</v>
      </c>
      <c r="C5" s="16" t="s">
        <v>107</v>
      </c>
      <c r="D5" s="16" t="s">
        <v>108</v>
      </c>
      <c r="E5" s="1">
        <v>0</v>
      </c>
      <c r="F5" s="1">
        <v>0</v>
      </c>
      <c r="G5" s="1">
        <v>5</v>
      </c>
      <c r="H5" s="1">
        <v>0</v>
      </c>
      <c r="I5" s="2">
        <f t="shared" si="0"/>
        <v>5</v>
      </c>
    </row>
    <row r="6" spans="1:9" s="18" customFormat="1" ht="14.25" customHeight="1">
      <c r="A6" s="11">
        <v>5</v>
      </c>
      <c r="B6" s="12">
        <v>213141</v>
      </c>
      <c r="C6" s="15" t="s">
        <v>71</v>
      </c>
      <c r="D6" s="15" t="s">
        <v>21</v>
      </c>
      <c r="E6" s="1">
        <v>0</v>
      </c>
      <c r="F6" s="1">
        <v>0</v>
      </c>
      <c r="G6" s="1">
        <v>5</v>
      </c>
      <c r="H6" s="1">
        <v>0</v>
      </c>
      <c r="I6" s="2">
        <f t="shared" si="0"/>
        <v>5</v>
      </c>
    </row>
    <row r="7" spans="1:9" s="18" customFormat="1" ht="14.25" customHeight="1">
      <c r="A7" s="11">
        <v>6</v>
      </c>
      <c r="B7" s="1">
        <v>190776</v>
      </c>
      <c r="C7" s="16" t="s">
        <v>72</v>
      </c>
      <c r="D7" s="16" t="s">
        <v>22</v>
      </c>
      <c r="E7" s="1">
        <v>0</v>
      </c>
      <c r="F7" s="1">
        <v>0</v>
      </c>
      <c r="G7" s="1">
        <v>5</v>
      </c>
      <c r="H7" s="1">
        <v>0</v>
      </c>
      <c r="I7" s="2">
        <f t="shared" si="0"/>
        <v>5</v>
      </c>
    </row>
    <row r="8" spans="1:9" s="18" customFormat="1" ht="14.25" customHeight="1">
      <c r="A8" s="11">
        <v>7</v>
      </c>
      <c r="B8" s="1">
        <v>188176</v>
      </c>
      <c r="C8" s="15" t="s">
        <v>73</v>
      </c>
      <c r="D8" s="16" t="s">
        <v>23</v>
      </c>
      <c r="E8" s="1">
        <v>0</v>
      </c>
      <c r="F8" s="1">
        <v>1</v>
      </c>
      <c r="G8" s="1">
        <v>4</v>
      </c>
      <c r="H8" s="1">
        <v>0</v>
      </c>
      <c r="I8" s="2">
        <f t="shared" si="0"/>
        <v>5</v>
      </c>
    </row>
    <row r="9" spans="1:9" s="18" customFormat="1" ht="14.25" customHeight="1">
      <c r="A9" s="11">
        <v>8</v>
      </c>
      <c r="B9" s="1">
        <v>124147</v>
      </c>
      <c r="C9" s="16" t="s">
        <v>74</v>
      </c>
      <c r="D9" s="16" t="s">
        <v>24</v>
      </c>
      <c r="E9" s="1">
        <v>0</v>
      </c>
      <c r="F9" s="1">
        <v>0</v>
      </c>
      <c r="G9" s="1">
        <v>4</v>
      </c>
      <c r="H9" s="1">
        <v>0</v>
      </c>
      <c r="I9" s="2">
        <f t="shared" si="0"/>
        <v>4</v>
      </c>
    </row>
    <row r="10" spans="1:9" s="18" customFormat="1" ht="14.25" customHeight="1">
      <c r="A10" s="11">
        <v>9</v>
      </c>
      <c r="B10" s="12">
        <v>137285</v>
      </c>
      <c r="C10" s="15" t="s">
        <v>75</v>
      </c>
      <c r="D10" s="16" t="s">
        <v>25</v>
      </c>
      <c r="E10" s="1">
        <v>0</v>
      </c>
      <c r="F10" s="1">
        <v>3</v>
      </c>
      <c r="G10" s="1">
        <v>0</v>
      </c>
      <c r="H10" s="1">
        <v>1</v>
      </c>
      <c r="I10" s="2">
        <f t="shared" si="0"/>
        <v>4</v>
      </c>
    </row>
    <row r="11" spans="1:9" s="18" customFormat="1" ht="14.25" customHeight="1">
      <c r="A11" s="11">
        <v>10</v>
      </c>
      <c r="B11" s="12">
        <v>182360</v>
      </c>
      <c r="C11" s="15" t="s">
        <v>76</v>
      </c>
      <c r="D11" s="16" t="s">
        <v>26</v>
      </c>
      <c r="E11" s="1">
        <v>0</v>
      </c>
      <c r="F11" s="1">
        <v>0</v>
      </c>
      <c r="G11" s="1">
        <v>4</v>
      </c>
      <c r="H11" s="1">
        <v>0</v>
      </c>
      <c r="I11" s="2">
        <f t="shared" si="0"/>
        <v>4</v>
      </c>
    </row>
    <row r="12" spans="1:9" s="18" customFormat="1" ht="14.25" customHeight="1">
      <c r="A12" s="11">
        <v>11</v>
      </c>
      <c r="B12" s="12">
        <v>213151</v>
      </c>
      <c r="C12" s="15" t="s">
        <v>77</v>
      </c>
      <c r="D12" s="16" t="s">
        <v>27</v>
      </c>
      <c r="E12" s="1">
        <v>0</v>
      </c>
      <c r="F12" s="1">
        <v>0</v>
      </c>
      <c r="G12" s="1">
        <v>2</v>
      </c>
      <c r="H12" s="1">
        <v>1</v>
      </c>
      <c r="I12" s="2">
        <f t="shared" si="0"/>
        <v>3</v>
      </c>
    </row>
    <row r="13" spans="1:9" s="18" customFormat="1" ht="14.25" customHeight="1">
      <c r="A13" s="11">
        <v>12</v>
      </c>
      <c r="B13" s="2">
        <v>171030</v>
      </c>
      <c r="C13" s="11" t="s">
        <v>78</v>
      </c>
      <c r="D13" s="16" t="s">
        <v>28</v>
      </c>
      <c r="E13" s="1">
        <v>0</v>
      </c>
      <c r="F13" s="1">
        <v>1</v>
      </c>
      <c r="G13" s="1">
        <v>0</v>
      </c>
      <c r="H13" s="1">
        <v>2</v>
      </c>
      <c r="I13" s="2">
        <f t="shared" si="0"/>
        <v>3</v>
      </c>
    </row>
    <row r="14" spans="1:9" s="18" customFormat="1" ht="14.25" customHeight="1">
      <c r="A14" s="11">
        <v>13</v>
      </c>
      <c r="B14" s="12">
        <v>213143</v>
      </c>
      <c r="C14" s="15" t="s">
        <v>79</v>
      </c>
      <c r="D14" s="16" t="s">
        <v>29</v>
      </c>
      <c r="E14" s="1">
        <v>0</v>
      </c>
      <c r="F14" s="1">
        <v>2</v>
      </c>
      <c r="G14" s="1">
        <v>0</v>
      </c>
      <c r="H14" s="1">
        <v>0</v>
      </c>
      <c r="I14" s="2">
        <f t="shared" si="0"/>
        <v>2</v>
      </c>
    </row>
    <row r="15" spans="1:9" s="18" customFormat="1" ht="14.25" customHeight="1">
      <c r="A15" s="11">
        <v>14</v>
      </c>
      <c r="B15" s="1">
        <v>187146</v>
      </c>
      <c r="C15" s="15" t="s">
        <v>16</v>
      </c>
      <c r="D15" s="16" t="s">
        <v>30</v>
      </c>
      <c r="E15" s="1">
        <v>2</v>
      </c>
      <c r="F15" s="1">
        <v>0</v>
      </c>
      <c r="G15" s="1">
        <v>0</v>
      </c>
      <c r="H15" s="1">
        <v>0</v>
      </c>
      <c r="I15" s="2">
        <f t="shared" si="0"/>
        <v>2</v>
      </c>
    </row>
    <row r="16" spans="1:9" s="18" customFormat="1" ht="14.25" customHeight="1">
      <c r="A16" s="11">
        <v>15</v>
      </c>
      <c r="B16" s="1">
        <v>204376</v>
      </c>
      <c r="C16" s="15" t="s">
        <v>80</v>
      </c>
      <c r="D16" s="16" t="s">
        <v>31</v>
      </c>
      <c r="E16" s="1">
        <v>0</v>
      </c>
      <c r="F16" s="1">
        <v>0</v>
      </c>
      <c r="G16" s="1">
        <v>1</v>
      </c>
      <c r="H16" s="1">
        <v>1</v>
      </c>
      <c r="I16" s="2">
        <f t="shared" si="0"/>
        <v>2</v>
      </c>
    </row>
    <row r="17" spans="1:9" s="18" customFormat="1" ht="14.25" customHeight="1">
      <c r="A17" s="11">
        <v>16</v>
      </c>
      <c r="B17" s="12">
        <v>130433</v>
      </c>
      <c r="C17" s="15" t="s">
        <v>81</v>
      </c>
      <c r="D17" s="16" t="s">
        <v>32</v>
      </c>
      <c r="E17" s="1">
        <v>0</v>
      </c>
      <c r="F17" s="1">
        <v>1</v>
      </c>
      <c r="G17" s="1">
        <v>0</v>
      </c>
      <c r="H17" s="1">
        <v>1</v>
      </c>
      <c r="I17" s="2">
        <f t="shared" si="0"/>
        <v>2</v>
      </c>
    </row>
    <row r="18" spans="1:9" s="18" customFormat="1" ht="14.25" customHeight="1">
      <c r="A18" s="11">
        <v>17</v>
      </c>
      <c r="B18" s="12">
        <v>190772</v>
      </c>
      <c r="C18" s="15" t="s">
        <v>82</v>
      </c>
      <c r="D18" s="16" t="s">
        <v>33</v>
      </c>
      <c r="E18" s="1">
        <v>2</v>
      </c>
      <c r="F18" s="1">
        <v>0</v>
      </c>
      <c r="G18" s="1">
        <v>0</v>
      </c>
      <c r="H18" s="1">
        <v>0</v>
      </c>
      <c r="I18" s="2">
        <f t="shared" si="0"/>
        <v>2</v>
      </c>
    </row>
    <row r="19" spans="1:9" s="18" customFormat="1" ht="14.25" customHeight="1">
      <c r="A19" s="11">
        <v>18</v>
      </c>
      <c r="B19" s="2">
        <v>123017</v>
      </c>
      <c r="C19" s="11" t="s">
        <v>83</v>
      </c>
      <c r="D19" s="16" t="s">
        <v>34</v>
      </c>
      <c r="E19" s="1">
        <v>2</v>
      </c>
      <c r="F19" s="1">
        <v>0</v>
      </c>
      <c r="G19" s="1">
        <v>0</v>
      </c>
      <c r="H19" s="1">
        <v>0</v>
      </c>
      <c r="I19" s="2">
        <f t="shared" si="0"/>
        <v>2</v>
      </c>
    </row>
    <row r="20" spans="1:9" s="18" customFormat="1" ht="14.25" customHeight="1">
      <c r="A20" s="11">
        <v>19</v>
      </c>
      <c r="B20" s="1">
        <v>173800</v>
      </c>
      <c r="C20" s="16" t="s">
        <v>84</v>
      </c>
      <c r="D20" s="16" t="s">
        <v>35</v>
      </c>
      <c r="E20" s="1">
        <v>2</v>
      </c>
      <c r="F20" s="1">
        <v>0</v>
      </c>
      <c r="G20" s="1">
        <v>0</v>
      </c>
      <c r="H20" s="1">
        <v>0</v>
      </c>
      <c r="I20" s="2">
        <f t="shared" si="0"/>
        <v>2</v>
      </c>
    </row>
    <row r="21" spans="1:9" s="18" customFormat="1" ht="14.25" customHeight="1">
      <c r="A21" s="11">
        <v>20</v>
      </c>
      <c r="B21" s="1">
        <v>201650</v>
      </c>
      <c r="C21" s="15" t="s">
        <v>85</v>
      </c>
      <c r="D21" s="16" t="s">
        <v>36</v>
      </c>
      <c r="E21" s="1">
        <v>2</v>
      </c>
      <c r="F21" s="1">
        <v>0</v>
      </c>
      <c r="G21" s="1">
        <v>0</v>
      </c>
      <c r="H21" s="1">
        <v>0</v>
      </c>
      <c r="I21" s="2">
        <f t="shared" si="0"/>
        <v>2</v>
      </c>
    </row>
    <row r="22" spans="1:9" s="18" customFormat="1" ht="14.25" customHeight="1">
      <c r="A22" s="11">
        <v>21</v>
      </c>
      <c r="B22" s="2">
        <v>123020</v>
      </c>
      <c r="C22" s="11" t="s">
        <v>87</v>
      </c>
      <c r="D22" s="16" t="s">
        <v>37</v>
      </c>
      <c r="E22" s="1">
        <v>0</v>
      </c>
      <c r="F22" s="1">
        <v>1</v>
      </c>
      <c r="G22" s="1">
        <v>1</v>
      </c>
      <c r="H22" s="1">
        <v>0</v>
      </c>
      <c r="I22" s="2">
        <f t="shared" si="0"/>
        <v>2</v>
      </c>
    </row>
    <row r="23" spans="1:9" s="18" customFormat="1" ht="14.25" customHeight="1">
      <c r="A23" s="11">
        <v>22</v>
      </c>
      <c r="B23" s="2">
        <v>181755</v>
      </c>
      <c r="C23" s="17" t="s">
        <v>86</v>
      </c>
      <c r="D23" s="16" t="s">
        <v>38</v>
      </c>
      <c r="E23" s="1">
        <v>0</v>
      </c>
      <c r="F23" s="1">
        <v>2</v>
      </c>
      <c r="G23" s="1">
        <v>0</v>
      </c>
      <c r="H23" s="1">
        <v>0</v>
      </c>
      <c r="I23" s="2">
        <f t="shared" si="0"/>
        <v>2</v>
      </c>
    </row>
    <row r="24" spans="1:9" s="18" customFormat="1" ht="14.25" customHeight="1">
      <c r="A24" s="11">
        <v>23</v>
      </c>
      <c r="B24" s="12">
        <v>213170</v>
      </c>
      <c r="C24" s="15" t="s">
        <v>88</v>
      </c>
      <c r="D24" s="16" t="s">
        <v>39</v>
      </c>
      <c r="E24" s="1">
        <v>0</v>
      </c>
      <c r="F24" s="1">
        <v>1</v>
      </c>
      <c r="G24" s="1">
        <v>0</v>
      </c>
      <c r="H24" s="1">
        <v>1</v>
      </c>
      <c r="I24" s="2">
        <f t="shared" si="0"/>
        <v>2</v>
      </c>
    </row>
    <row r="25" spans="1:9" s="18" customFormat="1" ht="14.25" customHeight="1">
      <c r="A25" s="11">
        <v>24</v>
      </c>
      <c r="B25" s="2">
        <v>140351</v>
      </c>
      <c r="C25" s="16" t="s">
        <v>89</v>
      </c>
      <c r="D25" s="16" t="s">
        <v>40</v>
      </c>
      <c r="E25" s="1">
        <v>0</v>
      </c>
      <c r="F25" s="1">
        <v>2</v>
      </c>
      <c r="G25" s="1">
        <v>0</v>
      </c>
      <c r="H25" s="1">
        <v>0</v>
      </c>
      <c r="I25" s="2">
        <f t="shared" si="0"/>
        <v>2</v>
      </c>
    </row>
    <row r="26" spans="1:9" s="18" customFormat="1" ht="14.25" customHeight="1">
      <c r="A26" s="11">
        <v>25</v>
      </c>
      <c r="B26" s="1">
        <v>190773</v>
      </c>
      <c r="C26" s="16" t="s">
        <v>90</v>
      </c>
      <c r="D26" s="16" t="s">
        <v>41</v>
      </c>
      <c r="E26" s="1">
        <v>1</v>
      </c>
      <c r="F26" s="1">
        <v>0</v>
      </c>
      <c r="G26" s="1">
        <v>0</v>
      </c>
      <c r="H26" s="1">
        <v>0</v>
      </c>
      <c r="I26" s="2">
        <f t="shared" si="0"/>
        <v>1</v>
      </c>
    </row>
    <row r="27" spans="1:9" s="18" customFormat="1" ht="14.25" customHeight="1">
      <c r="A27" s="11">
        <v>26</v>
      </c>
      <c r="B27" s="1">
        <v>204354</v>
      </c>
      <c r="C27" s="15" t="s">
        <v>91</v>
      </c>
      <c r="D27" s="16" t="s">
        <v>42</v>
      </c>
      <c r="E27" s="1">
        <v>0</v>
      </c>
      <c r="F27" s="1">
        <v>0</v>
      </c>
      <c r="G27" s="1">
        <v>1</v>
      </c>
      <c r="H27" s="1">
        <v>0</v>
      </c>
      <c r="I27" s="2">
        <f t="shared" si="0"/>
        <v>1</v>
      </c>
    </row>
    <row r="28" spans="1:9" s="18" customFormat="1" ht="14.25" customHeight="1">
      <c r="A28" s="11">
        <v>27</v>
      </c>
      <c r="B28" s="12">
        <v>201627</v>
      </c>
      <c r="C28" s="15" t="s">
        <v>56</v>
      </c>
      <c r="D28" s="16" t="s">
        <v>43</v>
      </c>
      <c r="E28" s="1">
        <v>0</v>
      </c>
      <c r="F28" s="1">
        <v>0</v>
      </c>
      <c r="G28" s="1">
        <v>0</v>
      </c>
      <c r="H28" s="1">
        <v>1</v>
      </c>
      <c r="I28" s="2">
        <f t="shared" si="0"/>
        <v>1</v>
      </c>
    </row>
    <row r="29" spans="1:9" s="18" customFormat="1" ht="14.25" customHeight="1">
      <c r="A29" s="11">
        <v>28</v>
      </c>
      <c r="B29" s="12">
        <v>213174</v>
      </c>
      <c r="C29" s="15" t="s">
        <v>92</v>
      </c>
      <c r="D29" s="16" t="s">
        <v>93</v>
      </c>
      <c r="E29" s="1">
        <v>1</v>
      </c>
      <c r="F29" s="1">
        <v>0</v>
      </c>
      <c r="G29" s="1">
        <v>0</v>
      </c>
      <c r="H29" s="1">
        <v>0</v>
      </c>
      <c r="I29" s="2">
        <f t="shared" si="0"/>
        <v>1</v>
      </c>
    </row>
    <row r="30" spans="1:9" s="18" customFormat="1" ht="14.25" customHeight="1">
      <c r="A30" s="11">
        <v>29</v>
      </c>
      <c r="B30" s="1">
        <v>187146</v>
      </c>
      <c r="C30" s="15" t="s">
        <v>16</v>
      </c>
      <c r="D30" s="16" t="s">
        <v>30</v>
      </c>
      <c r="E30" s="1">
        <v>0</v>
      </c>
      <c r="F30" s="1">
        <v>0</v>
      </c>
      <c r="G30" s="1">
        <v>0</v>
      </c>
      <c r="H30" s="1">
        <v>1</v>
      </c>
      <c r="I30" s="2">
        <f t="shared" si="0"/>
        <v>1</v>
      </c>
    </row>
    <row r="31" spans="1:9" s="18" customFormat="1" ht="14.25" customHeight="1">
      <c r="A31" s="11">
        <v>30</v>
      </c>
      <c r="B31" s="12">
        <v>213153</v>
      </c>
      <c r="C31" s="15" t="s">
        <v>76</v>
      </c>
      <c r="D31" s="16" t="s">
        <v>44</v>
      </c>
      <c r="E31" s="1">
        <v>0</v>
      </c>
      <c r="F31" s="1">
        <v>1</v>
      </c>
      <c r="G31" s="1">
        <v>0</v>
      </c>
      <c r="H31" s="1">
        <v>0</v>
      </c>
      <c r="I31" s="2">
        <f t="shared" si="0"/>
        <v>1</v>
      </c>
    </row>
    <row r="32" spans="1:9" s="18" customFormat="1" ht="14.25" customHeight="1">
      <c r="A32" s="11">
        <v>31</v>
      </c>
      <c r="B32" s="1">
        <v>187003</v>
      </c>
      <c r="C32" s="15" t="s">
        <v>73</v>
      </c>
      <c r="D32" s="16" t="s">
        <v>45</v>
      </c>
      <c r="E32" s="1">
        <v>1</v>
      </c>
      <c r="F32" s="1">
        <v>0</v>
      </c>
      <c r="G32" s="1">
        <v>0</v>
      </c>
      <c r="H32" s="1">
        <v>0</v>
      </c>
      <c r="I32" s="2">
        <f t="shared" si="0"/>
        <v>1</v>
      </c>
    </row>
    <row r="33" spans="1:9" s="18" customFormat="1" ht="14.25" customHeight="1">
      <c r="A33" s="11">
        <v>32</v>
      </c>
      <c r="B33" s="12">
        <v>213171</v>
      </c>
      <c r="C33" s="15" t="s">
        <v>94</v>
      </c>
      <c r="D33" s="16" t="s">
        <v>46</v>
      </c>
      <c r="E33" s="1">
        <v>0</v>
      </c>
      <c r="F33" s="1">
        <v>1</v>
      </c>
      <c r="G33" s="1">
        <v>0</v>
      </c>
      <c r="H33" s="1">
        <v>0</v>
      </c>
      <c r="I33" s="2">
        <f t="shared" si="0"/>
        <v>1</v>
      </c>
    </row>
    <row r="34" spans="1:9" s="18" customFormat="1" ht="14.25" customHeight="1">
      <c r="A34" s="11">
        <v>33</v>
      </c>
      <c r="B34" s="12">
        <v>182762</v>
      </c>
      <c r="C34" s="15" t="s">
        <v>95</v>
      </c>
      <c r="D34" s="16" t="s">
        <v>47</v>
      </c>
      <c r="E34" s="1">
        <v>0</v>
      </c>
      <c r="F34" s="1">
        <v>0</v>
      </c>
      <c r="G34" s="1">
        <v>1</v>
      </c>
      <c r="H34" s="1">
        <v>0</v>
      </c>
      <c r="I34" s="2">
        <f t="shared" si="0"/>
        <v>1</v>
      </c>
    </row>
    <row r="35" spans="1:9" s="18" customFormat="1" ht="14.25" customHeight="1">
      <c r="A35" s="11">
        <v>34</v>
      </c>
      <c r="B35" s="3">
        <v>201732</v>
      </c>
      <c r="C35" s="15" t="s">
        <v>96</v>
      </c>
      <c r="D35" s="16" t="s">
        <v>48</v>
      </c>
      <c r="E35" s="1">
        <v>1</v>
      </c>
      <c r="F35" s="1">
        <v>0</v>
      </c>
      <c r="G35" s="1">
        <v>0</v>
      </c>
      <c r="H35" s="1">
        <v>0</v>
      </c>
      <c r="I35" s="2">
        <f t="shared" si="0"/>
        <v>1</v>
      </c>
    </row>
    <row r="36" spans="1:9" s="18" customFormat="1" ht="14.25" customHeight="1">
      <c r="A36" s="11">
        <v>35</v>
      </c>
      <c r="B36" s="1">
        <v>187170</v>
      </c>
      <c r="C36" s="15" t="s">
        <v>97</v>
      </c>
      <c r="D36" s="16" t="s">
        <v>49</v>
      </c>
      <c r="E36" s="1">
        <v>0</v>
      </c>
      <c r="F36" s="1">
        <v>0</v>
      </c>
      <c r="G36" s="1">
        <v>1</v>
      </c>
      <c r="H36" s="1">
        <v>0</v>
      </c>
      <c r="I36" s="2">
        <f t="shared" si="0"/>
        <v>1</v>
      </c>
    </row>
    <row r="37" spans="1:9" s="18" customFormat="1" ht="14.25" customHeight="1">
      <c r="A37" s="11">
        <v>36</v>
      </c>
      <c r="B37" s="2">
        <v>181689</v>
      </c>
      <c r="C37" s="17" t="s">
        <v>98</v>
      </c>
      <c r="D37" s="16" t="s">
        <v>50</v>
      </c>
      <c r="E37" s="1">
        <v>1</v>
      </c>
      <c r="F37" s="1">
        <v>0</v>
      </c>
      <c r="G37" s="1">
        <v>0</v>
      </c>
      <c r="H37" s="1">
        <v>0</v>
      </c>
      <c r="I37" s="2">
        <f t="shared" si="0"/>
        <v>1</v>
      </c>
    </row>
    <row r="38" spans="1:9" s="18" customFormat="1" ht="14.25" customHeight="1">
      <c r="A38" s="11">
        <v>37</v>
      </c>
      <c r="B38" s="2">
        <v>171042</v>
      </c>
      <c r="C38" s="11" t="s">
        <v>99</v>
      </c>
      <c r="D38" s="16" t="s">
        <v>51</v>
      </c>
      <c r="E38" s="1">
        <v>1</v>
      </c>
      <c r="F38" s="1">
        <v>0</v>
      </c>
      <c r="G38" s="1">
        <v>0</v>
      </c>
      <c r="H38" s="1">
        <v>0</v>
      </c>
      <c r="I38" s="2">
        <f t="shared" si="0"/>
        <v>1</v>
      </c>
    </row>
    <row r="39" spans="1:9" s="18" customFormat="1" ht="14.25" customHeight="1">
      <c r="A39" s="11">
        <v>38</v>
      </c>
      <c r="B39" s="1">
        <v>185928</v>
      </c>
      <c r="C39" s="16" t="s">
        <v>76</v>
      </c>
      <c r="D39" s="16" t="s">
        <v>52</v>
      </c>
      <c r="E39" s="1">
        <v>1</v>
      </c>
      <c r="F39" s="1">
        <v>0</v>
      </c>
      <c r="G39" s="1">
        <v>0</v>
      </c>
      <c r="H39" s="1">
        <v>0</v>
      </c>
      <c r="I39" s="2">
        <f t="shared" si="0"/>
        <v>1</v>
      </c>
    </row>
    <row r="40" spans="1:9" s="18" customFormat="1" ht="14.25" customHeight="1">
      <c r="A40" s="11">
        <v>39</v>
      </c>
      <c r="B40" s="1">
        <v>190775</v>
      </c>
      <c r="C40" s="11" t="s">
        <v>106</v>
      </c>
      <c r="D40" s="16" t="s">
        <v>20</v>
      </c>
      <c r="E40" s="1">
        <v>0</v>
      </c>
      <c r="F40" s="1">
        <v>0</v>
      </c>
      <c r="G40" s="1">
        <v>0</v>
      </c>
      <c r="H40" s="1">
        <v>0</v>
      </c>
      <c r="I40" s="2">
        <f t="shared" si="0"/>
        <v>0</v>
      </c>
    </row>
    <row r="41" spans="1:9" s="18" customFormat="1" ht="14.25" customHeight="1">
      <c r="A41" s="11">
        <v>40</v>
      </c>
      <c r="B41" s="12">
        <v>204328</v>
      </c>
      <c r="C41" s="15" t="s">
        <v>91</v>
      </c>
      <c r="D41" s="16" t="s">
        <v>53</v>
      </c>
      <c r="E41" s="1">
        <v>0</v>
      </c>
      <c r="F41" s="1">
        <v>0</v>
      </c>
      <c r="G41" s="1">
        <v>0</v>
      </c>
      <c r="H41" s="1">
        <v>0</v>
      </c>
      <c r="I41" s="2">
        <f t="shared" si="0"/>
        <v>0</v>
      </c>
    </row>
    <row r="42" spans="1:9" s="18" customFormat="1" ht="14.25" customHeight="1">
      <c r="A42" s="11">
        <v>41</v>
      </c>
      <c r="B42" s="12">
        <v>197622</v>
      </c>
      <c r="C42" s="15" t="s">
        <v>100</v>
      </c>
      <c r="D42" s="16" t="s">
        <v>54</v>
      </c>
      <c r="E42" s="1">
        <v>0</v>
      </c>
      <c r="F42" s="1">
        <v>0</v>
      </c>
      <c r="G42" s="1">
        <v>0</v>
      </c>
      <c r="H42" s="1">
        <v>0</v>
      </c>
      <c r="I42" s="2">
        <f t="shared" si="0"/>
        <v>0</v>
      </c>
    </row>
    <row r="43" spans="1:9" s="18" customFormat="1" ht="14.25" customHeight="1">
      <c r="A43" s="11">
        <v>42</v>
      </c>
      <c r="B43" s="1">
        <v>213164</v>
      </c>
      <c r="C43" s="15" t="s">
        <v>101</v>
      </c>
      <c r="D43" s="16" t="s">
        <v>55</v>
      </c>
      <c r="E43" s="1">
        <v>0</v>
      </c>
      <c r="F43" s="1">
        <v>0</v>
      </c>
      <c r="G43" s="1">
        <v>0</v>
      </c>
      <c r="H43" s="1">
        <v>0</v>
      </c>
      <c r="I43" s="2">
        <f t="shared" si="0"/>
        <v>0</v>
      </c>
    </row>
    <row r="44" spans="1:9" s="18" customFormat="1" ht="14.25" customHeight="1">
      <c r="A44" s="11">
        <v>43</v>
      </c>
      <c r="B44" s="1">
        <v>181186</v>
      </c>
      <c r="C44" s="11" t="s">
        <v>96</v>
      </c>
      <c r="D44" s="16" t="s">
        <v>47</v>
      </c>
      <c r="E44" s="1">
        <v>0</v>
      </c>
      <c r="F44" s="1">
        <v>0</v>
      </c>
      <c r="G44" s="1">
        <v>0</v>
      </c>
      <c r="H44" s="1">
        <v>0</v>
      </c>
      <c r="I44" s="2">
        <f t="shared" si="0"/>
        <v>0</v>
      </c>
    </row>
    <row r="45" spans="1:9" s="18" customFormat="1" ht="14.25" customHeight="1">
      <c r="A45" s="11">
        <v>44</v>
      </c>
      <c r="B45" s="2">
        <v>202543</v>
      </c>
      <c r="C45" s="17" t="s">
        <v>102</v>
      </c>
      <c r="D45" s="16" t="s">
        <v>56</v>
      </c>
      <c r="E45" s="1">
        <v>0</v>
      </c>
      <c r="F45" s="1">
        <v>0</v>
      </c>
      <c r="G45" s="1">
        <v>0</v>
      </c>
      <c r="H45" s="1">
        <v>0</v>
      </c>
      <c r="I45" s="2">
        <f t="shared" si="0"/>
        <v>0</v>
      </c>
    </row>
    <row r="46" spans="1:9" s="18" customFormat="1" ht="14.25" customHeight="1">
      <c r="A46" s="11">
        <v>45</v>
      </c>
      <c r="B46" s="12">
        <v>186777</v>
      </c>
      <c r="C46" s="15" t="s">
        <v>91</v>
      </c>
      <c r="D46" s="16" t="s">
        <v>57</v>
      </c>
      <c r="E46" s="1">
        <v>0</v>
      </c>
      <c r="F46" s="1">
        <v>0</v>
      </c>
      <c r="G46" s="1">
        <v>0</v>
      </c>
      <c r="H46" s="1">
        <v>0</v>
      </c>
      <c r="I46" s="2">
        <f t="shared" si="0"/>
        <v>0</v>
      </c>
    </row>
    <row r="47" spans="1:9" s="18" customFormat="1" ht="14.25" customHeight="1">
      <c r="A47" s="11">
        <v>46</v>
      </c>
      <c r="B47" s="1">
        <v>183271</v>
      </c>
      <c r="C47" s="15" t="s">
        <v>103</v>
      </c>
      <c r="D47" s="16" t="s">
        <v>58</v>
      </c>
      <c r="E47" s="1">
        <v>0</v>
      </c>
      <c r="F47" s="1">
        <v>0</v>
      </c>
      <c r="G47" s="1">
        <v>0</v>
      </c>
      <c r="H47" s="1">
        <v>0</v>
      </c>
      <c r="I47" s="2">
        <f t="shared" si="0"/>
        <v>0</v>
      </c>
    </row>
    <row r="48" spans="1:9" s="18" customFormat="1" ht="14.25" customHeight="1">
      <c r="A48" s="11">
        <v>47</v>
      </c>
      <c r="B48" s="12">
        <v>213170</v>
      </c>
      <c r="C48" s="15" t="s">
        <v>88</v>
      </c>
      <c r="D48" s="16" t="s">
        <v>39</v>
      </c>
      <c r="E48" s="1">
        <v>0</v>
      </c>
      <c r="F48" s="1">
        <v>0</v>
      </c>
      <c r="G48" s="1">
        <v>0</v>
      </c>
      <c r="H48" s="1">
        <v>0</v>
      </c>
      <c r="I48" s="2">
        <f t="shared" si="0"/>
        <v>0</v>
      </c>
    </row>
    <row r="49" spans="1:9" s="18" customFormat="1" ht="14.25" customHeight="1">
      <c r="A49" s="11">
        <v>48</v>
      </c>
      <c r="B49" s="12">
        <v>187996</v>
      </c>
      <c r="C49" s="15" t="s">
        <v>104</v>
      </c>
      <c r="D49" s="16" t="s">
        <v>59</v>
      </c>
      <c r="E49" s="1">
        <v>0</v>
      </c>
      <c r="F49" s="1">
        <v>0</v>
      </c>
      <c r="G49" s="1">
        <v>0</v>
      </c>
      <c r="H49" s="1">
        <v>0</v>
      </c>
      <c r="I49" s="2">
        <f t="shared" si="0"/>
        <v>0</v>
      </c>
    </row>
    <row r="50" spans="1:9" s="18" customFormat="1" ht="14.25" customHeight="1">
      <c r="A50" s="11">
        <v>49</v>
      </c>
      <c r="B50" s="1">
        <v>181194</v>
      </c>
      <c r="C50" s="11" t="s">
        <v>105</v>
      </c>
      <c r="D50" s="16" t="s">
        <v>60</v>
      </c>
      <c r="E50" s="1">
        <v>0</v>
      </c>
      <c r="F50" s="1">
        <v>0</v>
      </c>
      <c r="G50" s="1">
        <v>0</v>
      </c>
      <c r="H50" s="1">
        <v>0</v>
      </c>
      <c r="I50" s="2">
        <f t="shared" si="0"/>
        <v>0</v>
      </c>
    </row>
    <row r="51" spans="1:9" s="18" customFormat="1" ht="14.25" customHeight="1">
      <c r="A51" s="11">
        <v>50</v>
      </c>
      <c r="B51" s="2">
        <v>202543</v>
      </c>
      <c r="C51" s="17" t="s">
        <v>102</v>
      </c>
      <c r="D51" s="16" t="s">
        <v>56</v>
      </c>
      <c r="E51" s="1">
        <v>0</v>
      </c>
      <c r="F51" s="1">
        <v>0</v>
      </c>
      <c r="G51" s="1">
        <v>0</v>
      </c>
      <c r="H51" s="1">
        <v>0</v>
      </c>
      <c r="I51" s="2">
        <f t="shared" si="0"/>
        <v>0</v>
      </c>
    </row>
    <row r="52" spans="1:9" s="18" customFormat="1" ht="14.25" customHeight="1">
      <c r="A52" s="11">
        <v>51</v>
      </c>
      <c r="B52" s="12">
        <v>213147</v>
      </c>
      <c r="C52" s="15" t="s">
        <v>72</v>
      </c>
      <c r="D52" s="16" t="s">
        <v>61</v>
      </c>
      <c r="E52" s="1">
        <v>0</v>
      </c>
      <c r="F52" s="1">
        <v>0</v>
      </c>
      <c r="G52" s="1">
        <v>0</v>
      </c>
      <c r="H52" s="1">
        <v>0</v>
      </c>
      <c r="I52" s="2">
        <f t="shared" si="0"/>
        <v>0</v>
      </c>
    </row>
    <row r="53" spans="1:9" s="18" customFormat="1" ht="14.25" customHeight="1">
      <c r="A53" s="11">
        <v>52</v>
      </c>
      <c r="B53" s="12">
        <v>213179</v>
      </c>
      <c r="C53" s="15" t="s">
        <v>109</v>
      </c>
      <c r="D53" s="16" t="s">
        <v>62</v>
      </c>
      <c r="E53" s="1">
        <v>0</v>
      </c>
      <c r="F53" s="1">
        <v>0</v>
      </c>
      <c r="G53" s="1">
        <v>0</v>
      </c>
      <c r="H53" s="1">
        <v>0</v>
      </c>
      <c r="I53" s="2">
        <f t="shared" si="0"/>
        <v>0</v>
      </c>
    </row>
    <row r="54" spans="1:9" s="18" customFormat="1" ht="14.25" customHeight="1">
      <c r="A54" s="11">
        <v>53</v>
      </c>
      <c r="B54" s="1">
        <v>121645</v>
      </c>
      <c r="C54" s="15" t="s">
        <v>110</v>
      </c>
      <c r="D54" s="16" t="s">
        <v>63</v>
      </c>
      <c r="E54" s="1">
        <v>0</v>
      </c>
      <c r="F54" s="1">
        <v>0</v>
      </c>
      <c r="G54" s="1">
        <v>0</v>
      </c>
      <c r="H54" s="1">
        <v>0</v>
      </c>
      <c r="I54" s="2">
        <f t="shared" si="0"/>
        <v>0</v>
      </c>
    </row>
    <row r="55" spans="1:9" s="18" customFormat="1" ht="14.25" customHeight="1">
      <c r="A55" s="11">
        <v>54</v>
      </c>
      <c r="B55" s="1">
        <v>201634</v>
      </c>
      <c r="C55" s="15" t="s">
        <v>103</v>
      </c>
      <c r="D55" s="16" t="s">
        <v>64</v>
      </c>
      <c r="E55" s="1">
        <v>0</v>
      </c>
      <c r="F55" s="1">
        <v>0</v>
      </c>
      <c r="G55" s="1">
        <v>0</v>
      </c>
      <c r="H55" s="1">
        <v>0</v>
      </c>
      <c r="I55" s="2">
        <f t="shared" si="0"/>
        <v>0</v>
      </c>
    </row>
    <row r="56" spans="1:9" s="18" customFormat="1" ht="14.25" customHeight="1">
      <c r="A56" s="11">
        <v>55</v>
      </c>
      <c r="B56" s="12">
        <v>186788</v>
      </c>
      <c r="C56" s="15" t="s">
        <v>111</v>
      </c>
      <c r="D56" s="16" t="s">
        <v>65</v>
      </c>
      <c r="E56" s="1">
        <v>0</v>
      </c>
      <c r="F56" s="1">
        <v>0</v>
      </c>
      <c r="G56" s="1">
        <v>0</v>
      </c>
      <c r="H56" s="1">
        <v>0</v>
      </c>
      <c r="I56" s="2">
        <f t="shared" si="0"/>
        <v>0</v>
      </c>
    </row>
    <row r="57" spans="1:9" s="18" customFormat="1" ht="14.25" customHeight="1">
      <c r="A57" s="11">
        <v>56</v>
      </c>
      <c r="B57" s="12">
        <v>186777</v>
      </c>
      <c r="C57" s="15" t="s">
        <v>91</v>
      </c>
      <c r="D57" s="16" t="s">
        <v>57</v>
      </c>
      <c r="E57" s="1">
        <v>0</v>
      </c>
      <c r="F57" s="1">
        <v>0</v>
      </c>
      <c r="G57" s="1">
        <v>0</v>
      </c>
      <c r="H57" s="1">
        <v>0</v>
      </c>
      <c r="I57" s="2">
        <f t="shared" si="0"/>
        <v>0</v>
      </c>
    </row>
    <row r="58" spans="1:9" s="18" customFormat="1" ht="14.25" customHeight="1">
      <c r="A58" s="11">
        <v>57</v>
      </c>
      <c r="B58" s="12">
        <v>181362</v>
      </c>
      <c r="C58" s="15" t="s">
        <v>112</v>
      </c>
      <c r="D58" s="16" t="s">
        <v>66</v>
      </c>
      <c r="E58" s="1">
        <v>0</v>
      </c>
      <c r="F58" s="1">
        <v>0</v>
      </c>
      <c r="G58" s="1">
        <v>0</v>
      </c>
      <c r="H58" s="1">
        <v>0</v>
      </c>
      <c r="I58" s="2">
        <f t="shared" si="0"/>
        <v>0</v>
      </c>
    </row>
    <row r="59" spans="1:9" s="18" customFormat="1" ht="14.25" customHeight="1">
      <c r="A59" s="11">
        <v>58</v>
      </c>
      <c r="B59" s="1">
        <v>184854</v>
      </c>
      <c r="C59" s="15" t="s">
        <v>113</v>
      </c>
      <c r="D59" s="16" t="s">
        <v>67</v>
      </c>
      <c r="E59" s="1">
        <v>0</v>
      </c>
      <c r="F59" s="1">
        <v>0</v>
      </c>
      <c r="G59" s="1">
        <v>0</v>
      </c>
      <c r="H59" s="1">
        <v>0</v>
      </c>
      <c r="I59" s="2">
        <f t="shared" si="0"/>
        <v>0</v>
      </c>
    </row>
    <row r="60" spans="1:9" s="18" customFormat="1" ht="14.25" customHeight="1">
      <c r="A60" s="11">
        <v>59</v>
      </c>
      <c r="B60" s="12">
        <v>187819</v>
      </c>
      <c r="C60" s="15" t="s">
        <v>114</v>
      </c>
      <c r="D60" s="16" t="s">
        <v>68</v>
      </c>
      <c r="E60" s="1">
        <v>0</v>
      </c>
      <c r="F60" s="1">
        <v>0</v>
      </c>
      <c r="G60" s="1">
        <v>0</v>
      </c>
      <c r="H60" s="1">
        <v>0</v>
      </c>
      <c r="I60" s="2">
        <f t="shared" si="0"/>
        <v>0</v>
      </c>
    </row>
    <row r="61" spans="1:9" s="18" customFormat="1" ht="14.25" customHeight="1">
      <c r="A61" s="11">
        <v>60</v>
      </c>
      <c r="B61" s="1">
        <v>125800</v>
      </c>
      <c r="C61" s="15" t="s">
        <v>115</v>
      </c>
      <c r="D61" s="16" t="s">
        <v>69</v>
      </c>
      <c r="E61" s="1">
        <v>0</v>
      </c>
      <c r="F61" s="1">
        <v>0</v>
      </c>
      <c r="G61" s="1">
        <v>0</v>
      </c>
      <c r="H61" s="1">
        <v>0</v>
      </c>
      <c r="I61" s="2">
        <f t="shared" si="0"/>
        <v>0</v>
      </c>
    </row>
    <row r="62" spans="1:9" s="18" customFormat="1" ht="14.25" customHeight="1">
      <c r="A62" s="11">
        <v>61</v>
      </c>
      <c r="B62" s="2">
        <v>209872</v>
      </c>
      <c r="C62" s="19" t="s">
        <v>116</v>
      </c>
      <c r="D62" s="16" t="s">
        <v>30</v>
      </c>
      <c r="E62" s="1">
        <v>0</v>
      </c>
      <c r="F62" s="1">
        <v>0</v>
      </c>
      <c r="G62" s="1">
        <v>0</v>
      </c>
      <c r="H62" s="1">
        <v>0</v>
      </c>
      <c r="I62" s="2">
        <f t="shared" si="0"/>
        <v>0</v>
      </c>
    </row>
  </sheetData>
  <hyperlinks>
    <hyperlink ref="B3" r:id="rId1" tooltip="Бүх амжилтууд харах" display="https://mmo.mn/olympiads/achievements/204321/" xr:uid="{61B76AF5-6A31-4923-A3B1-E3664B48059E}"/>
    <hyperlink ref="B4" r:id="rId2" tooltip="Бүх амжилтууд харах" display="https://mmo.mn/olympiads/achievements/182742/" xr:uid="{23C2B9AE-A4E1-4C19-B62C-323676E1AFE6}"/>
    <hyperlink ref="B6" r:id="rId3" tooltip="Бүх амжилтууд харах" display="https://mmo.mn/olympiads/achievements/213141/" xr:uid="{675AFA8F-0AEB-47A2-A961-0F160555E203}"/>
    <hyperlink ref="B7" r:id="rId4" tooltip="Бүх амжилтууд харах" display="https://mmo.mn/olympiads/achievements/190776/" xr:uid="{C93657D8-266B-4583-9547-744B5BAB9710}"/>
    <hyperlink ref="B8" r:id="rId5" tooltip="Бүх амжилтууд харах" display="https://www.mmo.mn/olympiads/achievements/188176/" xr:uid="{5829CFE9-E5D0-4F73-87C9-D192AAC25C98}"/>
    <hyperlink ref="B10" r:id="rId6" tooltip="Бүх амжилтууд харах" display="https://mmo.mn/olympiads/achievements/137285/" xr:uid="{BA563BE6-F502-4813-AF7C-6227F6D38ED7}"/>
    <hyperlink ref="B11" r:id="rId7" tooltip="Бүх амжилтууд харах" display="https://mmo.mn/olympiads/achievements/182360/" xr:uid="{067BD3A9-8DB3-4055-8337-77F621D84B03}"/>
    <hyperlink ref="B12" r:id="rId8" tooltip="Бүх амжилтууд харах" display="https://mmo.mn/olympiads/achievements/213151/" xr:uid="{4F8FBAD6-852C-48EB-9127-9D2DC9D0E986}"/>
    <hyperlink ref="B14" r:id="rId9" tooltip="Бүх амжилтууд харах" display="https://mmo.mn/olympiads/achievements/213143/" xr:uid="{B9FD43CD-8C09-4BE2-9114-6F4C2960CD6A}"/>
    <hyperlink ref="B15" r:id="rId10" tooltip="Бүх амжилтууд харах" display="https://www.mmo.mn/olympiads/achievements/187146/" xr:uid="{A100650B-EF8E-4F73-9C54-0A5A910BBA57}"/>
    <hyperlink ref="B17" r:id="rId11" tooltip="Бүх амжилтууд харах" display="https://mmo.mn/olympiads/achievements/130433/" xr:uid="{087A5AC2-BFCF-42A2-BF8A-411926BF730B}"/>
    <hyperlink ref="B18" r:id="rId12" tooltip="Бүх амжилтууд харах" display="https://mmo.mn/olympiads/achievements/190772/" xr:uid="{DD88C64E-388C-46C5-9068-91C917B45330}"/>
    <hyperlink ref="B24" r:id="rId13" tooltip="Бүх амжилтууд харах" display="https://mmo.mn/olympiads/achievements/213170/" xr:uid="{B18C017B-9462-4CB3-A87A-F026EAE8D9CB}"/>
    <hyperlink ref="B26" r:id="rId14" tooltip="Бүх амжилтууд харах" display="https://mmo.mn/olympiads/achievements/190773/" xr:uid="{E663D306-C92D-4C3A-BE11-1CBD689FF95D}"/>
    <hyperlink ref="B28" r:id="rId15" tooltip="Бүх амжилтууд харах" display="https://mmo.mn/olympiads/achievements/201627/" xr:uid="{E0107603-7F85-498A-B6D7-F3025C4051D7}"/>
    <hyperlink ref="B29" r:id="rId16" tooltip="Бүх амжилтууд харах" display="https://mmo.mn/olympiads/achievements/213174/" xr:uid="{F704E1C4-CD17-40A9-B6AE-D24E9ECED5AC}"/>
    <hyperlink ref="B31" r:id="rId17" tooltip="Бүх амжилтууд харах" display="https://mmo.mn/olympiads/achievements/213153/" xr:uid="{65C8B9A7-7964-4A84-9495-EE069C326799}"/>
    <hyperlink ref="B30" r:id="rId18" tooltip="Бүх амжилтууд харах" display="https://www.mmo.mn/olympiads/achievements/187146/" xr:uid="{7ABB7B82-4244-433C-B0FF-B08555A0615B}"/>
    <hyperlink ref="B32" r:id="rId19" tooltip="Бүх амжилтууд харах" display="https://www.mmo.mn/olympiads/achievements/187003/" xr:uid="{2F9A2366-A7E2-4840-9CA2-EC0AD5E9C72F}"/>
    <hyperlink ref="B33" r:id="rId20" tooltip="Бүх амжилтууд харах" display="https://mmo.mn/olympiads/achievements/213171/" xr:uid="{86F739FA-6989-4130-85EC-06AC0412A672}"/>
    <hyperlink ref="B34" r:id="rId21" tooltip="Бүх амжилтууд харах" display="https://mmo.mn/olympiads/achievements/182762/" xr:uid="{35C03F11-2EA9-44F4-B2A0-22222B57ABE5}"/>
    <hyperlink ref="B36" r:id="rId22" tooltip="Бүх амжилтууд харах" display="https://www.mmo.mn/olympiads/achievements/187170/" xr:uid="{8FB7D77D-88BC-41A4-9FE0-21F2CDF768B0}"/>
    <hyperlink ref="B41" r:id="rId23" tooltip="Бүх амжилтууд харах" display="https://mmo.mn/olympiads/achievements/204328/" xr:uid="{349E12F7-45CC-4864-BCDA-E52E3A1DBF53}"/>
    <hyperlink ref="B42" r:id="rId24" tooltip="Бүх амжилтууд харах" display="https://mmo.mn/olympiads/achievements/197622/" xr:uid="{77EDFC0D-07D1-4AA7-99A5-9EC5D860DFA7}"/>
    <hyperlink ref="B46" r:id="rId25" tooltip="Бүх амжилтууд харах" display="https://mmo.mn/olympiads/achievements/186777/" xr:uid="{69E675C6-7FBF-48D9-9CC0-9460E820A7E3}"/>
    <hyperlink ref="B47" r:id="rId26" tooltip="Бүх амжилтууд харах" display="https://www.mmo.mn/olympiads/achievements/183271/" xr:uid="{DDC82A2F-B1C7-4AEB-9505-AE73D65118DD}"/>
    <hyperlink ref="B48" r:id="rId27" tooltip="Бүх амжилтууд харах" display="https://mmo.mn/olympiads/achievements/213170/" xr:uid="{F2E21F06-E2E2-4ACE-A8D6-4C427CCBAE87}"/>
    <hyperlink ref="B49" r:id="rId28" tooltip="Бүх амжилтууд харах" display="https://mmo.mn/olympiads/achievements/187996/" xr:uid="{CAB26010-AB76-4845-BF1F-2BB6C2E073F4}"/>
    <hyperlink ref="B40" r:id="rId29" tooltip="Бүх амжилтууд харах" display="https://mmo.mn/olympiads/achievements/190775/" xr:uid="{5825C7B2-1304-4FB1-ABB6-2E29959265DE}"/>
    <hyperlink ref="B52" r:id="rId30" tooltip="Бүх амжилтууд харах" display="https://mmo.mn/olympiads/achievements/213147/" xr:uid="{3EB62048-949D-442D-9C10-24B321DF71C5}"/>
    <hyperlink ref="B53" r:id="rId31" tooltip="Бүх амжилтууд харах" display="https://mmo.mn/olympiads/achievements/213179/" xr:uid="{DE3B6D9C-5B22-44B2-963B-8D173797F924}"/>
    <hyperlink ref="B54" r:id="rId32" tooltip="Бүх амжилтууд харах" display="https://www.mmo.mn/olympiads/achievements/121645/" xr:uid="{D096DA05-D327-4846-A44D-91164FBC75B1}"/>
    <hyperlink ref="B56" r:id="rId33" tooltip="Бүх амжилтууд харах" display="https://mmo.mn/olympiads/achievements/186788/" xr:uid="{B04D7D2E-9257-4BC8-AC8A-D16514F9C809}"/>
    <hyperlink ref="B57" r:id="rId34" tooltip="Бүх амжилтууд харах" display="https://mmo.mn/olympiads/achievements/186777/" xr:uid="{AFB1A39A-19E3-4E8E-805A-CD4BAFC43041}"/>
    <hyperlink ref="B58" r:id="rId35" tooltip="Бүх амжилтууд харах" display="https://mmo.mn/olympiads/achievements/181362/" xr:uid="{59B20D18-5854-49CB-A13A-1B7C6ADDEF99}"/>
    <hyperlink ref="B60" r:id="rId36" tooltip="Бүх амжилтууд харах" display="https://mmo.mn/olympiads/achievements/187819/" xr:uid="{E62993C7-C7F8-421E-A6DF-861DD2BE2981}"/>
  </hyperlink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0"/>
  <sheetViews>
    <sheetView zoomScaleNormal="100" workbookViewId="0">
      <selection activeCell="K16" sqref="K16"/>
    </sheetView>
  </sheetViews>
  <sheetFormatPr defaultColWidth="11.5703125" defaultRowHeight="12.75"/>
  <cols>
    <col min="1" max="1" width="3.85546875" customWidth="1"/>
    <col min="2" max="2" width="9.140625" style="20" customWidth="1"/>
    <col min="3" max="3" width="15.85546875" customWidth="1"/>
    <col min="4" max="4" width="17.140625" style="20" customWidth="1"/>
    <col min="5" max="9" width="8.42578125" customWidth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>
      <c r="A2" s="25">
        <v>1</v>
      </c>
      <c r="B2" s="21">
        <v>120102</v>
      </c>
      <c r="C2" s="6" t="s">
        <v>117</v>
      </c>
      <c r="D2" s="26" t="s">
        <v>79</v>
      </c>
      <c r="E2" s="25">
        <v>7</v>
      </c>
      <c r="F2" s="25">
        <v>0</v>
      </c>
      <c r="G2" s="25">
        <v>2</v>
      </c>
      <c r="H2" s="25">
        <v>7</v>
      </c>
      <c r="I2" s="25">
        <f t="shared" ref="I2:I33" si="0">SUM(E2:H2)</f>
        <v>16</v>
      </c>
    </row>
    <row r="3" spans="1:9">
      <c r="A3" s="25">
        <v>2</v>
      </c>
      <c r="B3" s="21">
        <v>125954</v>
      </c>
      <c r="C3" s="6" t="s">
        <v>118</v>
      </c>
      <c r="D3" s="26" t="s">
        <v>161</v>
      </c>
      <c r="E3" s="25">
        <v>3</v>
      </c>
      <c r="F3" s="25">
        <v>7</v>
      </c>
      <c r="G3" s="25">
        <v>4</v>
      </c>
      <c r="H3" s="25">
        <v>0</v>
      </c>
      <c r="I3" s="25">
        <f t="shared" si="0"/>
        <v>14</v>
      </c>
    </row>
    <row r="4" spans="1:9">
      <c r="A4" s="25">
        <v>3</v>
      </c>
      <c r="B4" s="21">
        <v>126003</v>
      </c>
      <c r="C4" s="6" t="s">
        <v>119</v>
      </c>
      <c r="D4" s="26" t="s">
        <v>162</v>
      </c>
      <c r="E4" s="25">
        <v>0</v>
      </c>
      <c r="F4" s="25">
        <v>7</v>
      </c>
      <c r="G4" s="25">
        <v>5</v>
      </c>
      <c r="H4" s="25">
        <v>0</v>
      </c>
      <c r="I4" s="25">
        <f t="shared" si="0"/>
        <v>12</v>
      </c>
    </row>
    <row r="5" spans="1:9">
      <c r="A5" s="25">
        <v>4</v>
      </c>
      <c r="B5" s="21">
        <v>122400</v>
      </c>
      <c r="C5" s="6" t="s">
        <v>120</v>
      </c>
      <c r="D5" s="26" t="s">
        <v>163</v>
      </c>
      <c r="E5" s="25">
        <v>4</v>
      </c>
      <c r="F5" s="25">
        <v>7</v>
      </c>
      <c r="G5" s="25">
        <v>0</v>
      </c>
      <c r="H5" s="25">
        <v>0</v>
      </c>
      <c r="I5" s="25">
        <f t="shared" si="0"/>
        <v>11</v>
      </c>
    </row>
    <row r="6" spans="1:9">
      <c r="A6" s="25">
        <v>5</v>
      </c>
      <c r="B6" s="22">
        <v>84368</v>
      </c>
      <c r="C6" s="7" t="s">
        <v>121</v>
      </c>
      <c r="D6" s="26" t="s">
        <v>164</v>
      </c>
      <c r="E6" s="25">
        <v>0</v>
      </c>
      <c r="F6" s="25">
        <v>7</v>
      </c>
      <c r="G6" s="25">
        <v>0</v>
      </c>
      <c r="H6" s="25">
        <v>0</v>
      </c>
      <c r="I6" s="25">
        <f t="shared" si="0"/>
        <v>7</v>
      </c>
    </row>
    <row r="7" spans="1:9">
      <c r="A7" s="25">
        <v>6</v>
      </c>
      <c r="B7" s="22">
        <v>137096</v>
      </c>
      <c r="C7" s="7" t="s">
        <v>122</v>
      </c>
      <c r="D7" s="26" t="s">
        <v>165</v>
      </c>
      <c r="E7" s="25">
        <v>0</v>
      </c>
      <c r="F7" s="25">
        <v>7</v>
      </c>
      <c r="G7" s="25">
        <v>0</v>
      </c>
      <c r="H7" s="25">
        <v>0</v>
      </c>
      <c r="I7" s="25">
        <f t="shared" si="0"/>
        <v>7</v>
      </c>
    </row>
    <row r="8" spans="1:9">
      <c r="A8" s="25">
        <v>7</v>
      </c>
      <c r="B8" s="21">
        <v>84177</v>
      </c>
      <c r="C8" s="6" t="s">
        <v>123</v>
      </c>
      <c r="D8" s="26" t="s">
        <v>166</v>
      </c>
      <c r="E8" s="25">
        <v>0</v>
      </c>
      <c r="F8" s="25">
        <v>7</v>
      </c>
      <c r="G8" s="25">
        <v>0</v>
      </c>
      <c r="H8" s="25">
        <v>0</v>
      </c>
      <c r="I8" s="25">
        <f t="shared" si="0"/>
        <v>7</v>
      </c>
    </row>
    <row r="9" spans="1:9">
      <c r="A9" s="25">
        <v>8</v>
      </c>
      <c r="B9" s="21">
        <v>136586</v>
      </c>
      <c r="C9" s="6" t="s">
        <v>124</v>
      </c>
      <c r="D9" s="26" t="s">
        <v>167</v>
      </c>
      <c r="E9" s="25">
        <v>0</v>
      </c>
      <c r="F9" s="25">
        <v>5</v>
      </c>
      <c r="G9" s="25">
        <v>0</v>
      </c>
      <c r="H9" s="25">
        <v>0</v>
      </c>
      <c r="I9" s="25">
        <f t="shared" si="0"/>
        <v>5</v>
      </c>
    </row>
    <row r="10" spans="1:9">
      <c r="A10" s="25">
        <v>9</v>
      </c>
      <c r="B10" s="21">
        <v>120268</v>
      </c>
      <c r="C10" s="6" t="s">
        <v>125</v>
      </c>
      <c r="D10" s="26" t="s">
        <v>168</v>
      </c>
      <c r="E10" s="25">
        <v>0</v>
      </c>
      <c r="F10" s="25">
        <v>0</v>
      </c>
      <c r="G10" s="25">
        <v>5</v>
      </c>
      <c r="H10" s="25">
        <v>0</v>
      </c>
      <c r="I10" s="25">
        <f t="shared" si="0"/>
        <v>5</v>
      </c>
    </row>
    <row r="11" spans="1:9">
      <c r="A11" s="25">
        <v>10</v>
      </c>
      <c r="B11" s="5">
        <v>118781</v>
      </c>
      <c r="C11" s="8" t="s">
        <v>90</v>
      </c>
      <c r="D11" s="26" t="s">
        <v>169</v>
      </c>
      <c r="E11" s="25">
        <v>5</v>
      </c>
      <c r="F11" s="25">
        <v>0</v>
      </c>
      <c r="G11" s="25">
        <v>0</v>
      </c>
      <c r="H11" s="25">
        <v>0</v>
      </c>
      <c r="I11" s="25">
        <f t="shared" si="0"/>
        <v>5</v>
      </c>
    </row>
    <row r="12" spans="1:9">
      <c r="A12" s="25">
        <v>11</v>
      </c>
      <c r="B12" s="22">
        <v>122290</v>
      </c>
      <c r="C12" s="7" t="s">
        <v>126</v>
      </c>
      <c r="D12" s="26" t="s">
        <v>170</v>
      </c>
      <c r="E12" s="25">
        <v>4</v>
      </c>
      <c r="F12" s="25">
        <v>0</v>
      </c>
      <c r="G12" s="25">
        <v>0</v>
      </c>
      <c r="H12" s="25">
        <v>0</v>
      </c>
      <c r="I12" s="25">
        <f t="shared" si="0"/>
        <v>4</v>
      </c>
    </row>
    <row r="13" spans="1:9">
      <c r="A13" s="25">
        <v>12</v>
      </c>
      <c r="B13" s="21">
        <v>75642</v>
      </c>
      <c r="C13" s="6" t="s">
        <v>127</v>
      </c>
      <c r="D13" s="26" t="s">
        <v>171</v>
      </c>
      <c r="E13" s="25">
        <v>0</v>
      </c>
      <c r="F13" s="25">
        <v>0</v>
      </c>
      <c r="G13" s="25">
        <v>2</v>
      </c>
      <c r="H13" s="25">
        <v>0</v>
      </c>
      <c r="I13" s="25">
        <f t="shared" si="0"/>
        <v>2</v>
      </c>
    </row>
    <row r="14" spans="1:9">
      <c r="A14" s="25">
        <v>13</v>
      </c>
      <c r="B14" s="21">
        <v>88283</v>
      </c>
      <c r="C14" s="6" t="s">
        <v>128</v>
      </c>
      <c r="D14" s="26" t="s">
        <v>172</v>
      </c>
      <c r="E14" s="25">
        <v>0</v>
      </c>
      <c r="F14" s="25">
        <v>0</v>
      </c>
      <c r="G14" s="25">
        <v>2</v>
      </c>
      <c r="H14" s="25">
        <v>0</v>
      </c>
      <c r="I14" s="25">
        <f t="shared" si="0"/>
        <v>2</v>
      </c>
    </row>
    <row r="15" spans="1:9">
      <c r="A15" s="25">
        <v>14</v>
      </c>
      <c r="B15" s="21">
        <v>120281</v>
      </c>
      <c r="C15" s="6" t="s">
        <v>103</v>
      </c>
      <c r="D15" s="26" t="s">
        <v>173</v>
      </c>
      <c r="E15" s="25">
        <v>0</v>
      </c>
      <c r="F15" s="25">
        <v>0</v>
      </c>
      <c r="G15" s="25">
        <v>0</v>
      </c>
      <c r="H15" s="25">
        <v>2</v>
      </c>
      <c r="I15" s="25">
        <f t="shared" si="0"/>
        <v>2</v>
      </c>
    </row>
    <row r="16" spans="1:9">
      <c r="A16" s="25">
        <v>15</v>
      </c>
      <c r="B16" s="21">
        <v>120384</v>
      </c>
      <c r="C16" s="6" t="s">
        <v>84</v>
      </c>
      <c r="D16" s="26" t="s">
        <v>174</v>
      </c>
      <c r="E16" s="25">
        <v>2</v>
      </c>
      <c r="F16" s="25">
        <v>0</v>
      </c>
      <c r="G16" s="25">
        <v>0</v>
      </c>
      <c r="H16" s="25">
        <v>0</v>
      </c>
      <c r="I16" s="25">
        <f t="shared" si="0"/>
        <v>2</v>
      </c>
    </row>
    <row r="17" spans="1:9">
      <c r="A17" s="25">
        <v>16</v>
      </c>
      <c r="B17" s="5">
        <v>207248</v>
      </c>
      <c r="C17" s="8" t="s">
        <v>112</v>
      </c>
      <c r="D17" s="26" t="s">
        <v>175</v>
      </c>
      <c r="E17" s="25">
        <v>0</v>
      </c>
      <c r="F17" s="25">
        <v>0</v>
      </c>
      <c r="G17" s="25">
        <v>2</v>
      </c>
      <c r="H17" s="25">
        <v>0</v>
      </c>
      <c r="I17" s="25">
        <f t="shared" si="0"/>
        <v>2</v>
      </c>
    </row>
    <row r="18" spans="1:9">
      <c r="A18" s="25">
        <v>17</v>
      </c>
      <c r="B18" s="5">
        <v>131987</v>
      </c>
      <c r="C18" s="23" t="s">
        <v>129</v>
      </c>
      <c r="D18" s="26" t="s">
        <v>176</v>
      </c>
      <c r="E18" s="25">
        <v>2</v>
      </c>
      <c r="F18" s="25">
        <v>0</v>
      </c>
      <c r="G18" s="25">
        <v>0</v>
      </c>
      <c r="H18" s="25">
        <v>0</v>
      </c>
      <c r="I18" s="25">
        <f t="shared" si="0"/>
        <v>2</v>
      </c>
    </row>
    <row r="19" spans="1:9">
      <c r="A19" s="25">
        <v>18</v>
      </c>
      <c r="B19" s="22">
        <v>120661</v>
      </c>
      <c r="C19" s="7" t="s">
        <v>130</v>
      </c>
      <c r="D19" s="26" t="s">
        <v>177</v>
      </c>
      <c r="E19" s="25">
        <v>2</v>
      </c>
      <c r="F19" s="25">
        <v>0</v>
      </c>
      <c r="G19" s="25">
        <v>0</v>
      </c>
      <c r="H19" s="25">
        <v>0</v>
      </c>
      <c r="I19" s="25">
        <f t="shared" si="0"/>
        <v>2</v>
      </c>
    </row>
    <row r="20" spans="1:9">
      <c r="A20" s="25">
        <v>19</v>
      </c>
      <c r="B20" s="22">
        <v>185452</v>
      </c>
      <c r="C20" s="7" t="s">
        <v>131</v>
      </c>
      <c r="D20" s="26" t="s">
        <v>178</v>
      </c>
      <c r="E20" s="25">
        <v>0</v>
      </c>
      <c r="F20" s="25">
        <v>2</v>
      </c>
      <c r="G20" s="25">
        <v>0</v>
      </c>
      <c r="H20" s="25">
        <v>0</v>
      </c>
      <c r="I20" s="25">
        <f t="shared" si="0"/>
        <v>2</v>
      </c>
    </row>
    <row r="21" spans="1:9">
      <c r="A21" s="25">
        <v>20</v>
      </c>
      <c r="B21" s="22">
        <v>120635</v>
      </c>
      <c r="C21" s="7" t="s">
        <v>132</v>
      </c>
      <c r="D21" s="26" t="s">
        <v>179</v>
      </c>
      <c r="E21" s="25">
        <v>0</v>
      </c>
      <c r="F21" s="25">
        <v>0</v>
      </c>
      <c r="G21" s="25">
        <v>2</v>
      </c>
      <c r="H21" s="25">
        <v>0</v>
      </c>
      <c r="I21" s="25">
        <f t="shared" si="0"/>
        <v>2</v>
      </c>
    </row>
    <row r="22" spans="1:9">
      <c r="A22" s="25">
        <v>21</v>
      </c>
      <c r="B22" s="22">
        <v>184882</v>
      </c>
      <c r="C22" s="7" t="s">
        <v>133</v>
      </c>
      <c r="D22" s="26" t="s">
        <v>43</v>
      </c>
      <c r="E22" s="25">
        <v>0</v>
      </c>
      <c r="F22" s="25">
        <v>0</v>
      </c>
      <c r="G22" s="25">
        <v>0</v>
      </c>
      <c r="H22" s="25">
        <v>0</v>
      </c>
      <c r="I22" s="25">
        <f t="shared" si="0"/>
        <v>0</v>
      </c>
    </row>
    <row r="23" spans="1:9">
      <c r="A23" s="25">
        <v>22</v>
      </c>
      <c r="B23" s="22">
        <v>181209</v>
      </c>
      <c r="C23" s="8" t="s">
        <v>76</v>
      </c>
      <c r="D23" s="26" t="s">
        <v>180</v>
      </c>
      <c r="E23" s="25">
        <v>0</v>
      </c>
      <c r="F23" s="25">
        <v>0</v>
      </c>
      <c r="G23" s="25">
        <v>0</v>
      </c>
      <c r="H23" s="25">
        <v>0</v>
      </c>
      <c r="I23" s="25">
        <f t="shared" si="0"/>
        <v>0</v>
      </c>
    </row>
    <row r="24" spans="1:9">
      <c r="A24" s="27">
        <v>23</v>
      </c>
      <c r="B24" s="21">
        <v>120251</v>
      </c>
      <c r="C24" s="6" t="s">
        <v>134</v>
      </c>
      <c r="D24" s="26" t="s">
        <v>181</v>
      </c>
      <c r="E24" s="25">
        <v>0</v>
      </c>
      <c r="F24" s="25">
        <v>0</v>
      </c>
      <c r="G24" s="25">
        <v>0</v>
      </c>
      <c r="H24" s="25">
        <v>0</v>
      </c>
      <c r="I24" s="25">
        <f t="shared" si="0"/>
        <v>0</v>
      </c>
    </row>
    <row r="25" spans="1:9">
      <c r="A25" s="25">
        <v>24</v>
      </c>
      <c r="B25" s="21">
        <v>121423</v>
      </c>
      <c r="C25" s="6" t="s">
        <v>135</v>
      </c>
      <c r="D25" s="26" t="s">
        <v>182</v>
      </c>
      <c r="E25" s="25">
        <v>0</v>
      </c>
      <c r="F25" s="25">
        <v>0</v>
      </c>
      <c r="G25" s="25">
        <v>0</v>
      </c>
      <c r="H25" s="25">
        <v>0</v>
      </c>
      <c r="I25" s="25">
        <f t="shared" si="0"/>
        <v>0</v>
      </c>
    </row>
    <row r="26" spans="1:9">
      <c r="A26" s="25">
        <v>25</v>
      </c>
      <c r="B26" s="22">
        <v>118626</v>
      </c>
      <c r="C26" s="8" t="s">
        <v>136</v>
      </c>
      <c r="D26" s="26" t="s">
        <v>183</v>
      </c>
      <c r="E26" s="25">
        <v>0</v>
      </c>
      <c r="F26" s="25">
        <v>0</v>
      </c>
      <c r="G26" s="25">
        <v>0</v>
      </c>
      <c r="H26" s="25">
        <v>0</v>
      </c>
      <c r="I26" s="25">
        <f t="shared" si="0"/>
        <v>0</v>
      </c>
    </row>
    <row r="27" spans="1:9">
      <c r="A27" s="25">
        <v>26</v>
      </c>
      <c r="B27" s="22">
        <v>122057</v>
      </c>
      <c r="C27" s="7" t="s">
        <v>137</v>
      </c>
      <c r="D27" s="26" t="s">
        <v>184</v>
      </c>
      <c r="E27" s="25">
        <v>0</v>
      </c>
      <c r="F27" s="25">
        <v>0</v>
      </c>
      <c r="G27" s="25">
        <v>0</v>
      </c>
      <c r="H27" s="25">
        <v>0</v>
      </c>
      <c r="I27" s="25">
        <f t="shared" si="0"/>
        <v>0</v>
      </c>
    </row>
    <row r="28" spans="1:9">
      <c r="A28" s="25">
        <v>27</v>
      </c>
      <c r="B28" s="22">
        <v>120610</v>
      </c>
      <c r="C28" s="7" t="s">
        <v>138</v>
      </c>
      <c r="D28" s="26" t="s">
        <v>185</v>
      </c>
      <c r="E28" s="25">
        <v>0</v>
      </c>
      <c r="F28" s="25">
        <v>0</v>
      </c>
      <c r="G28" s="25">
        <v>0</v>
      </c>
      <c r="H28" s="25">
        <v>0</v>
      </c>
      <c r="I28" s="25">
        <f t="shared" si="0"/>
        <v>0</v>
      </c>
    </row>
    <row r="29" spans="1:9">
      <c r="A29" s="25">
        <v>28</v>
      </c>
      <c r="B29" s="21">
        <v>203963</v>
      </c>
      <c r="C29" s="6" t="s">
        <v>139</v>
      </c>
      <c r="D29" s="26" t="s">
        <v>186</v>
      </c>
      <c r="E29" s="25">
        <v>0</v>
      </c>
      <c r="F29" s="25">
        <v>0</v>
      </c>
      <c r="G29" s="25">
        <v>0</v>
      </c>
      <c r="H29" s="25">
        <v>0</v>
      </c>
      <c r="I29" s="25">
        <f t="shared" si="0"/>
        <v>0</v>
      </c>
    </row>
    <row r="30" spans="1:9">
      <c r="A30" s="25">
        <v>29</v>
      </c>
      <c r="B30" s="5">
        <v>196902</v>
      </c>
      <c r="C30" s="8" t="s">
        <v>67</v>
      </c>
      <c r="D30" s="26" t="s">
        <v>187</v>
      </c>
      <c r="E30" s="25">
        <v>0</v>
      </c>
      <c r="F30" s="25">
        <v>0</v>
      </c>
      <c r="G30" s="25">
        <v>0</v>
      </c>
      <c r="H30" s="25">
        <v>0</v>
      </c>
      <c r="I30" s="25">
        <f t="shared" si="0"/>
        <v>0</v>
      </c>
    </row>
    <row r="31" spans="1:9">
      <c r="A31" s="25">
        <v>30</v>
      </c>
      <c r="B31" s="21">
        <v>182873</v>
      </c>
      <c r="C31" s="6" t="s">
        <v>140</v>
      </c>
      <c r="D31" s="26" t="s">
        <v>188</v>
      </c>
      <c r="E31" s="25">
        <v>0</v>
      </c>
      <c r="F31" s="25">
        <v>0</v>
      </c>
      <c r="G31" s="25">
        <v>0</v>
      </c>
      <c r="H31" s="25">
        <v>0</v>
      </c>
      <c r="I31" s="25">
        <f t="shared" si="0"/>
        <v>0</v>
      </c>
    </row>
    <row r="32" spans="1:9">
      <c r="A32" s="25">
        <v>31</v>
      </c>
      <c r="B32" s="21">
        <v>122228</v>
      </c>
      <c r="C32" s="6" t="s">
        <v>141</v>
      </c>
      <c r="D32" s="26" t="s">
        <v>189</v>
      </c>
      <c r="E32" s="25">
        <v>0</v>
      </c>
      <c r="F32" s="25">
        <v>0</v>
      </c>
      <c r="G32" s="25">
        <v>0</v>
      </c>
      <c r="H32" s="25">
        <v>0</v>
      </c>
      <c r="I32" s="25">
        <f t="shared" si="0"/>
        <v>0</v>
      </c>
    </row>
    <row r="33" spans="1:9">
      <c r="A33" s="25">
        <v>32</v>
      </c>
      <c r="B33" s="22">
        <v>79754</v>
      </c>
      <c r="C33" s="7" t="s">
        <v>142</v>
      </c>
      <c r="D33" s="26" t="s">
        <v>190</v>
      </c>
      <c r="E33" s="25">
        <v>0</v>
      </c>
      <c r="F33" s="25">
        <v>0</v>
      </c>
      <c r="G33" s="25">
        <v>0</v>
      </c>
      <c r="H33" s="25">
        <v>0</v>
      </c>
      <c r="I33" s="25">
        <f t="shared" si="0"/>
        <v>0</v>
      </c>
    </row>
    <row r="34" spans="1:9">
      <c r="A34" s="25">
        <v>33</v>
      </c>
      <c r="B34" s="21">
        <v>137352</v>
      </c>
      <c r="C34" s="6" t="s">
        <v>143</v>
      </c>
      <c r="D34" s="26" t="s">
        <v>191</v>
      </c>
      <c r="E34" s="25">
        <v>0</v>
      </c>
      <c r="F34" s="25">
        <v>0</v>
      </c>
      <c r="G34" s="25">
        <v>0</v>
      </c>
      <c r="H34" s="25">
        <v>0</v>
      </c>
      <c r="I34" s="25">
        <f t="shared" ref="I34:I60" si="1">SUM(E34:H34)</f>
        <v>0</v>
      </c>
    </row>
    <row r="35" spans="1:9">
      <c r="A35" s="25">
        <v>34</v>
      </c>
      <c r="B35" s="22">
        <v>120583</v>
      </c>
      <c r="C35" s="7" t="s">
        <v>144</v>
      </c>
      <c r="D35" s="26" t="s">
        <v>192</v>
      </c>
      <c r="E35" s="25">
        <v>0</v>
      </c>
      <c r="F35" s="25">
        <v>0</v>
      </c>
      <c r="G35" s="25">
        <v>0</v>
      </c>
      <c r="H35" s="25">
        <v>0</v>
      </c>
      <c r="I35" s="25">
        <f t="shared" si="1"/>
        <v>0</v>
      </c>
    </row>
    <row r="36" spans="1:9">
      <c r="A36" s="25">
        <v>35</v>
      </c>
      <c r="B36" s="22">
        <v>130145</v>
      </c>
      <c r="C36" s="7" t="s">
        <v>120</v>
      </c>
      <c r="D36" s="26" t="s">
        <v>193</v>
      </c>
      <c r="E36" s="25">
        <v>0</v>
      </c>
      <c r="F36" s="25">
        <v>0</v>
      </c>
      <c r="G36" s="25">
        <v>0</v>
      </c>
      <c r="H36" s="25">
        <v>0</v>
      </c>
      <c r="I36" s="25">
        <f t="shared" si="1"/>
        <v>0</v>
      </c>
    </row>
    <row r="37" spans="1:9">
      <c r="A37" s="25">
        <v>36</v>
      </c>
      <c r="B37" s="22">
        <v>125715</v>
      </c>
      <c r="C37" s="7" t="s">
        <v>145</v>
      </c>
      <c r="D37" s="26" t="s">
        <v>194</v>
      </c>
      <c r="E37" s="25">
        <v>0</v>
      </c>
      <c r="F37" s="25">
        <v>0</v>
      </c>
      <c r="G37" s="25">
        <v>0</v>
      </c>
      <c r="H37" s="25">
        <v>0</v>
      </c>
      <c r="I37" s="25">
        <f t="shared" si="1"/>
        <v>0</v>
      </c>
    </row>
    <row r="38" spans="1:9">
      <c r="A38" s="25">
        <v>37</v>
      </c>
      <c r="B38" s="5">
        <v>119283</v>
      </c>
      <c r="C38" s="8" t="s">
        <v>146</v>
      </c>
      <c r="D38" s="26" t="s">
        <v>195</v>
      </c>
      <c r="E38" s="25">
        <v>0</v>
      </c>
      <c r="F38" s="25">
        <v>0</v>
      </c>
      <c r="G38" s="25">
        <v>0</v>
      </c>
      <c r="H38" s="25">
        <v>0</v>
      </c>
      <c r="I38" s="27">
        <f t="shared" si="1"/>
        <v>0</v>
      </c>
    </row>
    <row r="39" spans="1:9">
      <c r="A39" s="25">
        <v>38</v>
      </c>
      <c r="B39" s="21">
        <v>137187</v>
      </c>
      <c r="C39" s="6" t="s">
        <v>147</v>
      </c>
      <c r="D39" s="26" t="s">
        <v>196</v>
      </c>
      <c r="E39" s="25">
        <v>0</v>
      </c>
      <c r="F39" s="25">
        <v>0</v>
      </c>
      <c r="G39" s="25">
        <v>0</v>
      </c>
      <c r="H39" s="25">
        <v>0</v>
      </c>
      <c r="I39" s="25">
        <f t="shared" si="1"/>
        <v>0</v>
      </c>
    </row>
    <row r="40" spans="1:9">
      <c r="A40" s="25">
        <v>39</v>
      </c>
      <c r="B40" s="22">
        <v>188213</v>
      </c>
      <c r="C40" s="7" t="s">
        <v>116</v>
      </c>
      <c r="D40" s="26" t="s">
        <v>69</v>
      </c>
      <c r="E40" s="25">
        <v>0</v>
      </c>
      <c r="F40" s="25">
        <v>0</v>
      </c>
      <c r="G40" s="25">
        <v>0</v>
      </c>
      <c r="H40" s="25">
        <v>0</v>
      </c>
      <c r="I40" s="25">
        <f t="shared" si="1"/>
        <v>0</v>
      </c>
    </row>
    <row r="41" spans="1:9">
      <c r="A41" s="25">
        <v>40</v>
      </c>
      <c r="B41" s="5">
        <v>120216</v>
      </c>
      <c r="C41" s="8" t="s">
        <v>148</v>
      </c>
      <c r="D41" s="26" t="s">
        <v>197</v>
      </c>
      <c r="E41" s="25">
        <v>0</v>
      </c>
      <c r="F41" s="25">
        <v>0</v>
      </c>
      <c r="G41" s="25">
        <v>0</v>
      </c>
      <c r="H41" s="25">
        <v>0</v>
      </c>
      <c r="I41" s="25">
        <f t="shared" si="1"/>
        <v>0</v>
      </c>
    </row>
    <row r="42" spans="1:9">
      <c r="A42" s="25">
        <v>41</v>
      </c>
      <c r="B42" s="5">
        <v>119786</v>
      </c>
      <c r="C42" s="8" t="s">
        <v>149</v>
      </c>
      <c r="D42" s="26" t="s">
        <v>198</v>
      </c>
      <c r="E42" s="25">
        <v>0</v>
      </c>
      <c r="F42" s="25">
        <v>0</v>
      </c>
      <c r="G42" s="25">
        <v>0</v>
      </c>
      <c r="H42" s="25">
        <v>0</v>
      </c>
      <c r="I42" s="25">
        <f t="shared" si="1"/>
        <v>0</v>
      </c>
    </row>
    <row r="43" spans="1:9">
      <c r="A43" s="25">
        <v>42</v>
      </c>
      <c r="B43" s="22">
        <v>204083</v>
      </c>
      <c r="C43" s="7" t="s">
        <v>150</v>
      </c>
      <c r="D43" s="26" t="s">
        <v>199</v>
      </c>
      <c r="E43" s="25">
        <v>0</v>
      </c>
      <c r="F43" s="25">
        <v>0</v>
      </c>
      <c r="G43" s="25">
        <v>0</v>
      </c>
      <c r="H43" s="25">
        <v>0</v>
      </c>
      <c r="I43" s="25">
        <f t="shared" si="1"/>
        <v>0</v>
      </c>
    </row>
    <row r="44" spans="1:9">
      <c r="A44" s="25">
        <v>43</v>
      </c>
      <c r="B44" s="21">
        <v>115313</v>
      </c>
      <c r="C44" s="24" t="s">
        <v>151</v>
      </c>
      <c r="D44" s="26" t="s">
        <v>200</v>
      </c>
      <c r="E44" s="25">
        <v>0</v>
      </c>
      <c r="F44" s="25">
        <v>0</v>
      </c>
      <c r="G44" s="25">
        <v>0</v>
      </c>
      <c r="H44" s="25">
        <v>0</v>
      </c>
      <c r="I44" s="25">
        <f t="shared" si="1"/>
        <v>0</v>
      </c>
    </row>
    <row r="45" spans="1:9">
      <c r="A45" s="25">
        <v>44</v>
      </c>
      <c r="B45" s="21">
        <v>115600</v>
      </c>
      <c r="C45" s="24" t="s">
        <v>152</v>
      </c>
      <c r="D45" s="26" t="s">
        <v>201</v>
      </c>
      <c r="E45" s="25">
        <v>0</v>
      </c>
      <c r="F45" s="25">
        <v>0</v>
      </c>
      <c r="G45" s="25">
        <v>0</v>
      </c>
      <c r="H45" s="25">
        <v>0</v>
      </c>
      <c r="I45" s="25">
        <f t="shared" si="1"/>
        <v>0</v>
      </c>
    </row>
    <row r="46" spans="1:9">
      <c r="A46" s="25">
        <v>45</v>
      </c>
      <c r="B46" s="22">
        <v>120726</v>
      </c>
      <c r="C46" s="7" t="s">
        <v>18</v>
      </c>
      <c r="D46" s="26" t="s">
        <v>47</v>
      </c>
      <c r="E46" s="25">
        <v>0</v>
      </c>
      <c r="F46" s="25">
        <v>0</v>
      </c>
      <c r="G46" s="25">
        <v>0</v>
      </c>
      <c r="H46" s="25">
        <v>0</v>
      </c>
      <c r="I46" s="25">
        <f t="shared" si="1"/>
        <v>0</v>
      </c>
    </row>
    <row r="47" spans="1:9">
      <c r="A47" s="25">
        <v>46</v>
      </c>
      <c r="B47" s="21">
        <v>208962</v>
      </c>
      <c r="C47" s="6" t="s">
        <v>153</v>
      </c>
      <c r="D47" s="26" t="s">
        <v>202</v>
      </c>
      <c r="E47" s="25">
        <v>0</v>
      </c>
      <c r="F47" s="25">
        <v>0</v>
      </c>
      <c r="G47" s="25">
        <v>0</v>
      </c>
      <c r="H47" s="25">
        <v>0</v>
      </c>
      <c r="I47" s="25">
        <f t="shared" si="1"/>
        <v>0</v>
      </c>
    </row>
    <row r="48" spans="1:9">
      <c r="A48" s="25">
        <v>47</v>
      </c>
      <c r="B48" s="22">
        <v>120777</v>
      </c>
      <c r="C48" s="7" t="s">
        <v>150</v>
      </c>
      <c r="D48" s="26" t="s">
        <v>164</v>
      </c>
      <c r="E48" s="25">
        <v>0</v>
      </c>
      <c r="F48" s="25">
        <v>0</v>
      </c>
      <c r="G48" s="25">
        <v>0</v>
      </c>
      <c r="H48" s="25">
        <v>0</v>
      </c>
      <c r="I48" s="25">
        <f t="shared" si="1"/>
        <v>0</v>
      </c>
    </row>
    <row r="49" spans="1:9">
      <c r="A49" s="25">
        <v>48</v>
      </c>
      <c r="B49" s="5">
        <v>139795</v>
      </c>
      <c r="C49" s="8" t="s">
        <v>154</v>
      </c>
      <c r="D49" s="26" t="s">
        <v>203</v>
      </c>
      <c r="E49" s="25">
        <v>0</v>
      </c>
      <c r="F49" s="25">
        <v>0</v>
      </c>
      <c r="G49" s="25">
        <v>0</v>
      </c>
      <c r="H49" s="25">
        <v>0</v>
      </c>
      <c r="I49" s="25">
        <f t="shared" si="1"/>
        <v>0</v>
      </c>
    </row>
    <row r="50" spans="1:9">
      <c r="A50" s="25">
        <v>49</v>
      </c>
      <c r="B50" s="5">
        <v>131182</v>
      </c>
      <c r="C50" s="7" t="s">
        <v>155</v>
      </c>
      <c r="D50" s="26" t="s">
        <v>204</v>
      </c>
      <c r="E50" s="25">
        <v>0</v>
      </c>
      <c r="F50" s="25">
        <v>0</v>
      </c>
      <c r="G50" s="25">
        <v>0</v>
      </c>
      <c r="H50" s="25">
        <v>0</v>
      </c>
      <c r="I50" s="25">
        <f t="shared" si="1"/>
        <v>0</v>
      </c>
    </row>
    <row r="51" spans="1:9">
      <c r="A51" s="25">
        <v>50</v>
      </c>
      <c r="B51" s="21">
        <v>183127</v>
      </c>
      <c r="C51" s="6" t="s">
        <v>90</v>
      </c>
      <c r="D51" s="26" t="s">
        <v>205</v>
      </c>
      <c r="E51" s="25">
        <v>0</v>
      </c>
      <c r="F51" s="25">
        <v>0</v>
      </c>
      <c r="G51" s="25">
        <v>0</v>
      </c>
      <c r="H51" s="25">
        <v>0</v>
      </c>
      <c r="I51" s="25">
        <f t="shared" si="1"/>
        <v>0</v>
      </c>
    </row>
    <row r="52" spans="1:9">
      <c r="A52" s="25">
        <v>51</v>
      </c>
      <c r="B52" s="22">
        <v>79757</v>
      </c>
      <c r="C52" s="7" t="s">
        <v>73</v>
      </c>
      <c r="D52" s="26" t="s">
        <v>206</v>
      </c>
      <c r="E52" s="25">
        <v>0</v>
      </c>
      <c r="F52" s="25">
        <v>0</v>
      </c>
      <c r="G52" s="25">
        <v>0</v>
      </c>
      <c r="H52" s="25">
        <v>0</v>
      </c>
      <c r="I52" s="25">
        <f t="shared" si="1"/>
        <v>0</v>
      </c>
    </row>
    <row r="53" spans="1:9">
      <c r="A53" s="25">
        <v>52</v>
      </c>
      <c r="B53" s="21">
        <v>137576</v>
      </c>
      <c r="C53" s="6" t="s">
        <v>156</v>
      </c>
      <c r="D53" s="26" t="s">
        <v>207</v>
      </c>
      <c r="E53" s="25">
        <v>0</v>
      </c>
      <c r="F53" s="25">
        <v>0</v>
      </c>
      <c r="G53" s="25">
        <v>0</v>
      </c>
      <c r="H53" s="25">
        <v>0</v>
      </c>
      <c r="I53" s="25">
        <f t="shared" si="1"/>
        <v>0</v>
      </c>
    </row>
    <row r="54" spans="1:9">
      <c r="A54" s="25">
        <v>53</v>
      </c>
      <c r="B54" s="5">
        <v>120967</v>
      </c>
      <c r="C54" s="7" t="s">
        <v>157</v>
      </c>
      <c r="D54" s="26" t="s">
        <v>208</v>
      </c>
      <c r="E54" s="25">
        <v>0</v>
      </c>
      <c r="F54" s="25">
        <v>0</v>
      </c>
      <c r="G54" s="25">
        <v>0</v>
      </c>
      <c r="H54" s="25">
        <v>0</v>
      </c>
      <c r="I54" s="25">
        <f t="shared" si="1"/>
        <v>0</v>
      </c>
    </row>
    <row r="55" spans="1:9">
      <c r="A55" s="25">
        <v>54</v>
      </c>
      <c r="B55" s="22">
        <v>121390</v>
      </c>
      <c r="C55" s="7" t="s">
        <v>112</v>
      </c>
      <c r="D55" s="26" t="s">
        <v>209</v>
      </c>
      <c r="E55" s="25">
        <v>0</v>
      </c>
      <c r="F55" s="25">
        <v>0</v>
      </c>
      <c r="G55" s="25">
        <v>0</v>
      </c>
      <c r="H55" s="25">
        <v>0</v>
      </c>
      <c r="I55" s="25">
        <f t="shared" si="1"/>
        <v>0</v>
      </c>
    </row>
    <row r="56" spans="1:9">
      <c r="A56" s="25">
        <v>55</v>
      </c>
      <c r="B56" s="5">
        <v>118684</v>
      </c>
      <c r="C56" s="8" t="s">
        <v>124</v>
      </c>
      <c r="D56" s="26" t="s">
        <v>210</v>
      </c>
      <c r="E56" s="25">
        <v>0</v>
      </c>
      <c r="F56" s="25">
        <v>0</v>
      </c>
      <c r="G56" s="25">
        <v>0</v>
      </c>
      <c r="H56" s="25">
        <v>0</v>
      </c>
      <c r="I56" s="25">
        <f t="shared" si="1"/>
        <v>0</v>
      </c>
    </row>
    <row r="57" spans="1:9">
      <c r="A57" s="25">
        <v>56</v>
      </c>
      <c r="B57" s="22">
        <v>120767</v>
      </c>
      <c r="C57" s="7" t="s">
        <v>158</v>
      </c>
      <c r="D57" s="26" t="s">
        <v>211</v>
      </c>
      <c r="E57" s="25">
        <v>0</v>
      </c>
      <c r="F57" s="25">
        <v>0</v>
      </c>
      <c r="G57" s="25">
        <v>0</v>
      </c>
      <c r="H57" s="25">
        <v>0</v>
      </c>
      <c r="I57" s="25">
        <f t="shared" si="1"/>
        <v>0</v>
      </c>
    </row>
    <row r="58" spans="1:9">
      <c r="A58" s="25">
        <v>57</v>
      </c>
      <c r="B58" s="22">
        <v>183114</v>
      </c>
      <c r="C58" s="7" t="s">
        <v>159</v>
      </c>
      <c r="D58" s="26" t="s">
        <v>38</v>
      </c>
      <c r="E58" s="25">
        <v>0</v>
      </c>
      <c r="F58" s="25">
        <v>0</v>
      </c>
      <c r="G58" s="25">
        <v>0</v>
      </c>
      <c r="H58" s="25">
        <v>0</v>
      </c>
      <c r="I58" s="25">
        <f t="shared" si="1"/>
        <v>0</v>
      </c>
    </row>
    <row r="59" spans="1:9">
      <c r="A59" s="25">
        <v>58</v>
      </c>
      <c r="B59" s="5">
        <v>121069</v>
      </c>
      <c r="C59" s="7" t="s">
        <v>160</v>
      </c>
      <c r="D59" s="26" t="s">
        <v>167</v>
      </c>
      <c r="E59" s="25">
        <v>0</v>
      </c>
      <c r="F59" s="25">
        <v>0</v>
      </c>
      <c r="G59" s="25">
        <v>0</v>
      </c>
      <c r="H59" s="25">
        <v>0</v>
      </c>
      <c r="I59" s="25">
        <f t="shared" si="1"/>
        <v>0</v>
      </c>
    </row>
    <row r="60" spans="1:9">
      <c r="A60" s="25">
        <v>59</v>
      </c>
      <c r="B60" s="22"/>
      <c r="C60" s="25"/>
      <c r="D60" s="26" t="s">
        <v>212</v>
      </c>
      <c r="E60" s="25">
        <v>0</v>
      </c>
      <c r="F60" s="25">
        <v>0</v>
      </c>
      <c r="G60" s="25">
        <v>0</v>
      </c>
      <c r="H60" s="25">
        <v>0</v>
      </c>
      <c r="I60" s="25">
        <f t="shared" si="1"/>
        <v>0</v>
      </c>
    </row>
  </sheetData>
  <hyperlinks>
    <hyperlink ref="B2" r:id="rId1" tooltip="Бүх амжилтууд харах" display="https://mmo.mn/olympiads/achievements/120102/" xr:uid="{E6F30C74-9E65-469E-8629-2FFBE65B3ED6}"/>
    <hyperlink ref="B3" r:id="rId2" tooltip="Бүх амжилтууд харах" display="https://mmo.mn/olympiads/achievements/125954/" xr:uid="{1D416BE3-E4D1-438F-848B-B3F65977670A}"/>
    <hyperlink ref="B4" r:id="rId3" tooltip="Бүх амжилтууд харах" display="https://mmo.mn/olympiads/achievements/126003/" xr:uid="{80AB5383-BCBE-4A72-A9B5-E62FBCB964C3}"/>
    <hyperlink ref="B5" r:id="rId4" tooltip="Бүх амжилтууд харах" display="https://mmo.mn/olympiads/achievements/122400/" xr:uid="{DB7F364B-19E4-46EE-B168-4B5189BFB59B}"/>
    <hyperlink ref="B6" r:id="rId5" tooltip="Бүх амжилтууд харах" display="https://www.mmo.mn/olympiads/achievements/84368/" xr:uid="{37A742A0-D5B0-4640-A742-510590766DBE}"/>
    <hyperlink ref="B8" r:id="rId6" tooltip="Бүх амжилтууд харах" display="https://mmo.mn/olympiads/achievements/84177/" xr:uid="{6C4D080D-0996-4DDA-ADBD-71DBF4C1CE3D}"/>
    <hyperlink ref="B9" r:id="rId7" tooltip="Бүх амжилтууд харах" display="https://mmo.mn/olympiads/achievements/136586/" xr:uid="{98C58DFF-FF94-4A4B-AB95-32CEE88FB2CA}"/>
    <hyperlink ref="B10" r:id="rId8" tooltip="Бүх амжилтууд харах" display="https://mmo.mn/olympiads/achievements/120268/" xr:uid="{8AC31B42-EB8F-4E36-8020-F11AA9C0CB4A}"/>
    <hyperlink ref="B13" r:id="rId9" tooltip="Бүх амжилтууд харах" display="https://mmo.mn/olympiads/achievements/75642/" xr:uid="{D2629B1D-9AB3-49FE-854F-7EC9EEDC695A}"/>
    <hyperlink ref="B14" r:id="rId10" tooltip="Бүх амжилтууд харах" display="https://mmo.mn/olympiads/achievements/88283/" xr:uid="{56F4AFC6-8FE4-4504-B621-801C85ABEEAC}"/>
    <hyperlink ref="B15" r:id="rId11" tooltip="Бүх амжилтууд харах" display="https://mmo.mn/olympiads/achievements/120281/" xr:uid="{EFCA177C-1746-4F72-9934-41FF664F3AFA}"/>
    <hyperlink ref="B16" r:id="rId12" tooltip="Бүх амжилтууд харах" display="https://mmo.mn/olympiads/achievements/120384/" xr:uid="{A24065AB-BE87-4148-A1E3-1DD1956B1910}"/>
    <hyperlink ref="B19" r:id="rId13" tooltip="Бүх амжилтууд харах" display="https://www.mmo.mn/olympiads/achievements/120661/" xr:uid="{81768B34-20DB-4B9A-B68A-6AA3642AD420}"/>
    <hyperlink ref="B21" r:id="rId14" tooltip="Бүх амжилтууд харах" display="https://www.mmo.mn/olympiads/achievements/120635/" xr:uid="{E359A7BC-E9E8-42DB-AE52-A53599FEC5C7}"/>
    <hyperlink ref="B24" r:id="rId15" tooltip="Бүх амжилтууд харах" display="https://mmo.mn/olympiads/achievements/120251/" xr:uid="{49B47BB0-C695-4A64-981E-76190AED465F}"/>
    <hyperlink ref="B25" r:id="rId16" tooltip="Бүх амжилтууд харах" display="https://mmo.mn/olympiads/achievements/121423/" xr:uid="{CB9F7336-8084-4786-9F0A-06D5C35F484C}"/>
    <hyperlink ref="B28" r:id="rId17" tooltip="Бүх амжилтууд харах" display="https://www.mmo.mn/olympiads/achievements/120610/" xr:uid="{5736FAED-B695-44C4-AE3C-43F6216C2DEB}"/>
    <hyperlink ref="B29" r:id="rId18" tooltip="Бүх амжилтууд харах" display="https://mmo.mn/olympiads/achievements/203963/" xr:uid="{591803FF-3FEE-48CF-99DC-5F7B99E42E63}"/>
    <hyperlink ref="B31" r:id="rId19" tooltip="Бүх амжилтууд харах" display="https://mmo.mn/olympiads/achievements/182873/" xr:uid="{22CAFEB3-5CC8-4925-89C7-CDF51368B4E6}"/>
    <hyperlink ref="B32" r:id="rId20" tooltip="Бүх амжилтууд харах" display="https://mmo.mn/olympiads/achievements/122228/" xr:uid="{CA8FC5AE-ACA7-4B10-A4C3-EFB7FB2C4863}"/>
    <hyperlink ref="B34" r:id="rId21" tooltip="Бүх амжилтууд харах" display="https://mmo.mn/olympiads/achievements/137352/" xr:uid="{BFDA6040-0447-4984-8307-C1CA1F47CCE1}"/>
    <hyperlink ref="B35" r:id="rId22" tooltip="Бүх амжилтууд харах" display="https://www.mmo.mn/olympiads/achievements/120583/" xr:uid="{F9686DE1-8B07-4A4D-BDF0-B364C3675208}"/>
    <hyperlink ref="B36" r:id="rId23" tooltip="Бүх амжилтууд харах" display="https://mmo.mn/olympiads/achievements/130145/" xr:uid="{5B6DAF2B-E09B-45FA-9DE1-7A4A2309162F}"/>
    <hyperlink ref="B39" r:id="rId24" tooltip="Бүх амжилтууд харах" display="https://mmo.mn/olympiads/achievements/137187/" xr:uid="{6FD6923F-6430-4967-8CCE-55A66B153680}"/>
    <hyperlink ref="B44" r:id="rId25" tooltip="Бүх амжилтууд харах" display="https://www.mmo.mn/olympiads/achievements/115313/" xr:uid="{20450ECE-3D51-44D5-BC77-86C947EEA092}"/>
    <hyperlink ref="B45" r:id="rId26" tooltip="Бүх амжилтууд харах" display="https://www.mmo.mn/olympiads/achievements/115600/" xr:uid="{28EA9A6D-3579-471F-B049-305C0049C166}"/>
    <hyperlink ref="B46" r:id="rId27" tooltip="Бүх амжилтууд харах" display="https://www.mmo.mn/olympiads/achievements/120726/" xr:uid="{A2AE6980-8D49-432A-937B-15D02E8551DD}"/>
    <hyperlink ref="B47" r:id="rId28" tooltip="Бүх амжилтууд харах" display="https://mmo.mn/olympiads/achievements/208962/" xr:uid="{EEBC8CE7-A74D-4844-9AD3-32E2697EC88A}"/>
    <hyperlink ref="B48" r:id="rId29" tooltip="Бүх амжилтууд харах" display="https://www.mmo.mn/olympiads/achievements/120777/" xr:uid="{38E98507-4F38-4A29-92D8-D602FBF97E04}"/>
    <hyperlink ref="B51" r:id="rId30" tooltip="Бүх амжилтууд харах" display="https://mmo.mn/olympiads/achievements/183127/" xr:uid="{D3FB3D5B-066E-428F-9B27-7F332C5CDE5F}"/>
    <hyperlink ref="B53" r:id="rId31" tooltip="Бүх амжилтууд харах" display="https://mmo.mn/olympiads/achievements/137576/" xr:uid="{653CD373-8753-4529-8299-2E1F1C15F12F}"/>
    <hyperlink ref="B57" r:id="rId32" tooltip="Бүх амжилтууд харах" display="https://mmo.mn/olympiads/achievements/120767/" xr:uid="{DEA1CF59-9773-4B44-B48E-363629837334}"/>
    <hyperlink ref="B58" r:id="rId33" tooltip="Бүх амжилтууд харах" display="https://www.mmo.mn/olympiads/achievements/183114/" xr:uid="{4038301B-954A-48D3-9ABA-11FB1BD3B9F2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1"/>
  <sheetViews>
    <sheetView zoomScaleNormal="100" workbookViewId="0">
      <selection activeCell="O9" sqref="O9"/>
    </sheetView>
  </sheetViews>
  <sheetFormatPr defaultColWidth="11.5703125" defaultRowHeight="12.75"/>
  <cols>
    <col min="1" max="1" width="4" customWidth="1"/>
    <col min="2" max="2" width="11.5703125" style="36"/>
    <col min="3" max="3" width="14.5703125" customWidth="1"/>
    <col min="4" max="4" width="20.42578125" customWidth="1"/>
    <col min="5" max="11" width="7.28515625" customWidth="1"/>
  </cols>
  <sheetData>
    <row r="1" spans="1:11">
      <c r="A1" s="83" t="s">
        <v>0</v>
      </c>
      <c r="B1" s="8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10</v>
      </c>
      <c r="K1" s="4" t="s">
        <v>8</v>
      </c>
    </row>
    <row r="2" spans="1:11" ht="15">
      <c r="A2" s="30">
        <v>1</v>
      </c>
      <c r="B2" s="75">
        <v>180132</v>
      </c>
      <c r="C2" t="s">
        <v>262</v>
      </c>
      <c r="D2" s="76" t="s">
        <v>213</v>
      </c>
      <c r="E2" s="77">
        <v>7</v>
      </c>
      <c r="F2" s="78">
        <v>7</v>
      </c>
      <c r="G2" s="78">
        <v>6</v>
      </c>
      <c r="H2" s="78">
        <v>2</v>
      </c>
      <c r="I2" s="78">
        <v>7</v>
      </c>
      <c r="J2" s="78">
        <v>0</v>
      </c>
      <c r="K2" s="79">
        <f>SUM(E2:J2)</f>
        <v>29</v>
      </c>
    </row>
    <row r="3" spans="1:11" ht="15">
      <c r="A3" s="30">
        <v>2</v>
      </c>
      <c r="B3" s="40">
        <v>129754</v>
      </c>
      <c r="C3" s="31" t="s">
        <v>109</v>
      </c>
      <c r="D3" s="30" t="s">
        <v>214</v>
      </c>
      <c r="E3" s="28">
        <v>7</v>
      </c>
      <c r="F3" s="29">
        <v>7</v>
      </c>
      <c r="G3" s="29">
        <v>0</v>
      </c>
      <c r="H3" s="29">
        <v>1</v>
      </c>
      <c r="I3" s="29">
        <v>7</v>
      </c>
      <c r="J3" s="29">
        <v>0</v>
      </c>
      <c r="K3" s="41">
        <f t="shared" ref="K3:K51" si="0">SUM(E3:J3)</f>
        <v>22</v>
      </c>
    </row>
    <row r="4" spans="1:11" ht="15">
      <c r="A4" s="30">
        <v>3</v>
      </c>
      <c r="B4" s="40">
        <v>20238</v>
      </c>
      <c r="C4" s="31" t="s">
        <v>77</v>
      </c>
      <c r="D4" s="30" t="s">
        <v>215</v>
      </c>
      <c r="E4" s="28">
        <v>7</v>
      </c>
      <c r="F4" s="29">
        <v>7</v>
      </c>
      <c r="G4" s="29">
        <v>0</v>
      </c>
      <c r="H4" s="29">
        <v>7</v>
      </c>
      <c r="I4" s="29">
        <v>0</v>
      </c>
      <c r="J4" s="29">
        <v>0</v>
      </c>
      <c r="K4" s="41">
        <f t="shared" si="0"/>
        <v>21</v>
      </c>
    </row>
    <row r="5" spans="1:11" ht="15">
      <c r="A5" s="30">
        <v>4</v>
      </c>
      <c r="B5" s="40">
        <v>136446</v>
      </c>
      <c r="C5" s="31" t="s">
        <v>263</v>
      </c>
      <c r="D5" s="30" t="s">
        <v>216</v>
      </c>
      <c r="E5" s="28">
        <v>7</v>
      </c>
      <c r="F5" s="29">
        <v>6</v>
      </c>
      <c r="G5" s="29">
        <v>1</v>
      </c>
      <c r="H5" s="29">
        <v>0</v>
      </c>
      <c r="I5" s="29">
        <v>7</v>
      </c>
      <c r="J5" s="29">
        <v>0</v>
      </c>
      <c r="K5" s="41">
        <f t="shared" si="0"/>
        <v>21</v>
      </c>
    </row>
    <row r="6" spans="1:11" ht="15">
      <c r="A6" s="30">
        <v>5</v>
      </c>
      <c r="B6" s="40">
        <v>129784</v>
      </c>
      <c r="C6" s="31" t="s">
        <v>264</v>
      </c>
      <c r="D6" s="30" t="s">
        <v>217</v>
      </c>
      <c r="E6" s="28">
        <v>7</v>
      </c>
      <c r="F6" s="29">
        <v>7</v>
      </c>
      <c r="G6" s="29">
        <v>0</v>
      </c>
      <c r="H6" s="29">
        <v>6</v>
      </c>
      <c r="I6" s="29">
        <v>0</v>
      </c>
      <c r="J6" s="29">
        <v>0</v>
      </c>
      <c r="K6" s="41">
        <f t="shared" si="0"/>
        <v>20</v>
      </c>
    </row>
    <row r="7" spans="1:11" ht="15">
      <c r="A7" s="30">
        <v>6</v>
      </c>
      <c r="B7" s="40">
        <v>84264</v>
      </c>
      <c r="C7" s="31" t="s">
        <v>265</v>
      </c>
      <c r="D7" s="30" t="s">
        <v>218</v>
      </c>
      <c r="E7" s="28">
        <v>7</v>
      </c>
      <c r="F7" s="29">
        <v>7</v>
      </c>
      <c r="G7" s="29">
        <v>0</v>
      </c>
      <c r="H7" s="29">
        <v>5</v>
      </c>
      <c r="I7" s="29">
        <v>0</v>
      </c>
      <c r="J7" s="29">
        <v>0</v>
      </c>
      <c r="K7" s="41">
        <f t="shared" si="0"/>
        <v>19</v>
      </c>
    </row>
    <row r="8" spans="1:11" ht="15">
      <c r="A8" s="30">
        <v>7</v>
      </c>
      <c r="B8" s="40">
        <v>127609</v>
      </c>
      <c r="C8" s="31" t="s">
        <v>266</v>
      </c>
      <c r="D8" s="30" t="s">
        <v>219</v>
      </c>
      <c r="E8" s="28">
        <v>7</v>
      </c>
      <c r="F8" s="29">
        <v>7</v>
      </c>
      <c r="G8" s="29">
        <v>1</v>
      </c>
      <c r="H8" s="29">
        <v>2</v>
      </c>
      <c r="I8" s="29">
        <v>0</v>
      </c>
      <c r="J8" s="29">
        <v>0</v>
      </c>
      <c r="K8" s="41">
        <f t="shared" si="0"/>
        <v>17</v>
      </c>
    </row>
    <row r="9" spans="1:11" ht="15">
      <c r="A9" s="30">
        <v>8</v>
      </c>
      <c r="B9" s="40">
        <v>85805</v>
      </c>
      <c r="C9" s="31" t="s">
        <v>267</v>
      </c>
      <c r="D9" s="30" t="s">
        <v>220</v>
      </c>
      <c r="E9" s="28">
        <v>7</v>
      </c>
      <c r="F9" s="29">
        <v>6</v>
      </c>
      <c r="G9" s="29">
        <v>0</v>
      </c>
      <c r="H9" s="29">
        <v>1</v>
      </c>
      <c r="I9" s="29">
        <v>2</v>
      </c>
      <c r="J9" s="29">
        <v>0</v>
      </c>
      <c r="K9" s="41">
        <f t="shared" si="0"/>
        <v>16</v>
      </c>
    </row>
    <row r="10" spans="1:11" ht="15">
      <c r="A10" s="30">
        <v>9</v>
      </c>
      <c r="B10" s="40">
        <v>78603</v>
      </c>
      <c r="C10" s="31" t="s">
        <v>104</v>
      </c>
      <c r="D10" s="30" t="s">
        <v>221</v>
      </c>
      <c r="E10" s="28">
        <v>7</v>
      </c>
      <c r="F10" s="29">
        <v>7</v>
      </c>
      <c r="G10" s="29">
        <v>0</v>
      </c>
      <c r="H10" s="29">
        <v>1</v>
      </c>
      <c r="I10" s="29">
        <v>0</v>
      </c>
      <c r="J10" s="29">
        <v>0</v>
      </c>
      <c r="K10" s="41">
        <f t="shared" si="0"/>
        <v>15</v>
      </c>
    </row>
    <row r="11" spans="1:11" ht="15">
      <c r="A11" s="30">
        <v>10</v>
      </c>
      <c r="B11" s="40">
        <v>88108</v>
      </c>
      <c r="C11" s="31" t="s">
        <v>268</v>
      </c>
      <c r="D11" s="30" t="s">
        <v>222</v>
      </c>
      <c r="E11" s="28">
        <v>7</v>
      </c>
      <c r="F11" s="29">
        <v>7</v>
      </c>
      <c r="G11" s="29">
        <v>0</v>
      </c>
      <c r="H11" s="29">
        <v>1</v>
      </c>
      <c r="I11" s="29">
        <v>0</v>
      </c>
      <c r="J11" s="29">
        <v>0</v>
      </c>
      <c r="K11" s="41">
        <f t="shared" si="0"/>
        <v>15</v>
      </c>
    </row>
    <row r="12" spans="1:11" ht="15">
      <c r="A12" s="30">
        <v>11</v>
      </c>
      <c r="B12" s="40">
        <v>85663</v>
      </c>
      <c r="C12" s="31" t="s">
        <v>269</v>
      </c>
      <c r="D12" s="30" t="s">
        <v>223</v>
      </c>
      <c r="E12" s="28">
        <v>7</v>
      </c>
      <c r="F12" s="29">
        <v>7</v>
      </c>
      <c r="G12" s="29">
        <v>0</v>
      </c>
      <c r="H12" s="29">
        <v>1</v>
      </c>
      <c r="I12" s="29">
        <v>0</v>
      </c>
      <c r="J12" s="29">
        <v>0</v>
      </c>
      <c r="K12" s="41">
        <f t="shared" si="0"/>
        <v>15</v>
      </c>
    </row>
    <row r="13" spans="1:11" ht="15">
      <c r="A13" s="30">
        <v>12</v>
      </c>
      <c r="B13" s="37">
        <v>84353</v>
      </c>
      <c r="C13" s="32" t="s">
        <v>90</v>
      </c>
      <c r="D13" s="30" t="s">
        <v>224</v>
      </c>
      <c r="E13" s="28">
        <v>7</v>
      </c>
      <c r="F13" s="29">
        <v>6</v>
      </c>
      <c r="G13" s="29">
        <v>0</v>
      </c>
      <c r="H13" s="29">
        <v>1</v>
      </c>
      <c r="I13" s="29">
        <v>0</v>
      </c>
      <c r="J13" s="29">
        <v>0</v>
      </c>
      <c r="K13" s="41">
        <f t="shared" si="0"/>
        <v>14</v>
      </c>
    </row>
    <row r="14" spans="1:11" ht="15">
      <c r="A14" s="30">
        <v>13</v>
      </c>
      <c r="B14" s="40">
        <v>186512</v>
      </c>
      <c r="C14" s="31" t="s">
        <v>135</v>
      </c>
      <c r="D14" s="30" t="s">
        <v>270</v>
      </c>
      <c r="E14" s="28">
        <v>7</v>
      </c>
      <c r="F14" s="29">
        <v>6</v>
      </c>
      <c r="G14" s="29">
        <v>0</v>
      </c>
      <c r="H14" s="29">
        <v>1</v>
      </c>
      <c r="I14" s="29">
        <v>0</v>
      </c>
      <c r="J14" s="29">
        <v>0</v>
      </c>
      <c r="K14" s="41">
        <f t="shared" si="0"/>
        <v>14</v>
      </c>
    </row>
    <row r="15" spans="1:11" ht="15">
      <c r="A15" s="30">
        <v>14</v>
      </c>
      <c r="B15" s="37">
        <v>84426</v>
      </c>
      <c r="C15" s="32" t="s">
        <v>271</v>
      </c>
      <c r="D15" s="30" t="s">
        <v>225</v>
      </c>
      <c r="E15" s="28">
        <v>7</v>
      </c>
      <c r="F15" s="29">
        <v>6</v>
      </c>
      <c r="G15" s="29">
        <v>0</v>
      </c>
      <c r="H15" s="29">
        <v>1</v>
      </c>
      <c r="I15" s="29">
        <v>0</v>
      </c>
      <c r="J15" s="29">
        <v>0</v>
      </c>
      <c r="K15" s="41">
        <f t="shared" si="0"/>
        <v>14</v>
      </c>
    </row>
    <row r="16" spans="1:11" ht="15">
      <c r="A16" s="30">
        <v>15</v>
      </c>
      <c r="B16" s="37">
        <v>85036</v>
      </c>
      <c r="C16" s="32" t="s">
        <v>272</v>
      </c>
      <c r="D16" s="30" t="s">
        <v>226</v>
      </c>
      <c r="E16" s="28">
        <v>7</v>
      </c>
      <c r="F16" s="29">
        <v>6</v>
      </c>
      <c r="G16" s="29">
        <v>0</v>
      </c>
      <c r="H16" s="29">
        <v>0</v>
      </c>
      <c r="I16" s="29">
        <v>0</v>
      </c>
      <c r="J16" s="29">
        <v>0</v>
      </c>
      <c r="K16" s="41">
        <f t="shared" si="0"/>
        <v>13</v>
      </c>
    </row>
    <row r="17" spans="1:11" ht="15">
      <c r="A17" s="30">
        <v>16</v>
      </c>
      <c r="B17" s="40">
        <v>127551</v>
      </c>
      <c r="C17" s="31" t="s">
        <v>128</v>
      </c>
      <c r="D17" s="30" t="s">
        <v>227</v>
      </c>
      <c r="E17" s="28">
        <v>7</v>
      </c>
      <c r="F17" s="29">
        <v>3</v>
      </c>
      <c r="G17" s="29">
        <v>0</v>
      </c>
      <c r="H17" s="29">
        <v>1</v>
      </c>
      <c r="I17" s="29">
        <v>0</v>
      </c>
      <c r="J17" s="29">
        <v>0</v>
      </c>
      <c r="K17" s="41">
        <f t="shared" si="0"/>
        <v>11</v>
      </c>
    </row>
    <row r="18" spans="1:11" ht="15">
      <c r="A18" s="30">
        <v>17</v>
      </c>
      <c r="B18" s="37">
        <v>129616</v>
      </c>
      <c r="C18" s="32" t="s">
        <v>273</v>
      </c>
      <c r="D18" s="30" t="s">
        <v>228</v>
      </c>
      <c r="E18" s="28">
        <v>7</v>
      </c>
      <c r="F18" s="29">
        <v>3</v>
      </c>
      <c r="G18" s="29">
        <v>0</v>
      </c>
      <c r="H18" s="29">
        <v>1</v>
      </c>
      <c r="I18" s="29">
        <v>0</v>
      </c>
      <c r="J18" s="29">
        <v>0</v>
      </c>
      <c r="K18" s="41">
        <f t="shared" si="0"/>
        <v>11</v>
      </c>
    </row>
    <row r="19" spans="1:11" ht="15">
      <c r="A19" s="30">
        <v>18</v>
      </c>
      <c r="B19" s="37">
        <v>84280</v>
      </c>
      <c r="C19" s="32" t="s">
        <v>150</v>
      </c>
      <c r="D19" s="30" t="s">
        <v>229</v>
      </c>
      <c r="E19" s="28">
        <v>7</v>
      </c>
      <c r="F19" s="29">
        <v>6</v>
      </c>
      <c r="G19" s="29">
        <v>0</v>
      </c>
      <c r="H19" s="29">
        <v>1</v>
      </c>
      <c r="I19" s="29">
        <v>0</v>
      </c>
      <c r="J19" s="29">
        <v>0</v>
      </c>
      <c r="K19" s="41">
        <f t="shared" si="0"/>
        <v>14</v>
      </c>
    </row>
    <row r="20" spans="1:11" ht="15">
      <c r="A20" s="30">
        <v>19</v>
      </c>
      <c r="B20" s="40">
        <v>129691</v>
      </c>
      <c r="C20" s="31" t="s">
        <v>274</v>
      </c>
      <c r="D20" s="30" t="s">
        <v>230</v>
      </c>
      <c r="E20" s="28">
        <v>7</v>
      </c>
      <c r="F20" s="29">
        <v>3</v>
      </c>
      <c r="G20" s="29">
        <v>0</v>
      </c>
      <c r="H20" s="29">
        <v>1</v>
      </c>
      <c r="I20" s="29">
        <v>0</v>
      </c>
      <c r="J20" s="29">
        <v>0</v>
      </c>
      <c r="K20" s="41">
        <f t="shared" si="0"/>
        <v>11</v>
      </c>
    </row>
    <row r="21" spans="1:11" ht="15">
      <c r="A21" s="30">
        <v>20</v>
      </c>
      <c r="B21" s="37">
        <v>186673</v>
      </c>
      <c r="C21" s="32" t="s">
        <v>275</v>
      </c>
      <c r="D21" s="30" t="s">
        <v>231</v>
      </c>
      <c r="E21" s="28">
        <v>7</v>
      </c>
      <c r="F21" s="29">
        <v>3</v>
      </c>
      <c r="G21" s="29">
        <v>0</v>
      </c>
      <c r="H21" s="29">
        <v>1</v>
      </c>
      <c r="I21" s="29">
        <v>0</v>
      </c>
      <c r="J21" s="29">
        <v>0</v>
      </c>
      <c r="K21" s="41">
        <f t="shared" si="0"/>
        <v>11</v>
      </c>
    </row>
    <row r="22" spans="1:11" ht="15">
      <c r="A22" s="30">
        <v>21</v>
      </c>
      <c r="B22" s="40">
        <v>186520</v>
      </c>
      <c r="C22" s="31" t="s">
        <v>276</v>
      </c>
      <c r="D22" s="30" t="s">
        <v>232</v>
      </c>
      <c r="E22" s="28">
        <v>7</v>
      </c>
      <c r="F22" s="29">
        <v>3</v>
      </c>
      <c r="G22" s="29">
        <v>0</v>
      </c>
      <c r="H22" s="29">
        <v>0</v>
      </c>
      <c r="I22" s="29">
        <v>0</v>
      </c>
      <c r="J22" s="29">
        <v>0</v>
      </c>
      <c r="K22" s="41">
        <f t="shared" si="0"/>
        <v>10</v>
      </c>
    </row>
    <row r="23" spans="1:11" ht="15">
      <c r="A23" s="30">
        <v>22</v>
      </c>
      <c r="B23" s="40">
        <v>86015</v>
      </c>
      <c r="C23" s="31" t="s">
        <v>277</v>
      </c>
      <c r="D23" s="30" t="s">
        <v>233</v>
      </c>
      <c r="E23" s="28">
        <v>7</v>
      </c>
      <c r="F23" s="29">
        <v>2</v>
      </c>
      <c r="G23" s="29">
        <v>0</v>
      </c>
      <c r="H23" s="29">
        <v>1</v>
      </c>
      <c r="I23" s="29">
        <v>0</v>
      </c>
      <c r="J23" s="29">
        <v>0</v>
      </c>
      <c r="K23" s="41">
        <f t="shared" si="0"/>
        <v>10</v>
      </c>
    </row>
    <row r="24" spans="1:11" ht="15">
      <c r="A24" s="30">
        <v>23</v>
      </c>
      <c r="B24" s="37">
        <v>115395</v>
      </c>
      <c r="C24" s="32" t="s">
        <v>278</v>
      </c>
      <c r="D24" s="30" t="s">
        <v>234</v>
      </c>
      <c r="E24" s="28">
        <v>7</v>
      </c>
      <c r="F24" s="29">
        <v>2</v>
      </c>
      <c r="G24" s="29">
        <v>0</v>
      </c>
      <c r="H24" s="29">
        <v>1</v>
      </c>
      <c r="I24" s="29">
        <v>0</v>
      </c>
      <c r="J24" s="29">
        <v>0</v>
      </c>
      <c r="K24" s="41">
        <f t="shared" si="0"/>
        <v>10</v>
      </c>
    </row>
    <row r="25" spans="1:11" ht="15">
      <c r="A25" s="30">
        <v>24</v>
      </c>
      <c r="B25" s="37">
        <v>87527</v>
      </c>
      <c r="C25" s="32" t="s">
        <v>279</v>
      </c>
      <c r="D25" s="30" t="s">
        <v>235</v>
      </c>
      <c r="E25" s="28">
        <v>7</v>
      </c>
      <c r="F25" s="29">
        <v>2</v>
      </c>
      <c r="G25" s="29">
        <v>0</v>
      </c>
      <c r="H25" s="29">
        <v>1</v>
      </c>
      <c r="I25" s="29">
        <v>0</v>
      </c>
      <c r="J25" s="29">
        <v>0</v>
      </c>
      <c r="K25" s="41">
        <f t="shared" si="0"/>
        <v>10</v>
      </c>
    </row>
    <row r="26" spans="1:11" ht="15">
      <c r="A26" s="30">
        <v>25</v>
      </c>
      <c r="B26" s="37">
        <v>78599</v>
      </c>
      <c r="C26" s="32" t="s">
        <v>78</v>
      </c>
      <c r="D26" s="30" t="s">
        <v>236</v>
      </c>
      <c r="E26" s="28">
        <v>7</v>
      </c>
      <c r="F26" s="29">
        <v>3</v>
      </c>
      <c r="G26" s="29">
        <v>0</v>
      </c>
      <c r="H26" s="29">
        <v>0</v>
      </c>
      <c r="I26" s="29">
        <v>0</v>
      </c>
      <c r="J26" s="29">
        <v>0</v>
      </c>
      <c r="K26" s="41">
        <f t="shared" si="0"/>
        <v>10</v>
      </c>
    </row>
    <row r="27" spans="1:11" ht="15">
      <c r="A27" s="30">
        <v>26</v>
      </c>
      <c r="B27" s="38">
        <v>85249</v>
      </c>
      <c r="C27" s="33" t="s">
        <v>280</v>
      </c>
      <c r="D27" s="30" t="s">
        <v>237</v>
      </c>
      <c r="E27" s="28">
        <v>7</v>
      </c>
      <c r="F27" s="29">
        <v>2</v>
      </c>
      <c r="G27" s="29">
        <v>0</v>
      </c>
      <c r="H27" s="29">
        <v>1</v>
      </c>
      <c r="I27" s="29">
        <v>0</v>
      </c>
      <c r="J27" s="29">
        <v>0</v>
      </c>
      <c r="K27" s="41">
        <f t="shared" si="0"/>
        <v>10</v>
      </c>
    </row>
    <row r="28" spans="1:11" ht="15">
      <c r="A28" s="30">
        <v>27</v>
      </c>
      <c r="B28" s="37">
        <v>129671</v>
      </c>
      <c r="C28" s="32" t="s">
        <v>130</v>
      </c>
      <c r="D28" s="30" t="s">
        <v>238</v>
      </c>
      <c r="E28" s="28">
        <v>7</v>
      </c>
      <c r="F28" s="29">
        <v>3</v>
      </c>
      <c r="G28" s="29">
        <v>0</v>
      </c>
      <c r="H28" s="29">
        <v>0</v>
      </c>
      <c r="I28" s="29">
        <v>0</v>
      </c>
      <c r="J28" s="29">
        <v>0</v>
      </c>
      <c r="K28" s="41">
        <f t="shared" si="0"/>
        <v>10</v>
      </c>
    </row>
    <row r="29" spans="1:11" ht="15">
      <c r="A29" s="30">
        <v>28</v>
      </c>
      <c r="B29" s="40">
        <v>127823</v>
      </c>
      <c r="C29" s="31" t="s">
        <v>281</v>
      </c>
      <c r="D29" s="30" t="s">
        <v>239</v>
      </c>
      <c r="E29" s="28">
        <v>7</v>
      </c>
      <c r="F29" s="29">
        <v>2</v>
      </c>
      <c r="G29" s="29">
        <v>0</v>
      </c>
      <c r="H29" s="29">
        <v>1</v>
      </c>
      <c r="I29" s="29">
        <v>0</v>
      </c>
      <c r="J29" s="29">
        <v>0</v>
      </c>
      <c r="K29" s="41">
        <f t="shared" si="0"/>
        <v>10</v>
      </c>
    </row>
    <row r="30" spans="1:11" ht="15">
      <c r="A30" s="30">
        <v>29</v>
      </c>
      <c r="B30" s="40">
        <v>127398</v>
      </c>
      <c r="C30" s="31" t="s">
        <v>282</v>
      </c>
      <c r="D30" s="30" t="s">
        <v>240</v>
      </c>
      <c r="E30" s="28">
        <v>7</v>
      </c>
      <c r="F30" s="29">
        <v>2</v>
      </c>
      <c r="G30" s="29">
        <v>0</v>
      </c>
      <c r="H30" s="29">
        <v>1</v>
      </c>
      <c r="I30" s="29">
        <v>0</v>
      </c>
      <c r="J30" s="29">
        <v>0</v>
      </c>
      <c r="K30" s="41">
        <f t="shared" si="0"/>
        <v>10</v>
      </c>
    </row>
    <row r="31" spans="1:11" ht="15">
      <c r="A31" s="30">
        <v>30</v>
      </c>
      <c r="B31" s="39">
        <v>29143</v>
      </c>
      <c r="C31" s="34" t="s">
        <v>283</v>
      </c>
      <c r="D31" s="30" t="s">
        <v>241</v>
      </c>
      <c r="E31" s="28">
        <v>7</v>
      </c>
      <c r="F31" s="29">
        <v>3</v>
      </c>
      <c r="G31" s="29">
        <v>0</v>
      </c>
      <c r="H31" s="29">
        <v>0</v>
      </c>
      <c r="I31" s="29">
        <v>0</v>
      </c>
      <c r="J31" s="29">
        <v>0</v>
      </c>
      <c r="K31" s="41">
        <f t="shared" si="0"/>
        <v>10</v>
      </c>
    </row>
    <row r="32" spans="1:11" ht="15">
      <c r="A32" s="30">
        <v>31</v>
      </c>
      <c r="B32" s="40">
        <v>127793</v>
      </c>
      <c r="C32" s="31" t="s">
        <v>284</v>
      </c>
      <c r="D32" s="30" t="s">
        <v>242</v>
      </c>
      <c r="E32" s="28">
        <v>7</v>
      </c>
      <c r="F32" s="29">
        <v>3</v>
      </c>
      <c r="G32" s="29">
        <v>0</v>
      </c>
      <c r="H32" s="29">
        <v>0</v>
      </c>
      <c r="I32" s="29">
        <v>0</v>
      </c>
      <c r="J32" s="29">
        <v>0</v>
      </c>
      <c r="K32" s="41">
        <f t="shared" si="0"/>
        <v>10</v>
      </c>
    </row>
    <row r="33" spans="1:11" ht="15">
      <c r="A33" s="30">
        <v>32</v>
      </c>
      <c r="B33" s="40">
        <v>120264</v>
      </c>
      <c r="C33" s="31" t="s">
        <v>285</v>
      </c>
      <c r="D33" s="30" t="s">
        <v>243</v>
      </c>
      <c r="E33" s="28">
        <v>7</v>
      </c>
      <c r="F33" s="29">
        <v>2</v>
      </c>
      <c r="G33" s="29">
        <v>0</v>
      </c>
      <c r="H33" s="29">
        <v>1</v>
      </c>
      <c r="I33" s="29">
        <v>0</v>
      </c>
      <c r="J33" s="29">
        <v>0</v>
      </c>
      <c r="K33" s="41">
        <f t="shared" si="0"/>
        <v>10</v>
      </c>
    </row>
    <row r="34" spans="1:11" ht="15">
      <c r="A34" s="30">
        <v>33</v>
      </c>
      <c r="B34" s="37">
        <v>123189</v>
      </c>
      <c r="C34" s="32" t="s">
        <v>18</v>
      </c>
      <c r="D34" s="30" t="s">
        <v>244</v>
      </c>
      <c r="E34" s="28">
        <v>7</v>
      </c>
      <c r="F34" s="29">
        <v>2</v>
      </c>
      <c r="G34" s="29">
        <v>0</v>
      </c>
      <c r="H34" s="29">
        <v>0</v>
      </c>
      <c r="I34" s="29">
        <v>0</v>
      </c>
      <c r="J34" s="29">
        <v>0</v>
      </c>
      <c r="K34" s="41">
        <f t="shared" si="0"/>
        <v>9</v>
      </c>
    </row>
    <row r="35" spans="1:11" ht="15">
      <c r="A35" s="30">
        <v>34</v>
      </c>
      <c r="B35" s="37">
        <v>79769</v>
      </c>
      <c r="C35" s="32" t="s">
        <v>286</v>
      </c>
      <c r="D35" s="30" t="s">
        <v>245</v>
      </c>
      <c r="E35" s="28">
        <v>4</v>
      </c>
      <c r="F35" s="29">
        <v>2</v>
      </c>
      <c r="G35" s="29">
        <v>0</v>
      </c>
      <c r="H35" s="29">
        <v>1</v>
      </c>
      <c r="I35" s="29">
        <v>0</v>
      </c>
      <c r="J35" s="29">
        <v>0</v>
      </c>
      <c r="K35" s="41">
        <f t="shared" si="0"/>
        <v>7</v>
      </c>
    </row>
    <row r="36" spans="1:11" ht="15">
      <c r="A36" s="30">
        <v>35</v>
      </c>
      <c r="B36" s="37">
        <v>186665</v>
      </c>
      <c r="C36" s="32" t="s">
        <v>210</v>
      </c>
      <c r="D36" s="30" t="s">
        <v>246</v>
      </c>
      <c r="E36" s="28">
        <v>1</v>
      </c>
      <c r="F36" s="29">
        <v>2</v>
      </c>
      <c r="G36" s="29">
        <v>0</v>
      </c>
      <c r="H36" s="29">
        <v>1</v>
      </c>
      <c r="I36" s="29">
        <v>0</v>
      </c>
      <c r="J36" s="29">
        <v>0</v>
      </c>
      <c r="K36" s="41">
        <f t="shared" si="0"/>
        <v>4</v>
      </c>
    </row>
    <row r="37" spans="1:11" ht="15">
      <c r="A37" s="30">
        <v>36</v>
      </c>
      <c r="B37" s="40">
        <v>135441</v>
      </c>
      <c r="C37" s="31" t="s">
        <v>43</v>
      </c>
      <c r="D37" s="30" t="s">
        <v>247</v>
      </c>
      <c r="E37" s="28">
        <v>0</v>
      </c>
      <c r="F37" s="29">
        <v>2</v>
      </c>
      <c r="G37" s="29">
        <v>0</v>
      </c>
      <c r="H37" s="29">
        <v>1</v>
      </c>
      <c r="I37" s="29">
        <v>0</v>
      </c>
      <c r="J37" s="29">
        <v>0</v>
      </c>
      <c r="K37" s="41">
        <f t="shared" si="0"/>
        <v>3</v>
      </c>
    </row>
    <row r="38" spans="1:11" ht="15">
      <c r="A38" s="30">
        <v>37</v>
      </c>
      <c r="B38" s="37">
        <v>159140</v>
      </c>
      <c r="C38" s="32" t="s">
        <v>273</v>
      </c>
      <c r="D38" s="30" t="s">
        <v>248</v>
      </c>
      <c r="E38" s="28">
        <v>3</v>
      </c>
      <c r="F38" s="29">
        <v>0</v>
      </c>
      <c r="G38" s="29">
        <v>0</v>
      </c>
      <c r="H38" s="29">
        <v>0</v>
      </c>
      <c r="I38" s="29">
        <v>0</v>
      </c>
      <c r="J38" s="29">
        <v>0</v>
      </c>
      <c r="K38" s="41">
        <f t="shared" si="0"/>
        <v>3</v>
      </c>
    </row>
    <row r="39" spans="1:11" ht="15">
      <c r="A39" s="30">
        <v>38</v>
      </c>
      <c r="B39" s="39">
        <v>131242</v>
      </c>
      <c r="C39" s="32" t="s">
        <v>287</v>
      </c>
      <c r="D39" s="30" t="s">
        <v>249</v>
      </c>
      <c r="E39" s="28">
        <v>0</v>
      </c>
      <c r="F39" s="29">
        <v>3</v>
      </c>
      <c r="G39" s="29">
        <v>0</v>
      </c>
      <c r="H39" s="29">
        <v>0</v>
      </c>
      <c r="I39" s="29">
        <v>0</v>
      </c>
      <c r="J39" s="29">
        <v>0</v>
      </c>
      <c r="K39" s="41">
        <f t="shared" si="0"/>
        <v>3</v>
      </c>
    </row>
    <row r="40" spans="1:11" ht="15">
      <c r="A40" s="30">
        <v>39</v>
      </c>
      <c r="B40" s="37">
        <v>187622</v>
      </c>
      <c r="C40" s="32" t="s">
        <v>288</v>
      </c>
      <c r="D40" s="30" t="s">
        <v>250</v>
      </c>
      <c r="E40" s="28">
        <v>0</v>
      </c>
      <c r="F40" s="29">
        <v>2</v>
      </c>
      <c r="G40" s="29">
        <v>0</v>
      </c>
      <c r="H40" s="29">
        <v>1</v>
      </c>
      <c r="I40" s="29">
        <v>0</v>
      </c>
      <c r="J40" s="29">
        <v>0</v>
      </c>
      <c r="K40" s="41">
        <f t="shared" si="0"/>
        <v>3</v>
      </c>
    </row>
    <row r="41" spans="1:11" ht="15">
      <c r="A41" s="30">
        <v>40</v>
      </c>
      <c r="B41" s="37">
        <v>123106</v>
      </c>
      <c r="C41" s="32" t="s">
        <v>289</v>
      </c>
      <c r="D41" s="30" t="s">
        <v>251</v>
      </c>
      <c r="E41" s="28">
        <v>0</v>
      </c>
      <c r="F41" s="29">
        <v>2</v>
      </c>
      <c r="G41" s="29">
        <v>0</v>
      </c>
      <c r="H41" s="29">
        <v>1</v>
      </c>
      <c r="I41" s="29">
        <v>0</v>
      </c>
      <c r="J41" s="29">
        <v>0</v>
      </c>
      <c r="K41" s="41">
        <f t="shared" si="0"/>
        <v>3</v>
      </c>
    </row>
    <row r="42" spans="1:11" ht="15">
      <c r="A42" s="30">
        <v>41</v>
      </c>
      <c r="B42" s="37">
        <v>195196</v>
      </c>
      <c r="C42" s="35" t="s">
        <v>135</v>
      </c>
      <c r="D42" s="30" t="s">
        <v>252</v>
      </c>
      <c r="E42" s="28">
        <v>0</v>
      </c>
      <c r="F42" s="29">
        <v>2</v>
      </c>
      <c r="G42" s="29">
        <v>0</v>
      </c>
      <c r="H42" s="29">
        <v>0</v>
      </c>
      <c r="I42" s="29">
        <v>0</v>
      </c>
      <c r="J42" s="29">
        <v>0</v>
      </c>
      <c r="K42" s="41">
        <f t="shared" si="0"/>
        <v>2</v>
      </c>
    </row>
    <row r="43" spans="1:11" ht="15">
      <c r="A43" s="30">
        <v>42</v>
      </c>
      <c r="B43" s="37">
        <v>121648</v>
      </c>
      <c r="C43" s="32" t="s">
        <v>142</v>
      </c>
      <c r="D43" s="30" t="s">
        <v>253</v>
      </c>
      <c r="E43" s="28">
        <v>0</v>
      </c>
      <c r="F43" s="29">
        <v>2</v>
      </c>
      <c r="G43" s="29">
        <v>0</v>
      </c>
      <c r="H43" s="29">
        <v>0</v>
      </c>
      <c r="I43" s="29">
        <v>0</v>
      </c>
      <c r="J43" s="29">
        <v>0</v>
      </c>
      <c r="K43" s="41">
        <f t="shared" si="0"/>
        <v>2</v>
      </c>
    </row>
    <row r="44" spans="1:11" ht="15">
      <c r="A44" s="30">
        <v>43</v>
      </c>
      <c r="B44" s="39">
        <v>189250</v>
      </c>
      <c r="C44" s="34" t="s">
        <v>290</v>
      </c>
      <c r="D44" s="30" t="s">
        <v>254</v>
      </c>
      <c r="E44" s="28">
        <v>0</v>
      </c>
      <c r="F44" s="29">
        <v>2</v>
      </c>
      <c r="G44" s="29">
        <v>0</v>
      </c>
      <c r="H44" s="29">
        <v>0</v>
      </c>
      <c r="I44" s="29">
        <v>0</v>
      </c>
      <c r="J44" s="29">
        <v>0</v>
      </c>
      <c r="K44" s="41">
        <f t="shared" si="0"/>
        <v>2</v>
      </c>
    </row>
    <row r="45" spans="1:11" ht="28.5">
      <c r="A45" s="30">
        <v>44</v>
      </c>
      <c r="B45" s="37">
        <v>79774</v>
      </c>
      <c r="C45" s="32" t="s">
        <v>291</v>
      </c>
      <c r="D45" s="30" t="s">
        <v>255</v>
      </c>
      <c r="E45" s="28">
        <v>1</v>
      </c>
      <c r="F45" s="29">
        <v>0</v>
      </c>
      <c r="G45" s="29">
        <v>0</v>
      </c>
      <c r="H45" s="29">
        <v>0</v>
      </c>
      <c r="I45" s="29">
        <v>0</v>
      </c>
      <c r="J45" s="29">
        <v>0</v>
      </c>
      <c r="K45" s="41">
        <f t="shared" si="0"/>
        <v>1</v>
      </c>
    </row>
    <row r="46" spans="1:11" ht="15">
      <c r="A46" s="30">
        <v>45</v>
      </c>
      <c r="B46" s="37">
        <v>115340</v>
      </c>
      <c r="C46" s="32" t="s">
        <v>292</v>
      </c>
      <c r="D46" s="30" t="s">
        <v>256</v>
      </c>
      <c r="E46" s="28">
        <v>0</v>
      </c>
      <c r="F46" s="29">
        <v>0</v>
      </c>
      <c r="G46" s="29">
        <v>0</v>
      </c>
      <c r="H46" s="29">
        <v>0</v>
      </c>
      <c r="I46" s="29">
        <v>0</v>
      </c>
      <c r="J46" s="29">
        <v>0</v>
      </c>
      <c r="K46" s="41">
        <f t="shared" si="0"/>
        <v>0</v>
      </c>
    </row>
    <row r="47" spans="1:11" ht="15">
      <c r="A47" s="30">
        <v>46</v>
      </c>
      <c r="B47" s="39">
        <v>183976</v>
      </c>
      <c r="C47" s="34" t="s">
        <v>293</v>
      </c>
      <c r="D47" s="30" t="s">
        <v>257</v>
      </c>
      <c r="E47" s="28">
        <v>0</v>
      </c>
      <c r="F47" s="29">
        <v>0</v>
      </c>
      <c r="G47" s="29">
        <v>0</v>
      </c>
      <c r="H47" s="29">
        <v>0</v>
      </c>
      <c r="I47" s="29">
        <v>0</v>
      </c>
      <c r="J47" s="29">
        <v>0</v>
      </c>
      <c r="K47" s="41">
        <f t="shared" si="0"/>
        <v>0</v>
      </c>
    </row>
    <row r="48" spans="1:11" ht="28.5">
      <c r="A48" s="30">
        <v>47</v>
      </c>
      <c r="B48" s="37">
        <v>207680</v>
      </c>
      <c r="C48" s="32" t="s">
        <v>294</v>
      </c>
      <c r="D48" s="30" t="s">
        <v>258</v>
      </c>
      <c r="E48" s="28">
        <v>0</v>
      </c>
      <c r="F48" s="29">
        <v>0</v>
      </c>
      <c r="G48" s="29">
        <v>0</v>
      </c>
      <c r="H48" s="29">
        <v>0</v>
      </c>
      <c r="I48" s="29">
        <v>0</v>
      </c>
      <c r="J48" s="29">
        <v>0</v>
      </c>
      <c r="K48" s="41">
        <f t="shared" si="0"/>
        <v>0</v>
      </c>
    </row>
    <row r="49" spans="1:11" ht="15">
      <c r="A49" s="30">
        <v>48</v>
      </c>
      <c r="B49" s="39">
        <v>139522</v>
      </c>
      <c r="C49" s="32" t="s">
        <v>56</v>
      </c>
      <c r="D49" s="30" t="s">
        <v>259</v>
      </c>
      <c r="E49" s="28">
        <v>0</v>
      </c>
      <c r="F49" s="29">
        <v>0</v>
      </c>
      <c r="G49" s="29">
        <v>0</v>
      </c>
      <c r="H49" s="29">
        <v>0</v>
      </c>
      <c r="I49" s="29">
        <v>0</v>
      </c>
      <c r="J49" s="29">
        <v>0</v>
      </c>
      <c r="K49" s="41">
        <f t="shared" si="0"/>
        <v>0</v>
      </c>
    </row>
    <row r="50" spans="1:11" ht="15">
      <c r="A50" s="30">
        <v>49</v>
      </c>
      <c r="B50" s="39">
        <v>119836</v>
      </c>
      <c r="C50" s="34" t="s">
        <v>295</v>
      </c>
      <c r="D50" s="30" t="s">
        <v>260</v>
      </c>
      <c r="E50" s="28">
        <v>0</v>
      </c>
      <c r="F50" s="29">
        <v>0</v>
      </c>
      <c r="G50" s="29">
        <v>0</v>
      </c>
      <c r="H50" s="29">
        <v>0</v>
      </c>
      <c r="I50" s="29">
        <v>0</v>
      </c>
      <c r="J50" s="29">
        <v>0</v>
      </c>
      <c r="K50" s="41">
        <f t="shared" si="0"/>
        <v>0</v>
      </c>
    </row>
    <row r="51" spans="1:11" ht="15">
      <c r="A51" s="30">
        <v>50</v>
      </c>
      <c r="B51" s="39">
        <v>119830</v>
      </c>
      <c r="C51" s="32" t="s">
        <v>296</v>
      </c>
      <c r="D51" s="30" t="s">
        <v>261</v>
      </c>
      <c r="E51" s="28">
        <v>0</v>
      </c>
      <c r="F51" s="29">
        <v>0</v>
      </c>
      <c r="G51" s="29">
        <v>0</v>
      </c>
      <c r="H51" s="29">
        <v>0</v>
      </c>
      <c r="I51" s="29">
        <v>0</v>
      </c>
      <c r="J51" s="29">
        <v>0</v>
      </c>
      <c r="K51" s="41">
        <f t="shared" si="0"/>
        <v>0</v>
      </c>
    </row>
  </sheetData>
  <hyperlinks>
    <hyperlink ref="B2" r:id="rId1" tooltip="Бүх амжилтууд харах" display="https://mmo.mn/olympiads/achievements/180132/" xr:uid="{B5D6548B-A514-45B8-B320-65216E77C65C}"/>
    <hyperlink ref="B3" r:id="rId2" tooltip="Бүх амжилтууд харах" display="https://mmo.mn/olympiads/achievements/129754/" xr:uid="{19918477-40EB-47B6-9DC1-19A4DF50C7E9}"/>
    <hyperlink ref="B4" r:id="rId3" tooltip="Бүх амжилтууд харах" display="https://mmo.mn/olympiads/achievements/20238/" xr:uid="{356F3EC9-10E7-4DE2-9FCE-354E40BC09A5}"/>
    <hyperlink ref="B5" r:id="rId4" tooltip="Бүх амжилтууд харах" display="https://mmo.mn/olympiads/achievements/136446/" xr:uid="{39363D8E-2B9E-4F4E-AB8F-18ACE4B0F7DA}"/>
    <hyperlink ref="B6" r:id="rId5" tooltip="Бүх амжилтууд харах" display="https://mmo.mn/olympiads/achievements/129784/" xr:uid="{3AAAEEA7-DE7B-4A3F-9872-D30BD694ABD8}"/>
    <hyperlink ref="B7" r:id="rId6" tooltip="Бүх амжилтууд харах" display="https://mmo.mn/olympiads/achievements/84264/" xr:uid="{93AB7F09-2681-467F-9B41-208B95C48E90}"/>
    <hyperlink ref="B8" r:id="rId7" tooltip="Бүх амжилтууд харах" display="https://mmo.mn/olympiads/achievements/127609/" xr:uid="{E90F5283-F2C7-44E5-8E02-9E97F337B9D5}"/>
    <hyperlink ref="B9" r:id="rId8" tooltip="Бүх амжилтууд харах" display="https://mmo.mn/olympiads/achievements/85805/" xr:uid="{AA9A79E1-29F0-40D1-AEA6-A9F6B50159CD}"/>
    <hyperlink ref="B10" r:id="rId9" tooltip="Бүх амжилтууд харах" display="https://mmo.mn/olympiads/achievements/78603/" xr:uid="{FD897E52-D99E-4E3B-99B6-59CBEA086372}"/>
    <hyperlink ref="B11" r:id="rId10" tooltip="Бүх амжилтууд харах" display="https://mmo.mn/olympiads/achievements/88108/" xr:uid="{B4C7511F-C213-423E-A90F-A9231513A5C4}"/>
    <hyperlink ref="B12" r:id="rId11" tooltip="Бүх амжилтууд харах" display="https://mmo.mn/olympiads/achievements/85663/" xr:uid="{990AD96E-7532-4BF3-ADAE-819931C4EC1D}"/>
    <hyperlink ref="B13" r:id="rId12" tooltip="Бүх амжилтууд харах" display="https://mmo.mn/olympiads/achievements/84353/" xr:uid="{F7F599BE-DC12-44A3-A8C1-7394198C4662}"/>
    <hyperlink ref="B14" r:id="rId13" tooltip="Бүх амжилтууд харах" display="https://mmo.mn/olympiads/achievements/186512/" xr:uid="{DFEC693D-DB5B-40A7-8811-F42BDABC1F47}"/>
    <hyperlink ref="B15" r:id="rId14" tooltip="Бүх амжилтууд харах" display="https://www.mmo.mn/olympiads/achievements/84426/" xr:uid="{6CD9DB4F-78F9-4B53-B09C-A97AAD76170B}"/>
    <hyperlink ref="B16" r:id="rId15" tooltip="Бүх амжилтууд харах" display="https://mmo.mn/olympiads/achievements/85036/" xr:uid="{390CC8AD-10BD-4C9C-BC9B-E9F5BABEE21F}"/>
    <hyperlink ref="B17" r:id="rId16" tooltip="Бүх амжилтууд харах" display="https://mmo.mn/olympiads/achievements/127551/" xr:uid="{EFCAADEB-4FA1-4BD0-BD2C-77B93A5FBB0C}"/>
    <hyperlink ref="B19" r:id="rId17" tooltip="Бүх амжилтууд харах" display="https://mmo.mn/olympiads/achievements/84280/" xr:uid="{16675597-E519-479E-B3A9-7B720A6E33BC}"/>
    <hyperlink ref="B20" r:id="rId18" tooltip="Бүх амжилтууд харах" display="https://mmo.mn/olympiads/achievements/129691/" xr:uid="{5B72B3AB-52CF-40D4-8C11-1E7B03EF9FF4}"/>
    <hyperlink ref="B21" r:id="rId19" tooltip="Бүх амжилтууд харах" display="https://www.mmo.mn/olympiads/achievements/186673/" xr:uid="{0BF23591-BEA2-4D56-A6DA-4FB618AB4641}"/>
    <hyperlink ref="B22" r:id="rId20" tooltip="Бүх амжилтууд харах" display="https://mmo.mn/olympiads/achievements/186520/" xr:uid="{DE9893D5-860D-451F-B18E-1E9AD8F9695C}"/>
    <hyperlink ref="B23" r:id="rId21" tooltip="Бүх амжилтууд харах" display="https://mmo.mn/olympiads/achievements/86015/" xr:uid="{17845D8C-63AE-4306-924B-2645A77CF7D1}"/>
    <hyperlink ref="B24" r:id="rId22" tooltip="Бүх амжилтууд харах" display="https://www.mmo.mn/olympiads/achievements/115395/" xr:uid="{76F43434-057E-4212-B8D0-A0CC1022F8B4}"/>
    <hyperlink ref="B29" r:id="rId23" tooltip="Бүх амжилтууд харах" display="https://mmo.mn/olympiads/achievements/127823/" xr:uid="{5F98E221-34A9-40F3-8170-27FCAF38D916}"/>
    <hyperlink ref="B30" r:id="rId24" tooltip="Бүх амжилтууд харах" display="https://mmo.mn/olympiads/achievements/127398/" xr:uid="{B6C1D1EE-3B8B-476B-AA7E-E5095E614053}"/>
    <hyperlink ref="B32" r:id="rId25" tooltip="Бүх амжилтууд харах" display="https://mmo.mn/olympiads/achievements/127793/" xr:uid="{8A560431-68AF-4BFB-B5F3-9AA79269261D}"/>
    <hyperlink ref="B33" r:id="rId26" tooltip="Бүх амжилтууд харах" display="https://mmo.mn/olympiads/achievements/120264/" xr:uid="{09392DFC-A234-4546-BD76-598F4C2C0142}"/>
    <hyperlink ref="B36" r:id="rId27" tooltip="Бүх амжилтууд харах" display="https://www.mmo.mn/olympiads/achievements/186665/" xr:uid="{8C803881-9E45-45EB-BAEA-0C4C6E32510F}"/>
    <hyperlink ref="B37" r:id="rId28" tooltip="Бүх амжилтууд харах" display="https://mmo.mn/olympiads/achievements/135441/" xr:uid="{6E5FC428-5AAD-445B-B12C-2D684F01643E}"/>
    <hyperlink ref="B38" r:id="rId29" tooltip="Бүх амжилтууд харах" display="https://mmo.mn/olympiads/achievements/159140/" xr:uid="{52BDCDF7-E2D4-4535-B159-0D8DC461B171}"/>
    <hyperlink ref="B40" r:id="rId30" tooltip="Бүх амжилтууд харах" display="https://www.mmo.mn/olympiads/achievements/187622/" xr:uid="{A4F9C828-730E-4080-83AC-A447A6B3C7C2}"/>
    <hyperlink ref="B43" r:id="rId31" tooltip="Бүх амжилтууд харах" display="https://www.mmo.mn/olympiads/achievements/121648/" xr:uid="{496E117E-1294-41A8-9DB6-D5E6B3570C8D}"/>
    <hyperlink ref="B46" r:id="rId32" tooltip="Бүх амжилтууд харах" display="https://www.mmo.mn/olympiads/achievements/115340/" xr:uid="{AC57A451-CAA4-4DB3-BF74-3192FEFF6927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"/>
  <sheetViews>
    <sheetView zoomScaleNormal="100" workbookViewId="0">
      <selection activeCell="P18" sqref="P18"/>
    </sheetView>
  </sheetViews>
  <sheetFormatPr defaultColWidth="11.5703125" defaultRowHeight="12.75"/>
  <cols>
    <col min="1" max="1" width="5.5703125" customWidth="1"/>
    <col min="3" max="3" width="18.42578125" customWidth="1"/>
    <col min="4" max="4" width="17.28515625" customWidth="1"/>
    <col min="5" max="11" width="8" style="46" customWidth="1"/>
  </cols>
  <sheetData>
    <row r="1" spans="1:1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70" t="s">
        <v>9</v>
      </c>
      <c r="J1" s="70" t="s">
        <v>10</v>
      </c>
      <c r="K1" s="70" t="s">
        <v>8</v>
      </c>
    </row>
    <row r="2" spans="1:11" ht="15">
      <c r="A2" s="59">
        <v>1</v>
      </c>
      <c r="B2" s="81">
        <v>428</v>
      </c>
      <c r="C2" s="60" t="s">
        <v>29</v>
      </c>
      <c r="D2" s="59" t="s">
        <v>175</v>
      </c>
      <c r="E2" s="61">
        <v>7</v>
      </c>
      <c r="F2" s="61">
        <v>7</v>
      </c>
      <c r="G2" s="61">
        <v>6</v>
      </c>
      <c r="H2" s="61">
        <v>7</v>
      </c>
      <c r="I2" s="61">
        <v>7</v>
      </c>
      <c r="J2" s="61">
        <v>7</v>
      </c>
      <c r="K2" s="62">
        <f t="shared" ref="K2:K38" si="0">SUM(E2:J2)</f>
        <v>41</v>
      </c>
    </row>
    <row r="3" spans="1:11" ht="15">
      <c r="A3" s="59">
        <v>2</v>
      </c>
      <c r="B3" s="81">
        <v>2205</v>
      </c>
      <c r="C3" s="60" t="s">
        <v>356</v>
      </c>
      <c r="D3" s="59" t="s">
        <v>358</v>
      </c>
      <c r="E3" s="61">
        <v>7</v>
      </c>
      <c r="F3" s="61">
        <v>3</v>
      </c>
      <c r="G3" s="61">
        <v>7</v>
      </c>
      <c r="H3" s="61">
        <v>6</v>
      </c>
      <c r="I3" s="61">
        <v>7</v>
      </c>
      <c r="J3" s="61">
        <v>3</v>
      </c>
      <c r="K3" s="62">
        <f t="shared" si="0"/>
        <v>33</v>
      </c>
    </row>
    <row r="4" spans="1:11" ht="15">
      <c r="A4" s="59">
        <v>3</v>
      </c>
      <c r="B4" s="81">
        <v>82524</v>
      </c>
      <c r="C4" s="60" t="s">
        <v>91</v>
      </c>
      <c r="D4" s="59" t="s">
        <v>359</v>
      </c>
      <c r="E4" s="61">
        <v>7</v>
      </c>
      <c r="F4" s="61">
        <v>7</v>
      </c>
      <c r="G4" s="61">
        <v>1</v>
      </c>
      <c r="H4" s="61">
        <v>7</v>
      </c>
      <c r="I4" s="61">
        <v>7</v>
      </c>
      <c r="J4" s="61">
        <v>0</v>
      </c>
      <c r="K4" s="62">
        <f t="shared" si="0"/>
        <v>29</v>
      </c>
    </row>
    <row r="5" spans="1:11" ht="15">
      <c r="A5" s="59">
        <v>4</v>
      </c>
      <c r="B5" s="81">
        <v>137146</v>
      </c>
      <c r="C5" s="60" t="s">
        <v>357</v>
      </c>
      <c r="D5" s="59" t="s">
        <v>61</v>
      </c>
      <c r="E5" s="61">
        <v>7</v>
      </c>
      <c r="F5" s="61">
        <v>7</v>
      </c>
      <c r="G5" s="61">
        <v>0</v>
      </c>
      <c r="H5" s="61">
        <v>3</v>
      </c>
      <c r="I5" s="61">
        <v>7</v>
      </c>
      <c r="J5" s="61">
        <v>0</v>
      </c>
      <c r="K5" s="62">
        <f t="shared" si="0"/>
        <v>24</v>
      </c>
    </row>
    <row r="6" spans="1:11" ht="15">
      <c r="A6" s="59">
        <v>5</v>
      </c>
      <c r="B6" s="81">
        <v>14205</v>
      </c>
      <c r="C6" s="60" t="s">
        <v>360</v>
      </c>
      <c r="D6" s="59" t="s">
        <v>361</v>
      </c>
      <c r="E6" s="61">
        <v>7</v>
      </c>
      <c r="F6" s="61">
        <v>3</v>
      </c>
      <c r="G6" s="61">
        <v>0</v>
      </c>
      <c r="H6" s="61">
        <v>4</v>
      </c>
      <c r="I6" s="61">
        <v>7</v>
      </c>
      <c r="J6" s="61">
        <v>2</v>
      </c>
      <c r="K6" s="62">
        <f t="shared" si="0"/>
        <v>23</v>
      </c>
    </row>
    <row r="7" spans="1:11" ht="15">
      <c r="A7" s="59">
        <v>6</v>
      </c>
      <c r="B7" s="81">
        <v>186608</v>
      </c>
      <c r="C7" s="60" t="s">
        <v>271</v>
      </c>
      <c r="D7" s="59" t="s">
        <v>362</v>
      </c>
      <c r="E7" s="61">
        <v>7</v>
      </c>
      <c r="F7" s="61">
        <v>3</v>
      </c>
      <c r="G7" s="61">
        <v>0</v>
      </c>
      <c r="H7" s="61">
        <v>7</v>
      </c>
      <c r="I7" s="61">
        <v>4</v>
      </c>
      <c r="J7" s="61">
        <v>0</v>
      </c>
      <c r="K7" s="62">
        <f t="shared" si="0"/>
        <v>21</v>
      </c>
    </row>
    <row r="8" spans="1:11" ht="15">
      <c r="A8" s="59">
        <v>7</v>
      </c>
      <c r="B8" s="81">
        <v>14463</v>
      </c>
      <c r="C8" s="60" t="s">
        <v>128</v>
      </c>
      <c r="D8" s="59" t="s">
        <v>363</v>
      </c>
      <c r="E8" s="61">
        <v>7</v>
      </c>
      <c r="F8" s="61">
        <v>3</v>
      </c>
      <c r="G8" s="61">
        <v>0</v>
      </c>
      <c r="H8" s="61">
        <v>6</v>
      </c>
      <c r="I8" s="61">
        <v>0</v>
      </c>
      <c r="J8" s="61">
        <v>0</v>
      </c>
      <c r="K8" s="62">
        <f t="shared" si="0"/>
        <v>16</v>
      </c>
    </row>
    <row r="9" spans="1:11" ht="15">
      <c r="A9" s="59">
        <v>8</v>
      </c>
      <c r="B9" s="81">
        <v>137222</v>
      </c>
      <c r="C9" s="60" t="s">
        <v>263</v>
      </c>
      <c r="D9" s="59" t="s">
        <v>364</v>
      </c>
      <c r="E9" s="61">
        <v>5</v>
      </c>
      <c r="F9" s="61">
        <v>3</v>
      </c>
      <c r="G9" s="61">
        <v>0</v>
      </c>
      <c r="H9" s="61">
        <v>0</v>
      </c>
      <c r="I9" s="61">
        <v>7</v>
      </c>
      <c r="J9" s="61">
        <v>0</v>
      </c>
      <c r="K9" s="62">
        <f t="shared" si="0"/>
        <v>15</v>
      </c>
    </row>
    <row r="10" spans="1:11" ht="15">
      <c r="A10" s="59">
        <v>9</v>
      </c>
      <c r="B10" s="82">
        <v>14047</v>
      </c>
      <c r="C10" s="60" t="s">
        <v>365</v>
      </c>
      <c r="D10" s="59" t="s">
        <v>366</v>
      </c>
      <c r="E10" s="61">
        <v>7</v>
      </c>
      <c r="F10" s="61">
        <v>6</v>
      </c>
      <c r="G10" s="61">
        <v>0</v>
      </c>
      <c r="H10" s="61">
        <v>0</v>
      </c>
      <c r="I10" s="61">
        <v>0</v>
      </c>
      <c r="J10" s="61">
        <v>1</v>
      </c>
      <c r="K10" s="62">
        <f t="shared" si="0"/>
        <v>14</v>
      </c>
    </row>
    <row r="11" spans="1:11" ht="15">
      <c r="A11" s="59">
        <v>10</v>
      </c>
      <c r="B11" s="81">
        <v>122250</v>
      </c>
      <c r="C11" s="60" t="s">
        <v>367</v>
      </c>
      <c r="D11" s="59" t="s">
        <v>368</v>
      </c>
      <c r="E11" s="61">
        <v>7</v>
      </c>
      <c r="F11" s="61">
        <v>3</v>
      </c>
      <c r="G11" s="61">
        <v>0</v>
      </c>
      <c r="H11" s="61">
        <v>1</v>
      </c>
      <c r="I11" s="61">
        <v>0</v>
      </c>
      <c r="J11" s="61">
        <v>1</v>
      </c>
      <c r="K11" s="62">
        <f t="shared" si="0"/>
        <v>12</v>
      </c>
    </row>
    <row r="12" spans="1:11" ht="15">
      <c r="A12" s="59">
        <v>11</v>
      </c>
      <c r="B12" s="81">
        <v>183205</v>
      </c>
      <c r="C12" s="60" t="s">
        <v>369</v>
      </c>
      <c r="D12" s="59" t="s">
        <v>95</v>
      </c>
      <c r="E12" s="61">
        <v>7</v>
      </c>
      <c r="F12" s="61">
        <v>3</v>
      </c>
      <c r="G12" s="61">
        <v>0</v>
      </c>
      <c r="H12" s="61">
        <v>1</v>
      </c>
      <c r="I12" s="61">
        <v>0</v>
      </c>
      <c r="J12" s="61">
        <v>1</v>
      </c>
      <c r="K12" s="62">
        <f t="shared" si="0"/>
        <v>12</v>
      </c>
    </row>
    <row r="13" spans="1:11" ht="15">
      <c r="A13" s="59">
        <v>12</v>
      </c>
      <c r="B13" s="81">
        <v>184510</v>
      </c>
      <c r="C13" s="60" t="s">
        <v>140</v>
      </c>
      <c r="D13" s="59" t="s">
        <v>370</v>
      </c>
      <c r="E13" s="61">
        <v>7</v>
      </c>
      <c r="F13" s="61">
        <v>4</v>
      </c>
      <c r="G13" s="61">
        <v>0</v>
      </c>
      <c r="H13" s="61">
        <v>0</v>
      </c>
      <c r="I13" s="61">
        <v>0</v>
      </c>
      <c r="J13" s="61">
        <v>1</v>
      </c>
      <c r="K13" s="62">
        <f t="shared" si="0"/>
        <v>12</v>
      </c>
    </row>
    <row r="14" spans="1:11" ht="15">
      <c r="A14" s="59">
        <v>13</v>
      </c>
      <c r="B14" s="81">
        <v>102819</v>
      </c>
      <c r="C14" s="60" t="s">
        <v>73</v>
      </c>
      <c r="D14" s="59" t="s">
        <v>371</v>
      </c>
      <c r="E14" s="61">
        <v>7</v>
      </c>
      <c r="F14" s="61">
        <v>3</v>
      </c>
      <c r="G14" s="61">
        <v>0</v>
      </c>
      <c r="H14" s="61">
        <v>1</v>
      </c>
      <c r="I14" s="61">
        <v>0</v>
      </c>
      <c r="J14" s="61">
        <v>1</v>
      </c>
      <c r="K14" s="62">
        <f t="shared" si="0"/>
        <v>12</v>
      </c>
    </row>
    <row r="15" spans="1:11" ht="15">
      <c r="A15" s="59">
        <v>14</v>
      </c>
      <c r="B15" s="81">
        <v>87844</v>
      </c>
      <c r="C15" s="60" t="s">
        <v>372</v>
      </c>
      <c r="D15" s="59" t="s">
        <v>373</v>
      </c>
      <c r="E15" s="61">
        <v>7</v>
      </c>
      <c r="F15" s="61">
        <v>2</v>
      </c>
      <c r="G15" s="61">
        <v>0</v>
      </c>
      <c r="H15" s="61">
        <v>1</v>
      </c>
      <c r="I15" s="61">
        <v>0</v>
      </c>
      <c r="J15" s="61">
        <v>1</v>
      </c>
      <c r="K15" s="62">
        <f t="shared" si="0"/>
        <v>11</v>
      </c>
    </row>
    <row r="16" spans="1:11" ht="15">
      <c r="A16" s="59">
        <v>15</v>
      </c>
      <c r="B16" s="81">
        <v>79777</v>
      </c>
      <c r="C16" s="60" t="s">
        <v>123</v>
      </c>
      <c r="D16" s="59" t="s">
        <v>374</v>
      </c>
      <c r="E16" s="61">
        <v>7</v>
      </c>
      <c r="F16" s="61">
        <v>4</v>
      </c>
      <c r="G16" s="61">
        <v>0</v>
      </c>
      <c r="H16" s="61">
        <v>0</v>
      </c>
      <c r="I16" s="61">
        <v>0</v>
      </c>
      <c r="J16" s="61">
        <v>0</v>
      </c>
      <c r="K16" s="62">
        <f t="shared" si="0"/>
        <v>11</v>
      </c>
    </row>
    <row r="17" spans="1:11" ht="15">
      <c r="A17" s="59">
        <v>16</v>
      </c>
      <c r="B17" s="81">
        <v>73618</v>
      </c>
      <c r="C17" s="60" t="s">
        <v>375</v>
      </c>
      <c r="D17" s="59" t="s">
        <v>284</v>
      </c>
      <c r="E17" s="61">
        <v>7</v>
      </c>
      <c r="F17" s="61">
        <v>2</v>
      </c>
      <c r="G17" s="61">
        <v>0</v>
      </c>
      <c r="H17" s="61">
        <v>1</v>
      </c>
      <c r="I17" s="61">
        <v>0</v>
      </c>
      <c r="J17" s="61">
        <v>0</v>
      </c>
      <c r="K17" s="62">
        <f t="shared" si="0"/>
        <v>10</v>
      </c>
    </row>
    <row r="18" spans="1:11" ht="15">
      <c r="A18" s="59">
        <v>17</v>
      </c>
      <c r="B18" s="81">
        <v>73544</v>
      </c>
      <c r="C18" s="60" t="s">
        <v>376</v>
      </c>
      <c r="D18" s="59" t="s">
        <v>377</v>
      </c>
      <c r="E18" s="61">
        <v>7</v>
      </c>
      <c r="F18" s="61">
        <v>2</v>
      </c>
      <c r="G18" s="61">
        <v>0</v>
      </c>
      <c r="H18" s="61">
        <v>0</v>
      </c>
      <c r="I18" s="61">
        <v>0</v>
      </c>
      <c r="J18" s="61">
        <v>0</v>
      </c>
      <c r="K18" s="62">
        <f t="shared" si="0"/>
        <v>9</v>
      </c>
    </row>
    <row r="19" spans="1:11" ht="15">
      <c r="A19" s="59">
        <v>18</v>
      </c>
      <c r="B19" s="80">
        <v>119666</v>
      </c>
      <c r="C19" s="63" t="s">
        <v>142</v>
      </c>
      <c r="D19" s="59" t="s">
        <v>378</v>
      </c>
      <c r="E19" s="61">
        <v>7</v>
      </c>
      <c r="F19" s="61">
        <v>2</v>
      </c>
      <c r="G19" s="61">
        <v>0</v>
      </c>
      <c r="H19" s="61">
        <v>0</v>
      </c>
      <c r="I19" s="61">
        <v>0</v>
      </c>
      <c r="J19" s="61">
        <v>0</v>
      </c>
      <c r="K19" s="62">
        <f t="shared" si="0"/>
        <v>9</v>
      </c>
    </row>
    <row r="20" spans="1:11" ht="15">
      <c r="A20" s="59">
        <v>19</v>
      </c>
      <c r="B20" s="80">
        <v>73760</v>
      </c>
      <c r="C20" s="64" t="s">
        <v>379</v>
      </c>
      <c r="D20" s="59" t="s">
        <v>380</v>
      </c>
      <c r="E20" s="61">
        <v>7</v>
      </c>
      <c r="F20" s="61">
        <v>0</v>
      </c>
      <c r="G20" s="61">
        <v>0</v>
      </c>
      <c r="H20" s="61">
        <v>0</v>
      </c>
      <c r="I20" s="61">
        <v>0</v>
      </c>
      <c r="J20" s="61">
        <v>2</v>
      </c>
      <c r="K20" s="62">
        <f t="shared" si="0"/>
        <v>9</v>
      </c>
    </row>
    <row r="21" spans="1:11" ht="15">
      <c r="A21" s="59">
        <v>20</v>
      </c>
      <c r="B21" s="81">
        <v>121533</v>
      </c>
      <c r="C21" s="60" t="s">
        <v>134</v>
      </c>
      <c r="D21" s="59" t="s">
        <v>381</v>
      </c>
      <c r="E21" s="61">
        <v>5</v>
      </c>
      <c r="F21" s="61">
        <v>2</v>
      </c>
      <c r="G21" s="61">
        <v>0</v>
      </c>
      <c r="H21" s="61">
        <v>0</v>
      </c>
      <c r="I21" s="61">
        <v>0</v>
      </c>
      <c r="J21" s="61">
        <v>1</v>
      </c>
      <c r="K21" s="62">
        <f t="shared" si="0"/>
        <v>8</v>
      </c>
    </row>
    <row r="22" spans="1:11" ht="15">
      <c r="A22" s="59">
        <v>21</v>
      </c>
      <c r="B22" s="81">
        <v>181083</v>
      </c>
      <c r="C22" s="60" t="s">
        <v>382</v>
      </c>
      <c r="D22" s="59" t="s">
        <v>383</v>
      </c>
      <c r="E22" s="61">
        <v>7</v>
      </c>
      <c r="F22" s="61">
        <v>0</v>
      </c>
      <c r="G22" s="61">
        <v>0</v>
      </c>
      <c r="H22" s="61">
        <v>0</v>
      </c>
      <c r="I22" s="61">
        <v>0</v>
      </c>
      <c r="J22" s="61">
        <v>0</v>
      </c>
      <c r="K22" s="62">
        <f t="shared" si="0"/>
        <v>7</v>
      </c>
    </row>
    <row r="23" spans="1:11" ht="15">
      <c r="A23" s="59">
        <v>22</v>
      </c>
      <c r="B23" s="80">
        <v>131386</v>
      </c>
      <c r="C23" s="60" t="s">
        <v>384</v>
      </c>
      <c r="D23" s="59" t="s">
        <v>385</v>
      </c>
      <c r="E23" s="61">
        <v>5</v>
      </c>
      <c r="F23" s="61">
        <v>2</v>
      </c>
      <c r="G23" s="61">
        <v>0</v>
      </c>
      <c r="H23" s="61">
        <v>0</v>
      </c>
      <c r="I23" s="61">
        <v>0</v>
      </c>
      <c r="J23" s="61">
        <v>0</v>
      </c>
      <c r="K23" s="62">
        <f t="shared" si="0"/>
        <v>7</v>
      </c>
    </row>
    <row r="24" spans="1:11" ht="15">
      <c r="A24" s="59">
        <v>23</v>
      </c>
      <c r="B24" s="81">
        <v>139469</v>
      </c>
      <c r="C24" s="60" t="s">
        <v>386</v>
      </c>
      <c r="D24" s="59" t="s">
        <v>387</v>
      </c>
      <c r="E24" s="61">
        <v>0</v>
      </c>
      <c r="F24" s="61">
        <v>2</v>
      </c>
      <c r="G24" s="61">
        <v>0</v>
      </c>
      <c r="H24" s="61">
        <v>2</v>
      </c>
      <c r="I24" s="61">
        <v>0</v>
      </c>
      <c r="J24" s="61">
        <v>1</v>
      </c>
      <c r="K24" s="62">
        <f t="shared" si="0"/>
        <v>5</v>
      </c>
    </row>
    <row r="25" spans="1:11" ht="15">
      <c r="A25" s="59">
        <v>24</v>
      </c>
      <c r="B25" s="81">
        <v>180534</v>
      </c>
      <c r="C25" s="60" t="s">
        <v>90</v>
      </c>
      <c r="D25" s="59" t="s">
        <v>388</v>
      </c>
      <c r="E25" s="61">
        <v>0</v>
      </c>
      <c r="F25" s="61">
        <v>2</v>
      </c>
      <c r="G25" s="61">
        <v>0</v>
      </c>
      <c r="H25" s="61">
        <v>2</v>
      </c>
      <c r="I25" s="61">
        <v>0</v>
      </c>
      <c r="J25" s="61">
        <v>0</v>
      </c>
      <c r="K25" s="62">
        <f t="shared" si="0"/>
        <v>4</v>
      </c>
    </row>
    <row r="26" spans="1:11" ht="15">
      <c r="A26" s="59">
        <v>25</v>
      </c>
      <c r="B26" s="81">
        <v>134325</v>
      </c>
      <c r="C26" s="60" t="s">
        <v>389</v>
      </c>
      <c r="D26" s="59" t="s">
        <v>390</v>
      </c>
      <c r="E26" s="61">
        <v>0</v>
      </c>
      <c r="F26" s="61">
        <v>2</v>
      </c>
      <c r="G26" s="61">
        <v>0</v>
      </c>
      <c r="H26" s="61">
        <v>2</v>
      </c>
      <c r="I26" s="61">
        <v>0</v>
      </c>
      <c r="J26" s="61">
        <v>0</v>
      </c>
      <c r="K26" s="62">
        <f t="shared" si="0"/>
        <v>4</v>
      </c>
    </row>
    <row r="27" spans="1:11" ht="15">
      <c r="A27" s="59">
        <v>26</v>
      </c>
      <c r="B27" s="81">
        <v>122552</v>
      </c>
      <c r="C27" s="60" t="s">
        <v>391</v>
      </c>
      <c r="D27" s="59" t="s">
        <v>355</v>
      </c>
      <c r="E27" s="61">
        <v>0</v>
      </c>
      <c r="F27" s="61">
        <v>2</v>
      </c>
      <c r="G27" s="61">
        <v>0</v>
      </c>
      <c r="H27" s="61">
        <v>0</v>
      </c>
      <c r="I27" s="61">
        <v>0</v>
      </c>
      <c r="J27" s="61">
        <v>1</v>
      </c>
      <c r="K27" s="62">
        <f t="shared" si="0"/>
        <v>3</v>
      </c>
    </row>
    <row r="28" spans="1:11" ht="15">
      <c r="A28" s="59">
        <v>27</v>
      </c>
      <c r="B28" s="80">
        <v>30729</v>
      </c>
      <c r="C28" s="63" t="s">
        <v>392</v>
      </c>
      <c r="D28" s="59" t="s">
        <v>393</v>
      </c>
      <c r="E28" s="61">
        <v>0</v>
      </c>
      <c r="F28" s="61">
        <v>2</v>
      </c>
      <c r="G28" s="61">
        <v>1</v>
      </c>
      <c r="H28" s="61">
        <v>0</v>
      </c>
      <c r="I28" s="61">
        <v>0</v>
      </c>
      <c r="J28" s="61">
        <v>0</v>
      </c>
      <c r="K28" s="62">
        <f t="shared" si="0"/>
        <v>3</v>
      </c>
    </row>
    <row r="29" spans="1:11" ht="15">
      <c r="A29" s="59">
        <v>28</v>
      </c>
      <c r="B29" s="81">
        <v>184826</v>
      </c>
      <c r="C29" s="60" t="s">
        <v>394</v>
      </c>
      <c r="D29" s="59" t="s">
        <v>395</v>
      </c>
      <c r="E29" s="61">
        <v>0</v>
      </c>
      <c r="F29" s="61">
        <v>2</v>
      </c>
      <c r="G29" s="61">
        <v>0</v>
      </c>
      <c r="H29" s="61">
        <v>1</v>
      </c>
      <c r="I29" s="61">
        <v>0</v>
      </c>
      <c r="J29" s="61">
        <v>0</v>
      </c>
      <c r="K29" s="62">
        <f t="shared" si="0"/>
        <v>3</v>
      </c>
    </row>
    <row r="30" spans="1:11" ht="15">
      <c r="A30" s="59">
        <v>29</v>
      </c>
      <c r="B30" s="81">
        <v>185989</v>
      </c>
      <c r="C30" s="60" t="s">
        <v>396</v>
      </c>
      <c r="D30" s="59" t="s">
        <v>397</v>
      </c>
      <c r="E30" s="61">
        <v>0</v>
      </c>
      <c r="F30" s="61">
        <v>2</v>
      </c>
      <c r="G30" s="61">
        <v>0</v>
      </c>
      <c r="H30" s="61">
        <v>0</v>
      </c>
      <c r="I30" s="61">
        <v>0</v>
      </c>
      <c r="J30" s="61">
        <v>0</v>
      </c>
      <c r="K30" s="62">
        <f t="shared" si="0"/>
        <v>2</v>
      </c>
    </row>
    <row r="31" spans="1:11" ht="15">
      <c r="A31" s="59">
        <v>30</v>
      </c>
      <c r="B31" s="81">
        <v>195189</v>
      </c>
      <c r="C31" s="65" t="s">
        <v>398</v>
      </c>
      <c r="D31" s="59" t="s">
        <v>399</v>
      </c>
      <c r="E31" s="61">
        <v>0</v>
      </c>
      <c r="F31" s="61">
        <v>2</v>
      </c>
      <c r="G31" s="61">
        <v>0</v>
      </c>
      <c r="H31" s="61">
        <v>0</v>
      </c>
      <c r="I31" s="61">
        <v>0</v>
      </c>
      <c r="J31" s="61">
        <v>0</v>
      </c>
      <c r="K31" s="62">
        <f t="shared" si="0"/>
        <v>2</v>
      </c>
    </row>
    <row r="32" spans="1:11" ht="15">
      <c r="A32" s="59">
        <v>31</v>
      </c>
      <c r="B32" s="81">
        <v>119924</v>
      </c>
      <c r="C32" s="63" t="s">
        <v>82</v>
      </c>
      <c r="D32" s="59" t="s">
        <v>400</v>
      </c>
      <c r="E32" s="61">
        <v>0</v>
      </c>
      <c r="F32" s="61">
        <v>2</v>
      </c>
      <c r="G32" s="61">
        <v>0</v>
      </c>
      <c r="H32" s="61">
        <v>0</v>
      </c>
      <c r="I32" s="61">
        <v>0</v>
      </c>
      <c r="J32" s="61">
        <v>0</v>
      </c>
      <c r="K32" s="62">
        <f t="shared" si="0"/>
        <v>2</v>
      </c>
    </row>
    <row r="33" spans="1:11" ht="15">
      <c r="A33" s="59">
        <v>32</v>
      </c>
      <c r="B33" s="80">
        <v>27406</v>
      </c>
      <c r="C33" s="63" t="s">
        <v>401</v>
      </c>
      <c r="D33" s="59" t="s">
        <v>402</v>
      </c>
      <c r="E33" s="61">
        <v>0</v>
      </c>
      <c r="F33" s="61">
        <v>2</v>
      </c>
      <c r="G33" s="61">
        <v>0</v>
      </c>
      <c r="H33" s="61">
        <v>0</v>
      </c>
      <c r="I33" s="61">
        <v>0</v>
      </c>
      <c r="J33" s="61">
        <v>0</v>
      </c>
      <c r="K33" s="62">
        <f t="shared" si="0"/>
        <v>2</v>
      </c>
    </row>
    <row r="34" spans="1:11" ht="15">
      <c r="A34" s="59">
        <v>33</v>
      </c>
      <c r="B34" s="81">
        <v>131771</v>
      </c>
      <c r="C34" s="60" t="s">
        <v>403</v>
      </c>
      <c r="D34" s="59" t="s">
        <v>404</v>
      </c>
      <c r="E34" s="61">
        <v>0</v>
      </c>
      <c r="F34" s="61">
        <v>2</v>
      </c>
      <c r="G34" s="61">
        <v>0</v>
      </c>
      <c r="H34" s="61">
        <v>0</v>
      </c>
      <c r="I34" s="61">
        <v>0</v>
      </c>
      <c r="J34" s="61">
        <v>0</v>
      </c>
      <c r="K34" s="62">
        <f t="shared" si="0"/>
        <v>2</v>
      </c>
    </row>
    <row r="35" spans="1:11" ht="15">
      <c r="A35" s="59">
        <v>34</v>
      </c>
      <c r="B35" s="81">
        <v>125856</v>
      </c>
      <c r="C35" s="60" t="s">
        <v>105</v>
      </c>
      <c r="D35" s="59" t="s">
        <v>371</v>
      </c>
      <c r="E35" s="61">
        <v>0</v>
      </c>
      <c r="F35" s="61">
        <v>2</v>
      </c>
      <c r="G35" s="61">
        <v>0</v>
      </c>
      <c r="H35" s="61">
        <v>0</v>
      </c>
      <c r="I35" s="61">
        <v>0</v>
      </c>
      <c r="J35" s="61">
        <v>0</v>
      </c>
      <c r="K35" s="62">
        <f t="shared" si="0"/>
        <v>2</v>
      </c>
    </row>
    <row r="36" spans="1:11" ht="15">
      <c r="A36" s="59">
        <v>35</v>
      </c>
      <c r="B36" s="80">
        <v>131403</v>
      </c>
      <c r="C36" s="60" t="s">
        <v>405</v>
      </c>
      <c r="D36" s="59" t="s">
        <v>316</v>
      </c>
      <c r="E36" s="61">
        <v>0</v>
      </c>
      <c r="F36" s="61">
        <v>0</v>
      </c>
      <c r="G36" s="61">
        <v>0</v>
      </c>
      <c r="H36" s="61">
        <v>1</v>
      </c>
      <c r="I36" s="61">
        <v>0</v>
      </c>
      <c r="J36" s="61">
        <v>0</v>
      </c>
      <c r="K36" s="62">
        <f t="shared" si="0"/>
        <v>1</v>
      </c>
    </row>
    <row r="37" spans="1:11" ht="15">
      <c r="A37" s="59">
        <v>36</v>
      </c>
      <c r="B37" s="81">
        <v>102828</v>
      </c>
      <c r="C37" s="60" t="s">
        <v>406</v>
      </c>
      <c r="D37" s="59" t="s">
        <v>407</v>
      </c>
      <c r="E37" s="61">
        <v>1</v>
      </c>
      <c r="F37" s="61">
        <v>0</v>
      </c>
      <c r="G37" s="61">
        <v>0</v>
      </c>
      <c r="H37" s="61">
        <v>0</v>
      </c>
      <c r="I37" s="61">
        <v>0</v>
      </c>
      <c r="J37" s="61">
        <v>0</v>
      </c>
      <c r="K37" s="62">
        <f t="shared" si="0"/>
        <v>1</v>
      </c>
    </row>
    <row r="38" spans="1:11" ht="15">
      <c r="A38" s="59">
        <v>37</v>
      </c>
      <c r="B38" s="81">
        <v>115565</v>
      </c>
      <c r="C38" s="60" t="s">
        <v>408</v>
      </c>
      <c r="D38" s="59" t="s">
        <v>43</v>
      </c>
      <c r="E38" s="61">
        <v>0</v>
      </c>
      <c r="F38" s="61">
        <v>0</v>
      </c>
      <c r="G38" s="61">
        <v>0</v>
      </c>
      <c r="H38" s="61">
        <v>0</v>
      </c>
      <c r="I38" s="61">
        <v>0</v>
      </c>
      <c r="J38" s="61">
        <v>0</v>
      </c>
      <c r="K38" s="62">
        <f t="shared" si="0"/>
        <v>0</v>
      </c>
    </row>
  </sheetData>
  <hyperlinks>
    <hyperlink ref="B2" r:id="rId1" tooltip="Бүх амжилтууд харах" display="https://mmo.mn/olympiads/achievements/428/" xr:uid="{F02642FD-DBAB-49BF-82FC-00719BF76412}"/>
    <hyperlink ref="B3" r:id="rId2" tooltip="Бүх амжилтууд харах" display="https://mmo.mn/olympiads/achievements/2205/" xr:uid="{48673865-EB15-4026-BBCC-F64AC0DFFFAE}"/>
    <hyperlink ref="B4" r:id="rId3" tooltip="Бүх амжилтууд харах" display="https://www.mmo.mn/olympiads/achievements/82524/" xr:uid="{615034CA-CB7F-42D7-B44E-0BBB75CC119F}"/>
    <hyperlink ref="B5" r:id="rId4" tooltip="Бүх амжилтууд харах" display="https://mmo.mn/olympiads/achievements/137146/" xr:uid="{057A60FD-0293-42A5-B75C-46CBCD17D33D}"/>
    <hyperlink ref="B6" r:id="rId5" tooltip="Бүх амжилтууд харах" display="https://mmo.mn/olympiads/achievements/14205/" xr:uid="{EE60384D-CB8C-4352-9758-114DBDA8E011}"/>
    <hyperlink ref="B7" r:id="rId6" tooltip="Бүх амжилтууд харах" display="https://www.mmo.mn/olympiads/achievements/186608/" xr:uid="{B4D570C5-DEED-470F-BCBA-F04ADA94506F}"/>
    <hyperlink ref="B8" r:id="rId7" tooltip="Бүх амжилтууд харах" display="https://mmo.mn/olympiads/achievements/14463/" xr:uid="{C0DA28E4-0A89-41A3-ABE1-87F61458D203}"/>
    <hyperlink ref="B9" r:id="rId8" tooltip="Бүх амжилтууд харах" display="https://mmo.mn/olympiads/achievements/137222/" xr:uid="{4C2CDB77-DBE3-4845-9F6C-75F3E3809C1F}"/>
    <hyperlink ref="B10" r:id="rId9" tooltip="Бүх амжилтууд харах" display="https://mmo.mn/olympiads/achievements/14047/" xr:uid="{3494534A-1957-449C-95BB-FEB1CED65D24}"/>
    <hyperlink ref="B12" r:id="rId10" tooltip="Бүх амжилтууд харах" display="https://mmo.mn/olympiads/achievements/183205/" xr:uid="{C557A7C5-FCF4-4B64-BBC8-CBD6A9C453DA}"/>
    <hyperlink ref="B13" r:id="rId11" tooltip="Бүх амжилтууд харах" display="https://mmo.mn/olympiads/achievements/184510/" xr:uid="{4D67C2A4-F7BA-4EBB-BABD-06BD370BAB1D}"/>
    <hyperlink ref="B14" r:id="rId12" tooltip="Бүх амжилтууд харах" display="https://www.mmo.mn/olympiads/achievements/102819/" xr:uid="{598475B5-82E8-49A1-9278-2462D470AAF7}"/>
    <hyperlink ref="B15" r:id="rId13" tooltip="Бүх амжилтууд харах" display="https://mmo.mn/olympiads/achievements/87844/" xr:uid="{E39E6E70-523C-4D34-AD60-F7F17E54867A}"/>
    <hyperlink ref="B17" r:id="rId14" tooltip="Бүх амжилтууд харах" display="https://mmo.mn/olympiads/achievements/73618/" xr:uid="{2C2C84CA-D6A6-4917-96E2-34131083C258}"/>
    <hyperlink ref="B18" r:id="rId15" tooltip="Бүх амжилтууд харах" display="https://mmo.mn/olympiads/achievements/73544/" xr:uid="{C15668EC-1A25-4768-8867-8F9B2475953B}"/>
    <hyperlink ref="B22" r:id="rId16" tooltip="Бүх амжилтууд харах" display="https://www.mmo.mn/olympiads/achievements/181083/" xr:uid="{5B5B3303-0EBC-4918-9871-95096F0D70E9}"/>
    <hyperlink ref="B24" r:id="rId17" tooltip="Бүх амжилтууд харах" display="https://mmo.mn/olympiads/achievements/139469/" xr:uid="{54BF57A3-6BF2-4098-87A5-DE17A22505D5}"/>
    <hyperlink ref="B25" r:id="rId18" tooltip="Бүх амжилтууд харах" display="https://mmo.mn/olympiads/achievements/180534/" xr:uid="{11EAFC6B-6A70-46CF-AC87-DA2C63FA760C}"/>
    <hyperlink ref="B27" r:id="rId19" tooltip="Бүх амжилтууд харах" display="https://mmo.mn/olympiads/achievements/122552/" xr:uid="{6DC82A58-559B-45D7-8001-FC01E808E590}"/>
    <hyperlink ref="B29" r:id="rId20" tooltip="Бүх амжилтууд харах" display="https://mmo.mn/olympiads/achievements/184826/" xr:uid="{51CB8022-FEA2-4469-98DD-8CD07E6B88E3}"/>
    <hyperlink ref="B30" r:id="rId21" tooltip="Бүх амжилтууд харах" display="https://mmo.mn/olympiads/achievements/185989/" xr:uid="{70BBB1D8-0D07-4B5F-B0A0-9D64251B5072}"/>
    <hyperlink ref="B35" r:id="rId22" tooltip="Бүх амжилтууд харах" display="https://www.mmo.mn/olympiads/achievements/125856/" xr:uid="{80219B3B-607B-4A3B-803A-76D839FC3A13}"/>
    <hyperlink ref="B37" r:id="rId23" tooltip="Бүх амжилтууд харах" display="https://mmo.mn/olympiads/achievements/102828/" xr:uid="{74571B3F-7C38-4A75-ACF0-B2F1C88A6AAA}"/>
    <hyperlink ref="B38" r:id="rId24" tooltip="Бүх амжилтууд харах" display="https://mmo.mn/olympiads/achievements/115565/" xr:uid="{CB612266-4D67-4E59-A1FB-2CF0B0C214B9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tabSelected="1" zoomScaleNormal="100" workbookViewId="0">
      <selection activeCell="N19" sqref="N19"/>
    </sheetView>
  </sheetViews>
  <sheetFormatPr defaultColWidth="11.5703125" defaultRowHeight="12.75"/>
  <cols>
    <col min="1" max="1" width="3.42578125" style="42" customWidth="1"/>
    <col min="2" max="2" width="11.5703125" style="42"/>
    <col min="3" max="3" width="14.28515625" style="42" customWidth="1"/>
    <col min="4" max="4" width="13.85546875" style="42" customWidth="1"/>
    <col min="5" max="9" width="8.140625" style="42" customWidth="1"/>
    <col min="10" max="16384" width="11.5703125" style="42"/>
  </cols>
  <sheetData>
    <row r="1" spans="1:9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70" t="s">
        <v>8</v>
      </c>
    </row>
    <row r="2" spans="1:9">
      <c r="A2" s="45">
        <v>1</v>
      </c>
      <c r="B2" s="45">
        <v>100944</v>
      </c>
      <c r="C2" s="43" t="s">
        <v>409</v>
      </c>
      <c r="D2" s="44" t="s">
        <v>134</v>
      </c>
      <c r="E2" s="45">
        <v>7</v>
      </c>
      <c r="F2" s="45">
        <v>0</v>
      </c>
      <c r="G2" s="45">
        <v>5</v>
      </c>
      <c r="H2" s="45">
        <v>7</v>
      </c>
      <c r="I2" s="45">
        <f t="shared" ref="I2:I33" si="0">SUM(E2:H2)</f>
        <v>19</v>
      </c>
    </row>
    <row r="3" spans="1:9">
      <c r="A3" s="45">
        <v>2</v>
      </c>
      <c r="B3" s="45">
        <v>101485</v>
      </c>
      <c r="C3" s="43" t="s">
        <v>450</v>
      </c>
      <c r="D3" s="44" t="s">
        <v>385</v>
      </c>
      <c r="E3" s="45">
        <v>7</v>
      </c>
      <c r="F3" s="45">
        <v>0</v>
      </c>
      <c r="G3" s="45">
        <v>3</v>
      </c>
      <c r="H3" s="45">
        <v>7</v>
      </c>
      <c r="I3" s="45">
        <f t="shared" si="0"/>
        <v>17</v>
      </c>
    </row>
    <row r="4" spans="1:9">
      <c r="A4" s="45">
        <v>3</v>
      </c>
      <c r="B4" s="45">
        <v>174824</v>
      </c>
      <c r="C4" s="43" t="s">
        <v>451</v>
      </c>
      <c r="D4" s="44" t="s">
        <v>76</v>
      </c>
      <c r="E4" s="45">
        <v>7</v>
      </c>
      <c r="F4" s="45">
        <v>2</v>
      </c>
      <c r="G4" s="45">
        <v>1</v>
      </c>
      <c r="H4" s="45">
        <v>6</v>
      </c>
      <c r="I4" s="45">
        <f t="shared" si="0"/>
        <v>16</v>
      </c>
    </row>
    <row r="5" spans="1:9">
      <c r="A5" s="45">
        <v>4</v>
      </c>
      <c r="B5" s="45">
        <v>68762</v>
      </c>
      <c r="C5" s="43" t="s">
        <v>478</v>
      </c>
      <c r="D5" s="44" t="s">
        <v>479</v>
      </c>
      <c r="E5" s="45">
        <v>7</v>
      </c>
      <c r="F5" s="45">
        <v>0</v>
      </c>
      <c r="G5" s="45">
        <v>1</v>
      </c>
      <c r="H5" s="45">
        <v>7</v>
      </c>
      <c r="I5" s="45">
        <f t="shared" si="0"/>
        <v>15</v>
      </c>
    </row>
    <row r="6" spans="1:9">
      <c r="A6" s="45">
        <v>5</v>
      </c>
      <c r="B6" s="74">
        <v>123179</v>
      </c>
      <c r="C6" s="43" t="s">
        <v>416</v>
      </c>
      <c r="D6" s="44" t="s">
        <v>112</v>
      </c>
      <c r="E6" s="45">
        <v>7</v>
      </c>
      <c r="F6" s="45">
        <v>2</v>
      </c>
      <c r="G6" s="45">
        <v>1</v>
      </c>
      <c r="H6" s="45">
        <v>4</v>
      </c>
      <c r="I6" s="45">
        <f t="shared" si="0"/>
        <v>14</v>
      </c>
    </row>
    <row r="7" spans="1:9">
      <c r="A7" s="45">
        <v>6</v>
      </c>
      <c r="B7" s="51">
        <v>194143</v>
      </c>
      <c r="C7" s="73" t="s">
        <v>429</v>
      </c>
      <c r="D7" s="44" t="s">
        <v>430</v>
      </c>
      <c r="E7" s="45">
        <v>7</v>
      </c>
      <c r="F7" s="45">
        <v>0</v>
      </c>
      <c r="G7" s="45">
        <v>0</v>
      </c>
      <c r="H7" s="45">
        <v>7</v>
      </c>
      <c r="I7" s="45">
        <f t="shared" si="0"/>
        <v>14</v>
      </c>
    </row>
    <row r="8" spans="1:9">
      <c r="A8" s="45">
        <v>7</v>
      </c>
      <c r="B8" s="51">
        <v>14479</v>
      </c>
      <c r="C8" s="73" t="s">
        <v>452</v>
      </c>
      <c r="D8" s="44" t="s">
        <v>453</v>
      </c>
      <c r="E8" s="45">
        <v>7</v>
      </c>
      <c r="F8" s="45">
        <v>0</v>
      </c>
      <c r="G8" s="45">
        <v>0</v>
      </c>
      <c r="H8" s="45">
        <v>7</v>
      </c>
      <c r="I8" s="45">
        <f t="shared" si="0"/>
        <v>14</v>
      </c>
    </row>
    <row r="9" spans="1:9">
      <c r="A9" s="45">
        <v>8</v>
      </c>
      <c r="B9" s="51">
        <v>232208</v>
      </c>
      <c r="C9" s="73" t="s">
        <v>410</v>
      </c>
      <c r="D9" s="44" t="s">
        <v>411</v>
      </c>
      <c r="E9" s="45">
        <v>7</v>
      </c>
      <c r="F9" s="45">
        <v>2</v>
      </c>
      <c r="G9" s="45">
        <v>0</v>
      </c>
      <c r="H9" s="45">
        <v>3</v>
      </c>
      <c r="I9" s="45">
        <f t="shared" si="0"/>
        <v>12</v>
      </c>
    </row>
    <row r="10" spans="1:9">
      <c r="A10" s="45">
        <v>9</v>
      </c>
      <c r="B10" s="47"/>
      <c r="C10" s="73" t="s">
        <v>417</v>
      </c>
      <c r="D10" s="44" t="s">
        <v>418</v>
      </c>
      <c r="E10" s="45">
        <v>7</v>
      </c>
      <c r="F10" s="45">
        <v>0</v>
      </c>
      <c r="G10" s="45">
        <v>1</v>
      </c>
      <c r="H10" s="45">
        <v>3</v>
      </c>
      <c r="I10" s="45">
        <f t="shared" si="0"/>
        <v>11</v>
      </c>
    </row>
    <row r="11" spans="1:9">
      <c r="A11" s="45">
        <v>10</v>
      </c>
      <c r="B11" s="87">
        <v>187214</v>
      </c>
      <c r="C11" s="73" t="s">
        <v>428</v>
      </c>
      <c r="D11" s="44" t="s">
        <v>454</v>
      </c>
      <c r="E11" s="45">
        <v>7</v>
      </c>
      <c r="F11" s="45">
        <v>0</v>
      </c>
      <c r="G11" s="45">
        <v>1</v>
      </c>
      <c r="H11" s="45">
        <v>3</v>
      </c>
      <c r="I11" s="45">
        <f t="shared" si="0"/>
        <v>11</v>
      </c>
    </row>
    <row r="12" spans="1:9">
      <c r="A12" s="45">
        <v>11</v>
      </c>
      <c r="B12" s="86">
        <v>233117</v>
      </c>
      <c r="C12" s="43" t="s">
        <v>17</v>
      </c>
      <c r="D12" s="66" t="s">
        <v>423</v>
      </c>
      <c r="E12" s="45">
        <v>7</v>
      </c>
      <c r="F12" s="45">
        <v>0</v>
      </c>
      <c r="G12" s="45">
        <v>0</v>
      </c>
      <c r="H12" s="45">
        <v>3</v>
      </c>
      <c r="I12" s="67">
        <f t="shared" si="0"/>
        <v>10</v>
      </c>
    </row>
    <row r="13" spans="1:9">
      <c r="A13" s="45">
        <v>12</v>
      </c>
      <c r="B13" s="67">
        <v>143091</v>
      </c>
      <c r="C13" s="43" t="s">
        <v>437</v>
      </c>
      <c r="D13" s="44" t="s">
        <v>411</v>
      </c>
      <c r="E13" s="45">
        <v>7</v>
      </c>
      <c r="F13" s="45">
        <v>0</v>
      </c>
      <c r="G13" s="45">
        <v>0</v>
      </c>
      <c r="H13" s="45">
        <v>3</v>
      </c>
      <c r="I13" s="45">
        <f t="shared" si="0"/>
        <v>10</v>
      </c>
    </row>
    <row r="14" spans="1:9">
      <c r="A14" s="45">
        <v>13</v>
      </c>
      <c r="B14" s="43"/>
      <c r="C14" s="43" t="s">
        <v>336</v>
      </c>
      <c r="D14" s="71" t="s">
        <v>439</v>
      </c>
      <c r="E14" s="45">
        <v>7</v>
      </c>
      <c r="F14" s="45">
        <v>0</v>
      </c>
      <c r="G14" s="45">
        <v>0</v>
      </c>
      <c r="H14" s="45">
        <v>3</v>
      </c>
      <c r="I14" s="45">
        <f t="shared" si="0"/>
        <v>10</v>
      </c>
    </row>
    <row r="15" spans="1:9">
      <c r="A15" s="45">
        <v>14</v>
      </c>
      <c r="B15" s="43"/>
      <c r="C15" s="43" t="s">
        <v>445</v>
      </c>
      <c r="D15" s="71" t="s">
        <v>446</v>
      </c>
      <c r="E15" s="45">
        <v>7</v>
      </c>
      <c r="F15" s="45">
        <v>0</v>
      </c>
      <c r="G15" s="45">
        <v>0</v>
      </c>
      <c r="H15" s="45">
        <v>3</v>
      </c>
      <c r="I15" s="45">
        <f t="shared" si="0"/>
        <v>10</v>
      </c>
    </row>
    <row r="16" spans="1:9">
      <c r="A16" s="45">
        <v>15</v>
      </c>
      <c r="B16" s="45">
        <v>100931</v>
      </c>
      <c r="C16" s="43" t="s">
        <v>429</v>
      </c>
      <c r="D16" s="44" t="s">
        <v>455</v>
      </c>
      <c r="E16" s="45">
        <v>7</v>
      </c>
      <c r="F16" s="45">
        <v>0</v>
      </c>
      <c r="G16" s="45">
        <v>0</v>
      </c>
      <c r="H16" s="45">
        <v>3</v>
      </c>
      <c r="I16" s="45">
        <f t="shared" si="0"/>
        <v>10</v>
      </c>
    </row>
    <row r="17" spans="1:9">
      <c r="A17" s="45">
        <v>16</v>
      </c>
      <c r="B17" s="67">
        <v>116142</v>
      </c>
      <c r="C17" s="43" t="s">
        <v>462</v>
      </c>
      <c r="D17" s="71" t="s">
        <v>144</v>
      </c>
      <c r="E17" s="45">
        <v>7</v>
      </c>
      <c r="F17" s="45">
        <v>0</v>
      </c>
      <c r="G17" s="45">
        <v>0</v>
      </c>
      <c r="H17" s="45">
        <v>3</v>
      </c>
      <c r="I17" s="45">
        <f t="shared" si="0"/>
        <v>10</v>
      </c>
    </row>
    <row r="18" spans="1:9">
      <c r="A18" s="45">
        <v>17</v>
      </c>
      <c r="B18" s="43"/>
      <c r="C18" s="43" t="s">
        <v>100</v>
      </c>
      <c r="D18" s="44" t="s">
        <v>467</v>
      </c>
      <c r="E18" s="45">
        <v>7</v>
      </c>
      <c r="F18" s="45">
        <v>0</v>
      </c>
      <c r="G18" s="45">
        <v>0</v>
      </c>
      <c r="H18" s="45">
        <v>3</v>
      </c>
      <c r="I18" s="45">
        <f t="shared" si="0"/>
        <v>10</v>
      </c>
    </row>
    <row r="19" spans="1:9">
      <c r="A19" s="45">
        <v>18</v>
      </c>
      <c r="B19" s="43"/>
      <c r="C19" s="43" t="s">
        <v>476</v>
      </c>
      <c r="D19" s="44" t="s">
        <v>477</v>
      </c>
      <c r="E19" s="45">
        <v>7</v>
      </c>
      <c r="F19" s="45">
        <v>0</v>
      </c>
      <c r="G19" s="45">
        <v>0</v>
      </c>
      <c r="H19" s="45">
        <v>3</v>
      </c>
      <c r="I19" s="45">
        <f t="shared" si="0"/>
        <v>10</v>
      </c>
    </row>
    <row r="20" spans="1:9">
      <c r="A20" s="45">
        <v>19</v>
      </c>
      <c r="B20" s="45">
        <v>20442</v>
      </c>
      <c r="C20" s="43" t="s">
        <v>480</v>
      </c>
      <c r="D20" s="44" t="s">
        <v>481</v>
      </c>
      <c r="E20" s="45">
        <v>7</v>
      </c>
      <c r="F20" s="45">
        <v>0</v>
      </c>
      <c r="G20" s="45">
        <v>0</v>
      </c>
      <c r="H20" s="45">
        <v>3</v>
      </c>
      <c r="I20" s="45">
        <f t="shared" si="0"/>
        <v>10</v>
      </c>
    </row>
    <row r="21" spans="1:9">
      <c r="A21" s="45">
        <v>20</v>
      </c>
      <c r="B21" s="85">
        <v>127869</v>
      </c>
      <c r="C21" s="43" t="s">
        <v>419</v>
      </c>
      <c r="D21" s="44" t="s">
        <v>420</v>
      </c>
      <c r="E21" s="45">
        <v>6</v>
      </c>
      <c r="F21" s="45">
        <v>0</v>
      </c>
      <c r="G21" s="45">
        <v>0</v>
      </c>
      <c r="H21" s="45">
        <v>3</v>
      </c>
      <c r="I21" s="45">
        <f t="shared" si="0"/>
        <v>9</v>
      </c>
    </row>
    <row r="22" spans="1:9">
      <c r="A22" s="45">
        <v>21</v>
      </c>
      <c r="B22" s="45">
        <v>233004</v>
      </c>
      <c r="C22" s="43" t="s">
        <v>458</v>
      </c>
      <c r="D22" s="44" t="s">
        <v>459</v>
      </c>
      <c r="E22" s="45">
        <v>5</v>
      </c>
      <c r="F22" s="45">
        <v>0</v>
      </c>
      <c r="G22" s="45">
        <v>0</v>
      </c>
      <c r="H22" s="45">
        <v>4</v>
      </c>
      <c r="I22" s="45">
        <f t="shared" si="0"/>
        <v>9</v>
      </c>
    </row>
    <row r="23" spans="1:9">
      <c r="A23" s="45">
        <v>22</v>
      </c>
      <c r="B23" s="43"/>
      <c r="C23" s="43" t="s">
        <v>474</v>
      </c>
      <c r="D23" s="44" t="s">
        <v>475</v>
      </c>
      <c r="E23" s="45">
        <v>6</v>
      </c>
      <c r="F23" s="45">
        <v>0</v>
      </c>
      <c r="G23" s="45">
        <v>0</v>
      </c>
      <c r="H23" s="45">
        <v>3</v>
      </c>
      <c r="I23" s="45">
        <f t="shared" si="0"/>
        <v>9</v>
      </c>
    </row>
    <row r="24" spans="1:9">
      <c r="A24" s="45">
        <v>23</v>
      </c>
      <c r="B24" s="85">
        <v>138440</v>
      </c>
      <c r="C24" s="43" t="s">
        <v>421</v>
      </c>
      <c r="D24" s="71" t="s">
        <v>422</v>
      </c>
      <c r="E24" s="45">
        <v>5</v>
      </c>
      <c r="F24" s="45">
        <v>0</v>
      </c>
      <c r="G24" s="45">
        <v>0</v>
      </c>
      <c r="H24" s="45">
        <v>3</v>
      </c>
      <c r="I24" s="45">
        <f t="shared" si="0"/>
        <v>8</v>
      </c>
    </row>
    <row r="25" spans="1:9">
      <c r="A25" s="45">
        <v>24</v>
      </c>
      <c r="B25" s="43"/>
      <c r="C25" s="43" t="s">
        <v>472</v>
      </c>
      <c r="D25" s="44" t="s">
        <v>473</v>
      </c>
      <c r="E25" s="45">
        <v>5</v>
      </c>
      <c r="F25" s="45">
        <v>0</v>
      </c>
      <c r="G25" s="45">
        <v>0</v>
      </c>
      <c r="H25" s="45">
        <v>3</v>
      </c>
      <c r="I25" s="45">
        <f t="shared" si="0"/>
        <v>8</v>
      </c>
    </row>
    <row r="26" spans="1:9">
      <c r="A26" s="45">
        <v>25</v>
      </c>
      <c r="B26" s="45">
        <v>100934</v>
      </c>
      <c r="C26" s="43" t="s">
        <v>412</v>
      </c>
      <c r="D26" s="44" t="s">
        <v>413</v>
      </c>
      <c r="E26" s="45">
        <v>7</v>
      </c>
      <c r="F26" s="45">
        <v>0</v>
      </c>
      <c r="G26" s="45">
        <v>0</v>
      </c>
      <c r="H26" s="45">
        <v>0</v>
      </c>
      <c r="I26" s="45">
        <f t="shared" si="0"/>
        <v>7</v>
      </c>
    </row>
    <row r="27" spans="1:9">
      <c r="A27" s="45">
        <v>26</v>
      </c>
      <c r="B27" s="72">
        <v>127300</v>
      </c>
      <c r="C27" s="43" t="s">
        <v>276</v>
      </c>
      <c r="D27" s="44" t="s">
        <v>142</v>
      </c>
      <c r="E27" s="45">
        <v>7</v>
      </c>
      <c r="F27" s="45">
        <v>0</v>
      </c>
      <c r="G27" s="45">
        <v>0</v>
      </c>
      <c r="H27" s="45">
        <v>0</v>
      </c>
      <c r="I27" s="45">
        <f t="shared" si="0"/>
        <v>7</v>
      </c>
    </row>
    <row r="28" spans="1:9">
      <c r="A28" s="45">
        <v>27</v>
      </c>
      <c r="B28" s="68">
        <v>121009</v>
      </c>
      <c r="C28" s="43" t="s">
        <v>425</v>
      </c>
      <c r="D28" s="44" t="s">
        <v>426</v>
      </c>
      <c r="E28" s="45">
        <v>7</v>
      </c>
      <c r="F28" s="45">
        <v>0</v>
      </c>
      <c r="G28" s="45">
        <v>0</v>
      </c>
      <c r="H28" s="45">
        <v>0</v>
      </c>
      <c r="I28" s="45">
        <f t="shared" si="0"/>
        <v>7</v>
      </c>
    </row>
    <row r="29" spans="1:9">
      <c r="A29" s="45">
        <v>28</v>
      </c>
      <c r="B29" s="45">
        <v>194091</v>
      </c>
      <c r="C29" s="43" t="s">
        <v>300</v>
      </c>
      <c r="D29" s="44" t="s">
        <v>40</v>
      </c>
      <c r="E29" s="45">
        <v>7</v>
      </c>
      <c r="F29" s="45">
        <v>0</v>
      </c>
      <c r="G29" s="45">
        <v>0</v>
      </c>
      <c r="H29" s="45">
        <v>0</v>
      </c>
      <c r="I29" s="45">
        <f t="shared" si="0"/>
        <v>7</v>
      </c>
    </row>
    <row r="30" spans="1:9">
      <c r="A30" s="45">
        <v>29</v>
      </c>
      <c r="B30" s="43"/>
      <c r="C30" s="43" t="s">
        <v>112</v>
      </c>
      <c r="D30" s="44" t="s">
        <v>188</v>
      </c>
      <c r="E30" s="45">
        <v>0</v>
      </c>
      <c r="F30" s="45">
        <v>0</v>
      </c>
      <c r="G30" s="45">
        <v>0</v>
      </c>
      <c r="H30" s="45">
        <v>7</v>
      </c>
      <c r="I30" s="45">
        <f t="shared" si="0"/>
        <v>7</v>
      </c>
    </row>
    <row r="31" spans="1:9">
      <c r="A31" s="45">
        <v>30</v>
      </c>
      <c r="B31" s="43"/>
      <c r="C31" s="43" t="s">
        <v>419</v>
      </c>
      <c r="D31" s="44" t="s">
        <v>92</v>
      </c>
      <c r="E31" s="45">
        <v>7</v>
      </c>
      <c r="F31" s="45">
        <v>0</v>
      </c>
      <c r="G31" s="45">
        <v>0</v>
      </c>
      <c r="H31" s="45">
        <v>0</v>
      </c>
      <c r="I31" s="45">
        <f t="shared" si="0"/>
        <v>7</v>
      </c>
    </row>
    <row r="32" spans="1:9">
      <c r="A32" s="45">
        <v>31</v>
      </c>
      <c r="B32" s="45">
        <v>147921</v>
      </c>
      <c r="C32" s="43" t="s">
        <v>414</v>
      </c>
      <c r="D32" s="44" t="s">
        <v>415</v>
      </c>
      <c r="E32" s="45">
        <v>5</v>
      </c>
      <c r="F32" s="45">
        <v>0</v>
      </c>
      <c r="G32" s="45">
        <v>0</v>
      </c>
      <c r="H32" s="45">
        <v>1</v>
      </c>
      <c r="I32" s="45">
        <f t="shared" si="0"/>
        <v>6</v>
      </c>
    </row>
    <row r="33" spans="1:9">
      <c r="A33" s="45">
        <v>32</v>
      </c>
      <c r="B33" s="45">
        <v>121826</v>
      </c>
      <c r="C33" s="43" t="s">
        <v>427</v>
      </c>
      <c r="D33" s="44" t="s">
        <v>428</v>
      </c>
      <c r="E33" s="45">
        <v>3</v>
      </c>
      <c r="F33" s="45">
        <v>0</v>
      </c>
      <c r="G33" s="45">
        <v>0</v>
      </c>
      <c r="H33" s="45">
        <v>3</v>
      </c>
      <c r="I33" s="45">
        <f t="shared" si="0"/>
        <v>6</v>
      </c>
    </row>
    <row r="34" spans="1:9">
      <c r="A34" s="45">
        <v>33</v>
      </c>
      <c r="B34" s="43"/>
      <c r="C34" s="43" t="s">
        <v>128</v>
      </c>
      <c r="D34" s="44" t="s">
        <v>482</v>
      </c>
      <c r="E34" s="45">
        <v>5</v>
      </c>
      <c r="F34" s="45">
        <v>1</v>
      </c>
      <c r="G34" s="45">
        <v>0</v>
      </c>
      <c r="H34" s="45">
        <v>0</v>
      </c>
      <c r="I34" s="45">
        <f t="shared" ref="I34:I65" si="1">SUM(E34:H34)</f>
        <v>6</v>
      </c>
    </row>
    <row r="35" spans="1:9">
      <c r="A35" s="45">
        <v>34</v>
      </c>
      <c r="B35" s="68">
        <v>189240</v>
      </c>
      <c r="C35" s="69" t="s">
        <v>447</v>
      </c>
      <c r="D35" s="71" t="s">
        <v>448</v>
      </c>
      <c r="E35" s="45">
        <v>5</v>
      </c>
      <c r="F35" s="45">
        <v>0</v>
      </c>
      <c r="G35" s="45">
        <v>0</v>
      </c>
      <c r="H35" s="45">
        <v>0</v>
      </c>
      <c r="I35" s="45">
        <f t="shared" si="1"/>
        <v>5</v>
      </c>
    </row>
    <row r="36" spans="1:9">
      <c r="A36" s="45">
        <v>35</v>
      </c>
      <c r="B36" s="68">
        <v>232991</v>
      </c>
      <c r="C36" s="43" t="s">
        <v>417</v>
      </c>
      <c r="D36" s="44" t="s">
        <v>449</v>
      </c>
      <c r="E36" s="45">
        <v>5</v>
      </c>
      <c r="F36" s="45">
        <v>0</v>
      </c>
      <c r="G36" s="45">
        <v>0</v>
      </c>
      <c r="H36" s="45">
        <v>0</v>
      </c>
      <c r="I36" s="45">
        <f t="shared" si="1"/>
        <v>5</v>
      </c>
    </row>
    <row r="37" spans="1:9">
      <c r="A37" s="45">
        <v>36</v>
      </c>
      <c r="B37" s="43"/>
      <c r="C37" s="43" t="s">
        <v>456</v>
      </c>
      <c r="D37" s="44" t="s">
        <v>457</v>
      </c>
      <c r="E37" s="45">
        <v>0</v>
      </c>
      <c r="F37" s="45">
        <v>0</v>
      </c>
      <c r="G37" s="45">
        <v>1</v>
      </c>
      <c r="H37" s="45">
        <v>3</v>
      </c>
      <c r="I37" s="45">
        <f t="shared" si="1"/>
        <v>4</v>
      </c>
    </row>
    <row r="38" spans="1:9">
      <c r="A38" s="45">
        <v>37</v>
      </c>
      <c r="B38" s="43"/>
      <c r="C38" s="43" t="s">
        <v>435</v>
      </c>
      <c r="D38" s="44" t="s">
        <v>436</v>
      </c>
      <c r="E38" s="45">
        <v>0</v>
      </c>
      <c r="F38" s="45">
        <v>0</v>
      </c>
      <c r="G38" s="45">
        <v>0</v>
      </c>
      <c r="H38" s="45">
        <v>3</v>
      </c>
      <c r="I38" s="45">
        <f t="shared" si="1"/>
        <v>3</v>
      </c>
    </row>
    <row r="39" spans="1:9">
      <c r="A39" s="45">
        <v>38</v>
      </c>
      <c r="B39" s="45">
        <v>23011</v>
      </c>
      <c r="C39" s="43" t="s">
        <v>314</v>
      </c>
      <c r="D39" s="44" t="s">
        <v>138</v>
      </c>
      <c r="E39" s="45">
        <v>3</v>
      </c>
      <c r="F39" s="45">
        <v>0</v>
      </c>
      <c r="G39" s="45">
        <v>0</v>
      </c>
      <c r="H39" s="45">
        <v>0</v>
      </c>
      <c r="I39" s="45">
        <f t="shared" si="1"/>
        <v>3</v>
      </c>
    </row>
    <row r="40" spans="1:9">
      <c r="A40" s="45">
        <v>39</v>
      </c>
      <c r="B40" s="68">
        <v>232997</v>
      </c>
      <c r="C40" s="43" t="s">
        <v>460</v>
      </c>
      <c r="D40" s="44" t="s">
        <v>461</v>
      </c>
      <c r="E40" s="45">
        <v>0</v>
      </c>
      <c r="F40" s="45">
        <v>0</v>
      </c>
      <c r="G40" s="45">
        <v>0</v>
      </c>
      <c r="H40" s="45">
        <v>3</v>
      </c>
      <c r="I40" s="45">
        <f t="shared" si="1"/>
        <v>3</v>
      </c>
    </row>
    <row r="41" spans="1:9">
      <c r="A41" s="45">
        <v>40</v>
      </c>
      <c r="B41" s="43"/>
      <c r="C41" s="43" t="s">
        <v>468</v>
      </c>
      <c r="D41" s="44" t="s">
        <v>469</v>
      </c>
      <c r="E41" s="45">
        <v>3</v>
      </c>
      <c r="F41" s="45">
        <v>0</v>
      </c>
      <c r="G41" s="45">
        <v>0</v>
      </c>
      <c r="H41" s="45">
        <v>0</v>
      </c>
      <c r="I41" s="45">
        <f t="shared" si="1"/>
        <v>3</v>
      </c>
    </row>
    <row r="42" spans="1:9">
      <c r="A42" s="45">
        <v>41</v>
      </c>
      <c r="B42" s="43"/>
      <c r="C42" s="43" t="s">
        <v>470</v>
      </c>
      <c r="D42" s="44" t="s">
        <v>471</v>
      </c>
      <c r="E42" s="45">
        <v>0</v>
      </c>
      <c r="F42" s="45">
        <v>0</v>
      </c>
      <c r="G42" s="45">
        <v>0</v>
      </c>
      <c r="H42" s="45">
        <v>3</v>
      </c>
      <c r="I42" s="45">
        <f t="shared" si="1"/>
        <v>3</v>
      </c>
    </row>
    <row r="43" spans="1:9">
      <c r="A43" s="45">
        <v>42</v>
      </c>
      <c r="B43" s="43"/>
      <c r="C43" s="43" t="s">
        <v>115</v>
      </c>
      <c r="D43" s="44" t="s">
        <v>424</v>
      </c>
      <c r="E43" s="45">
        <v>0</v>
      </c>
      <c r="F43" s="45">
        <v>0</v>
      </c>
      <c r="G43" s="45">
        <v>0</v>
      </c>
      <c r="H43" s="45">
        <v>0</v>
      </c>
      <c r="I43" s="45">
        <f t="shared" si="1"/>
        <v>0</v>
      </c>
    </row>
    <row r="44" spans="1:9">
      <c r="A44" s="45">
        <v>43</v>
      </c>
      <c r="B44" s="45">
        <v>194144</v>
      </c>
      <c r="C44" s="43" t="s">
        <v>431</v>
      </c>
      <c r="D44" s="44" t="s">
        <v>432</v>
      </c>
      <c r="E44" s="45">
        <v>0</v>
      </c>
      <c r="F44" s="45">
        <v>0</v>
      </c>
      <c r="G44" s="45">
        <v>0</v>
      </c>
      <c r="H44" s="45">
        <v>0</v>
      </c>
      <c r="I44" s="45">
        <f t="shared" si="1"/>
        <v>0</v>
      </c>
    </row>
    <row r="45" spans="1:9">
      <c r="A45" s="45">
        <v>44</v>
      </c>
      <c r="B45" s="43"/>
      <c r="C45" s="43" t="s">
        <v>433</v>
      </c>
      <c r="D45" s="44" t="s">
        <v>434</v>
      </c>
      <c r="E45" s="45">
        <v>0</v>
      </c>
      <c r="F45" s="45">
        <v>0</v>
      </c>
      <c r="G45" s="45">
        <v>0</v>
      </c>
      <c r="H45" s="45">
        <v>0</v>
      </c>
      <c r="I45" s="45">
        <f t="shared" si="1"/>
        <v>0</v>
      </c>
    </row>
    <row r="46" spans="1:9">
      <c r="A46" s="45">
        <v>45</v>
      </c>
      <c r="B46" s="67">
        <v>211259</v>
      </c>
      <c r="C46" s="43" t="s">
        <v>438</v>
      </c>
      <c r="D46" s="44" t="s">
        <v>374</v>
      </c>
      <c r="E46" s="45">
        <v>0</v>
      </c>
      <c r="F46" s="45">
        <v>0</v>
      </c>
      <c r="G46" s="45">
        <v>0</v>
      </c>
      <c r="H46" s="45">
        <v>0</v>
      </c>
      <c r="I46" s="45">
        <f t="shared" si="1"/>
        <v>0</v>
      </c>
    </row>
    <row r="47" spans="1:9">
      <c r="A47" s="45">
        <v>46</v>
      </c>
      <c r="B47" s="43"/>
      <c r="C47" s="43" t="s">
        <v>440</v>
      </c>
      <c r="D47" s="71" t="s">
        <v>441</v>
      </c>
      <c r="E47" s="45">
        <v>0</v>
      </c>
      <c r="F47" s="45">
        <v>0</v>
      </c>
      <c r="G47" s="45">
        <v>0</v>
      </c>
      <c r="H47" s="45">
        <v>0</v>
      </c>
      <c r="I47" s="45">
        <f t="shared" si="1"/>
        <v>0</v>
      </c>
    </row>
    <row r="48" spans="1:9">
      <c r="A48" s="45">
        <v>47</v>
      </c>
      <c r="B48" s="43"/>
      <c r="C48" s="43" t="s">
        <v>442</v>
      </c>
      <c r="D48" s="44" t="s">
        <v>443</v>
      </c>
      <c r="E48" s="45">
        <v>0</v>
      </c>
      <c r="F48" s="45">
        <v>0</v>
      </c>
      <c r="G48" s="45">
        <v>0</v>
      </c>
      <c r="H48" s="45">
        <v>0</v>
      </c>
      <c r="I48" s="45">
        <f t="shared" si="1"/>
        <v>0</v>
      </c>
    </row>
    <row r="49" spans="1:9">
      <c r="A49" s="45">
        <v>48</v>
      </c>
      <c r="B49" s="45">
        <v>128904</v>
      </c>
      <c r="C49" s="43" t="s">
        <v>77</v>
      </c>
      <c r="D49" s="44" t="s">
        <v>75</v>
      </c>
      <c r="E49" s="45">
        <v>0</v>
      </c>
      <c r="F49" s="45">
        <v>0</v>
      </c>
      <c r="G49" s="45">
        <v>0</v>
      </c>
      <c r="H49" s="45">
        <v>0</v>
      </c>
      <c r="I49" s="45">
        <f t="shared" si="1"/>
        <v>0</v>
      </c>
    </row>
    <row r="50" spans="1:9">
      <c r="A50" s="45">
        <v>49</v>
      </c>
      <c r="B50" s="45">
        <v>121714</v>
      </c>
      <c r="C50" s="43" t="s">
        <v>444</v>
      </c>
      <c r="D50" s="44" t="s">
        <v>210</v>
      </c>
      <c r="E50" s="45">
        <v>0</v>
      </c>
      <c r="F50" s="45">
        <v>0</v>
      </c>
      <c r="G50" s="45">
        <v>0</v>
      </c>
      <c r="H50" s="45">
        <v>0</v>
      </c>
      <c r="I50" s="45">
        <f t="shared" si="1"/>
        <v>0</v>
      </c>
    </row>
    <row r="51" spans="1:9">
      <c r="A51" s="45">
        <v>50</v>
      </c>
      <c r="B51" s="43"/>
      <c r="C51" s="43" t="s">
        <v>463</v>
      </c>
      <c r="D51" s="44" t="s">
        <v>464</v>
      </c>
      <c r="E51" s="45">
        <v>0</v>
      </c>
      <c r="F51" s="45">
        <v>0</v>
      </c>
      <c r="G51" s="45">
        <v>0</v>
      </c>
      <c r="H51" s="45">
        <v>0</v>
      </c>
      <c r="I51" s="45">
        <f t="shared" si="1"/>
        <v>0</v>
      </c>
    </row>
    <row r="52" spans="1:9">
      <c r="A52" s="45">
        <v>51</v>
      </c>
      <c r="B52" s="43"/>
      <c r="C52" s="43" t="s">
        <v>465</v>
      </c>
      <c r="D52" s="71" t="s">
        <v>466</v>
      </c>
      <c r="E52" s="45">
        <v>0</v>
      </c>
      <c r="F52" s="45">
        <v>0</v>
      </c>
      <c r="G52" s="45">
        <v>0</v>
      </c>
      <c r="H52" s="45">
        <v>0</v>
      </c>
      <c r="I52" s="45">
        <f t="shared" si="1"/>
        <v>0</v>
      </c>
    </row>
  </sheetData>
  <sortState xmlns:xlrd2="http://schemas.microsoft.com/office/spreadsheetml/2017/richdata2" ref="A2:I52">
    <sortCondition descending="1" ref="I2:I52"/>
  </sortState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40"/>
  <sheetViews>
    <sheetView zoomScaleNormal="100" workbookViewId="0">
      <selection activeCell="N38" sqref="N38"/>
    </sheetView>
  </sheetViews>
  <sheetFormatPr defaultColWidth="11.5703125" defaultRowHeight="12.75"/>
  <cols>
    <col min="1" max="1" width="3.85546875" style="46" customWidth="1"/>
    <col min="3" max="3" width="16.5703125" customWidth="1"/>
    <col min="4" max="4" width="13.7109375" customWidth="1"/>
    <col min="5" max="11" width="6.85546875" customWidth="1"/>
  </cols>
  <sheetData>
    <row r="1" spans="1:11" ht="17.25" customHeight="1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8" t="s">
        <v>5</v>
      </c>
      <c r="G1" s="58" t="s">
        <v>6</v>
      </c>
      <c r="H1" s="58" t="s">
        <v>7</v>
      </c>
      <c r="I1" s="58" t="s">
        <v>9</v>
      </c>
      <c r="J1" s="58" t="s">
        <v>10</v>
      </c>
      <c r="K1" s="58" t="s">
        <v>8</v>
      </c>
    </row>
    <row r="2" spans="1:11">
      <c r="A2" s="48">
        <v>1</v>
      </c>
      <c r="B2" s="48">
        <v>1572</v>
      </c>
      <c r="C2" s="49" t="s">
        <v>297</v>
      </c>
      <c r="D2" s="50" t="s">
        <v>298</v>
      </c>
      <c r="E2" s="51">
        <v>5</v>
      </c>
      <c r="F2" s="51">
        <v>7</v>
      </c>
      <c r="G2" s="51">
        <v>7</v>
      </c>
      <c r="H2" s="51">
        <v>7</v>
      </c>
      <c r="I2" s="51">
        <v>7</v>
      </c>
      <c r="J2" s="51">
        <v>0</v>
      </c>
      <c r="K2" s="52">
        <f t="shared" ref="K2:K40" si="0">SUM(E2:J2)</f>
        <v>33</v>
      </c>
    </row>
    <row r="3" spans="1:11">
      <c r="A3" s="48">
        <v>2</v>
      </c>
      <c r="B3" s="48">
        <v>100879</v>
      </c>
      <c r="C3" s="49" t="s">
        <v>299</v>
      </c>
      <c r="D3" s="50" t="s">
        <v>300</v>
      </c>
      <c r="E3" s="51">
        <v>7</v>
      </c>
      <c r="F3" s="51">
        <v>7</v>
      </c>
      <c r="G3" s="51">
        <v>0</v>
      </c>
      <c r="H3" s="51">
        <v>7</v>
      </c>
      <c r="I3" s="51">
        <v>6</v>
      </c>
      <c r="J3" s="51">
        <v>0</v>
      </c>
      <c r="K3" s="52">
        <f t="shared" si="0"/>
        <v>27</v>
      </c>
    </row>
    <row r="4" spans="1:11">
      <c r="A4" s="48">
        <v>3</v>
      </c>
      <c r="B4" s="53">
        <v>232059</v>
      </c>
      <c r="C4" s="49" t="s">
        <v>301</v>
      </c>
      <c r="D4" s="50" t="s">
        <v>302</v>
      </c>
      <c r="E4" s="51">
        <v>7</v>
      </c>
      <c r="F4" s="51">
        <v>6</v>
      </c>
      <c r="G4" s="51">
        <v>0</v>
      </c>
      <c r="H4" s="51">
        <v>5</v>
      </c>
      <c r="I4" s="51">
        <v>6</v>
      </c>
      <c r="J4" s="51">
        <v>0</v>
      </c>
      <c r="K4" s="52">
        <f t="shared" si="0"/>
        <v>24</v>
      </c>
    </row>
    <row r="5" spans="1:11">
      <c r="A5" s="48">
        <v>4</v>
      </c>
      <c r="B5" s="48">
        <v>3199</v>
      </c>
      <c r="C5" s="49" t="s">
        <v>303</v>
      </c>
      <c r="D5" s="50" t="s">
        <v>292</v>
      </c>
      <c r="E5" s="51">
        <v>6</v>
      </c>
      <c r="F5" s="51">
        <v>3</v>
      </c>
      <c r="G5" s="51">
        <v>6</v>
      </c>
      <c r="H5" s="51">
        <v>7</v>
      </c>
      <c r="I5" s="51">
        <v>2</v>
      </c>
      <c r="J5" s="51">
        <v>0</v>
      </c>
      <c r="K5" s="52">
        <f t="shared" si="0"/>
        <v>24</v>
      </c>
    </row>
    <row r="6" spans="1:11">
      <c r="A6" s="48">
        <v>5</v>
      </c>
      <c r="B6" s="48">
        <v>136662</v>
      </c>
      <c r="C6" s="49" t="s">
        <v>304</v>
      </c>
      <c r="D6" s="50" t="s">
        <v>273</v>
      </c>
      <c r="E6" s="51">
        <v>7</v>
      </c>
      <c r="F6" s="51">
        <v>7</v>
      </c>
      <c r="G6" s="51">
        <v>0</v>
      </c>
      <c r="H6" s="51">
        <v>7</v>
      </c>
      <c r="I6" s="51">
        <v>2</v>
      </c>
      <c r="J6" s="51">
        <v>0</v>
      </c>
      <c r="K6" s="52">
        <f t="shared" si="0"/>
        <v>23</v>
      </c>
    </row>
    <row r="7" spans="1:11">
      <c r="A7" s="48">
        <v>6</v>
      </c>
      <c r="B7" s="48">
        <v>75281</v>
      </c>
      <c r="C7" s="49" t="s">
        <v>109</v>
      </c>
      <c r="D7" s="50" t="s">
        <v>305</v>
      </c>
      <c r="E7" s="51">
        <v>6</v>
      </c>
      <c r="F7" s="51">
        <v>7</v>
      </c>
      <c r="G7" s="51">
        <v>0</v>
      </c>
      <c r="H7" s="51">
        <v>6</v>
      </c>
      <c r="I7" s="51">
        <v>1</v>
      </c>
      <c r="J7" s="51">
        <v>0</v>
      </c>
      <c r="K7" s="52">
        <f t="shared" si="0"/>
        <v>20</v>
      </c>
    </row>
    <row r="8" spans="1:11">
      <c r="A8" s="48">
        <v>7</v>
      </c>
      <c r="B8" s="48">
        <v>72323</v>
      </c>
      <c r="C8" s="49" t="s">
        <v>306</v>
      </c>
      <c r="D8" s="50" t="s">
        <v>91</v>
      </c>
      <c r="E8" s="51">
        <v>3</v>
      </c>
      <c r="F8" s="51">
        <v>7</v>
      </c>
      <c r="G8" s="51">
        <v>0</v>
      </c>
      <c r="H8" s="51">
        <v>7</v>
      </c>
      <c r="I8" s="51">
        <v>2</v>
      </c>
      <c r="J8" s="51">
        <v>0</v>
      </c>
      <c r="K8" s="52">
        <f t="shared" si="0"/>
        <v>19</v>
      </c>
    </row>
    <row r="9" spans="1:11">
      <c r="A9" s="48">
        <v>8</v>
      </c>
      <c r="B9" s="48">
        <v>101212</v>
      </c>
      <c r="C9" s="49" t="s">
        <v>307</v>
      </c>
      <c r="D9" s="50" t="s">
        <v>308</v>
      </c>
      <c r="E9" s="51">
        <v>7</v>
      </c>
      <c r="F9" s="51">
        <v>1</v>
      </c>
      <c r="G9" s="51">
        <v>0</v>
      </c>
      <c r="H9" s="51">
        <v>7</v>
      </c>
      <c r="I9" s="51">
        <v>2</v>
      </c>
      <c r="J9" s="51">
        <v>0</v>
      </c>
      <c r="K9" s="52">
        <f t="shared" si="0"/>
        <v>17</v>
      </c>
    </row>
    <row r="10" spans="1:11">
      <c r="A10" s="48">
        <v>9</v>
      </c>
      <c r="B10" s="48">
        <v>102872</v>
      </c>
      <c r="C10" s="49" t="s">
        <v>82</v>
      </c>
      <c r="D10" s="50" t="s">
        <v>309</v>
      </c>
      <c r="E10" s="51">
        <v>7</v>
      </c>
      <c r="F10" s="51">
        <v>1</v>
      </c>
      <c r="G10" s="51">
        <v>0</v>
      </c>
      <c r="H10" s="51">
        <v>7</v>
      </c>
      <c r="I10" s="51">
        <v>0</v>
      </c>
      <c r="J10" s="51">
        <v>0</v>
      </c>
      <c r="K10" s="52">
        <f t="shared" si="0"/>
        <v>15</v>
      </c>
    </row>
    <row r="11" spans="1:11">
      <c r="A11" s="48">
        <v>10</v>
      </c>
      <c r="B11" s="48">
        <v>102874</v>
      </c>
      <c r="C11" s="54" t="s">
        <v>82</v>
      </c>
      <c r="D11" s="50" t="s">
        <v>310</v>
      </c>
      <c r="E11" s="51">
        <v>7</v>
      </c>
      <c r="F11" s="51">
        <v>1</v>
      </c>
      <c r="G11" s="51">
        <v>0</v>
      </c>
      <c r="H11" s="51">
        <v>6</v>
      </c>
      <c r="I11" s="51">
        <v>1</v>
      </c>
      <c r="J11" s="51">
        <v>0</v>
      </c>
      <c r="K11" s="52">
        <f t="shared" si="0"/>
        <v>15</v>
      </c>
    </row>
    <row r="12" spans="1:11">
      <c r="A12" s="48">
        <v>11</v>
      </c>
      <c r="B12" s="48">
        <v>21480</v>
      </c>
      <c r="C12" s="49" t="s">
        <v>311</v>
      </c>
      <c r="D12" s="50" t="s">
        <v>138</v>
      </c>
      <c r="E12" s="51">
        <v>3</v>
      </c>
      <c r="F12" s="51">
        <v>1</v>
      </c>
      <c r="G12" s="51">
        <v>0</v>
      </c>
      <c r="H12" s="51">
        <v>7</v>
      </c>
      <c r="I12" s="51">
        <v>1</v>
      </c>
      <c r="J12" s="51">
        <v>0</v>
      </c>
      <c r="K12" s="52">
        <f t="shared" si="0"/>
        <v>12</v>
      </c>
    </row>
    <row r="13" spans="1:11">
      <c r="A13" s="48">
        <v>12</v>
      </c>
      <c r="B13" s="48">
        <v>91129</v>
      </c>
      <c r="C13" s="49" t="s">
        <v>312</v>
      </c>
      <c r="D13" s="50" t="s">
        <v>313</v>
      </c>
      <c r="E13" s="51">
        <v>0</v>
      </c>
      <c r="F13" s="51">
        <v>4</v>
      </c>
      <c r="G13" s="51">
        <v>0</v>
      </c>
      <c r="H13" s="51">
        <v>6</v>
      </c>
      <c r="I13" s="51">
        <v>1</v>
      </c>
      <c r="J13" s="51">
        <v>0</v>
      </c>
      <c r="K13" s="52">
        <f t="shared" si="0"/>
        <v>11</v>
      </c>
    </row>
    <row r="14" spans="1:11">
      <c r="A14" s="48">
        <v>13</v>
      </c>
      <c r="B14" s="55">
        <v>121834</v>
      </c>
      <c r="C14" s="54" t="s">
        <v>314</v>
      </c>
      <c r="D14" s="50" t="s">
        <v>315</v>
      </c>
      <c r="E14" s="51">
        <v>2</v>
      </c>
      <c r="F14" s="51">
        <v>1</v>
      </c>
      <c r="G14" s="51">
        <v>0</v>
      </c>
      <c r="H14" s="51">
        <v>7</v>
      </c>
      <c r="I14" s="51">
        <v>0</v>
      </c>
      <c r="J14" s="51">
        <v>0</v>
      </c>
      <c r="K14" s="52">
        <f t="shared" si="0"/>
        <v>10</v>
      </c>
    </row>
    <row r="15" spans="1:11">
      <c r="A15" s="48">
        <v>14</v>
      </c>
      <c r="B15" s="48">
        <v>184823</v>
      </c>
      <c r="C15" s="49" t="s">
        <v>316</v>
      </c>
      <c r="D15" s="50" t="s">
        <v>317</v>
      </c>
      <c r="E15" s="51">
        <v>0</v>
      </c>
      <c r="F15" s="51">
        <v>1</v>
      </c>
      <c r="G15" s="51">
        <v>0</v>
      </c>
      <c r="H15" s="51">
        <v>7</v>
      </c>
      <c r="I15" s="51">
        <v>2</v>
      </c>
      <c r="J15" s="51">
        <v>0</v>
      </c>
      <c r="K15" s="52">
        <f t="shared" si="0"/>
        <v>10</v>
      </c>
    </row>
    <row r="16" spans="1:11">
      <c r="A16" s="48">
        <v>15</v>
      </c>
      <c r="B16" s="55">
        <v>201322</v>
      </c>
      <c r="C16" s="56" t="s">
        <v>318</v>
      </c>
      <c r="D16" s="50" t="s">
        <v>319</v>
      </c>
      <c r="E16" s="51">
        <v>0</v>
      </c>
      <c r="F16" s="51">
        <v>0</v>
      </c>
      <c r="G16" s="51">
        <v>0</v>
      </c>
      <c r="H16" s="51">
        <v>7</v>
      </c>
      <c r="I16" s="51">
        <v>1</v>
      </c>
      <c r="J16" s="51">
        <v>0</v>
      </c>
      <c r="K16" s="52">
        <f t="shared" si="0"/>
        <v>8</v>
      </c>
    </row>
    <row r="17" spans="1:11">
      <c r="A17" s="48">
        <v>16</v>
      </c>
      <c r="B17" s="48">
        <v>130163</v>
      </c>
      <c r="C17" s="49" t="s">
        <v>320</v>
      </c>
      <c r="D17" s="50" t="s">
        <v>321</v>
      </c>
      <c r="E17" s="51">
        <v>0</v>
      </c>
      <c r="F17" s="51">
        <v>1</v>
      </c>
      <c r="G17" s="51">
        <v>0</v>
      </c>
      <c r="H17" s="51">
        <v>7</v>
      </c>
      <c r="I17" s="51">
        <v>0</v>
      </c>
      <c r="J17" s="51">
        <v>0</v>
      </c>
      <c r="K17" s="52">
        <f t="shared" si="0"/>
        <v>8</v>
      </c>
    </row>
    <row r="18" spans="1:11">
      <c r="A18" s="48">
        <v>17</v>
      </c>
      <c r="B18" s="48">
        <v>137998</v>
      </c>
      <c r="C18" s="49" t="s">
        <v>322</v>
      </c>
      <c r="D18" s="50" t="s">
        <v>26</v>
      </c>
      <c r="E18" s="51">
        <v>0</v>
      </c>
      <c r="F18" s="51">
        <v>1</v>
      </c>
      <c r="G18" s="51">
        <v>0</v>
      </c>
      <c r="H18" s="51">
        <v>7</v>
      </c>
      <c r="I18" s="51">
        <v>0</v>
      </c>
      <c r="J18" s="51">
        <v>0</v>
      </c>
      <c r="K18" s="52">
        <f t="shared" si="0"/>
        <v>8</v>
      </c>
    </row>
    <row r="19" spans="1:11">
      <c r="A19" s="48">
        <v>18</v>
      </c>
      <c r="B19" s="55">
        <v>119943</v>
      </c>
      <c r="C19" s="49" t="s">
        <v>323</v>
      </c>
      <c r="D19" s="50" t="s">
        <v>300</v>
      </c>
      <c r="E19" s="51">
        <v>4</v>
      </c>
      <c r="F19" s="51">
        <v>3</v>
      </c>
      <c r="G19" s="51">
        <v>0</v>
      </c>
      <c r="H19" s="51">
        <v>0</v>
      </c>
      <c r="I19" s="51">
        <v>0</v>
      </c>
      <c r="J19" s="51">
        <v>0</v>
      </c>
      <c r="K19" s="52">
        <f t="shared" si="0"/>
        <v>7</v>
      </c>
    </row>
    <row r="20" spans="1:11">
      <c r="A20" s="48">
        <v>19</v>
      </c>
      <c r="B20" s="53">
        <v>108712</v>
      </c>
      <c r="C20" s="56" t="s">
        <v>324</v>
      </c>
      <c r="D20" s="50" t="s">
        <v>325</v>
      </c>
      <c r="E20" s="51"/>
      <c r="F20" s="51"/>
      <c r="G20" s="51"/>
      <c r="H20" s="51">
        <v>7</v>
      </c>
      <c r="I20" s="51">
        <v>0</v>
      </c>
      <c r="J20" s="51">
        <v>0</v>
      </c>
      <c r="K20" s="52">
        <f t="shared" si="0"/>
        <v>7</v>
      </c>
    </row>
    <row r="21" spans="1:11">
      <c r="A21" s="48">
        <v>20</v>
      </c>
      <c r="B21" s="48">
        <v>138761</v>
      </c>
      <c r="C21" s="49" t="s">
        <v>326</v>
      </c>
      <c r="D21" s="50" t="s">
        <v>135</v>
      </c>
      <c r="E21" s="51">
        <v>0</v>
      </c>
      <c r="F21" s="51">
        <v>5</v>
      </c>
      <c r="G21" s="51">
        <v>0</v>
      </c>
      <c r="H21" s="51">
        <v>0</v>
      </c>
      <c r="I21" s="51">
        <v>0</v>
      </c>
      <c r="J21" s="51">
        <v>0</v>
      </c>
      <c r="K21" s="52">
        <f t="shared" si="0"/>
        <v>5</v>
      </c>
    </row>
    <row r="22" spans="1:11">
      <c r="A22" s="48">
        <v>21</v>
      </c>
      <c r="B22" s="53">
        <v>120502</v>
      </c>
      <c r="C22" s="56" t="s">
        <v>327</v>
      </c>
      <c r="D22" s="50" t="s">
        <v>328</v>
      </c>
      <c r="E22" s="51">
        <v>4</v>
      </c>
      <c r="F22" s="51">
        <v>0</v>
      </c>
      <c r="G22" s="51">
        <v>0</v>
      </c>
      <c r="H22" s="51">
        <v>0</v>
      </c>
      <c r="I22" s="51">
        <v>0</v>
      </c>
      <c r="J22" s="51">
        <v>0</v>
      </c>
      <c r="K22" s="52">
        <f t="shared" si="0"/>
        <v>4</v>
      </c>
    </row>
    <row r="23" spans="1:11">
      <c r="A23" s="48">
        <v>22</v>
      </c>
      <c r="B23" s="53">
        <v>137560</v>
      </c>
      <c r="C23" s="56" t="s">
        <v>329</v>
      </c>
      <c r="D23" s="50" t="s">
        <v>95</v>
      </c>
      <c r="E23" s="51">
        <v>4</v>
      </c>
      <c r="F23" s="51">
        <v>0</v>
      </c>
      <c r="G23" s="51">
        <v>0</v>
      </c>
      <c r="H23" s="51">
        <v>0</v>
      </c>
      <c r="I23" s="51">
        <v>0</v>
      </c>
      <c r="J23" s="51">
        <v>0</v>
      </c>
      <c r="K23" s="52">
        <f t="shared" si="0"/>
        <v>4</v>
      </c>
    </row>
    <row r="24" spans="1:11">
      <c r="A24" s="48">
        <v>23</v>
      </c>
      <c r="B24" s="48">
        <v>195613</v>
      </c>
      <c r="C24" s="49" t="s">
        <v>330</v>
      </c>
      <c r="D24" s="50" t="s">
        <v>331</v>
      </c>
      <c r="E24" s="51">
        <v>2</v>
      </c>
      <c r="F24" s="51">
        <v>1</v>
      </c>
      <c r="G24" s="51">
        <v>0</v>
      </c>
      <c r="H24" s="51">
        <v>0</v>
      </c>
      <c r="I24" s="51">
        <v>0</v>
      </c>
      <c r="J24" s="51">
        <v>0</v>
      </c>
      <c r="K24" s="52">
        <f t="shared" si="0"/>
        <v>3</v>
      </c>
    </row>
    <row r="25" spans="1:11">
      <c r="A25" s="48">
        <v>24</v>
      </c>
      <c r="B25" s="53">
        <v>231890</v>
      </c>
      <c r="C25" s="56" t="s">
        <v>332</v>
      </c>
      <c r="D25" s="50" t="s">
        <v>333</v>
      </c>
      <c r="E25" s="51">
        <v>0</v>
      </c>
      <c r="F25" s="51">
        <v>1</v>
      </c>
      <c r="G25" s="51">
        <v>0</v>
      </c>
      <c r="H25" s="51">
        <v>0</v>
      </c>
      <c r="I25" s="51">
        <v>0</v>
      </c>
      <c r="J25" s="51">
        <v>0</v>
      </c>
      <c r="K25" s="52">
        <f t="shared" si="0"/>
        <v>1</v>
      </c>
    </row>
    <row r="26" spans="1:11">
      <c r="A26" s="48">
        <v>25</v>
      </c>
      <c r="B26" s="48">
        <v>232048</v>
      </c>
      <c r="C26" s="57" t="s">
        <v>334</v>
      </c>
      <c r="D26" s="50" t="s">
        <v>335</v>
      </c>
      <c r="E26" s="51">
        <v>0</v>
      </c>
      <c r="F26" s="51">
        <v>1</v>
      </c>
      <c r="G26" s="51">
        <v>0</v>
      </c>
      <c r="H26" s="51">
        <v>0</v>
      </c>
      <c r="I26" s="51">
        <v>0</v>
      </c>
      <c r="J26" s="51">
        <v>0</v>
      </c>
      <c r="K26" s="52">
        <f t="shared" si="0"/>
        <v>1</v>
      </c>
    </row>
    <row r="27" spans="1:11">
      <c r="A27" s="48">
        <v>26</v>
      </c>
      <c r="B27" s="48">
        <v>102875</v>
      </c>
      <c r="C27" s="57" t="s">
        <v>155</v>
      </c>
      <c r="D27" s="50" t="s">
        <v>124</v>
      </c>
      <c r="E27" s="51">
        <v>0</v>
      </c>
      <c r="F27" s="51">
        <v>0</v>
      </c>
      <c r="G27" s="51">
        <v>0</v>
      </c>
      <c r="H27" s="51">
        <v>0</v>
      </c>
      <c r="I27" s="51">
        <v>1</v>
      </c>
      <c r="J27" s="51">
        <v>0</v>
      </c>
      <c r="K27" s="52">
        <f t="shared" si="0"/>
        <v>1</v>
      </c>
    </row>
    <row r="28" spans="1:11">
      <c r="A28" s="48">
        <v>27</v>
      </c>
      <c r="B28" s="48">
        <v>108697</v>
      </c>
      <c r="C28" s="49" t="s">
        <v>336</v>
      </c>
      <c r="D28" s="50" t="s">
        <v>337</v>
      </c>
      <c r="E28" s="51">
        <v>0</v>
      </c>
      <c r="F28" s="51">
        <v>1</v>
      </c>
      <c r="G28" s="51">
        <v>0</v>
      </c>
      <c r="H28" s="51">
        <v>0</v>
      </c>
      <c r="I28" s="51">
        <v>0</v>
      </c>
      <c r="J28" s="51">
        <v>0</v>
      </c>
      <c r="K28" s="52">
        <f t="shared" si="0"/>
        <v>1</v>
      </c>
    </row>
    <row r="29" spans="1:11">
      <c r="A29" s="48">
        <v>28</v>
      </c>
      <c r="B29" s="48">
        <v>115511</v>
      </c>
      <c r="C29" s="49" t="s">
        <v>338</v>
      </c>
      <c r="D29" s="50" t="s">
        <v>339</v>
      </c>
      <c r="E29" s="51">
        <v>0</v>
      </c>
      <c r="F29" s="51">
        <v>0</v>
      </c>
      <c r="G29" s="51">
        <v>0</v>
      </c>
      <c r="H29" s="51">
        <v>0</v>
      </c>
      <c r="I29" s="51">
        <v>0</v>
      </c>
      <c r="J29" s="51">
        <v>0</v>
      </c>
      <c r="K29" s="52">
        <f t="shared" si="0"/>
        <v>0</v>
      </c>
    </row>
    <row r="30" spans="1:11">
      <c r="A30" s="48">
        <v>29</v>
      </c>
      <c r="B30" s="48">
        <v>120248</v>
      </c>
      <c r="C30" s="56" t="s">
        <v>262</v>
      </c>
      <c r="D30" s="50" t="s">
        <v>340</v>
      </c>
      <c r="E30" s="51">
        <v>0</v>
      </c>
      <c r="F30" s="51">
        <v>0</v>
      </c>
      <c r="G30" s="51">
        <v>0</v>
      </c>
      <c r="H30" s="51">
        <v>0</v>
      </c>
      <c r="I30" s="51">
        <v>0</v>
      </c>
      <c r="J30" s="51">
        <v>0</v>
      </c>
      <c r="K30" s="52">
        <f t="shared" si="0"/>
        <v>0</v>
      </c>
    </row>
    <row r="31" spans="1:11">
      <c r="A31" s="48">
        <v>30</v>
      </c>
      <c r="B31" s="48">
        <v>108710</v>
      </c>
      <c r="C31" s="56" t="s">
        <v>341</v>
      </c>
      <c r="D31" s="50" t="s">
        <v>342</v>
      </c>
      <c r="E31" s="51">
        <v>0</v>
      </c>
      <c r="F31" s="51">
        <v>0</v>
      </c>
      <c r="G31" s="51">
        <v>0</v>
      </c>
      <c r="H31" s="51">
        <v>0</v>
      </c>
      <c r="I31" s="51">
        <v>0</v>
      </c>
      <c r="J31" s="51">
        <v>0</v>
      </c>
      <c r="K31" s="52">
        <f t="shared" si="0"/>
        <v>0</v>
      </c>
    </row>
    <row r="32" spans="1:11">
      <c r="A32" s="48">
        <v>31</v>
      </c>
      <c r="B32" s="48">
        <v>107801</v>
      </c>
      <c r="C32" s="56" t="s">
        <v>343</v>
      </c>
      <c r="D32" s="50" t="s">
        <v>273</v>
      </c>
      <c r="E32" s="51">
        <v>0</v>
      </c>
      <c r="F32" s="51">
        <v>0</v>
      </c>
      <c r="G32" s="51">
        <v>0</v>
      </c>
      <c r="H32" s="51">
        <v>0</v>
      </c>
      <c r="I32" s="51">
        <v>0</v>
      </c>
      <c r="J32" s="51">
        <v>0</v>
      </c>
      <c r="K32" s="52">
        <f t="shared" si="0"/>
        <v>0</v>
      </c>
    </row>
    <row r="33" spans="1:11">
      <c r="A33" s="48">
        <v>32</v>
      </c>
      <c r="B33" s="48">
        <v>202205</v>
      </c>
      <c r="C33" s="56" t="s">
        <v>344</v>
      </c>
      <c r="D33" s="50" t="s">
        <v>345</v>
      </c>
      <c r="E33" s="51">
        <v>0</v>
      </c>
      <c r="F33" s="51">
        <v>0</v>
      </c>
      <c r="G33" s="51">
        <v>0</v>
      </c>
      <c r="H33" s="51">
        <v>0</v>
      </c>
      <c r="I33" s="51">
        <v>0</v>
      </c>
      <c r="J33" s="51">
        <v>0</v>
      </c>
      <c r="K33" s="52">
        <f t="shared" si="0"/>
        <v>0</v>
      </c>
    </row>
    <row r="34" spans="1:11">
      <c r="A34" s="48">
        <v>33</v>
      </c>
      <c r="B34" s="48">
        <v>139203</v>
      </c>
      <c r="C34" s="56" t="s">
        <v>262</v>
      </c>
      <c r="D34" s="50" t="s">
        <v>67</v>
      </c>
      <c r="E34" s="51">
        <v>0</v>
      </c>
      <c r="F34" s="51">
        <v>0</v>
      </c>
      <c r="G34" s="51">
        <v>0</v>
      </c>
      <c r="H34" s="51">
        <v>0</v>
      </c>
      <c r="I34" s="51">
        <v>0</v>
      </c>
      <c r="J34" s="51">
        <v>0</v>
      </c>
      <c r="K34" s="52">
        <f t="shared" si="0"/>
        <v>0</v>
      </c>
    </row>
    <row r="35" spans="1:11">
      <c r="A35" s="48">
        <v>34</v>
      </c>
      <c r="B35" s="48">
        <v>189377</v>
      </c>
      <c r="C35" s="49" t="s">
        <v>346</v>
      </c>
      <c r="D35" s="50" t="s">
        <v>347</v>
      </c>
      <c r="E35" s="51">
        <v>0</v>
      </c>
      <c r="F35" s="51">
        <v>0</v>
      </c>
      <c r="G35" s="51">
        <v>0</v>
      </c>
      <c r="H35" s="51">
        <v>0</v>
      </c>
      <c r="I35" s="51">
        <v>0</v>
      </c>
      <c r="J35" s="51">
        <v>0</v>
      </c>
      <c r="K35" s="52">
        <f t="shared" si="0"/>
        <v>0</v>
      </c>
    </row>
    <row r="36" spans="1:11">
      <c r="A36" s="48">
        <v>35</v>
      </c>
      <c r="B36" s="48">
        <v>102871</v>
      </c>
      <c r="C36" s="49" t="s">
        <v>348</v>
      </c>
      <c r="D36" s="50" t="s">
        <v>349</v>
      </c>
      <c r="E36" s="51">
        <v>0</v>
      </c>
      <c r="F36" s="51">
        <v>0</v>
      </c>
      <c r="G36" s="51">
        <v>0</v>
      </c>
      <c r="H36" s="51">
        <v>0</v>
      </c>
      <c r="I36" s="51">
        <v>0</v>
      </c>
      <c r="J36" s="51">
        <v>0</v>
      </c>
      <c r="K36" s="52">
        <f t="shared" si="0"/>
        <v>0</v>
      </c>
    </row>
    <row r="37" spans="1:11">
      <c r="A37" s="48">
        <v>36</v>
      </c>
      <c r="B37" s="48">
        <v>108702</v>
      </c>
      <c r="C37" s="56" t="s">
        <v>350</v>
      </c>
      <c r="D37" s="50" t="s">
        <v>351</v>
      </c>
      <c r="E37" s="51">
        <v>0</v>
      </c>
      <c r="F37" s="51">
        <v>0</v>
      </c>
      <c r="G37" s="51">
        <v>0</v>
      </c>
      <c r="H37" s="51">
        <v>0</v>
      </c>
      <c r="I37" s="51">
        <v>0</v>
      </c>
      <c r="J37" s="51">
        <v>0</v>
      </c>
      <c r="K37" s="52">
        <f t="shared" si="0"/>
        <v>0</v>
      </c>
    </row>
    <row r="38" spans="1:11">
      <c r="A38" s="48">
        <v>37</v>
      </c>
      <c r="B38" s="48">
        <v>231867</v>
      </c>
      <c r="C38" s="56" t="s">
        <v>352</v>
      </c>
      <c r="D38" s="50" t="s">
        <v>156</v>
      </c>
      <c r="E38" s="51">
        <v>0</v>
      </c>
      <c r="F38" s="51">
        <v>0</v>
      </c>
      <c r="G38" s="51">
        <v>0</v>
      </c>
      <c r="H38" s="51">
        <v>0</v>
      </c>
      <c r="I38" s="51">
        <v>0</v>
      </c>
      <c r="J38" s="51">
        <v>0</v>
      </c>
      <c r="K38" s="52">
        <f t="shared" si="0"/>
        <v>0</v>
      </c>
    </row>
    <row r="39" spans="1:11">
      <c r="A39" s="48">
        <v>38</v>
      </c>
      <c r="B39" s="48">
        <v>120698</v>
      </c>
      <c r="C39" s="56" t="s">
        <v>77</v>
      </c>
      <c r="D39" s="50" t="s">
        <v>353</v>
      </c>
      <c r="E39" s="51">
        <v>0</v>
      </c>
      <c r="F39" s="51">
        <v>0</v>
      </c>
      <c r="G39" s="51">
        <v>0</v>
      </c>
      <c r="H39" s="51">
        <v>0</v>
      </c>
      <c r="I39" s="51">
        <v>0</v>
      </c>
      <c r="J39" s="51">
        <v>0</v>
      </c>
      <c r="K39" s="52">
        <f t="shared" si="0"/>
        <v>0</v>
      </c>
    </row>
    <row r="40" spans="1:11">
      <c r="A40" s="48">
        <v>39</v>
      </c>
      <c r="B40" s="48"/>
      <c r="C40" s="49"/>
      <c r="D40" s="50" t="s">
        <v>264</v>
      </c>
      <c r="E40" s="51"/>
      <c r="F40" s="51"/>
      <c r="G40" s="51"/>
      <c r="H40" s="51">
        <v>0</v>
      </c>
      <c r="I40" s="51">
        <v>0</v>
      </c>
      <c r="J40" s="51">
        <v>0</v>
      </c>
      <c r="K40" s="52">
        <f t="shared" si="0"/>
        <v>0</v>
      </c>
    </row>
  </sheetData>
  <hyperlinks>
    <hyperlink ref="B7" r:id="rId1" tooltip="Бүх амжилтууд харах" display="https://mmo.mn/olympiads/achievements/75281/" xr:uid="{EDBDBE81-91EF-45B0-9731-E4D5DB0FDFE9}"/>
    <hyperlink ref="B8" r:id="rId2" tooltip="Бүх амжилтууд харах" display="https://mmo.mn/olympiads/achievements/72323/" xr:uid="{DC9BF858-4212-46DA-9981-9039DF0BE287}"/>
    <hyperlink ref="B12" r:id="rId3" tooltip="Бүх амжилтууд харах" display="https://mmo.mn/olympiads/achievements/21480/" xr:uid="{F5C2712C-4EB3-4614-826A-829AAFB02698}"/>
    <hyperlink ref="B27" r:id="rId4" tooltip="Бүх амжилтууд харах" display="https://mmo.mn/olympiads/achievements/102875/" xr:uid="{569E9213-A281-46D8-BB9B-034CD99794AE}"/>
    <hyperlink ref="B36" r:id="rId5" tooltip="Бүх амжилтууд харах" display="https://mmo.mn/olympiads/achievements/102871/" xr:uid="{D72EA3D5-AECC-46A5-B308-216611E1E23D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"/>
  <sheetViews>
    <sheetView zoomScaleNormal="100" workbookViewId="0">
      <selection activeCell="L39" sqref="L39"/>
    </sheetView>
  </sheetViews>
  <sheetFormatPr defaultColWidth="11.5703125" defaultRowHeight="12.75"/>
  <cols>
    <col min="1" max="1" width="14.42578125" customWidth="1"/>
    <col min="3" max="3" width="31.140625" customWidth="1"/>
  </cols>
  <sheetData>
    <row r="1" spans="1:3">
      <c r="A1" s="33" t="s">
        <v>11</v>
      </c>
      <c r="B1" s="4" t="s">
        <v>354</v>
      </c>
      <c r="C1" s="33"/>
    </row>
    <row r="2" spans="1:3">
      <c r="A2" s="33" t="s">
        <v>12</v>
      </c>
      <c r="B2" s="4">
        <v>72118</v>
      </c>
      <c r="C2" s="47" t="s">
        <v>13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С ангилал</vt:lpstr>
      <vt:lpstr>D ангилал</vt:lpstr>
      <vt:lpstr>E ангилал</vt:lpstr>
      <vt:lpstr>F ангилал</vt:lpstr>
      <vt:lpstr>S ангилал</vt:lpstr>
      <vt:lpstr>T ангилал</vt:lpstr>
      <vt:lpstr>Мэдээлэл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</dc:creator>
  <dc:description/>
  <cp:lastModifiedBy>uvsaimag uvsaimag</cp:lastModifiedBy>
  <cp:revision>2</cp:revision>
  <dcterms:created xsi:type="dcterms:W3CDTF">2025-12-15T14:16:47Z</dcterms:created>
  <dcterms:modified xsi:type="dcterms:W3CDTF">2025-12-17T10:23:01Z</dcterms:modified>
  <dc:language>en-US</dc:language>
</cp:coreProperties>
</file>